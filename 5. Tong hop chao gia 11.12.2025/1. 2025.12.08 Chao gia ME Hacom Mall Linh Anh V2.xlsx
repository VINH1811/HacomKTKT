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1. Project\1. 2022\1. Hacom Mall\1. CDT\10. CHAM THAU\1. Goi thau ME\1. HSCG\2025.12.09\5. Tong hop chao gia 09.12.2025\"/>
    </mc:Choice>
  </mc:AlternateContent>
  <xr:revisionPtr revIDLastSave="0" documentId="13_ncr:1_{40BFDD3A-2E45-46E5-9C48-6A4B4C61AEA2}" xr6:coauthVersionLast="47" xr6:coauthVersionMax="47" xr10:uidLastSave="{00000000-0000-0000-0000-000000000000}"/>
  <bookViews>
    <workbookView xWindow="-120" yWindow="-120" windowWidth="29040" windowHeight="15840" tabRatio="783" activeTab="4" xr2:uid="{6F794F1F-EC83-4822-B2EF-DDDFB58FCDC1}"/>
  </bookViews>
  <sheets>
    <sheet name="ĐIỀU KHOẢN" sheetId="13" r:id="rId1"/>
    <sheet name="Tổng hợp" sheetId="12" r:id="rId2"/>
    <sheet name="Chart2" sheetId="15" state="hidden" r:id="rId3"/>
    <sheet name="Chart1" sheetId="14" state="hidden" r:id="rId4"/>
    <sheet name="1. HT điện" sheetId="11" r:id="rId5"/>
    <sheet name="2. HT điện nhẹ" sheetId="2" r:id="rId6"/>
    <sheet name="3. HT CTN" sheetId="3" r:id="rId7"/>
    <sheet name="4.1 ĐH VRV" sheetId="6" r:id="rId8"/>
    <sheet name="4.2 Quạt" sheetId="7" r:id="rId9"/>
    <sheet name="4.3 DHKK &amp; TG" sheetId="8" r:id="rId10"/>
    <sheet name="5. Ngăn cháy lan" sheetId="4" r:id="rId11"/>
  </sheets>
  <definedNames>
    <definedName name="__" localSheetId="0" hidden="1">#REF!</definedName>
    <definedName name="__" hidden="1">#REF!</definedName>
    <definedName name="_____________________________________________a1" localSheetId="0" hidden="1">{"'Sheet1'!$L$16"}</definedName>
    <definedName name="_____________________________________________a1" hidden="1">{"'Sheet1'!$L$16"}</definedName>
    <definedName name="_____________________________________________PA3" localSheetId="0" hidden="1">{"'Sheet1'!$L$16"}</definedName>
    <definedName name="_____________________________________________PA3" hidden="1">{"'Sheet1'!$L$16"}</definedName>
    <definedName name="____________________________________________a1" localSheetId="0" hidden="1">{"'Sheet1'!$L$16"}</definedName>
    <definedName name="____________________________________________a1" hidden="1">{"'Sheet1'!$L$16"}</definedName>
    <definedName name="____________________________________________PA3" localSheetId="0" hidden="1">{"'Sheet1'!$L$16"}</definedName>
    <definedName name="____________________________________________PA3" hidden="1">{"'Sheet1'!$L$16"}</definedName>
    <definedName name="__________________________________________a1" localSheetId="0" hidden="1">{"'Sheet1'!$L$16"}</definedName>
    <definedName name="__________________________________________a1" hidden="1">{"'Sheet1'!$L$16"}</definedName>
    <definedName name="__________________________________________PA3" localSheetId="0" hidden="1">{"'Sheet1'!$L$16"}</definedName>
    <definedName name="__________________________________________PA3" hidden="1">{"'Sheet1'!$L$16"}</definedName>
    <definedName name="_________________________________________a1" localSheetId="0" hidden="1">{"'Sheet1'!$L$16"}</definedName>
    <definedName name="_________________________________________a1" hidden="1">{"'Sheet1'!$L$16"}</definedName>
    <definedName name="_________________________________________PA3" localSheetId="0" hidden="1">{"'Sheet1'!$L$16"}</definedName>
    <definedName name="_________________________________________PA3" hidden="1">{"'Sheet1'!$L$16"}</definedName>
    <definedName name="________________________________________a1" localSheetId="0" hidden="1">{"'Sheet1'!$L$16"}</definedName>
    <definedName name="________________________________________a1" hidden="1">{"'Sheet1'!$L$16"}</definedName>
    <definedName name="________________________________________PA3" localSheetId="0" hidden="1">{"'Sheet1'!$L$16"}</definedName>
    <definedName name="________________________________________PA3" hidden="1">{"'Sheet1'!$L$16"}</definedName>
    <definedName name="_______________________________________a1" localSheetId="0" hidden="1">{"'Sheet1'!$L$16"}</definedName>
    <definedName name="_______________________________________a1" hidden="1">{"'Sheet1'!$L$16"}</definedName>
    <definedName name="_______________________________________PA3" localSheetId="0" hidden="1">{"'Sheet1'!$L$16"}</definedName>
    <definedName name="_______________________________________PA3" hidden="1">{"'Sheet1'!$L$16"}</definedName>
    <definedName name="______________________________________a1" localSheetId="0" hidden="1">{"'Sheet1'!$L$16"}</definedName>
    <definedName name="______________________________________a1" hidden="1">{"'Sheet1'!$L$16"}</definedName>
    <definedName name="______________________________________PA3" localSheetId="0" hidden="1">{"'Sheet1'!$L$16"}</definedName>
    <definedName name="______________________________________PA3" hidden="1">{"'Sheet1'!$L$16"}</definedName>
    <definedName name="_____________________________________a1" localSheetId="0" hidden="1">{"'Sheet1'!$L$16"}</definedName>
    <definedName name="_____________________________________a1" hidden="1">{"'Sheet1'!$L$16"}</definedName>
    <definedName name="_____________________________________PA3" localSheetId="0" hidden="1">{"'Sheet1'!$L$16"}</definedName>
    <definedName name="_____________________________________PA3" hidden="1">{"'Sheet1'!$L$16"}</definedName>
    <definedName name="____________________________________a1" localSheetId="0" hidden="1">{"'Sheet1'!$L$16"}</definedName>
    <definedName name="____________________________________a1" hidden="1">{"'Sheet1'!$L$16"}</definedName>
    <definedName name="____________________________________PA3" localSheetId="0" hidden="1">{"'Sheet1'!$L$16"}</definedName>
    <definedName name="____________________________________PA3" hidden="1">{"'Sheet1'!$L$16"}</definedName>
    <definedName name="__________________________________a1" localSheetId="0" hidden="1">{"'Sheet1'!$L$16"}</definedName>
    <definedName name="__________________________________a1" hidden="1">{"'Sheet1'!$L$16"}</definedName>
    <definedName name="__________________________________PA3" localSheetId="0" hidden="1">{"'Sheet1'!$L$16"}</definedName>
    <definedName name="__________________________________PA3" hidden="1">{"'Sheet1'!$L$16"}</definedName>
    <definedName name="__________________________________VT3" localSheetId="0" hidden="1">{"'Sheet1'!$L$16"}</definedName>
    <definedName name="__________________________________VT3" hidden="1">{"'Sheet1'!$L$16"}</definedName>
    <definedName name="_________________________________a1" localSheetId="0" hidden="1">{"'Sheet1'!$L$16"}</definedName>
    <definedName name="_________________________________a1" hidden="1">{"'Sheet1'!$L$16"}</definedName>
    <definedName name="_________________________________NSO2" localSheetId="0" hidden="1">{"'Sheet1'!$L$16"}</definedName>
    <definedName name="_________________________________NSO2" hidden="1">{"'Sheet1'!$L$16"}</definedName>
    <definedName name="_________________________________PA3" localSheetId="0" hidden="1">{"'Sheet1'!$L$16"}</definedName>
    <definedName name="_________________________________PA3" hidden="1">{"'Sheet1'!$L$16"}</definedName>
    <definedName name="________________________________a1" localSheetId="0" hidden="1">{"'Sheet1'!$L$16"}</definedName>
    <definedName name="________________________________a1" hidden="1">{"'Sheet1'!$L$16"}</definedName>
    <definedName name="________________________________VT3" localSheetId="0" hidden="1">{"'Sheet1'!$L$16"}</definedName>
    <definedName name="________________________________VT3" hidden="1">{"'Sheet1'!$L$16"}</definedName>
    <definedName name="_______________________________a1" localSheetId="0" hidden="1">{"'Sheet1'!$L$16"}</definedName>
    <definedName name="_______________________________a1" hidden="1">{"'Sheet1'!$L$16"}</definedName>
    <definedName name="_______________________________NSO2" localSheetId="0" hidden="1">{"'Sheet1'!$L$16"}</definedName>
    <definedName name="_______________________________NSO2" hidden="1">{"'Sheet1'!$L$16"}</definedName>
    <definedName name="_______________________________PA3" localSheetId="0" hidden="1">{"'Sheet1'!$L$16"}</definedName>
    <definedName name="_______________________________PA3" hidden="1">{"'Sheet1'!$L$16"}</definedName>
    <definedName name="______________________________a1" localSheetId="0" hidden="1">{"'Sheet1'!$L$16"}</definedName>
    <definedName name="______________________________a1" hidden="1">{"'Sheet1'!$L$16"}</definedName>
    <definedName name="______________________________Goi8" localSheetId="0" hidden="1">{"'Sheet1'!$L$16"}</definedName>
    <definedName name="______________________________Goi8" hidden="1">{"'Sheet1'!$L$16"}</definedName>
    <definedName name="______________________________PA3" localSheetId="0" hidden="1">{"'Sheet1'!$L$16"}</definedName>
    <definedName name="______________________________PA3" hidden="1">{"'Sheet1'!$L$16"}</definedName>
    <definedName name="______________________________SCL4" localSheetId="0" hidden="1">{"'Sheet1'!$L$16"}</definedName>
    <definedName name="______________________________SCL4" hidden="1">{"'Sheet1'!$L$16"}</definedName>
    <definedName name="______________________________VT3" localSheetId="0" hidden="1">{"'Sheet1'!$L$16"}</definedName>
    <definedName name="______________________________VT3" hidden="1">{"'Sheet1'!$L$16"}</definedName>
    <definedName name="_____________________________a1" localSheetId="0" hidden="1">{"'Sheet1'!$L$16"}</definedName>
    <definedName name="_____________________________a1" hidden="1">{"'Sheet1'!$L$16"}</definedName>
    <definedName name="_____________________________CN1" localSheetId="0" hidden="1">{"'Sheet1'!$L$16"}</definedName>
    <definedName name="_____________________________CN1" hidden="1">{"'Sheet1'!$L$16"}</definedName>
    <definedName name="_____________________________Goi8" localSheetId="0" hidden="1">{"'Sheet1'!$L$16"}</definedName>
    <definedName name="_____________________________Goi8" hidden="1">{"'Sheet1'!$L$16"}</definedName>
    <definedName name="_____________________________NSO2" localSheetId="0" hidden="1">{"'Sheet1'!$L$16"}</definedName>
    <definedName name="_____________________________NSO2" hidden="1">{"'Sheet1'!$L$16"}</definedName>
    <definedName name="_____________________________PA3" localSheetId="0" hidden="1">{"'Sheet1'!$L$16"}</definedName>
    <definedName name="_____________________________PA3" hidden="1">{"'Sheet1'!$L$16"}</definedName>
    <definedName name="_____________________________SCL4" localSheetId="0" hidden="1">{"'Sheet1'!$L$16"}</definedName>
    <definedName name="_____________________________SCL4" hidden="1">{"'Sheet1'!$L$16"}</definedName>
    <definedName name="_____________________________VT3" localSheetId="0" hidden="1">{"'Sheet1'!$L$16"}</definedName>
    <definedName name="_____________________________VT3" hidden="1">{"'Sheet1'!$L$16"}</definedName>
    <definedName name="____________________________a1" localSheetId="0" hidden="1">{"'Sheet1'!$L$16"}</definedName>
    <definedName name="____________________________a1" hidden="1">{"'Sheet1'!$L$16"}</definedName>
    <definedName name="____________________________BG12" localSheetId="0" hidden="1">{"'Sheet1'!$L$16"}</definedName>
    <definedName name="____________________________BG12" hidden="1">{"'Sheet1'!$L$16"}</definedName>
    <definedName name="____________________________CN1" localSheetId="0" hidden="1">{"'Sheet1'!$L$16"}</definedName>
    <definedName name="____________________________CN1" hidden="1">{"'Sheet1'!$L$16"}</definedName>
    <definedName name="____________________________Goi8" localSheetId="0" hidden="1">{"'Sheet1'!$L$16"}</definedName>
    <definedName name="____________________________Goi8" hidden="1">{"'Sheet1'!$L$16"}</definedName>
    <definedName name="____________________________PA3" localSheetId="0" hidden="1">{"'Sheet1'!$L$16"}</definedName>
    <definedName name="____________________________PA3" hidden="1">{"'Sheet1'!$L$16"}</definedName>
    <definedName name="____________________________SCL4" localSheetId="0" hidden="1">{"'Sheet1'!$L$16"}</definedName>
    <definedName name="____________________________SCL4" hidden="1">{"'Sheet1'!$L$16"}</definedName>
    <definedName name="____________________________VT3" localSheetId="0" hidden="1">{"'Sheet1'!$L$16"}</definedName>
    <definedName name="____________________________VT3" hidden="1">{"'Sheet1'!$L$16"}</definedName>
    <definedName name="___________________________a1" localSheetId="0" hidden="1">{"'Sheet1'!$L$16"}</definedName>
    <definedName name="___________________________a1" hidden="1">{"'Sheet1'!$L$16"}</definedName>
    <definedName name="___________________________BG12" localSheetId="0" hidden="1">{"'Sheet1'!$L$16"}</definedName>
    <definedName name="___________________________BG12" hidden="1">{"'Sheet1'!$L$16"}</definedName>
    <definedName name="___________________________CN1" localSheetId="0" hidden="1">{"'Sheet1'!$L$16"}</definedName>
    <definedName name="___________________________CN1" hidden="1">{"'Sheet1'!$L$16"}</definedName>
    <definedName name="___________________________Goi8" localSheetId="0" hidden="1">{"'Sheet1'!$L$16"}</definedName>
    <definedName name="___________________________Goi8" hidden="1">{"'Sheet1'!$L$16"}</definedName>
    <definedName name="___________________________NSO2" localSheetId="0" hidden="1">{"'Sheet1'!$L$16"}</definedName>
    <definedName name="___________________________NSO2" hidden="1">{"'Sheet1'!$L$16"}</definedName>
    <definedName name="___________________________PA3" localSheetId="0" hidden="1">{"'Sheet1'!$L$16"}</definedName>
    <definedName name="___________________________PA3" hidden="1">{"'Sheet1'!$L$16"}</definedName>
    <definedName name="___________________________SCL4" localSheetId="0" hidden="1">{"'Sheet1'!$L$16"}</definedName>
    <definedName name="___________________________SCL4" hidden="1">{"'Sheet1'!$L$16"}</definedName>
    <definedName name="___________________________VT3" localSheetId="0" hidden="1">{"'Sheet1'!$L$16"}</definedName>
    <definedName name="___________________________VT3" hidden="1">{"'Sheet1'!$L$16"}</definedName>
    <definedName name="__________________________a1" localSheetId="0" hidden="1">{"'Sheet1'!$L$16"}</definedName>
    <definedName name="__________________________a1" hidden="1">{"'Sheet1'!$L$16"}</definedName>
    <definedName name="__________________________BG12" localSheetId="0" hidden="1">{"'Sheet1'!$L$16"}</definedName>
    <definedName name="__________________________BG12" hidden="1">{"'Sheet1'!$L$16"}</definedName>
    <definedName name="__________________________CN1" localSheetId="0" hidden="1">{"'Sheet1'!$L$16"}</definedName>
    <definedName name="__________________________CN1" hidden="1">{"'Sheet1'!$L$16"}</definedName>
    <definedName name="__________________________Goi8" localSheetId="0" hidden="1">{"'Sheet1'!$L$16"}</definedName>
    <definedName name="__________________________Goi8" hidden="1">{"'Sheet1'!$L$16"}</definedName>
    <definedName name="__________________________PA3" localSheetId="0" hidden="1">{"'Sheet1'!$L$16"}</definedName>
    <definedName name="__________________________PA3" hidden="1">{"'Sheet1'!$L$16"}</definedName>
    <definedName name="__________________________SCL4" localSheetId="0" hidden="1">{"'Sheet1'!$L$16"}</definedName>
    <definedName name="__________________________SCL4" hidden="1">{"'Sheet1'!$L$16"}</definedName>
    <definedName name="__________________________tt3" localSheetId="0" hidden="1">{"'Sheet1'!$L$16"}</definedName>
    <definedName name="__________________________tt3" hidden="1">{"'Sheet1'!$L$16"}</definedName>
    <definedName name="__________________________VT3" localSheetId="0" hidden="1">{"'Sheet1'!$L$16"}</definedName>
    <definedName name="__________________________VT3" hidden="1">{"'Sheet1'!$L$16"}</definedName>
    <definedName name="_________________________a1" localSheetId="0" hidden="1">{"'Sheet1'!$L$16"}</definedName>
    <definedName name="_________________________a1" hidden="1">{"'Sheet1'!$L$16"}</definedName>
    <definedName name="_________________________BG12" localSheetId="0" hidden="1">{"'Sheet1'!$L$16"}</definedName>
    <definedName name="_________________________BG12" hidden="1">{"'Sheet1'!$L$16"}</definedName>
    <definedName name="_________________________CN1" localSheetId="0" hidden="1">{"'Sheet1'!$L$16"}</definedName>
    <definedName name="_________________________CN1" hidden="1">{"'Sheet1'!$L$16"}</definedName>
    <definedName name="_________________________Goi8" localSheetId="0" hidden="1">{"'Sheet1'!$L$16"}</definedName>
    <definedName name="_________________________Goi8" hidden="1">{"'Sheet1'!$L$16"}</definedName>
    <definedName name="_________________________NSO2" localSheetId="0" hidden="1">{"'Sheet1'!$L$16"}</definedName>
    <definedName name="_________________________NSO2" hidden="1">{"'Sheet1'!$L$16"}</definedName>
    <definedName name="_________________________PA3" localSheetId="0" hidden="1">{"'Sheet1'!$L$16"}</definedName>
    <definedName name="_________________________PA3" hidden="1">{"'Sheet1'!$L$16"}</definedName>
    <definedName name="_________________________SCL4" localSheetId="0" hidden="1">{"'Sheet1'!$L$16"}</definedName>
    <definedName name="_________________________SCL4" hidden="1">{"'Sheet1'!$L$16"}</definedName>
    <definedName name="_________________________VT3" localSheetId="0" hidden="1">{"'Sheet1'!$L$16"}</definedName>
    <definedName name="_________________________VT3" hidden="1">{"'Sheet1'!$L$16"}</definedName>
    <definedName name="________________________a1" localSheetId="0" hidden="1">{"'Sheet1'!$L$16"}</definedName>
    <definedName name="________________________a1" hidden="1">{"'Sheet1'!$L$16"}</definedName>
    <definedName name="________________________BG12" localSheetId="0" hidden="1">{"'Sheet1'!$L$16"}</definedName>
    <definedName name="________________________BG12" hidden="1">{"'Sheet1'!$L$16"}</definedName>
    <definedName name="________________________CN1" localSheetId="0" hidden="1">{"'Sheet1'!$L$16"}</definedName>
    <definedName name="________________________CN1" hidden="1">{"'Sheet1'!$L$16"}</definedName>
    <definedName name="________________________Goi8" localSheetId="0" hidden="1">{"'Sheet1'!$L$16"}</definedName>
    <definedName name="________________________Goi8" hidden="1">{"'Sheet1'!$L$16"}</definedName>
    <definedName name="________________________PA3" localSheetId="0" hidden="1">{"'Sheet1'!$L$16"}</definedName>
    <definedName name="________________________PA3" hidden="1">{"'Sheet1'!$L$16"}</definedName>
    <definedName name="________________________SCL4" localSheetId="0" hidden="1">{"'Sheet1'!$L$16"}</definedName>
    <definedName name="________________________SCL4" hidden="1">{"'Sheet1'!$L$16"}</definedName>
    <definedName name="________________________tt3" localSheetId="0" hidden="1">{"'Sheet1'!$L$16"}</definedName>
    <definedName name="________________________tt3" hidden="1">{"'Sheet1'!$L$16"}</definedName>
    <definedName name="________________________VT3" localSheetId="0" hidden="1">{"'Sheet1'!$L$16"}</definedName>
    <definedName name="________________________VT3" hidden="1">{"'Sheet1'!$L$16"}</definedName>
    <definedName name="_______________________a1" localSheetId="0" hidden="1">{"'Sheet1'!$L$16"}</definedName>
    <definedName name="_______________________a1" hidden="1">{"'Sheet1'!$L$16"}</definedName>
    <definedName name="_______________________BG12" localSheetId="0" hidden="1">{"'Sheet1'!$L$16"}</definedName>
    <definedName name="_______________________BG12" hidden="1">{"'Sheet1'!$L$16"}</definedName>
    <definedName name="_______________________CN1" localSheetId="0" hidden="1">{"'Sheet1'!$L$16"}</definedName>
    <definedName name="_______________________CN1" hidden="1">{"'Sheet1'!$L$16"}</definedName>
    <definedName name="_______________________Goi8" localSheetId="0" hidden="1">{"'Sheet1'!$L$16"}</definedName>
    <definedName name="_______________________Goi8" hidden="1">{"'Sheet1'!$L$16"}</definedName>
    <definedName name="_______________________NSO2" localSheetId="0" hidden="1">{"'Sheet1'!$L$16"}</definedName>
    <definedName name="_______________________NSO2" hidden="1">{"'Sheet1'!$L$16"}</definedName>
    <definedName name="_______________________PA3" localSheetId="0" hidden="1">{"'Sheet1'!$L$16"}</definedName>
    <definedName name="_______________________PA3" hidden="1">{"'Sheet1'!$L$16"}</definedName>
    <definedName name="_______________________SCL4" localSheetId="0" hidden="1">{"'Sheet1'!$L$16"}</definedName>
    <definedName name="_______________________SCL4" hidden="1">{"'Sheet1'!$L$16"}</definedName>
    <definedName name="_______________________VT3" localSheetId="0" hidden="1">{"'Sheet1'!$L$16"}</definedName>
    <definedName name="_______________________VT3" hidden="1">{"'Sheet1'!$L$16"}</definedName>
    <definedName name="______________________a1" localSheetId="0" hidden="1">{"'Sheet1'!$L$16"}</definedName>
    <definedName name="______________________a1" hidden="1">{"'Sheet1'!$L$16"}</definedName>
    <definedName name="______________________BG12" localSheetId="0" hidden="1">{"'Sheet1'!$L$16"}</definedName>
    <definedName name="______________________BG12" hidden="1">{"'Sheet1'!$L$16"}</definedName>
    <definedName name="______________________CN1" localSheetId="0" hidden="1">{"'Sheet1'!$L$16"}</definedName>
    <definedName name="______________________CN1" hidden="1">{"'Sheet1'!$L$16"}</definedName>
    <definedName name="______________________Goi8" localSheetId="0" hidden="1">{"'Sheet1'!$L$16"}</definedName>
    <definedName name="______________________Goi8" hidden="1">{"'Sheet1'!$L$16"}</definedName>
    <definedName name="______________________PA3" localSheetId="0" hidden="1">{"'Sheet1'!$L$16"}</definedName>
    <definedName name="______________________PA3" hidden="1">{"'Sheet1'!$L$16"}</definedName>
    <definedName name="______________________SCL4" localSheetId="0" hidden="1">{"'Sheet1'!$L$16"}</definedName>
    <definedName name="______________________SCL4" hidden="1">{"'Sheet1'!$L$16"}</definedName>
    <definedName name="______________________tt3" localSheetId="0" hidden="1">{"'Sheet1'!$L$16"}</definedName>
    <definedName name="______________________tt3" hidden="1">{"'Sheet1'!$L$16"}</definedName>
    <definedName name="______________________VT3" localSheetId="0" hidden="1">{"'Sheet1'!$L$16"}</definedName>
    <definedName name="______________________VT3" hidden="1">{"'Sheet1'!$L$16"}</definedName>
    <definedName name="_____________________a1" localSheetId="0" hidden="1">{"'Sheet1'!$L$16"}</definedName>
    <definedName name="_____________________a1" hidden="1">{"'Sheet1'!$L$16"}</definedName>
    <definedName name="_____________________BG12" localSheetId="0" hidden="1">{"'Sheet1'!$L$16"}</definedName>
    <definedName name="_____________________BG12" hidden="1">{"'Sheet1'!$L$16"}</definedName>
    <definedName name="_____________________CN1" localSheetId="0" hidden="1">{"'Sheet1'!$L$16"}</definedName>
    <definedName name="_____________________CN1" hidden="1">{"'Sheet1'!$L$16"}</definedName>
    <definedName name="_____________________Goi8" localSheetId="0" hidden="1">{"'Sheet1'!$L$16"}</definedName>
    <definedName name="_____________________Goi8" hidden="1">{"'Sheet1'!$L$16"}</definedName>
    <definedName name="_____________________NSO2" localSheetId="0" hidden="1">{"'Sheet1'!$L$16"}</definedName>
    <definedName name="_____________________NSO2" hidden="1">{"'Sheet1'!$L$16"}</definedName>
    <definedName name="_____________________PA3" localSheetId="0" hidden="1">{"'Sheet1'!$L$16"}</definedName>
    <definedName name="_____________________PA3" hidden="1">{"'Sheet1'!$L$16"}</definedName>
    <definedName name="_____________________SCL4" localSheetId="0" hidden="1">{"'Sheet1'!$L$16"}</definedName>
    <definedName name="_____________________SCL4" hidden="1">{"'Sheet1'!$L$16"}</definedName>
    <definedName name="_____________________VT3" localSheetId="0" hidden="1">{"'Sheet1'!$L$16"}</definedName>
    <definedName name="_____________________VT3" hidden="1">{"'Sheet1'!$L$16"}</definedName>
    <definedName name="____________________a1" localSheetId="0" hidden="1">{"'Sheet1'!$L$16"}</definedName>
    <definedName name="____________________a1" hidden="1">{"'Sheet1'!$L$16"}</definedName>
    <definedName name="____________________BG12" localSheetId="0" hidden="1">{"'Sheet1'!$L$16"}</definedName>
    <definedName name="____________________BG12" hidden="1">{"'Sheet1'!$L$16"}</definedName>
    <definedName name="____________________CN1" localSheetId="0" hidden="1">{"'Sheet1'!$L$16"}</definedName>
    <definedName name="____________________CN1" hidden="1">{"'Sheet1'!$L$16"}</definedName>
    <definedName name="____________________Goi8" localSheetId="0" hidden="1">{"'Sheet1'!$L$16"}</definedName>
    <definedName name="____________________Goi8" hidden="1">{"'Sheet1'!$L$16"}</definedName>
    <definedName name="____________________m4" localSheetId="0" hidden="1">{"'Sheet1'!$L$16"}</definedName>
    <definedName name="____________________m4" hidden="1">{"'Sheet1'!$L$16"}</definedName>
    <definedName name="____________________PA3" localSheetId="0" hidden="1">{"'Sheet1'!$L$16"}</definedName>
    <definedName name="____________________PA3" hidden="1">{"'Sheet1'!$L$16"}</definedName>
    <definedName name="____________________SCL4" localSheetId="0" hidden="1">{"'Sheet1'!$L$16"}</definedName>
    <definedName name="____________________SCL4" hidden="1">{"'Sheet1'!$L$16"}</definedName>
    <definedName name="____________________tt3" localSheetId="0" hidden="1">{"'Sheet1'!$L$16"}</definedName>
    <definedName name="____________________tt3" hidden="1">{"'Sheet1'!$L$16"}</definedName>
    <definedName name="____________________VT3" localSheetId="0" hidden="1">{"'Sheet1'!$L$16"}</definedName>
    <definedName name="____________________VT3" hidden="1">{"'Sheet1'!$L$16"}</definedName>
    <definedName name="____________________xlfn.BAHTTEXT" hidden="1">#NAME?</definedName>
    <definedName name="___________________a1" localSheetId="0" hidden="1">{"'Sheet1'!$L$16"}</definedName>
    <definedName name="___________________a1" hidden="1">{"'Sheet1'!$L$16"}</definedName>
    <definedName name="___________________BG12" localSheetId="0" hidden="1">{"'Sheet1'!$L$16"}</definedName>
    <definedName name="___________________BG12" hidden="1">{"'Sheet1'!$L$16"}</definedName>
    <definedName name="___________________CN1" localSheetId="0" hidden="1">{"'Sheet1'!$L$16"}</definedName>
    <definedName name="___________________CN1" hidden="1">{"'Sheet1'!$L$16"}</definedName>
    <definedName name="___________________Goi8" localSheetId="0" hidden="1">{"'Sheet1'!$L$16"}</definedName>
    <definedName name="___________________Goi8" hidden="1">{"'Sheet1'!$L$16"}</definedName>
    <definedName name="___________________m4" localSheetId="0" hidden="1">{"'Sheet1'!$L$16"}</definedName>
    <definedName name="___________________m4" hidden="1">{"'Sheet1'!$L$16"}</definedName>
    <definedName name="___________________NSO2" localSheetId="0" hidden="1">{"'Sheet1'!$L$16"}</definedName>
    <definedName name="___________________NSO2" hidden="1">{"'Sheet1'!$L$16"}</definedName>
    <definedName name="___________________PA3" localSheetId="0" hidden="1">{"'Sheet1'!$L$16"}</definedName>
    <definedName name="___________________PA3" hidden="1">{"'Sheet1'!$L$16"}</definedName>
    <definedName name="___________________SCL4" localSheetId="0" hidden="1">{"'Sheet1'!$L$16"}</definedName>
    <definedName name="___________________SCL4" hidden="1">{"'Sheet1'!$L$16"}</definedName>
    <definedName name="___________________VT3" localSheetId="0" hidden="1">{"'Sheet1'!$L$16"}</definedName>
    <definedName name="___________________VT3" hidden="1">{"'Sheet1'!$L$16"}</definedName>
    <definedName name="___________________xlfn.BAHTTEXT" hidden="1">#NAME?</definedName>
    <definedName name="__________________a1" localSheetId="0" hidden="1">{"'Sheet1'!$L$16"}</definedName>
    <definedName name="__________________a1" hidden="1">{"'Sheet1'!$L$16"}</definedName>
    <definedName name="__________________BG12" localSheetId="0" hidden="1">{"'Sheet1'!$L$16"}</definedName>
    <definedName name="__________________BG12" hidden="1">{"'Sheet1'!$L$16"}</definedName>
    <definedName name="__________________CN1" localSheetId="0" hidden="1">{"'Sheet1'!$L$16"}</definedName>
    <definedName name="__________________CN1" hidden="1">{"'Sheet1'!$L$16"}</definedName>
    <definedName name="__________________DT10" localSheetId="0" hidden="1">{"'Sheet1'!$L$16"}</definedName>
    <definedName name="__________________DT10" hidden="1">{"'Sheet1'!$L$16"}</definedName>
    <definedName name="__________________Goi8" localSheetId="0" hidden="1">{"'Sheet1'!$L$16"}</definedName>
    <definedName name="__________________Goi8" hidden="1">{"'Sheet1'!$L$16"}</definedName>
    <definedName name="__________________h1" localSheetId="0" hidden="1">{"'Sheet1'!$L$16"}</definedName>
    <definedName name="__________________h1" hidden="1">{"'Sheet1'!$L$16"}</definedName>
    <definedName name="__________________hu1" localSheetId="0" hidden="1">{"'Sheet1'!$L$16"}</definedName>
    <definedName name="__________________hu1" hidden="1">{"'Sheet1'!$L$16"}</definedName>
    <definedName name="__________________hu2" localSheetId="0" hidden="1">{"'Sheet1'!$L$16"}</definedName>
    <definedName name="__________________hu2" hidden="1">{"'Sheet1'!$L$16"}</definedName>
    <definedName name="__________________hu5" localSheetId="0" hidden="1">{"'Sheet1'!$L$16"}</definedName>
    <definedName name="__________________hu5" hidden="1">{"'Sheet1'!$L$16"}</definedName>
    <definedName name="__________________hu6" localSheetId="0" hidden="1">{"'Sheet1'!$L$16"}</definedName>
    <definedName name="__________________hu6" hidden="1">{"'Sheet1'!$L$16"}</definedName>
    <definedName name="__________________hu7" localSheetId="0" hidden="1">{"'Sheet1'!$L$16"}</definedName>
    <definedName name="__________________hu7" hidden="1">{"'Sheet1'!$L$16"}</definedName>
    <definedName name="__________________LAN3" localSheetId="0" hidden="1">{"'Sheet1'!$L$16"}</definedName>
    <definedName name="__________________LAN3" hidden="1">{"'Sheet1'!$L$16"}</definedName>
    <definedName name="__________________m4" localSheetId="0" hidden="1">{"'Sheet1'!$L$16"}</definedName>
    <definedName name="__________________m4" hidden="1">{"'Sheet1'!$L$16"}</definedName>
    <definedName name="__________________NSO2" localSheetId="0" hidden="1">{"'Sheet1'!$L$16"}</definedName>
    <definedName name="__________________NSO2" hidden="1">{"'Sheet1'!$L$16"}</definedName>
    <definedName name="__________________P3" localSheetId="0" hidden="1">{#N/A,#N/A,FALSE,"特殊室（ＢＱ表）"}</definedName>
    <definedName name="__________________P3" hidden="1">{#N/A,#N/A,FALSE,"特殊室（ＢＱ表）"}</definedName>
    <definedName name="__________________PA3" localSheetId="0" hidden="1">{"'Sheet1'!$L$16"}</definedName>
    <definedName name="__________________PA3" hidden="1">{"'Sheet1'!$L$16"}</definedName>
    <definedName name="__________________SCL4" localSheetId="0" hidden="1">{"'Sheet1'!$L$16"}</definedName>
    <definedName name="__________________SCL4" hidden="1">{"'Sheet1'!$L$16"}</definedName>
    <definedName name="__________________T10" localSheetId="0" hidden="1">{"'Sheet1'!$L$16"}</definedName>
    <definedName name="__________________T10" hidden="1">{"'Sheet1'!$L$16"}</definedName>
    <definedName name="__________________TM2" localSheetId="0" hidden="1">{"'Sheet1'!$L$16"}</definedName>
    <definedName name="__________________TM2" hidden="1">{"'Sheet1'!$L$16"}</definedName>
    <definedName name="__________________tt3" localSheetId="0" hidden="1">{"'Sheet1'!$L$16"}</definedName>
    <definedName name="__________________tt3" hidden="1">{"'Sheet1'!$L$16"}</definedName>
    <definedName name="__________________VT3" localSheetId="0" hidden="1">{"'Sheet1'!$L$16"}</definedName>
    <definedName name="__________________VT3" hidden="1">{"'Sheet1'!$L$16"}</definedName>
    <definedName name="__________________xlfn.BAHTTEXT" hidden="1">#NAME?</definedName>
    <definedName name="_________________a1" localSheetId="0" hidden="1">{"'Sheet1'!$L$16"}</definedName>
    <definedName name="_________________a1" hidden="1">{"'Sheet1'!$L$16"}</definedName>
    <definedName name="_________________BG12" localSheetId="0" hidden="1">{"'Sheet1'!$L$16"}</definedName>
    <definedName name="_________________BG12" hidden="1">{"'Sheet1'!$L$16"}</definedName>
    <definedName name="_________________CN1" localSheetId="0" hidden="1">{"'Sheet1'!$L$16"}</definedName>
    <definedName name="_________________CN1" hidden="1">{"'Sheet1'!$L$16"}</definedName>
    <definedName name="_________________DT10" localSheetId="0" hidden="1">{"'Sheet1'!$L$16"}</definedName>
    <definedName name="_________________DT10" hidden="1">{"'Sheet1'!$L$16"}</definedName>
    <definedName name="_________________Goi8" localSheetId="0" hidden="1">{"'Sheet1'!$L$16"}</definedName>
    <definedName name="_________________Goi8" hidden="1">{"'Sheet1'!$L$16"}</definedName>
    <definedName name="_________________h1" localSheetId="0" hidden="1">{"'Sheet1'!$L$16"}</definedName>
    <definedName name="_________________h1" hidden="1">{"'Sheet1'!$L$16"}</definedName>
    <definedName name="_________________hu1" localSheetId="0" hidden="1">{"'Sheet1'!$L$16"}</definedName>
    <definedName name="_________________hu1" hidden="1">{"'Sheet1'!$L$16"}</definedName>
    <definedName name="_________________hu2" localSheetId="0" hidden="1">{"'Sheet1'!$L$16"}</definedName>
    <definedName name="_________________hu2" hidden="1">{"'Sheet1'!$L$16"}</definedName>
    <definedName name="_________________hu5" localSheetId="0" hidden="1">{"'Sheet1'!$L$16"}</definedName>
    <definedName name="_________________hu5" hidden="1">{"'Sheet1'!$L$16"}</definedName>
    <definedName name="_________________hu6" localSheetId="0" hidden="1">{"'Sheet1'!$L$16"}</definedName>
    <definedName name="_________________hu6" hidden="1">{"'Sheet1'!$L$16"}</definedName>
    <definedName name="_________________hu7" localSheetId="0" hidden="1">{"'Sheet1'!$L$16"}</definedName>
    <definedName name="_________________hu7" hidden="1">{"'Sheet1'!$L$16"}</definedName>
    <definedName name="_________________Lan1" localSheetId="0" hidden="1">{"'Sheet1'!$L$16"}</definedName>
    <definedName name="_________________Lan1" hidden="1">{"'Sheet1'!$L$16"}</definedName>
    <definedName name="_________________LAN3" localSheetId="0" hidden="1">{"'Sheet1'!$L$16"}</definedName>
    <definedName name="_________________LAN3" hidden="1">{"'Sheet1'!$L$16"}</definedName>
    <definedName name="_________________m4" localSheetId="0" hidden="1">{"'Sheet1'!$L$16"}</definedName>
    <definedName name="_________________m4" hidden="1">{"'Sheet1'!$L$16"}</definedName>
    <definedName name="_________________NSO2" localSheetId="0" hidden="1">{"'Sheet1'!$L$16"}</definedName>
    <definedName name="_________________NSO2" hidden="1">{"'Sheet1'!$L$16"}</definedName>
    <definedName name="_________________PA3" localSheetId="0" hidden="1">{"'Sheet1'!$L$16"}</definedName>
    <definedName name="_________________PA3" hidden="1">{"'Sheet1'!$L$16"}</definedName>
    <definedName name="_________________SCL4" localSheetId="0" hidden="1">{"'Sheet1'!$L$16"}</definedName>
    <definedName name="_________________SCL4" hidden="1">{"'Sheet1'!$L$16"}</definedName>
    <definedName name="_________________T10" localSheetId="0" hidden="1">{"'Sheet1'!$L$16"}</definedName>
    <definedName name="_________________T10" hidden="1">{"'Sheet1'!$L$16"}</definedName>
    <definedName name="_________________TM2" localSheetId="0" hidden="1">{"'Sheet1'!$L$16"}</definedName>
    <definedName name="_________________TM2" hidden="1">{"'Sheet1'!$L$16"}</definedName>
    <definedName name="_________________TH1" localSheetId="0" hidden="1">{"'Sheet1'!$L$16"}</definedName>
    <definedName name="_________________TH1" hidden="1">{"'Sheet1'!$L$16"}</definedName>
    <definedName name="_________________VT3" localSheetId="0" hidden="1">{"'Sheet1'!$L$16"}</definedName>
    <definedName name="_________________VT3" hidden="1">{"'Sheet1'!$L$16"}</definedName>
    <definedName name="_________________xlfn.BAHTTEXT" hidden="1">#NAME?</definedName>
    <definedName name="________________a1" localSheetId="0" hidden="1">{"'Sheet1'!$L$16"}</definedName>
    <definedName name="________________a1" hidden="1">{"'Sheet1'!$L$16"}</definedName>
    <definedName name="________________BG12" localSheetId="0" hidden="1">{"'Sheet1'!$L$16"}</definedName>
    <definedName name="________________BG12" hidden="1">{"'Sheet1'!$L$16"}</definedName>
    <definedName name="________________CN1" localSheetId="0" hidden="1">{"'Sheet1'!$L$16"}</definedName>
    <definedName name="________________CN1" hidden="1">{"'Sheet1'!$L$16"}</definedName>
    <definedName name="________________DT10" localSheetId="0" hidden="1">{"'Sheet1'!$L$16"}</definedName>
    <definedName name="________________DT10" hidden="1">{"'Sheet1'!$L$16"}</definedName>
    <definedName name="________________Goi8" localSheetId="0" hidden="1">{"'Sheet1'!$L$16"}</definedName>
    <definedName name="________________Goi8" hidden="1">{"'Sheet1'!$L$16"}</definedName>
    <definedName name="________________h1" localSheetId="0" hidden="1">{"'Sheet1'!$L$16"}</definedName>
    <definedName name="________________h1" hidden="1">{"'Sheet1'!$L$16"}</definedName>
    <definedName name="________________hu1" localSheetId="0" hidden="1">{"'Sheet1'!$L$16"}</definedName>
    <definedName name="________________hu1" hidden="1">{"'Sheet1'!$L$16"}</definedName>
    <definedName name="________________hu2" localSheetId="0" hidden="1">{"'Sheet1'!$L$16"}</definedName>
    <definedName name="________________hu2" hidden="1">{"'Sheet1'!$L$16"}</definedName>
    <definedName name="________________hu5" localSheetId="0" hidden="1">{"'Sheet1'!$L$16"}</definedName>
    <definedName name="________________hu5" hidden="1">{"'Sheet1'!$L$16"}</definedName>
    <definedName name="________________hu6" localSheetId="0" hidden="1">{"'Sheet1'!$L$16"}</definedName>
    <definedName name="________________hu6" hidden="1">{"'Sheet1'!$L$16"}</definedName>
    <definedName name="________________hu7" localSheetId="0" hidden="1">{"'Sheet1'!$L$16"}</definedName>
    <definedName name="________________hu7" hidden="1">{"'Sheet1'!$L$16"}</definedName>
    <definedName name="________________Lan1" localSheetId="0" hidden="1">{"'Sheet1'!$L$16"}</definedName>
    <definedName name="________________Lan1" hidden="1">{"'Sheet1'!$L$16"}</definedName>
    <definedName name="________________LAN3" localSheetId="0" hidden="1">{"'Sheet1'!$L$16"}</definedName>
    <definedName name="________________LAN3" hidden="1">{"'Sheet1'!$L$16"}</definedName>
    <definedName name="________________m4" localSheetId="0" hidden="1">{"'Sheet1'!$L$16"}</definedName>
    <definedName name="________________m4" hidden="1">{"'Sheet1'!$L$16"}</definedName>
    <definedName name="________________NSO2" localSheetId="0" hidden="1">{"'Sheet1'!$L$16"}</definedName>
    <definedName name="________________NSO2" hidden="1">{"'Sheet1'!$L$16"}</definedName>
    <definedName name="________________PA3" localSheetId="0" hidden="1">{"'Sheet1'!$L$16"}</definedName>
    <definedName name="________________PA3" hidden="1">{"'Sheet1'!$L$16"}</definedName>
    <definedName name="________________PPP3" localSheetId="0" hidden="1">{#N/A,#N/A,FALSE,"特殊室（ＢＱ表）"}</definedName>
    <definedName name="________________PPP3" hidden="1">{#N/A,#N/A,FALSE,"特殊室（ＢＱ表）"}</definedName>
    <definedName name="________________ppp34" localSheetId="0" hidden="1">{#N/A,#N/A,FALSE,"特殊室（ＢＱ表）"}</definedName>
    <definedName name="________________ppp34" hidden="1">{#N/A,#N/A,FALSE,"特殊室（ＢＱ表）"}</definedName>
    <definedName name="________________ppp3444" localSheetId="0" hidden="1">{#N/A,#N/A,FALSE,"特殊室（ＢＱ表）"}</definedName>
    <definedName name="________________ppp3444" hidden="1">{#N/A,#N/A,FALSE,"特殊室（ＢＱ表）"}</definedName>
    <definedName name="________________SCL4" localSheetId="0" hidden="1">{"'Sheet1'!$L$16"}</definedName>
    <definedName name="________________SCL4" hidden="1">{"'Sheet1'!$L$16"}</definedName>
    <definedName name="________________T10" localSheetId="0" hidden="1">{"'Sheet1'!$L$16"}</definedName>
    <definedName name="________________T10" hidden="1">{"'Sheet1'!$L$16"}</definedName>
    <definedName name="________________TM2" localSheetId="0" hidden="1">{"'Sheet1'!$L$16"}</definedName>
    <definedName name="________________TM2" hidden="1">{"'Sheet1'!$L$16"}</definedName>
    <definedName name="________________tt3" localSheetId="0" hidden="1">{"'Sheet1'!$L$16"}</definedName>
    <definedName name="________________tt3" hidden="1">{"'Sheet1'!$L$16"}</definedName>
    <definedName name="________________TH1" localSheetId="0" hidden="1">{"'Sheet1'!$L$16"}</definedName>
    <definedName name="________________TH1" hidden="1">{"'Sheet1'!$L$16"}</definedName>
    <definedName name="________________THT11" localSheetId="0" hidden="1">{"'Sheet1'!$L$16"}</definedName>
    <definedName name="________________THT11" hidden="1">{"'Sheet1'!$L$16"}</definedName>
    <definedName name="________________VT3" localSheetId="0" hidden="1">{"'Sheet1'!$L$16"}</definedName>
    <definedName name="________________VT3" hidden="1">{"'Sheet1'!$L$16"}</definedName>
    <definedName name="________________xlfn.BAHTTEXT" hidden="1">#NAME?</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localSheetId="0" hidden="1">{"'Sheet1'!$L$16"}</definedName>
    <definedName name="_______________BG12" hidden="1">{"'Sheet1'!$L$16"}</definedName>
    <definedName name="_______________CN1" localSheetId="0" hidden="1">{"'Sheet1'!$L$16"}</definedName>
    <definedName name="_______________CN1" hidden="1">{"'Sheet1'!$L$16"}</definedName>
    <definedName name="_______________DT10" localSheetId="0" hidden="1">{"'Sheet1'!$L$16"}</definedName>
    <definedName name="_______________DT10" hidden="1">{"'Sheet1'!$L$16"}</definedName>
    <definedName name="_______________Goi8" localSheetId="0" hidden="1">{"'Sheet1'!$L$16"}</definedName>
    <definedName name="_______________Goi8" hidden="1">{"'Sheet1'!$L$16"}</definedName>
    <definedName name="_______________h1" localSheetId="0" hidden="1">{"'Sheet1'!$L$16"}</definedName>
    <definedName name="_______________h1" hidden="1">{"'Sheet1'!$L$16"}</definedName>
    <definedName name="_______________hu1" localSheetId="0" hidden="1">{"'Sheet1'!$L$16"}</definedName>
    <definedName name="_______________hu1" hidden="1">{"'Sheet1'!$L$16"}</definedName>
    <definedName name="_______________hu2" localSheetId="0" hidden="1">{"'Sheet1'!$L$16"}</definedName>
    <definedName name="_______________hu2" hidden="1">{"'Sheet1'!$L$16"}</definedName>
    <definedName name="_______________hu5" localSheetId="0" hidden="1">{"'Sheet1'!$L$16"}</definedName>
    <definedName name="_______________hu5" hidden="1">{"'Sheet1'!$L$16"}</definedName>
    <definedName name="_______________hu6" localSheetId="0" hidden="1">{"'Sheet1'!$L$16"}</definedName>
    <definedName name="_______________hu6" hidden="1">{"'Sheet1'!$L$16"}</definedName>
    <definedName name="_______________hu7" localSheetId="0" hidden="1">{"'Sheet1'!$L$16"}</definedName>
    <definedName name="_______________hu7" hidden="1">{"'Sheet1'!$L$16"}</definedName>
    <definedName name="_______________Lan1" localSheetId="0" hidden="1">{"'Sheet1'!$L$16"}</definedName>
    <definedName name="_______________Lan1" hidden="1">{"'Sheet1'!$L$16"}</definedName>
    <definedName name="_______________LAN3" localSheetId="0" hidden="1">{"'Sheet1'!$L$16"}</definedName>
    <definedName name="_______________LAN3" hidden="1">{"'Sheet1'!$L$16"}</definedName>
    <definedName name="_______________m4" localSheetId="0" hidden="1">{"'Sheet1'!$L$16"}</definedName>
    <definedName name="_______________m4" hidden="1">{"'Sheet1'!$L$16"}</definedName>
    <definedName name="_______________NSO2" localSheetId="0" hidden="1">{"'Sheet1'!$L$16"}</definedName>
    <definedName name="_______________NSO2" hidden="1">{"'Sheet1'!$L$16"}</definedName>
    <definedName name="_______________P3" localSheetId="0" hidden="1">{#N/A,#N/A,FALSE,"特殊室（ＢＱ表）"}</definedName>
    <definedName name="_______________P3" hidden="1">{#N/A,#N/A,FALSE,"特殊室（ＢＱ表）"}</definedName>
    <definedName name="_______________PA3" localSheetId="0" hidden="1">{"'Sheet1'!$L$16"}</definedName>
    <definedName name="_______________PA3" hidden="1">{"'Sheet1'!$L$16"}</definedName>
    <definedName name="_______________PPP3" localSheetId="0" hidden="1">{#N/A,#N/A,FALSE,"特殊室（ＢＱ表）"}</definedName>
    <definedName name="_______________PPP3" hidden="1">{#N/A,#N/A,FALSE,"特殊室（ＢＱ表）"}</definedName>
    <definedName name="_______________PPP33" localSheetId="0" hidden="1">{#N/A,#N/A,FALSE,"特殊室（ＢＱ表）"}</definedName>
    <definedName name="_______________PPP33" hidden="1">{#N/A,#N/A,FALSE,"特殊室（ＢＱ表）"}</definedName>
    <definedName name="_______________ppp34" localSheetId="0" hidden="1">{#N/A,#N/A,FALSE,"特殊室（ＢＱ表）"}</definedName>
    <definedName name="_______________ppp34" hidden="1">{#N/A,#N/A,FALSE,"特殊室（ＢＱ表）"}</definedName>
    <definedName name="_______________ppp3444" localSheetId="0" hidden="1">{#N/A,#N/A,FALSE,"特殊室（ＢＱ表）"}</definedName>
    <definedName name="_______________ppp3444" hidden="1">{#N/A,#N/A,FALSE,"特殊室（ＢＱ表）"}</definedName>
    <definedName name="_______________SCL4" localSheetId="0" hidden="1">{"'Sheet1'!$L$16"}</definedName>
    <definedName name="_______________SCL4" hidden="1">{"'Sheet1'!$L$16"}</definedName>
    <definedName name="_______________T10" localSheetId="0" hidden="1">{"'Sheet1'!$L$16"}</definedName>
    <definedName name="_______________T10" hidden="1">{"'Sheet1'!$L$16"}</definedName>
    <definedName name="_______________TM2" localSheetId="0" hidden="1">{"'Sheet1'!$L$16"}</definedName>
    <definedName name="_______________TM2" hidden="1">{"'Sheet1'!$L$16"}</definedName>
    <definedName name="_______________tt3" localSheetId="0" hidden="1">{"'Sheet1'!$L$16"}</definedName>
    <definedName name="_______________tt3" hidden="1">{"'Sheet1'!$L$16"}</definedName>
    <definedName name="_______________TV2" localSheetId="0" hidden="1">{"'Sheet1'!$L$16"}</definedName>
    <definedName name="_______________TV2" hidden="1">{"'Sheet1'!$L$16"}</definedName>
    <definedName name="_______________TH1" localSheetId="0" hidden="1">{"'Sheet1'!$L$16"}</definedName>
    <definedName name="_______________TH1" hidden="1">{"'Sheet1'!$L$16"}</definedName>
    <definedName name="_______________THT11" localSheetId="0" hidden="1">{"'Sheet1'!$L$16"}</definedName>
    <definedName name="_______________THT11" hidden="1">{"'Sheet1'!$L$16"}</definedName>
    <definedName name="_______________VT3" localSheetId="0" hidden="1">{"'Sheet1'!$L$16"}</definedName>
    <definedName name="_______________VT3" hidden="1">{"'Sheet1'!$L$16"}</definedName>
    <definedName name="_______________xlfn.BAHTTEXT" hidden="1">#NAME?</definedName>
    <definedName name="______________a1" localSheetId="0"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localSheetId="0" hidden="1">{"'Sheet1'!$L$16"}</definedName>
    <definedName name="______________BG12" hidden="1">{"'Sheet1'!$L$16"}</definedName>
    <definedName name="______________CN1" localSheetId="0" hidden="1">{"'Sheet1'!$L$16"}</definedName>
    <definedName name="______________CN1" hidden="1">{"'Sheet1'!$L$16"}</definedName>
    <definedName name="______________DT10" localSheetId="0" hidden="1">{"'Sheet1'!$L$16"}</definedName>
    <definedName name="______________DT10" hidden="1">{"'Sheet1'!$L$16"}</definedName>
    <definedName name="______________Goi8" localSheetId="0" hidden="1">{"'Sheet1'!$L$16"}</definedName>
    <definedName name="______________Goi8" hidden="1">{"'Sheet1'!$L$16"}</definedName>
    <definedName name="______________h1" localSheetId="0" hidden="1">{"'Sheet1'!$L$16"}</definedName>
    <definedName name="______________h1" hidden="1">{"'Sheet1'!$L$16"}</definedName>
    <definedName name="______________hu1" localSheetId="0" hidden="1">{"'Sheet1'!$L$16"}</definedName>
    <definedName name="______________hu1" hidden="1">{"'Sheet1'!$L$16"}</definedName>
    <definedName name="______________hu2" localSheetId="0" hidden="1">{"'Sheet1'!$L$16"}</definedName>
    <definedName name="______________hu2" hidden="1">{"'Sheet1'!$L$16"}</definedName>
    <definedName name="______________hu5" localSheetId="0" hidden="1">{"'Sheet1'!$L$16"}</definedName>
    <definedName name="______________hu5" hidden="1">{"'Sheet1'!$L$16"}</definedName>
    <definedName name="______________hu6" localSheetId="0" hidden="1">{"'Sheet1'!$L$16"}</definedName>
    <definedName name="______________hu6" hidden="1">{"'Sheet1'!$L$16"}</definedName>
    <definedName name="______________hu7" localSheetId="0" hidden="1">{"'Sheet1'!$L$16"}</definedName>
    <definedName name="______________hu7" hidden="1">{"'Sheet1'!$L$16"}</definedName>
    <definedName name="______________Lan1" localSheetId="0" hidden="1">{"'Sheet1'!$L$16"}</definedName>
    <definedName name="______________Lan1" hidden="1">{"'Sheet1'!$L$16"}</definedName>
    <definedName name="______________LAN3" localSheetId="0" hidden="1">{"'Sheet1'!$L$16"}</definedName>
    <definedName name="______________LAN3" hidden="1">{"'Sheet1'!$L$16"}</definedName>
    <definedName name="______________NSO2" localSheetId="0" hidden="1">{"'Sheet1'!$L$16"}</definedName>
    <definedName name="______________NSO2" hidden="1">{"'Sheet1'!$L$16"}</definedName>
    <definedName name="______________P3" localSheetId="0" hidden="1">{#N/A,#N/A,FALSE,"特殊室（ＢＱ表）"}</definedName>
    <definedName name="______________P3" hidden="1">{#N/A,#N/A,FALSE,"特殊室（ＢＱ表）"}</definedName>
    <definedName name="______________PA3" localSheetId="0" hidden="1">{"'Sheet1'!$L$16"}</definedName>
    <definedName name="______________PA3" hidden="1">{"'Sheet1'!$L$16"}</definedName>
    <definedName name="______________PPP3" localSheetId="0" hidden="1">{#N/A,#N/A,FALSE,"特殊室（ＢＱ表）"}</definedName>
    <definedName name="______________PPP3" hidden="1">{#N/A,#N/A,FALSE,"特殊室（ＢＱ表）"}</definedName>
    <definedName name="______________PPP33" localSheetId="0" hidden="1">{#N/A,#N/A,FALSE,"特殊室（ＢＱ表）"}</definedName>
    <definedName name="______________PPP33" hidden="1">{#N/A,#N/A,FALSE,"特殊室（ＢＱ表）"}</definedName>
    <definedName name="______________ppp34" localSheetId="0" hidden="1">{#N/A,#N/A,FALSE,"特殊室（ＢＱ表）"}</definedName>
    <definedName name="______________ppp34" hidden="1">{#N/A,#N/A,FALSE,"特殊室（ＢＱ表）"}</definedName>
    <definedName name="______________ppp3444" localSheetId="0" hidden="1">{#N/A,#N/A,FALSE,"特殊室（ＢＱ表）"}</definedName>
    <definedName name="______________ppp3444" hidden="1">{#N/A,#N/A,FALSE,"特殊室（ＢＱ表）"}</definedName>
    <definedName name="______________SCL4" localSheetId="0" hidden="1">{"'Sheet1'!$L$16"}</definedName>
    <definedName name="______________SCL4" hidden="1">{"'Sheet1'!$L$16"}</definedName>
    <definedName name="______________T10" localSheetId="0" hidden="1">{"'Sheet1'!$L$16"}</definedName>
    <definedName name="______________T10" hidden="1">{"'Sheet1'!$L$16"}</definedName>
    <definedName name="______________TM2" localSheetId="0" hidden="1">{"'Sheet1'!$L$16"}</definedName>
    <definedName name="______________TM2" hidden="1">{"'Sheet1'!$L$16"}</definedName>
    <definedName name="______________tu4" localSheetId="0" hidden="1">{"'Sheet1'!$L$16"}</definedName>
    <definedName name="______________tu4" hidden="1">{"'Sheet1'!$L$16"}</definedName>
    <definedName name="______________TV2" localSheetId="0" hidden="1">{"'Sheet1'!$L$16"}</definedName>
    <definedName name="______________TV2" hidden="1">{"'Sheet1'!$L$16"}</definedName>
    <definedName name="______________TH1" localSheetId="0" hidden="1">{"'Sheet1'!$L$16"}</definedName>
    <definedName name="______________TH1" hidden="1">{"'Sheet1'!$L$16"}</definedName>
    <definedName name="______________THT11" localSheetId="0" hidden="1">{"'Sheet1'!$L$16"}</definedName>
    <definedName name="______________THT11" hidden="1">{"'Sheet1'!$L$16"}</definedName>
    <definedName name="______________VT3" localSheetId="0" hidden="1">{"'Sheet1'!$L$16"}</definedName>
    <definedName name="______________VT3" hidden="1">{"'Sheet1'!$L$16"}</definedName>
    <definedName name="______________xlfn.BAHTTEXT" hidden="1">#NAME?</definedName>
    <definedName name="_____________a1" localSheetId="0"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localSheetId="0" hidden="1">{"'Sheet1'!$L$16"}</definedName>
    <definedName name="_____________BG12" hidden="1">{"'Sheet1'!$L$16"}</definedName>
    <definedName name="_____________CN1" localSheetId="0" hidden="1">{"'Sheet1'!$L$16"}</definedName>
    <definedName name="_____________CN1" hidden="1">{"'Sheet1'!$L$16"}</definedName>
    <definedName name="_____________DT10" localSheetId="0" hidden="1">{"'Sheet1'!$L$16"}</definedName>
    <definedName name="_____________DT10" hidden="1">{"'Sheet1'!$L$16"}</definedName>
    <definedName name="_____________Goi8" localSheetId="0" hidden="1">{"'Sheet1'!$L$16"}</definedName>
    <definedName name="_____________Goi8" hidden="1">{"'Sheet1'!$L$16"}</definedName>
    <definedName name="_____________h1" localSheetId="0" hidden="1">{"'Sheet1'!$L$16"}</definedName>
    <definedName name="_____________h1" hidden="1">{"'Sheet1'!$L$16"}</definedName>
    <definedName name="_____________hu1" localSheetId="0" hidden="1">{"'Sheet1'!$L$16"}</definedName>
    <definedName name="_____________hu1" hidden="1">{"'Sheet1'!$L$16"}</definedName>
    <definedName name="_____________hu2" localSheetId="0" hidden="1">{"'Sheet1'!$L$16"}</definedName>
    <definedName name="_____________hu2" hidden="1">{"'Sheet1'!$L$16"}</definedName>
    <definedName name="_____________hu5" localSheetId="0" hidden="1">{"'Sheet1'!$L$16"}</definedName>
    <definedName name="_____________hu5" hidden="1">{"'Sheet1'!$L$16"}</definedName>
    <definedName name="_____________hu6" localSheetId="0" hidden="1">{"'Sheet1'!$L$16"}</definedName>
    <definedName name="_____________hu6" hidden="1">{"'Sheet1'!$L$16"}</definedName>
    <definedName name="_____________hu7" localSheetId="0" hidden="1">{"'Sheet1'!$L$16"}</definedName>
    <definedName name="_____________hu7" hidden="1">{"'Sheet1'!$L$16"}</definedName>
    <definedName name="_____________Lan1" localSheetId="0" hidden="1">{"'Sheet1'!$L$16"}</definedName>
    <definedName name="_____________Lan1" hidden="1">{"'Sheet1'!$L$16"}</definedName>
    <definedName name="_____________LAN3" localSheetId="0" hidden="1">{"'Sheet1'!$L$16"}</definedName>
    <definedName name="_____________LAN3" hidden="1">{"'Sheet1'!$L$16"}</definedName>
    <definedName name="_____________m4" localSheetId="0" hidden="1">{"'Sheet1'!$L$16"}</definedName>
    <definedName name="_____________m4" hidden="1">{"'Sheet1'!$L$16"}</definedName>
    <definedName name="_____________NSO2" localSheetId="0" hidden="1">{"'Sheet1'!$L$16"}</definedName>
    <definedName name="_____________NSO2" hidden="1">{"'Sheet1'!$L$16"}</definedName>
    <definedName name="_____________P3" localSheetId="0" hidden="1">{#N/A,#N/A,FALSE,"特殊室（ＢＱ表）"}</definedName>
    <definedName name="_____________P3" hidden="1">{#N/A,#N/A,FALSE,"特殊室（ＢＱ表）"}</definedName>
    <definedName name="_____________PA3" localSheetId="0" hidden="1">{"'Sheet1'!$L$16"}</definedName>
    <definedName name="_____________PA3" hidden="1">{"'Sheet1'!$L$16"}</definedName>
    <definedName name="_____________PPP3" localSheetId="0" hidden="1">{#N/A,#N/A,FALSE,"特殊室（ＢＱ表）"}</definedName>
    <definedName name="_____________PPP3" hidden="1">{#N/A,#N/A,FALSE,"特殊室（ＢＱ表）"}</definedName>
    <definedName name="_____________PPP33" localSheetId="0" hidden="1">{#N/A,#N/A,FALSE,"特殊室（ＢＱ表）"}</definedName>
    <definedName name="_____________PPP33" hidden="1">{#N/A,#N/A,FALSE,"特殊室（ＢＱ表）"}</definedName>
    <definedName name="_____________ppp34" localSheetId="0" hidden="1">{#N/A,#N/A,FALSE,"特殊室（ＢＱ表）"}</definedName>
    <definedName name="_____________ppp34" hidden="1">{#N/A,#N/A,FALSE,"特殊室（ＢＱ表）"}</definedName>
    <definedName name="_____________ppp3444" localSheetId="0" hidden="1">{#N/A,#N/A,FALSE,"特殊室（ＢＱ表）"}</definedName>
    <definedName name="_____________ppp3444" hidden="1">{#N/A,#N/A,FALSE,"特殊室（ＢＱ表）"}</definedName>
    <definedName name="_____________SCL4" localSheetId="0" hidden="1">{"'Sheet1'!$L$16"}</definedName>
    <definedName name="_____________SCL4" hidden="1">{"'Sheet1'!$L$16"}</definedName>
    <definedName name="_____________T10" localSheetId="0" hidden="1">{"'Sheet1'!$L$16"}</definedName>
    <definedName name="_____________T10" hidden="1">{"'Sheet1'!$L$16"}</definedName>
    <definedName name="_____________TM2" localSheetId="0" hidden="1">{"'Sheet1'!$L$16"}</definedName>
    <definedName name="_____________TM2" hidden="1">{"'Sheet1'!$L$16"}</definedName>
    <definedName name="_____________tt3" localSheetId="0" hidden="1">{"'Sheet1'!$L$16"}</definedName>
    <definedName name="_____________tt3" hidden="1">{"'Sheet1'!$L$16"}</definedName>
    <definedName name="_____________tu4" localSheetId="0" hidden="1">{"'Sheet1'!$L$16"}</definedName>
    <definedName name="_____________tu4" hidden="1">{"'Sheet1'!$L$16"}</definedName>
    <definedName name="_____________TV2" localSheetId="0" hidden="1">{"'Sheet1'!$L$16"}</definedName>
    <definedName name="_____________TV2" hidden="1">{"'Sheet1'!$L$16"}</definedName>
    <definedName name="_____________TH1" localSheetId="0" hidden="1">{"'Sheet1'!$L$16"}</definedName>
    <definedName name="_____________TH1" hidden="1">{"'Sheet1'!$L$16"}</definedName>
    <definedName name="_____________THT11" localSheetId="0" hidden="1">{"'Sheet1'!$L$16"}</definedName>
    <definedName name="_____________THT11" hidden="1">{"'Sheet1'!$L$16"}</definedName>
    <definedName name="_____________VT3" localSheetId="0" hidden="1">{"'Sheet1'!$L$16"}</definedName>
    <definedName name="_____________VT3" hidden="1">{"'Sheet1'!$L$16"}</definedName>
    <definedName name="_____________xlfn.BAHTTEXT" hidden="1">#NAME?</definedName>
    <definedName name="____________a1" localSheetId="0"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localSheetId="0" hidden="1">{"'Sheet1'!$L$16"}</definedName>
    <definedName name="____________BG12" hidden="1">{"'Sheet1'!$L$16"}</definedName>
    <definedName name="____________CN1" localSheetId="0" hidden="1">{"'Sheet1'!$L$16"}</definedName>
    <definedName name="____________CN1" hidden="1">{"'Sheet1'!$L$16"}</definedName>
    <definedName name="____________DT10" localSheetId="0" hidden="1">{"'Sheet1'!$L$16"}</definedName>
    <definedName name="____________DT10" hidden="1">{"'Sheet1'!$L$16"}</definedName>
    <definedName name="____________Goi8" localSheetId="0" hidden="1">{"'Sheet1'!$L$16"}</definedName>
    <definedName name="____________Goi8" hidden="1">{"'Sheet1'!$L$16"}</definedName>
    <definedName name="____________Lan1" localSheetId="0" hidden="1">{"'Sheet1'!$L$16"}</definedName>
    <definedName name="____________Lan1" hidden="1">{"'Sheet1'!$L$16"}</definedName>
    <definedName name="____________LAN3" localSheetId="0" hidden="1">{"'Sheet1'!$L$16"}</definedName>
    <definedName name="____________LAN3" hidden="1">{"'Sheet1'!$L$16"}</definedName>
    <definedName name="____________m4" localSheetId="0" hidden="1">{"'Sheet1'!$L$16"}</definedName>
    <definedName name="____________m4" hidden="1">{"'Sheet1'!$L$16"}</definedName>
    <definedName name="____________NSO2" localSheetId="0" hidden="1">{"'Sheet1'!$L$16"}</definedName>
    <definedName name="____________NSO2" hidden="1">{"'Sheet1'!$L$16"}</definedName>
    <definedName name="____________P3" localSheetId="0" hidden="1">{#N/A,#N/A,FALSE,"特殊室（ＢＱ表）"}</definedName>
    <definedName name="____________P3" hidden="1">{#N/A,#N/A,FALSE,"特殊室（ＢＱ表）"}</definedName>
    <definedName name="____________PA3" localSheetId="0" hidden="1">{"'Sheet1'!$L$16"}</definedName>
    <definedName name="____________PA3" hidden="1">{"'Sheet1'!$L$16"}</definedName>
    <definedName name="____________PPP3" localSheetId="0" hidden="1">{#N/A,#N/A,FALSE,"特殊室（ＢＱ表）"}</definedName>
    <definedName name="____________PPP3" hidden="1">{#N/A,#N/A,FALSE,"特殊室（ＢＱ表）"}</definedName>
    <definedName name="____________PPP33" localSheetId="0" hidden="1">{#N/A,#N/A,FALSE,"特殊室（ＢＱ表）"}</definedName>
    <definedName name="____________PPP33" hidden="1">{#N/A,#N/A,FALSE,"特殊室（ＢＱ表）"}</definedName>
    <definedName name="____________ppp34" localSheetId="0" hidden="1">{#N/A,#N/A,FALSE,"特殊室（ＢＱ表）"}</definedName>
    <definedName name="____________ppp34" hidden="1">{#N/A,#N/A,FALSE,"特殊室（ＢＱ表）"}</definedName>
    <definedName name="____________ppp3444" localSheetId="0" hidden="1">{#N/A,#N/A,FALSE,"特殊室（ＢＱ表）"}</definedName>
    <definedName name="____________ppp3444" hidden="1">{#N/A,#N/A,FALSE,"特殊室（ＢＱ表）"}</definedName>
    <definedName name="____________SCL4" localSheetId="0" hidden="1">{"'Sheet1'!$L$16"}</definedName>
    <definedName name="____________SCL4" hidden="1">{"'Sheet1'!$L$16"}</definedName>
    <definedName name="____________T3" localSheetId="0" hidden="1">{"'Sheet1'!$L$16"}</definedName>
    <definedName name="____________T3" hidden="1">{"'Sheet1'!$L$16"}</definedName>
    <definedName name="____________TM2" localSheetId="0" hidden="1">{"'Sheet1'!$L$16"}</definedName>
    <definedName name="____________TM2" hidden="1">{"'Sheet1'!$L$16"}</definedName>
    <definedName name="____________tt3" localSheetId="0" hidden="1">{"'Sheet1'!$L$16"}</definedName>
    <definedName name="____________tt3" hidden="1">{"'Sheet1'!$L$16"}</definedName>
    <definedName name="____________tu4" localSheetId="0" hidden="1">{"'Sheet1'!$L$16"}</definedName>
    <definedName name="____________tu4" hidden="1">{"'Sheet1'!$L$16"}</definedName>
    <definedName name="____________TV2" localSheetId="0" hidden="1">{"'Sheet1'!$L$16"}</definedName>
    <definedName name="____________TV2" hidden="1">{"'Sheet1'!$L$16"}</definedName>
    <definedName name="____________TH1" localSheetId="0" hidden="1">{"'Sheet1'!$L$16"}</definedName>
    <definedName name="____________TH1" hidden="1">{"'Sheet1'!$L$16"}</definedName>
    <definedName name="____________THT11" localSheetId="0" hidden="1">{"'Sheet1'!$L$16"}</definedName>
    <definedName name="____________THT11" hidden="1">{"'Sheet1'!$L$16"}</definedName>
    <definedName name="____________VT3" localSheetId="0" hidden="1">{"'Sheet1'!$L$16"}</definedName>
    <definedName name="____________VT3" hidden="1">{"'Sheet1'!$L$16"}</definedName>
    <definedName name="____________xlfn.BAHTTEXT" hidden="1">#NAME?</definedName>
    <definedName name="___________a1" localSheetId="0"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G12" localSheetId="0" hidden="1">{"'Sheet1'!$L$16"}</definedName>
    <definedName name="___________BG12" hidden="1">{"'Sheet1'!$L$16"}</definedName>
    <definedName name="___________CN1" localSheetId="0" hidden="1">{"'Sheet1'!$L$16"}</definedName>
    <definedName name="___________CN1" hidden="1">{"'Sheet1'!$L$16"}</definedName>
    <definedName name="___________DT10" localSheetId="0" hidden="1">{"'Sheet1'!$L$16"}</definedName>
    <definedName name="___________DT10" hidden="1">{"'Sheet1'!$L$16"}</definedName>
    <definedName name="___________Goi8" localSheetId="0" hidden="1">{"'Sheet1'!$L$16"}</definedName>
    <definedName name="___________Goi8" hidden="1">{"'Sheet1'!$L$16"}</definedName>
    <definedName name="___________h1" localSheetId="0" hidden="1">{"'Sheet1'!$L$16"}</definedName>
    <definedName name="___________h1" hidden="1">{"'Sheet1'!$L$16"}</definedName>
    <definedName name="___________hu1" localSheetId="0" hidden="1">{"'Sheet1'!$L$16"}</definedName>
    <definedName name="___________hu1" hidden="1">{"'Sheet1'!$L$16"}</definedName>
    <definedName name="___________hu2" localSheetId="0" hidden="1">{"'Sheet1'!$L$16"}</definedName>
    <definedName name="___________hu2" hidden="1">{"'Sheet1'!$L$16"}</definedName>
    <definedName name="___________hu5" localSheetId="0" hidden="1">{"'Sheet1'!$L$16"}</definedName>
    <definedName name="___________hu5" hidden="1">{"'Sheet1'!$L$16"}</definedName>
    <definedName name="___________hu6" localSheetId="0" hidden="1">{"'Sheet1'!$L$16"}</definedName>
    <definedName name="___________hu6" hidden="1">{"'Sheet1'!$L$16"}</definedName>
    <definedName name="___________hu7" localSheetId="0" hidden="1">{"'Sheet1'!$L$16"}</definedName>
    <definedName name="___________hu7" hidden="1">{"'Sheet1'!$L$16"}</definedName>
    <definedName name="___________LAN3" localSheetId="0" hidden="1">{"'Sheet1'!$L$16"}</definedName>
    <definedName name="___________LAN3" hidden="1">{"'Sheet1'!$L$16"}</definedName>
    <definedName name="___________m4" localSheetId="0" hidden="1">{"'Sheet1'!$L$16"}</definedName>
    <definedName name="___________m4" hidden="1">{"'Sheet1'!$L$16"}</definedName>
    <definedName name="___________NO1" localSheetId="0" hidden="1">#REF!</definedName>
    <definedName name="___________NO1" hidden="1">#REF!</definedName>
    <definedName name="___________NO2" localSheetId="0" hidden="1">#REF!</definedName>
    <definedName name="___________NO2" hidden="1">#REF!</definedName>
    <definedName name="___________NSO2" localSheetId="0" hidden="1">{"'Sheet1'!$L$16"}</definedName>
    <definedName name="___________NSO2" hidden="1">{"'Sheet1'!$L$16"}</definedName>
    <definedName name="___________P3" localSheetId="0" hidden="1">{#N/A,#N/A,FALSE,"特殊室（ＢＱ表）"}</definedName>
    <definedName name="___________P3" hidden="1">{#N/A,#N/A,FALSE,"特殊室（ＢＱ表）"}</definedName>
    <definedName name="___________PA3" localSheetId="0" hidden="1">{"'Sheet1'!$L$16"}</definedName>
    <definedName name="___________PA3" hidden="1">{"'Sheet1'!$L$16"}</definedName>
    <definedName name="___________PPP3" localSheetId="0" hidden="1">{#N/A,#N/A,FALSE,"特殊室（ＢＱ表）"}</definedName>
    <definedName name="___________PPP3" hidden="1">{#N/A,#N/A,FALSE,"特殊室（ＢＱ表）"}</definedName>
    <definedName name="___________PPP33" localSheetId="0" hidden="1">{#N/A,#N/A,FALSE,"特殊室（ＢＱ表）"}</definedName>
    <definedName name="___________PPP33" hidden="1">{#N/A,#N/A,FALSE,"特殊室（ＢＱ表）"}</definedName>
    <definedName name="___________ppp34" localSheetId="0" hidden="1">{#N/A,#N/A,FALSE,"特殊室（ＢＱ表）"}</definedName>
    <definedName name="___________ppp34" hidden="1">{#N/A,#N/A,FALSE,"特殊室（ＢＱ表）"}</definedName>
    <definedName name="___________ppp3444" localSheetId="0" hidden="1">{#N/A,#N/A,FALSE,"特殊室（ＢＱ表）"}</definedName>
    <definedName name="___________ppp3444" hidden="1">{#N/A,#N/A,FALSE,"特殊室（ＢＱ表）"}</definedName>
    <definedName name="___________SCL4" localSheetId="0" hidden="1">{"'Sheet1'!$L$16"}</definedName>
    <definedName name="___________SCL4" hidden="1">{"'Sheet1'!$L$16"}</definedName>
    <definedName name="___________T10" localSheetId="0" hidden="1">{"'Sheet1'!$L$16"}</definedName>
    <definedName name="___________T10" hidden="1">{"'Sheet1'!$L$16"}</definedName>
    <definedName name="___________TM2" localSheetId="0" hidden="1">{"'Sheet1'!$L$16"}</definedName>
    <definedName name="___________TM2" hidden="1">{"'Sheet1'!$L$16"}</definedName>
    <definedName name="___________tt3" localSheetId="0" hidden="1">{"'Sheet1'!$L$16"}</definedName>
    <definedName name="___________tt3" hidden="1">{"'Sheet1'!$L$16"}</definedName>
    <definedName name="___________tu4" localSheetId="0" hidden="1">{"'Sheet1'!$L$16"}</definedName>
    <definedName name="___________tu4" hidden="1">{"'Sheet1'!$L$16"}</definedName>
    <definedName name="___________TV2" localSheetId="0" hidden="1">{"'Sheet1'!$L$16"}</definedName>
    <definedName name="___________TV2" hidden="1">{"'Sheet1'!$L$16"}</definedName>
    <definedName name="___________THT11" localSheetId="0" hidden="1">{"'Sheet1'!$L$16"}</definedName>
    <definedName name="___________THT11" hidden="1">{"'Sheet1'!$L$16"}</definedName>
    <definedName name="___________VT3" localSheetId="0" hidden="1">{"'Sheet1'!$L$16"}</definedName>
    <definedName name="___________VT3" hidden="1">{"'Sheet1'!$L$16"}</definedName>
    <definedName name="___________xlfn.BAHTTEXT" hidden="1">#NAME?</definedName>
    <definedName name="__________a1" localSheetId="0"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G12" localSheetId="0" hidden="1">{"'Sheet1'!$L$16"}</definedName>
    <definedName name="__________BG12" hidden="1">{"'Sheet1'!$L$16"}</definedName>
    <definedName name="__________CN1" localSheetId="0" hidden="1">{"'Sheet1'!$L$16"}</definedName>
    <definedName name="__________CN1" hidden="1">{"'Sheet1'!$L$16"}</definedName>
    <definedName name="__________DT10" localSheetId="0" hidden="1">{"'Sheet1'!$L$16"}</definedName>
    <definedName name="__________DT10" hidden="1">{"'Sheet1'!$L$16"}</definedName>
    <definedName name="__________Goi8" localSheetId="0" hidden="1">{"'Sheet1'!$L$16"}</definedName>
    <definedName name="__________Goi8" hidden="1">{"'Sheet1'!$L$16"}</definedName>
    <definedName name="__________h1" localSheetId="0" hidden="1">{"'Sheet1'!$L$16"}</definedName>
    <definedName name="__________h1" hidden="1">{"'Sheet1'!$L$16"}</definedName>
    <definedName name="__________hu1" localSheetId="0" hidden="1">{"'Sheet1'!$L$16"}</definedName>
    <definedName name="__________hu1" hidden="1">{"'Sheet1'!$L$16"}</definedName>
    <definedName name="__________hu2" localSheetId="0" hidden="1">{"'Sheet1'!$L$16"}</definedName>
    <definedName name="__________hu2" hidden="1">{"'Sheet1'!$L$16"}</definedName>
    <definedName name="__________hu5" localSheetId="0" hidden="1">{"'Sheet1'!$L$16"}</definedName>
    <definedName name="__________hu5" hidden="1">{"'Sheet1'!$L$16"}</definedName>
    <definedName name="__________hu6" localSheetId="0" hidden="1">{"'Sheet1'!$L$16"}</definedName>
    <definedName name="__________hu6" hidden="1">{"'Sheet1'!$L$16"}</definedName>
    <definedName name="__________hu7" localSheetId="0" hidden="1">{"'Sheet1'!$L$16"}</definedName>
    <definedName name="__________hu7" hidden="1">{"'Sheet1'!$L$16"}</definedName>
    <definedName name="__________Lan1" localSheetId="0" hidden="1">{"'Sheet1'!$L$16"}</definedName>
    <definedName name="__________Lan1" hidden="1">{"'Sheet1'!$L$16"}</definedName>
    <definedName name="__________LAN3" localSheetId="0" hidden="1">{"'Sheet1'!$L$16"}</definedName>
    <definedName name="__________LAN3" hidden="1">{"'Sheet1'!$L$16"}</definedName>
    <definedName name="__________m4" localSheetId="0" hidden="1">{"'Sheet1'!$L$16"}</definedName>
    <definedName name="__________m4" hidden="1">{"'Sheet1'!$L$16"}</definedName>
    <definedName name="__________NO1" localSheetId="0" hidden="1">#REF!</definedName>
    <definedName name="__________NO1" hidden="1">#REF!</definedName>
    <definedName name="__________NO2" localSheetId="0" hidden="1">#REF!</definedName>
    <definedName name="__________NO2" hidden="1">#REF!</definedName>
    <definedName name="__________NSO2" localSheetId="0" hidden="1">{"'Sheet1'!$L$16"}</definedName>
    <definedName name="__________NSO2" hidden="1">{"'Sheet1'!$L$16"}</definedName>
    <definedName name="__________PA3" localSheetId="0" hidden="1">{"'Sheet1'!$L$16"}</definedName>
    <definedName name="__________PA3" hidden="1">{"'Sheet1'!$L$16"}</definedName>
    <definedName name="__________PPP3" localSheetId="0" hidden="1">{#N/A,#N/A,FALSE,"特殊室（ＢＱ表）"}</definedName>
    <definedName name="__________PPP3" hidden="1">{#N/A,#N/A,FALSE,"特殊室（ＢＱ表）"}</definedName>
    <definedName name="__________PPP33" localSheetId="0" hidden="1">{#N/A,#N/A,FALSE,"特殊室（ＢＱ表）"}</definedName>
    <definedName name="__________PPP33" hidden="1">{#N/A,#N/A,FALSE,"特殊室（ＢＱ表）"}</definedName>
    <definedName name="__________ppp34" localSheetId="0" hidden="1">{#N/A,#N/A,FALSE,"特殊室（ＢＱ表）"}</definedName>
    <definedName name="__________ppp34" hidden="1">{#N/A,#N/A,FALSE,"特殊室（ＢＱ表）"}</definedName>
    <definedName name="__________ppp3444" localSheetId="0" hidden="1">{#N/A,#N/A,FALSE,"特殊室（ＢＱ表）"}</definedName>
    <definedName name="__________ppp3444" hidden="1">{#N/A,#N/A,FALSE,"特殊室（ＢＱ表）"}</definedName>
    <definedName name="__________SCL4" localSheetId="0" hidden="1">{"'Sheet1'!$L$16"}</definedName>
    <definedName name="__________SCL4" hidden="1">{"'Sheet1'!$L$16"}</definedName>
    <definedName name="__________T10" localSheetId="0" hidden="1">{"'Sheet1'!$L$16"}</definedName>
    <definedName name="__________T10" hidden="1">{"'Sheet1'!$L$16"}</definedName>
    <definedName name="__________TM2" localSheetId="0" hidden="1">{"'Sheet1'!$L$16"}</definedName>
    <definedName name="__________TM2" hidden="1">{"'Sheet1'!$L$16"}</definedName>
    <definedName name="__________tt3" localSheetId="0" hidden="1">{"'Sheet1'!$L$16"}</definedName>
    <definedName name="__________tt3" hidden="1">{"'Sheet1'!$L$16"}</definedName>
    <definedName name="__________tu4" localSheetId="0" hidden="1">{"'Sheet1'!$L$16"}</definedName>
    <definedName name="__________tu4" hidden="1">{"'Sheet1'!$L$16"}</definedName>
    <definedName name="__________TH1" localSheetId="0" hidden="1">{"'Sheet1'!$L$16"}</definedName>
    <definedName name="__________TH1" hidden="1">{"'Sheet1'!$L$16"}</definedName>
    <definedName name="__________VT3" localSheetId="0" hidden="1">{"'Sheet1'!$L$16"}</definedName>
    <definedName name="__________VT3" hidden="1">{"'Sheet1'!$L$16"}</definedName>
    <definedName name="__________xlfn.BAHTTEXT" hidden="1">#NAME?</definedName>
    <definedName name="_________a1" localSheetId="0"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G12" localSheetId="0" hidden="1">{"'Sheet1'!$L$16"}</definedName>
    <definedName name="_________BG12" hidden="1">{"'Sheet1'!$L$16"}</definedName>
    <definedName name="_________CN1" localSheetId="0" hidden="1">{"'Sheet1'!$L$16"}</definedName>
    <definedName name="_________CN1" hidden="1">{"'Sheet1'!$L$16"}</definedName>
    <definedName name="_________DT10" localSheetId="0" hidden="1">{"'Sheet1'!$L$16"}</definedName>
    <definedName name="_________DT10" hidden="1">{"'Sheet1'!$L$16"}</definedName>
    <definedName name="_________Goi8" localSheetId="0" hidden="1">{"'Sheet1'!$L$16"}</definedName>
    <definedName name="_________Goi8" hidden="1">{"'Sheet1'!$L$16"}</definedName>
    <definedName name="_________h1" localSheetId="0" hidden="1">{"'Sheet1'!$L$16"}</definedName>
    <definedName name="_________h1" hidden="1">{"'Sheet1'!$L$16"}</definedName>
    <definedName name="_________hu1" localSheetId="0" hidden="1">{"'Sheet1'!$L$16"}</definedName>
    <definedName name="_________hu1" hidden="1">{"'Sheet1'!$L$16"}</definedName>
    <definedName name="_________hu2" localSheetId="0" hidden="1">{"'Sheet1'!$L$16"}</definedName>
    <definedName name="_________hu2" hidden="1">{"'Sheet1'!$L$16"}</definedName>
    <definedName name="_________hu5" localSheetId="0" hidden="1">{"'Sheet1'!$L$16"}</definedName>
    <definedName name="_________hu5" hidden="1">{"'Sheet1'!$L$16"}</definedName>
    <definedName name="_________hu6" localSheetId="0" hidden="1">{"'Sheet1'!$L$16"}</definedName>
    <definedName name="_________hu6" hidden="1">{"'Sheet1'!$L$16"}</definedName>
    <definedName name="_________hu7" localSheetId="0" hidden="1">{"'Sheet1'!$L$16"}</definedName>
    <definedName name="_________hu7" hidden="1">{"'Sheet1'!$L$16"}</definedName>
    <definedName name="_________Lan1" localSheetId="0" hidden="1">{"'Sheet1'!$L$16"}</definedName>
    <definedName name="_________Lan1" hidden="1">{"'Sheet1'!$L$16"}</definedName>
    <definedName name="_________LAN3" localSheetId="0" hidden="1">{"'Sheet1'!$L$16"}</definedName>
    <definedName name="_________LAN3" hidden="1">{"'Sheet1'!$L$16"}</definedName>
    <definedName name="_________m4" localSheetId="0" hidden="1">{"'Sheet1'!$L$16"}</definedName>
    <definedName name="_________m4" hidden="1">{"'Sheet1'!$L$16"}</definedName>
    <definedName name="_________MCC3" localSheetId="0" hidden="1">{#N/A,#N/A,FALSE,"CCTV"}</definedName>
    <definedName name="_________MCC3" hidden="1">{#N/A,#N/A,FALSE,"CCTV"}</definedName>
    <definedName name="_________NO1" localSheetId="0" hidden="1">#REF!</definedName>
    <definedName name="_________NO1" hidden="1">#REF!</definedName>
    <definedName name="_________NO2" localSheetId="0" hidden="1">#REF!</definedName>
    <definedName name="_________NO2" hidden="1">#REF!</definedName>
    <definedName name="_________NSO2" localSheetId="0" hidden="1">{"'Sheet1'!$L$16"}</definedName>
    <definedName name="_________NSO2" hidden="1">{"'Sheet1'!$L$16"}</definedName>
    <definedName name="_________P3" localSheetId="0" hidden="1">{#N/A,#N/A,FALSE,"特殊室（ＢＱ表）"}</definedName>
    <definedName name="_________P3" hidden="1">{#N/A,#N/A,FALSE,"特殊室（ＢＱ表）"}</definedName>
    <definedName name="_________PA3" localSheetId="0" hidden="1">{"'Sheet1'!$L$16"}</definedName>
    <definedName name="_________PA3" hidden="1">{"'Sheet1'!$L$16"}</definedName>
    <definedName name="_________PPP3" localSheetId="0" hidden="1">{#N/A,#N/A,FALSE,"特殊室（ＢＱ表）"}</definedName>
    <definedName name="_________PPP3" hidden="1">{#N/A,#N/A,FALSE,"特殊室（ＢＱ表）"}</definedName>
    <definedName name="_________PPP33" localSheetId="0" hidden="1">{#N/A,#N/A,FALSE,"特殊室（ＢＱ表）"}</definedName>
    <definedName name="_________PPP33" hidden="1">{#N/A,#N/A,FALSE,"特殊室（ＢＱ表）"}</definedName>
    <definedName name="_________ppp34" localSheetId="0" hidden="1">{#N/A,#N/A,FALSE,"特殊室（ＢＱ表）"}</definedName>
    <definedName name="_________ppp34" hidden="1">{#N/A,#N/A,FALSE,"特殊室（ＢＱ表）"}</definedName>
    <definedName name="_________ppp3444" localSheetId="0" hidden="1">{#N/A,#N/A,FALSE,"特殊室（ＢＱ表）"}</definedName>
    <definedName name="_________ppp3444" hidden="1">{#N/A,#N/A,FALSE,"特殊室（ＢＱ表）"}</definedName>
    <definedName name="_________SCL4" localSheetId="0" hidden="1">{"'Sheet1'!$L$16"}</definedName>
    <definedName name="_________SCL4" hidden="1">{"'Sheet1'!$L$16"}</definedName>
    <definedName name="_________T10" localSheetId="0" hidden="1">{"'Sheet1'!$L$16"}</definedName>
    <definedName name="_________T10" hidden="1">{"'Sheet1'!$L$16"}</definedName>
    <definedName name="_________T3" localSheetId="0" hidden="1">{"'Sheet1'!$L$16"}</definedName>
    <definedName name="_________T3" hidden="1">{"'Sheet1'!$L$16"}</definedName>
    <definedName name="_________TM2" localSheetId="0" hidden="1">{"'Sheet1'!$L$16"}</definedName>
    <definedName name="_________TM2" hidden="1">{"'Sheet1'!$L$16"}</definedName>
    <definedName name="_________TT04" localSheetId="0" hidden="1">#REF!</definedName>
    <definedName name="_________TT04" hidden="1">#REF!</definedName>
    <definedName name="_________tt3" localSheetId="0" hidden="1">{"'Sheet1'!$L$16"}</definedName>
    <definedName name="_________tt3" hidden="1">{"'Sheet1'!$L$16"}</definedName>
    <definedName name="_________tu4" localSheetId="0" hidden="1">{"'Sheet1'!$L$16"}</definedName>
    <definedName name="_________tu4" hidden="1">{"'Sheet1'!$L$16"}</definedName>
    <definedName name="_________TV2" localSheetId="0" hidden="1">{"'Sheet1'!$L$16"}</definedName>
    <definedName name="_________TV2" hidden="1">{"'Sheet1'!$L$16"}</definedName>
    <definedName name="_________TH1" localSheetId="0" hidden="1">{"'Sheet1'!$L$16"}</definedName>
    <definedName name="_________TH1" hidden="1">{"'Sheet1'!$L$16"}</definedName>
    <definedName name="_________THT11" localSheetId="0" hidden="1">{"'Sheet1'!$L$16"}</definedName>
    <definedName name="_________THT11" hidden="1">{"'Sheet1'!$L$16"}</definedName>
    <definedName name="_________VT3" localSheetId="0" hidden="1">{"'Sheet1'!$L$16"}</definedName>
    <definedName name="_________VT3" hidden="1">{"'Sheet1'!$L$16"}</definedName>
    <definedName name="_________xlfn.BAHTTEXT" hidden="1">#NAME?</definedName>
    <definedName name="________a1" localSheetId="0"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G12" localSheetId="0" hidden="1">{"'Sheet1'!$L$16"}</definedName>
    <definedName name="________BG12" hidden="1">{"'Sheet1'!$L$16"}</definedName>
    <definedName name="________CN1" localSheetId="0" hidden="1">{"'Sheet1'!$L$16"}</definedName>
    <definedName name="________CN1" hidden="1">{"'Sheet1'!$L$16"}</definedName>
    <definedName name="________d1500" localSheetId="0" hidden="1">{"'Sheet1'!$L$16"}</definedName>
    <definedName name="________d1500" hidden="1">{"'Sheet1'!$L$16"}</definedName>
    <definedName name="________DT10" localSheetId="0" hidden="1">{"'Sheet1'!$L$16"}</definedName>
    <definedName name="________DT10" hidden="1">{"'Sheet1'!$L$16"}</definedName>
    <definedName name="________Goi8" localSheetId="0" hidden="1">{"'Sheet1'!$L$16"}</definedName>
    <definedName name="________Goi8" hidden="1">{"'Sheet1'!$L$16"}</definedName>
    <definedName name="________h1" localSheetId="0" hidden="1">{"'Sheet1'!$L$16"}</definedName>
    <definedName name="________h1" hidden="1">{"'Sheet1'!$L$16"}</definedName>
    <definedName name="________hu1" localSheetId="0" hidden="1">{"'Sheet1'!$L$16"}</definedName>
    <definedName name="________hu1" hidden="1">{"'Sheet1'!$L$16"}</definedName>
    <definedName name="________hu2" localSheetId="0" hidden="1">{"'Sheet1'!$L$16"}</definedName>
    <definedName name="________hu2" hidden="1">{"'Sheet1'!$L$16"}</definedName>
    <definedName name="________hu5" localSheetId="0" hidden="1">{"'Sheet1'!$L$16"}</definedName>
    <definedName name="________hu5" hidden="1">{"'Sheet1'!$L$16"}</definedName>
    <definedName name="________hu6" localSheetId="0" hidden="1">{"'Sheet1'!$L$16"}</definedName>
    <definedName name="________hu6" hidden="1">{"'Sheet1'!$L$16"}</definedName>
    <definedName name="________hu7" localSheetId="0" hidden="1">{"'Sheet1'!$L$16"}</definedName>
    <definedName name="________hu7" hidden="1">{"'Sheet1'!$L$16"}</definedName>
    <definedName name="________key1" localSheetId="0" hidden="1">#REF!</definedName>
    <definedName name="________key1" hidden="1">#REF!</definedName>
    <definedName name="________key2" localSheetId="0" hidden="1">#REF!</definedName>
    <definedName name="________key2" hidden="1">#REF!</definedName>
    <definedName name="________Lan1" localSheetId="0" hidden="1">{"'Sheet1'!$L$16"}</definedName>
    <definedName name="________Lan1" hidden="1">{"'Sheet1'!$L$16"}</definedName>
    <definedName name="________LAN3" localSheetId="0" hidden="1">{"'Sheet1'!$L$16"}</definedName>
    <definedName name="________LAN3" hidden="1">{"'Sheet1'!$L$16"}</definedName>
    <definedName name="________ld2" localSheetId="0" hidden="1">{"'Sheet1'!$L$16"}</definedName>
    <definedName name="________ld2" hidden="1">{"'Sheet1'!$L$16"}</definedName>
    <definedName name="________lop111" localSheetId="0" hidden="1">{#N/A,#N/A,FALSE,"特殊室（ＢＱ表）"}</definedName>
    <definedName name="________lop111" hidden="1">{#N/A,#N/A,FALSE,"特殊室（ＢＱ表）"}</definedName>
    <definedName name="________M2" localSheetId="0" hidden="1">{"'Sheet1'!$L$16"}</definedName>
    <definedName name="________M2" hidden="1">{"'Sheet1'!$L$16"}</definedName>
    <definedName name="________m4" localSheetId="0" hidden="1">{"'Sheet1'!$L$16"}</definedName>
    <definedName name="________m4" hidden="1">{"'Sheet1'!$L$16"}</definedName>
    <definedName name="________MCC3" localSheetId="0" hidden="1">{#N/A,#N/A,FALSE,"CCTV"}</definedName>
    <definedName name="________MCC3" hidden="1">{#N/A,#N/A,FALSE,"CCTV"}</definedName>
    <definedName name="________NO1" localSheetId="0" hidden="1">#REF!</definedName>
    <definedName name="________NO1" hidden="1">#REF!</definedName>
    <definedName name="________NO2" localSheetId="0" hidden="1">#REF!</definedName>
    <definedName name="________NO2" hidden="1">#REF!</definedName>
    <definedName name="________NSO2" localSheetId="0" hidden="1">{"'Sheet1'!$L$16"}</definedName>
    <definedName name="________NSO2" hidden="1">{"'Sheet1'!$L$16"}</definedName>
    <definedName name="________P3" localSheetId="0" hidden="1">{#N/A,#N/A,FALSE,"特殊室（ＢＱ表）"}</definedName>
    <definedName name="________P3" hidden="1">{#N/A,#N/A,FALSE,"特殊室（ＢＱ表）"}</definedName>
    <definedName name="________PA3" localSheetId="0" hidden="1">{"'Sheet1'!$L$16"}</definedName>
    <definedName name="________PA3" hidden="1">{"'Sheet1'!$L$16"}</definedName>
    <definedName name="________PPP3" localSheetId="0" hidden="1">{#N/A,#N/A,FALSE,"特殊室（ＢＱ表）"}</definedName>
    <definedName name="________PPP3" hidden="1">{#N/A,#N/A,FALSE,"特殊室（ＢＱ表）"}</definedName>
    <definedName name="________PPP33" localSheetId="0" hidden="1">{#N/A,#N/A,FALSE,"特殊室（ＢＱ表）"}</definedName>
    <definedName name="________PPP33" hidden="1">{#N/A,#N/A,FALSE,"特殊室（ＢＱ表）"}</definedName>
    <definedName name="________ppp34" localSheetId="0" hidden="1">{#N/A,#N/A,FALSE,"特殊室（ＢＱ表）"}</definedName>
    <definedName name="________ppp34" hidden="1">{#N/A,#N/A,FALSE,"特殊室（ＢＱ表）"}</definedName>
    <definedName name="________ppp3444" localSheetId="0" hidden="1">{#N/A,#N/A,FALSE,"特殊室（ＢＱ表）"}</definedName>
    <definedName name="________ppp3444" hidden="1">{#N/A,#N/A,FALSE,"特殊室（ＢＱ表）"}</definedName>
    <definedName name="________SCL4" localSheetId="0" hidden="1">{"'Sheet1'!$L$16"}</definedName>
    <definedName name="________SCL4" hidden="1">{"'Sheet1'!$L$16"}</definedName>
    <definedName name="________T10" localSheetId="0" hidden="1">{"'Sheet1'!$L$16"}</definedName>
    <definedName name="________T10" hidden="1">{"'Sheet1'!$L$16"}</definedName>
    <definedName name="________T3" localSheetId="0" hidden="1">{"'Sheet1'!$L$16"}</definedName>
    <definedName name="________T3" hidden="1">{"'Sheet1'!$L$16"}</definedName>
    <definedName name="________TM2" localSheetId="0" hidden="1">{"'Sheet1'!$L$16"}</definedName>
    <definedName name="________TM2" hidden="1">{"'Sheet1'!$L$16"}</definedName>
    <definedName name="________TT04" localSheetId="0" hidden="1">#REF!</definedName>
    <definedName name="________TT04" hidden="1">#REF!</definedName>
    <definedName name="________tt3" localSheetId="0" hidden="1">{"'Sheet1'!$L$16"}</definedName>
    <definedName name="________tt3" hidden="1">{"'Sheet1'!$L$16"}</definedName>
    <definedName name="________tu4" localSheetId="0" hidden="1">{"'Sheet1'!$L$16"}</definedName>
    <definedName name="________tu4" hidden="1">{"'Sheet1'!$L$16"}</definedName>
    <definedName name="________TV2" localSheetId="0" hidden="1">{"'Sheet1'!$L$16"}</definedName>
    <definedName name="________TV2" hidden="1">{"'Sheet1'!$L$16"}</definedName>
    <definedName name="________TH1" localSheetId="0" hidden="1">{"'Sheet1'!$L$16"}</definedName>
    <definedName name="________TH1" hidden="1">{"'Sheet1'!$L$16"}</definedName>
    <definedName name="________THT11" localSheetId="0" hidden="1">{"'Sheet1'!$L$16"}</definedName>
    <definedName name="________THT11" hidden="1">{"'Sheet1'!$L$16"}</definedName>
    <definedName name="________VT3" localSheetId="0" hidden="1">{"'Sheet1'!$L$16"}</definedName>
    <definedName name="________VT3" hidden="1">{"'Sheet1'!$L$16"}</definedName>
    <definedName name="________xlfn.BAHTTEXT" hidden="1">#NAME?</definedName>
    <definedName name="_______a1" localSheetId="0"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0" hidden="1">{"'Sheet1'!$L$16"}</definedName>
    <definedName name="_______a2" hidden="1">{"'Sheet1'!$L$16"}</definedName>
    <definedName name="_______BG12" localSheetId="0" hidden="1">{"'Sheet1'!$L$16"}</definedName>
    <definedName name="_______BG12" hidden="1">{"'Sheet1'!$L$16"}</definedName>
    <definedName name="_______CN1" localSheetId="0" hidden="1">{"'Sheet1'!$L$16"}</definedName>
    <definedName name="_______CN1" hidden="1">{"'Sheet1'!$L$16"}</definedName>
    <definedName name="_______DT10" localSheetId="0" hidden="1">{"'Sheet1'!$L$16"}</definedName>
    <definedName name="_______DT10" hidden="1">{"'Sheet1'!$L$16"}</definedName>
    <definedName name="_______Goi8" localSheetId="0" hidden="1">{"'Sheet1'!$L$16"}</definedName>
    <definedName name="_______Goi8" hidden="1">{"'Sheet1'!$L$16"}</definedName>
    <definedName name="_______h1" localSheetId="0" hidden="1">{"'Sheet1'!$L$16"}</definedName>
    <definedName name="_______h1" hidden="1">{"'Sheet1'!$L$16"}</definedName>
    <definedName name="_______hu1" localSheetId="0" hidden="1">{"'Sheet1'!$L$16"}</definedName>
    <definedName name="_______hu1" hidden="1">{"'Sheet1'!$L$16"}</definedName>
    <definedName name="_______hu2" localSheetId="0" hidden="1">{"'Sheet1'!$L$16"}</definedName>
    <definedName name="_______hu2" hidden="1">{"'Sheet1'!$L$16"}</definedName>
    <definedName name="_______hu5" localSheetId="0" hidden="1">{"'Sheet1'!$L$16"}</definedName>
    <definedName name="_______hu5" hidden="1">{"'Sheet1'!$L$16"}</definedName>
    <definedName name="_______hu6" localSheetId="0" hidden="1">{"'Sheet1'!$L$16"}</definedName>
    <definedName name="_______hu6" hidden="1">{"'Sheet1'!$L$16"}</definedName>
    <definedName name="_______hu7" localSheetId="0" hidden="1">{"'Sheet1'!$L$16"}</definedName>
    <definedName name="_______hu7" hidden="1">{"'Sheet1'!$L$16"}</definedName>
    <definedName name="_______key2" localSheetId="10" hidden="1">#REF!</definedName>
    <definedName name="_______key2" hidden="1">#REF!</definedName>
    <definedName name="_______Lan1" localSheetId="0" hidden="1">{"'Sheet1'!$L$16"}</definedName>
    <definedName name="_______Lan1" hidden="1">{"'Sheet1'!$L$16"}</definedName>
    <definedName name="_______LAN3" localSheetId="0" hidden="1">{"'Sheet1'!$L$16"}</definedName>
    <definedName name="_______LAN3" hidden="1">{"'Sheet1'!$L$16"}</definedName>
    <definedName name="_______ld2" localSheetId="0" hidden="1">{"'Sheet1'!$L$16"}</definedName>
    <definedName name="_______ld2" hidden="1">{"'Sheet1'!$L$16"}</definedName>
    <definedName name="_______m4" localSheetId="0" hidden="1">{"'Sheet1'!$L$16"}</definedName>
    <definedName name="_______m4" hidden="1">{"'Sheet1'!$L$16"}</definedName>
    <definedName name="_______MCC3" localSheetId="0" hidden="1">{#N/A,#N/A,FALSE,"CCTV"}</definedName>
    <definedName name="_______MCC3" hidden="1">{#N/A,#N/A,FALSE,"CCTV"}</definedName>
    <definedName name="_______NO1" localSheetId="0" hidden="1">#REF!</definedName>
    <definedName name="_______NO1" hidden="1">#REF!</definedName>
    <definedName name="_______NO2" localSheetId="0" hidden="1">#REF!</definedName>
    <definedName name="_______NO2" hidden="1">#REF!</definedName>
    <definedName name="_______NSO2" localSheetId="0" hidden="1">{"'Sheet1'!$L$16"}</definedName>
    <definedName name="_______NSO2" hidden="1">{"'Sheet1'!$L$16"}</definedName>
    <definedName name="_______P3" localSheetId="0" hidden="1">{#N/A,#N/A,FALSE,"特殊室（ＢＱ表）"}</definedName>
    <definedName name="_______P3" hidden="1">{#N/A,#N/A,FALSE,"特殊室（ＢＱ表）"}</definedName>
    <definedName name="_______PA3" localSheetId="0" hidden="1">{"'Sheet1'!$L$16"}</definedName>
    <definedName name="_______PA3" hidden="1">{"'Sheet1'!$L$16"}</definedName>
    <definedName name="_______PPP3" localSheetId="0" hidden="1">{#N/A,#N/A,FALSE,"特殊室（ＢＱ表）"}</definedName>
    <definedName name="_______PPP3" hidden="1">{#N/A,#N/A,FALSE,"特殊室（ＢＱ表）"}</definedName>
    <definedName name="_______PPP33" localSheetId="0" hidden="1">{#N/A,#N/A,FALSE,"特殊室（ＢＱ表）"}</definedName>
    <definedName name="_______PPP33" hidden="1">{#N/A,#N/A,FALSE,"特殊室（ＢＱ表）"}</definedName>
    <definedName name="_______ppp34" localSheetId="0" hidden="1">{#N/A,#N/A,FALSE,"特殊室（ＢＱ表）"}</definedName>
    <definedName name="_______ppp34" hidden="1">{#N/A,#N/A,FALSE,"特殊室（ＢＱ表）"}</definedName>
    <definedName name="_______ppp3444" localSheetId="0" hidden="1">{#N/A,#N/A,FALSE,"特殊室（ＢＱ表）"}</definedName>
    <definedName name="_______ppp3444" hidden="1">{#N/A,#N/A,FALSE,"特殊室（ＢＱ表）"}</definedName>
    <definedName name="_______SCL4" localSheetId="0" hidden="1">{"'Sheet1'!$L$16"}</definedName>
    <definedName name="_______SCL4" hidden="1">{"'Sheet1'!$L$16"}</definedName>
    <definedName name="_______T10" localSheetId="0" hidden="1">{"'Sheet1'!$L$16"}</definedName>
    <definedName name="_______T10" hidden="1">{"'Sheet1'!$L$16"}</definedName>
    <definedName name="_______T3" localSheetId="0" hidden="1">{"'Sheet1'!$L$16"}</definedName>
    <definedName name="_______T3" hidden="1">{"'Sheet1'!$L$16"}</definedName>
    <definedName name="_______TM2" localSheetId="0" hidden="1">{"'Sheet1'!$L$16"}</definedName>
    <definedName name="_______TM2" hidden="1">{"'Sheet1'!$L$16"}</definedName>
    <definedName name="_______TT04" localSheetId="0" hidden="1">#REF!</definedName>
    <definedName name="_______TT04" hidden="1">#REF!</definedName>
    <definedName name="_______tt3" localSheetId="0" hidden="1">{"'Sheet1'!$L$16"}</definedName>
    <definedName name="_______tt3" hidden="1">{"'Sheet1'!$L$16"}</definedName>
    <definedName name="_______tu4" localSheetId="0" hidden="1">{"'Sheet1'!$L$16"}</definedName>
    <definedName name="_______tu4" hidden="1">{"'Sheet1'!$L$16"}</definedName>
    <definedName name="_______TV2" localSheetId="0" hidden="1">{"'Sheet1'!$L$16"}</definedName>
    <definedName name="_______TV2" hidden="1">{"'Sheet1'!$L$16"}</definedName>
    <definedName name="_______TH1" localSheetId="0" hidden="1">{"'Sheet1'!$L$16"}</definedName>
    <definedName name="_______TH1" hidden="1">{"'Sheet1'!$L$16"}</definedName>
    <definedName name="_______THT11" localSheetId="0" hidden="1">{"'Sheet1'!$L$16"}</definedName>
    <definedName name="_______THT11" hidden="1">{"'Sheet1'!$L$16"}</definedName>
    <definedName name="_______VT3" localSheetId="0" hidden="1">{"'Sheet1'!$L$16"}</definedName>
    <definedName name="_______VT3" hidden="1">{"'Sheet1'!$L$16"}</definedName>
    <definedName name="_______xlfn.BAHTTEXT" hidden="1">#NAME?</definedName>
    <definedName name="______a1" localSheetId="0" hidden="1">{"'Sheet1'!$L$16"}</definedName>
    <definedName name="______a1" hidden="1">{"'Sheet1'!$L$16"}</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0" hidden="1">{"'Sheet1'!$L$16"}</definedName>
    <definedName name="______a2" hidden="1">{"'Sheet1'!$L$16"}</definedName>
    <definedName name="______BG12" localSheetId="0" hidden="1">{"'Sheet1'!$L$16"}</definedName>
    <definedName name="______BG12" hidden="1">{"'Sheet1'!$L$16"}</definedName>
    <definedName name="______CN1" localSheetId="0" hidden="1">{"'Sheet1'!$L$16"}</definedName>
    <definedName name="______CN1" hidden="1">{"'Sheet1'!$L$16"}</definedName>
    <definedName name="______ct2005" localSheetId="0" hidden="1">{"'Sheet1'!$L$16"}</definedName>
    <definedName name="______ct2005" hidden="1">{"'Sheet1'!$L$16"}</definedName>
    <definedName name="______d1500" localSheetId="0" hidden="1">{"'Sheet1'!$L$16"}</definedName>
    <definedName name="______d1500" hidden="1">{"'Sheet1'!$L$16"}</definedName>
    <definedName name="______DT10" localSheetId="0" hidden="1">{"'Sheet1'!$L$16"}</definedName>
    <definedName name="______DT10" hidden="1">{"'Sheet1'!$L$16"}</definedName>
    <definedName name="______FAB4" localSheetId="10" hidden="1">#REF!</definedName>
    <definedName name="______FAB4" hidden="1">#REF!</definedName>
    <definedName name="______Goi8" localSheetId="0" hidden="1">{"'Sheet1'!$L$16"}</definedName>
    <definedName name="______Goi8" hidden="1">{"'Sheet1'!$L$16"}</definedName>
    <definedName name="______h1" localSheetId="0" hidden="1">{"'Sheet1'!$L$16"}</definedName>
    <definedName name="______h1" hidden="1">{"'Sheet1'!$L$16"}</definedName>
    <definedName name="______hh1219" localSheetId="0" hidden="1">{"'Sheet1'!$L$16"}</definedName>
    <definedName name="______hh1219" hidden="1">{"'Sheet1'!$L$16"}</definedName>
    <definedName name="______hu1" localSheetId="0" hidden="1">{"'Sheet1'!$L$16"}</definedName>
    <definedName name="______hu1" hidden="1">{"'Sheet1'!$L$16"}</definedName>
    <definedName name="______hu2" localSheetId="0" hidden="1">{"'Sheet1'!$L$16"}</definedName>
    <definedName name="______hu2" hidden="1">{"'Sheet1'!$L$16"}</definedName>
    <definedName name="______hu5" localSheetId="0" hidden="1">{"'Sheet1'!$L$16"}</definedName>
    <definedName name="______hu5" hidden="1">{"'Sheet1'!$L$16"}</definedName>
    <definedName name="______hu6" localSheetId="0" hidden="1">{"'Sheet1'!$L$16"}</definedName>
    <definedName name="______hu6" hidden="1">{"'Sheet1'!$L$16"}</definedName>
    <definedName name="______hu7" localSheetId="0" hidden="1">{"'Sheet1'!$L$16"}</definedName>
    <definedName name="______hu7" hidden="1">{"'Sheet1'!$L$16"}</definedName>
    <definedName name="______key1" localSheetId="0" hidden="1">#REF!</definedName>
    <definedName name="______key1" hidden="1">#REF!</definedName>
    <definedName name="______key2" localSheetId="0" hidden="1">#REF!</definedName>
    <definedName name="______key2" hidden="1">#REF!</definedName>
    <definedName name="______Lan1" localSheetId="0" hidden="1">{"'Sheet1'!$L$16"}</definedName>
    <definedName name="______Lan1" hidden="1">{"'Sheet1'!$L$16"}</definedName>
    <definedName name="______LAN3" localSheetId="0" hidden="1">{"'Sheet1'!$L$16"}</definedName>
    <definedName name="______LAN3" hidden="1">{"'Sheet1'!$L$16"}</definedName>
    <definedName name="______ld2" localSheetId="0" hidden="1">{"'Sheet1'!$L$16"}</definedName>
    <definedName name="______ld2" hidden="1">{"'Sheet1'!$L$16"}</definedName>
    <definedName name="______lop111" localSheetId="0" hidden="1">{#N/A,#N/A,FALSE,"特殊室（ＢＱ表）"}</definedName>
    <definedName name="______lop111" hidden="1">{#N/A,#N/A,FALSE,"特殊室（ＢＱ表）"}</definedName>
    <definedName name="______M2" localSheetId="0" hidden="1">{"'Sheet1'!$L$16"}</definedName>
    <definedName name="______M2" hidden="1">{"'Sheet1'!$L$16"}</definedName>
    <definedName name="______m4" localSheetId="0" hidden="1">{"'Sheet1'!$L$16"}</definedName>
    <definedName name="______m4" hidden="1">{"'Sheet1'!$L$16"}</definedName>
    <definedName name="______MCC3" localSheetId="0" hidden="1">{#N/A,#N/A,FALSE,"CCTV"}</definedName>
    <definedName name="______MCC3" hidden="1">{#N/A,#N/A,FALSE,"CCTV"}</definedName>
    <definedName name="______NO1" localSheetId="0" hidden="1">#REF!</definedName>
    <definedName name="______NO1" hidden="1">#REF!</definedName>
    <definedName name="______NO2" localSheetId="0" hidden="1">#REF!</definedName>
    <definedName name="______NO2" hidden="1">#REF!</definedName>
    <definedName name="______NSO2" localSheetId="0" hidden="1">{"'Sheet1'!$L$16"}</definedName>
    <definedName name="______NSO2" hidden="1">{"'Sheet1'!$L$16"}</definedName>
    <definedName name="______P3" localSheetId="0" hidden="1">{#N/A,#N/A,FALSE,"特殊室（ＢＱ表）"}</definedName>
    <definedName name="______P3" hidden="1">{#N/A,#N/A,FALSE,"特殊室（ＢＱ表）"}</definedName>
    <definedName name="______PA3" localSheetId="0" hidden="1">{"'Sheet1'!$L$16"}</definedName>
    <definedName name="______PA3" hidden="1">{"'Sheet1'!$L$16"}</definedName>
    <definedName name="______PPP3" localSheetId="0" hidden="1">{#N/A,#N/A,FALSE,"特殊室（ＢＱ表）"}</definedName>
    <definedName name="______PPP3" hidden="1">{#N/A,#N/A,FALSE,"特殊室（ＢＱ表）"}</definedName>
    <definedName name="______PPP33" localSheetId="0" hidden="1">{#N/A,#N/A,FALSE,"特殊室（ＢＱ表）"}</definedName>
    <definedName name="______PPP33" hidden="1">{#N/A,#N/A,FALSE,"特殊室（ＢＱ表）"}</definedName>
    <definedName name="______ppp34" localSheetId="0" hidden="1">{#N/A,#N/A,FALSE,"特殊室（ＢＱ表）"}</definedName>
    <definedName name="______ppp34" hidden="1">{#N/A,#N/A,FALSE,"特殊室（ＢＱ表）"}</definedName>
    <definedName name="______ppp3444" localSheetId="0" hidden="1">{#N/A,#N/A,FALSE,"特殊室（ＢＱ表）"}</definedName>
    <definedName name="______ppp3444" hidden="1">{#N/A,#N/A,FALSE,"特殊室（ＢＱ表）"}</definedName>
    <definedName name="______SCL4" localSheetId="0" hidden="1">{"'Sheet1'!$L$16"}</definedName>
    <definedName name="______SCL4" hidden="1">{"'Sheet1'!$L$16"}</definedName>
    <definedName name="______T1" localSheetId="0" hidden="1">{#N/A,#N/A,FALSE,"Chi tiÆt"}</definedName>
    <definedName name="______T1" hidden="1">{#N/A,#N/A,FALSE,"Chi tiÆt"}</definedName>
    <definedName name="______T10" localSheetId="0" hidden="1">{"'Sheet1'!$L$16"}</definedName>
    <definedName name="______T10" hidden="1">{"'Sheet1'!$L$16"}</definedName>
    <definedName name="______t2" localSheetId="0" hidden="1">{"'Sheet1'!$L$16"}</definedName>
    <definedName name="______t2" hidden="1">{"'Sheet1'!$L$16"}</definedName>
    <definedName name="______T3" localSheetId="0" hidden="1">{"'Sheet1'!$L$16"}</definedName>
    <definedName name="______T3" hidden="1">{"'Sheet1'!$L$16"}</definedName>
    <definedName name="______t5" localSheetId="0" hidden="1">{"'Sheet1'!$L$16"}</definedName>
    <definedName name="______t5" hidden="1">{"'Sheet1'!$L$16"}</definedName>
    <definedName name="______TM2" localSheetId="0" hidden="1">{"'Sheet1'!$L$16"}</definedName>
    <definedName name="______TM2" hidden="1">{"'Sheet1'!$L$16"}</definedName>
    <definedName name="______TT04" localSheetId="0" hidden="1">#REF!</definedName>
    <definedName name="______TT04" hidden="1">#REF!</definedName>
    <definedName name="______tt3" localSheetId="0" hidden="1">{"'Sheet1'!$L$16"}</definedName>
    <definedName name="______tt3" hidden="1">{"'Sheet1'!$L$16"}</definedName>
    <definedName name="______tu4" localSheetId="0" hidden="1">{"'Sheet1'!$L$16"}</definedName>
    <definedName name="______tu4" hidden="1">{"'Sheet1'!$L$16"}</definedName>
    <definedName name="______TV2" localSheetId="0" hidden="1">{"'Sheet1'!$L$16"}</definedName>
    <definedName name="______TV2" hidden="1">{"'Sheet1'!$L$16"}</definedName>
    <definedName name="______TH1" localSheetId="0" hidden="1">{"'Sheet1'!$L$16"}</definedName>
    <definedName name="______TH1" hidden="1">{"'Sheet1'!$L$16"}</definedName>
    <definedName name="______THT11" localSheetId="0" hidden="1">{"'Sheet1'!$L$16"}</definedName>
    <definedName name="______THT11" hidden="1">{"'Sheet1'!$L$16"}</definedName>
    <definedName name="______VT3" localSheetId="0" hidden="1">{"'Sheet1'!$L$16"}</definedName>
    <definedName name="______VT3" hidden="1">{"'Sheet1'!$L$16"}</definedName>
    <definedName name="______xlfn.BAHTTEXT" hidden="1">#NAME?</definedName>
    <definedName name="_____a1" localSheetId="0" hidden="1">{"'Sheet1'!$L$16"}</definedName>
    <definedName name="_____a1" hidden="1">{"'Sheet1'!$L$16"}</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0" hidden="1">{"'Sheet1'!$L$16"}</definedName>
    <definedName name="_____a2" hidden="1">{"'Sheet1'!$L$16"}</definedName>
    <definedName name="_____BG12" localSheetId="0" hidden="1">{"'Sheet1'!$L$16"}</definedName>
    <definedName name="_____BG12" hidden="1">{"'Sheet1'!$L$16"}</definedName>
    <definedName name="_____bht6" localSheetId="0" hidden="1">{"'Sheet1'!$L$16"}</definedName>
    <definedName name="_____bht6" hidden="1">{"'Sheet1'!$L$16"}</definedName>
    <definedName name="_____CN1" localSheetId="0" hidden="1">{"'Sheet1'!$L$16"}</definedName>
    <definedName name="_____CN1" hidden="1">{"'Sheet1'!$L$16"}</definedName>
    <definedName name="_____ct2005" localSheetId="0" hidden="1">{"'Sheet1'!$L$16"}</definedName>
    <definedName name="_____ct2005" hidden="1">{"'Sheet1'!$L$16"}</definedName>
    <definedName name="_____CT4" localSheetId="0" hidden="1">{"'Sheet1'!$L$16"}</definedName>
    <definedName name="_____CT4" hidden="1">{"'Sheet1'!$L$16"}</definedName>
    <definedName name="_____d1500" localSheetId="0" hidden="1">{"'Sheet1'!$L$16"}</definedName>
    <definedName name="_____d1500" hidden="1">{"'Sheet1'!$L$16"}</definedName>
    <definedName name="_____DT10" localSheetId="0" hidden="1">{"'Sheet1'!$L$16"}</definedName>
    <definedName name="_____DT10" hidden="1">{"'Sheet1'!$L$16"}</definedName>
    <definedName name="_____G4211" localSheetId="0" hidden="1">{"'Sheet1'!$L$16"}</definedName>
    <definedName name="_____G4211" hidden="1">{"'Sheet1'!$L$16"}</definedName>
    <definedName name="_____Goi8" localSheetId="0" hidden="1">{"'Sheet1'!$L$16"}</definedName>
    <definedName name="_____Goi8" hidden="1">{"'Sheet1'!$L$16"}</definedName>
    <definedName name="_____h1" localSheetId="0" hidden="1">{"'Sheet1'!$L$16"}</definedName>
    <definedName name="_____h1" hidden="1">{"'Sheet1'!$L$16"}</definedName>
    <definedName name="_____h12" localSheetId="0" hidden="1">{"'Sheet1'!$L$16"}</definedName>
    <definedName name="_____h12" hidden="1">{"'Sheet1'!$L$16"}</definedName>
    <definedName name="_____hh1219" localSheetId="0" hidden="1">{"'Sheet1'!$L$16"}</definedName>
    <definedName name="_____hh1219" hidden="1">{"'Sheet1'!$L$16"}</definedName>
    <definedName name="_____hu1" localSheetId="0" hidden="1">{"'Sheet1'!$L$16"}</definedName>
    <definedName name="_____hu1" hidden="1">{"'Sheet1'!$L$16"}</definedName>
    <definedName name="_____hu2" localSheetId="0" hidden="1">{"'Sheet1'!$L$16"}</definedName>
    <definedName name="_____hu2" hidden="1">{"'Sheet1'!$L$16"}</definedName>
    <definedName name="_____hu5" localSheetId="0" hidden="1">{"'Sheet1'!$L$16"}</definedName>
    <definedName name="_____hu5" hidden="1">{"'Sheet1'!$L$16"}</definedName>
    <definedName name="_____hu6" localSheetId="0" hidden="1">{"'Sheet1'!$L$16"}</definedName>
    <definedName name="_____hu6" hidden="1">{"'Sheet1'!$L$16"}</definedName>
    <definedName name="_____hu7" localSheetId="0" hidden="1">{"'Sheet1'!$L$16"}</definedName>
    <definedName name="_____hu7" hidden="1">{"'Sheet1'!$L$16"}</definedName>
    <definedName name="_____key2" localSheetId="10" hidden="1">#REF!</definedName>
    <definedName name="_____key2" hidden="1">#REF!</definedName>
    <definedName name="_____Lan1" localSheetId="0" hidden="1">{"'Sheet1'!$L$16"}</definedName>
    <definedName name="_____Lan1" hidden="1">{"'Sheet1'!$L$16"}</definedName>
    <definedName name="_____Lan2" localSheetId="0" hidden="1">{"'Sheet1'!$L$16"}</definedName>
    <definedName name="_____Lan2" hidden="1">{"'Sheet1'!$L$16"}</definedName>
    <definedName name="_____LAN3" localSheetId="0" hidden="1">{"'Sheet1'!$L$16"}</definedName>
    <definedName name="_____LAN3" hidden="1">{"'Sheet1'!$L$16"}</definedName>
    <definedName name="_____lao2" localSheetId="0" hidden="1">{"'Sheet1'!$L$16"}</definedName>
    <definedName name="_____lao2" hidden="1">{"'Sheet1'!$L$16"}</definedName>
    <definedName name="_____ld2" localSheetId="0" hidden="1">{"'Sheet1'!$L$16"}</definedName>
    <definedName name="_____ld2" hidden="1">{"'Sheet1'!$L$16"}</definedName>
    <definedName name="_____lop111" localSheetId="0" hidden="1">{#N/A,#N/A,FALSE,"特殊室（ＢＱ表）"}</definedName>
    <definedName name="_____lop111" hidden="1">{#N/A,#N/A,FALSE,"特殊室（ＢＱ表）"}</definedName>
    <definedName name="_____m4" localSheetId="0" hidden="1">{"'Sheet1'!$L$16"}</definedName>
    <definedName name="_____m4" hidden="1">{"'Sheet1'!$L$16"}</definedName>
    <definedName name="_____MCC3" localSheetId="0" hidden="1">{#N/A,#N/A,FALSE,"CCTV"}</definedName>
    <definedName name="_____MCC3" hidden="1">{#N/A,#N/A,FALSE,"CCTV"}</definedName>
    <definedName name="_____NO1" localSheetId="0" hidden="1">#REF!</definedName>
    <definedName name="_____NO1" hidden="1">#REF!</definedName>
    <definedName name="_____NO2" localSheetId="0" hidden="1">#REF!</definedName>
    <definedName name="_____NO2" hidden="1">#REF!</definedName>
    <definedName name="_____NSO2" localSheetId="0" hidden="1">{"'Sheet1'!$L$16"}</definedName>
    <definedName name="_____NSO2" hidden="1">{"'Sheet1'!$L$16"}</definedName>
    <definedName name="_____P3" localSheetId="0" hidden="1">{#N/A,#N/A,FALSE,"特殊室（ＢＱ表）"}</definedName>
    <definedName name="_____P3" hidden="1">{#N/A,#N/A,FALSE,"特殊室（ＢＱ表）"}</definedName>
    <definedName name="_____PA3" localSheetId="0" hidden="1">{"'Sheet1'!$L$16"}</definedName>
    <definedName name="_____PA3" hidden="1">{"'Sheet1'!$L$16"}</definedName>
    <definedName name="_____PPP3" localSheetId="0" hidden="1">{#N/A,#N/A,FALSE,"特殊室（ＢＱ表）"}</definedName>
    <definedName name="_____PPP3" hidden="1">{#N/A,#N/A,FALSE,"特殊室（ＢＱ表）"}</definedName>
    <definedName name="_____PPP33" localSheetId="0" hidden="1">{#N/A,#N/A,FALSE,"特殊室（ＢＱ表）"}</definedName>
    <definedName name="_____PPP33" hidden="1">{#N/A,#N/A,FALSE,"特殊室（ＢＱ表）"}</definedName>
    <definedName name="_____ppp34" localSheetId="0" hidden="1">{#N/A,#N/A,FALSE,"特殊室（ＢＱ表）"}</definedName>
    <definedName name="_____ppp34" hidden="1">{#N/A,#N/A,FALSE,"特殊室（ＢＱ表）"}</definedName>
    <definedName name="_____ppp3444" localSheetId="0" hidden="1">{#N/A,#N/A,FALSE,"特殊室（ＢＱ表）"}</definedName>
    <definedName name="_____ppp3444" hidden="1">{#N/A,#N/A,FALSE,"特殊室（ＢＱ表）"}</definedName>
    <definedName name="_____Rh90" localSheetId="0" hidden="1">{"'Sheet1'!$L$16"}</definedName>
    <definedName name="_____Rh90" hidden="1">{"'Sheet1'!$L$16"}</definedName>
    <definedName name="_____SCL4" localSheetId="0" hidden="1">{"'Sheet1'!$L$16"}</definedName>
    <definedName name="_____SCL4" hidden="1">{"'Sheet1'!$L$16"}</definedName>
    <definedName name="_____sxt5" localSheetId="0" hidden="1">{"'Sheet1'!$L$16"}</definedName>
    <definedName name="_____sxt5" hidden="1">{"'Sheet1'!$L$16"}</definedName>
    <definedName name="_____T1" localSheetId="0" hidden="1">{#N/A,#N/A,FALSE,"Chi tiÆt"}</definedName>
    <definedName name="_____T1" hidden="1">{#N/A,#N/A,FALSE,"Chi tiÆt"}</definedName>
    <definedName name="_____T10" localSheetId="0" hidden="1">{"'Sheet1'!$L$16"}</definedName>
    <definedName name="_____T10" hidden="1">{"'Sheet1'!$L$16"}</definedName>
    <definedName name="_____t2" localSheetId="0" hidden="1">{"'Sheet1'!$L$16"}</definedName>
    <definedName name="_____t2" hidden="1">{"'Sheet1'!$L$16"}</definedName>
    <definedName name="_____T3" localSheetId="0" hidden="1">{"'Sheet1'!$L$16"}</definedName>
    <definedName name="_____T3" hidden="1">{"'Sheet1'!$L$16"}</definedName>
    <definedName name="_____T4" localSheetId="0" hidden="1">{"'Sheet1'!$L$16"}</definedName>
    <definedName name="_____T4" hidden="1">{"'Sheet1'!$L$16"}</definedName>
    <definedName name="_____t5" localSheetId="0" hidden="1">{"'Sheet1'!$L$16"}</definedName>
    <definedName name="_____t5" hidden="1">{"'Sheet1'!$L$16"}</definedName>
    <definedName name="_____T9" localSheetId="0" hidden="1">{#N/A,#N/A,FALSE,"Chi tiÆt"}</definedName>
    <definedName name="_____T9" hidden="1">{#N/A,#N/A,FALSE,"Chi tiÆt"}</definedName>
    <definedName name="_____TM2" localSheetId="0" hidden="1">{"'Sheet1'!$L$16"}</definedName>
    <definedName name="_____TM2" hidden="1">{"'Sheet1'!$L$16"}</definedName>
    <definedName name="_____TT04" localSheetId="0" hidden="1">#REF!</definedName>
    <definedName name="_____TT04" hidden="1">#REF!</definedName>
    <definedName name="_____tt3" localSheetId="0" hidden="1">{"'Sheet1'!$L$16"}</definedName>
    <definedName name="_____tt3" hidden="1">{"'Sheet1'!$L$16"}</definedName>
    <definedName name="_____tu4" localSheetId="0" hidden="1">{"'Sheet1'!$L$16"}</definedName>
    <definedName name="_____tu4" hidden="1">{"'Sheet1'!$L$16"}</definedName>
    <definedName name="_____TV2" localSheetId="0" hidden="1">{"'Sheet1'!$L$16"}</definedName>
    <definedName name="_____TV2" hidden="1">{"'Sheet1'!$L$16"}</definedName>
    <definedName name="_____TH1" localSheetId="0" hidden="1">{"'Sheet1'!$L$16"}</definedName>
    <definedName name="_____TH1" hidden="1">{"'Sheet1'!$L$16"}</definedName>
    <definedName name="_____THT11" localSheetId="0" hidden="1">{"'Sheet1'!$L$16"}</definedName>
    <definedName name="_____THT11" hidden="1">{"'Sheet1'!$L$16"}</definedName>
    <definedName name="_____vpt5" localSheetId="0" hidden="1">{"'Sheet1'!$L$16"}</definedName>
    <definedName name="_____vpt5" hidden="1">{"'Sheet1'!$L$16"}</definedName>
    <definedName name="_____vpt6" localSheetId="0" hidden="1">{"'Sheet1'!$L$16"}</definedName>
    <definedName name="_____vpt6" hidden="1">{"'Sheet1'!$L$16"}</definedName>
    <definedName name="_____VT3" localSheetId="0" hidden="1">{"'Sheet1'!$L$16"}</definedName>
    <definedName name="_____VT3" hidden="1">{"'Sheet1'!$L$16"}</definedName>
    <definedName name="_____xlfn.BAHTTEXT" hidden="1">#NAME?</definedName>
    <definedName name="____10__123Graph_Aｸﾞﾗﾌ_5" localSheetId="0" hidden="1">#REF!</definedName>
    <definedName name="____10__123Graph_Aｸﾞﾗﾌ_5" hidden="1">#REF!</definedName>
    <definedName name="____12__123Graph_Xｸﾞﾗﾌ_1" localSheetId="0" hidden="1">#REF!</definedName>
    <definedName name="____12__123Graph_Xｸﾞﾗﾌ_1" hidden="1">#REF!</definedName>
    <definedName name="____14__123Graph_Xｸﾞﾗﾌ_2" localSheetId="0" hidden="1">#REF!</definedName>
    <definedName name="____14__123Graph_Xｸﾞﾗﾌ_2" hidden="1">#REF!</definedName>
    <definedName name="____16__123Graph_Xｸﾞﾗﾌ_3" localSheetId="0" hidden="1">#REF!</definedName>
    <definedName name="____16__123Graph_Xｸﾞﾗﾌ_3" hidden="1">#REF!</definedName>
    <definedName name="____18__123Graph_Xｸﾞﾗﾌ_4" localSheetId="0" hidden="1">#REF!</definedName>
    <definedName name="____18__123Graph_Xｸﾞﾗﾌ_4" hidden="1">#REF!</definedName>
    <definedName name="____2__123Graph_Aｸﾞﾗﾌ_1" localSheetId="0" hidden="1">#REF!</definedName>
    <definedName name="____2__123Graph_Aｸﾞﾗﾌ_1" hidden="1">#REF!</definedName>
    <definedName name="____20__123Graph_Xｸﾞﾗﾌ_5" localSheetId="0" hidden="1">#REF!</definedName>
    <definedName name="____20__123Graph_Xｸﾞﾗﾌ_5" hidden="1">#REF!</definedName>
    <definedName name="____4__123Graph_Aｸﾞﾗﾌ_2" localSheetId="0" hidden="1">#REF!</definedName>
    <definedName name="____4__123Graph_Aｸﾞﾗﾌ_2" hidden="1">#REF!</definedName>
    <definedName name="____6__123Graph_Aｸﾞﾗﾌ_3" localSheetId="0" hidden="1">#REF!</definedName>
    <definedName name="____6__123Graph_Aｸﾞﾗﾌ_3" hidden="1">#REF!</definedName>
    <definedName name="____8__123Graph_Aｸﾞﾗﾌ_4" localSheetId="0" hidden="1">#REF!</definedName>
    <definedName name="____8__123Graph_Aｸﾞﾗﾌ_4" hidden="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0" hidden="1">{"'Sheet1'!$L$16"}</definedName>
    <definedName name="____a2" hidden="1">{"'Sheet1'!$L$16"}</definedName>
    <definedName name="____BG12" localSheetId="0" hidden="1">{"'Sheet1'!$L$16"}</definedName>
    <definedName name="____BG12" hidden="1">{"'Sheet1'!$L$16"}</definedName>
    <definedName name="____bht6" localSheetId="0" hidden="1">{"'Sheet1'!$L$16"}</definedName>
    <definedName name="____bht6" hidden="1">{"'Sheet1'!$L$16"}</definedName>
    <definedName name="____CN1" localSheetId="0" hidden="1">{"'Sheet1'!$L$16"}</definedName>
    <definedName name="____CN1" hidden="1">{"'Sheet1'!$L$16"}</definedName>
    <definedName name="____ct2005" localSheetId="0" hidden="1">{"'Sheet1'!$L$16"}</definedName>
    <definedName name="____ct2005" hidden="1">{"'Sheet1'!$L$16"}</definedName>
    <definedName name="____CT4" localSheetId="0" hidden="1">{"'Sheet1'!$L$16"}</definedName>
    <definedName name="____CT4" hidden="1">{"'Sheet1'!$L$16"}</definedName>
    <definedName name="____d1500" localSheetId="0" hidden="1">{"'Sheet1'!$L$16"}</definedName>
    <definedName name="____d1500" hidden="1">{"'Sheet1'!$L$16"}</definedName>
    <definedName name="____DT10" localSheetId="0" hidden="1">{"'Sheet1'!$L$16"}</definedName>
    <definedName name="____DT10" hidden="1">{"'Sheet1'!$L$16"}</definedName>
    <definedName name="____FAB4" localSheetId="10" hidden="1">#REF!</definedName>
    <definedName name="____FAB4" hidden="1">#REF!</definedName>
    <definedName name="____G4211" localSheetId="0" hidden="1">{"'Sheet1'!$L$16"}</definedName>
    <definedName name="____G4211" hidden="1">{"'Sheet1'!$L$16"}</definedName>
    <definedName name="____Goi8" localSheetId="0" hidden="1">{"'Sheet1'!$L$16"}</definedName>
    <definedName name="____Goi8" hidden="1">{"'Sheet1'!$L$16"}</definedName>
    <definedName name="____h1" localSheetId="0" hidden="1">{"'Sheet1'!$L$16"}</definedName>
    <definedName name="____h1" hidden="1">{"'Sheet1'!$L$16"}</definedName>
    <definedName name="____h12" localSheetId="0" hidden="1">{"'Sheet1'!$L$16"}</definedName>
    <definedName name="____h12" hidden="1">{"'Sheet1'!$L$16"}</definedName>
    <definedName name="____hh1219" localSheetId="0" hidden="1">{"'Sheet1'!$L$16"}</definedName>
    <definedName name="____hh1219"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huy1" localSheetId="0" hidden="1">{"'Sheet1'!$L$16"}</definedName>
    <definedName name="____huy1" hidden="1">{"'Sheet1'!$L$16"}</definedName>
    <definedName name="____huy2" localSheetId="0" hidden="1">{"'Sheet1'!$L$16"}</definedName>
    <definedName name="____huy2" hidden="1">{"'Sheet1'!$L$16"}</definedName>
    <definedName name="____key2" localSheetId="0" hidden="1">#REF!</definedName>
    <definedName name="____key2" hidden="1">#REF!</definedName>
    <definedName name="____Lan1" localSheetId="0" hidden="1">{"'Sheet1'!$L$16"}</definedName>
    <definedName name="____Lan1" hidden="1">{"'Sheet1'!$L$16"}</definedName>
    <definedName name="____Lan2" localSheetId="0" hidden="1">{"'Sheet1'!$L$16"}</definedName>
    <definedName name="____Lan2" hidden="1">{"'Sheet1'!$L$16"}</definedName>
    <definedName name="____LAN3" localSheetId="0" hidden="1">{"'Sheet1'!$L$16"}</definedName>
    <definedName name="____LAN3" hidden="1">{"'Sheet1'!$L$16"}</definedName>
    <definedName name="____ld2" localSheetId="0" hidden="1">{"'Sheet1'!$L$16"}</definedName>
    <definedName name="____ld2" hidden="1">{"'Sheet1'!$L$16"}</definedName>
    <definedName name="____lop111" localSheetId="0" hidden="1">{#N/A,#N/A,FALSE,"特殊室（ＢＱ表）"}</definedName>
    <definedName name="____lop111" hidden="1">{#N/A,#N/A,FALSE,"特殊室（ＢＱ表）"}</definedName>
    <definedName name="____M2" localSheetId="0" hidden="1">{"'Sheet1'!$L$16"}</definedName>
    <definedName name="____M2" hidden="1">{"'Sheet1'!$L$16"}</definedName>
    <definedName name="____m4" localSheetId="0" hidden="1">{"'Sheet1'!$L$16"}</definedName>
    <definedName name="____m4" hidden="1">{"'Sheet1'!$L$16"}</definedName>
    <definedName name="____MCC3" localSheetId="0" hidden="1">{#N/A,#N/A,FALSE,"CCTV"}</definedName>
    <definedName name="____MCC3" hidden="1">{#N/A,#N/A,FALSE,"CCTV"}</definedName>
    <definedName name="____NO1" localSheetId="0" hidden="1">#REF!</definedName>
    <definedName name="____NO1" hidden="1">#REF!</definedName>
    <definedName name="____NO2" localSheetId="0" hidden="1">#REF!</definedName>
    <definedName name="____NO2" hidden="1">#REF!</definedName>
    <definedName name="____nso1" localSheetId="0" hidden="1">{"'Sheet1'!$L$16"}</definedName>
    <definedName name="____nso1" hidden="1">{"'Sheet1'!$L$16"}</definedName>
    <definedName name="____NSO2" localSheetId="0" hidden="1">{"'Sheet1'!$L$16"}</definedName>
    <definedName name="____NSO2" hidden="1">{"'Sheet1'!$L$16"}</definedName>
    <definedName name="____P3" localSheetId="0" hidden="1">{#N/A,#N/A,FALSE,"特殊室（ＢＱ表）"}</definedName>
    <definedName name="____P3" hidden="1">{#N/A,#N/A,FALSE,"特殊室（ＢＱ表）"}</definedName>
    <definedName name="____PA3" localSheetId="0" hidden="1">{"'Sheet1'!$L$16"}</definedName>
    <definedName name="____PA3" hidden="1">{"'Sheet1'!$L$16"}</definedName>
    <definedName name="____PPP3" localSheetId="0" hidden="1">{#N/A,#N/A,FALSE,"特殊室（ＢＱ表）"}</definedName>
    <definedName name="____PPP3" hidden="1">{#N/A,#N/A,FALSE,"特殊室（ＢＱ表）"}</definedName>
    <definedName name="____PPP33" localSheetId="0" hidden="1">{#N/A,#N/A,FALSE,"特殊室（ＢＱ表）"}</definedName>
    <definedName name="____PPP33" hidden="1">{#N/A,#N/A,FALSE,"特殊室（ＢＱ表）"}</definedName>
    <definedName name="____ppp34" localSheetId="0" hidden="1">{#N/A,#N/A,FALSE,"特殊室（ＢＱ表）"}</definedName>
    <definedName name="____ppp34" hidden="1">{#N/A,#N/A,FALSE,"特殊室（ＢＱ表）"}</definedName>
    <definedName name="____ppp3444" localSheetId="0" hidden="1">{#N/A,#N/A,FALSE,"特殊室（ＢＱ表）"}</definedName>
    <definedName name="____ppp3444" hidden="1">{#N/A,#N/A,FALSE,"特殊室（ＢＱ表）"}</definedName>
    <definedName name="____Rh90" localSheetId="0" hidden="1">{"'Sheet1'!$L$16"}</definedName>
    <definedName name="____Rh90" hidden="1">{"'Sheet1'!$L$16"}</definedName>
    <definedName name="____SCL4" localSheetId="0" hidden="1">{"'Sheet1'!$L$16"}</definedName>
    <definedName name="____SCL4" hidden="1">{"'Sheet1'!$L$16"}</definedName>
    <definedName name="____sxt5" localSheetId="0" hidden="1">{"'Sheet1'!$L$16"}</definedName>
    <definedName name="____sxt5" hidden="1">{"'Sheet1'!$L$16"}</definedName>
    <definedName name="____T1" localSheetId="0" hidden="1">{#N/A,#N/A,FALSE,"Chi tiÆt"}</definedName>
    <definedName name="____T1" hidden="1">{#N/A,#N/A,FALSE,"Chi tiÆt"}</definedName>
    <definedName name="____T10" localSheetId="0" hidden="1">{"'Sheet1'!$L$16"}</definedName>
    <definedName name="____T10" hidden="1">{"'Sheet1'!$L$16"}</definedName>
    <definedName name="____t2" localSheetId="0" hidden="1">{"'Sheet1'!$L$16"}</definedName>
    <definedName name="____t2" hidden="1">{"'Sheet1'!$L$16"}</definedName>
    <definedName name="____T3" localSheetId="0" hidden="1">{"'Sheet1'!$L$16"}</definedName>
    <definedName name="____T3" hidden="1">{"'Sheet1'!$L$16"}</definedName>
    <definedName name="____T4" localSheetId="0" hidden="1">{"'Sheet1'!$L$16"}</definedName>
    <definedName name="____T4" hidden="1">{"'Sheet1'!$L$16"}</definedName>
    <definedName name="____t5" localSheetId="0" hidden="1">{"'Sheet1'!$L$16"}</definedName>
    <definedName name="____t5" hidden="1">{"'Sheet1'!$L$16"}</definedName>
    <definedName name="____T9" localSheetId="0" hidden="1">{#N/A,#N/A,FALSE,"Chi tiÆt"}</definedName>
    <definedName name="____T9" hidden="1">{#N/A,#N/A,FALSE,"Chi tiÆt"}</definedName>
    <definedName name="____TM2" localSheetId="0" hidden="1">{"'Sheet1'!$L$16"}</definedName>
    <definedName name="____TM2" hidden="1">{"'Sheet1'!$L$16"}</definedName>
    <definedName name="____TT04" localSheetId="0" hidden="1">#REF!</definedName>
    <definedName name="____TT04" hidden="1">#REF!</definedName>
    <definedName name="____tt3" localSheetId="0" hidden="1">{"'Sheet1'!$L$16"}</definedName>
    <definedName name="____tt3" hidden="1">{"'Sheet1'!$L$16"}</definedName>
    <definedName name="____ttt1" localSheetId="0" hidden="1">{"'Sheet1'!$L$16"}</definedName>
    <definedName name="____ttt1" hidden="1">{"'Sheet1'!$L$16"}</definedName>
    <definedName name="____tu4" localSheetId="0" hidden="1">{"'Sheet1'!$L$16"}</definedName>
    <definedName name="____tu4" hidden="1">{"'Sheet1'!$L$16"}</definedName>
    <definedName name="____TV2" localSheetId="0" hidden="1">{"'Sheet1'!$L$16"}</definedName>
    <definedName name="____TV2" hidden="1">{"'Sheet1'!$L$16"}</definedName>
    <definedName name="____TH1" localSheetId="0" hidden="1">{"'Sheet1'!$L$16"}</definedName>
    <definedName name="____TH1" hidden="1">{"'Sheet1'!$L$16"}</definedName>
    <definedName name="____THT11" localSheetId="0" hidden="1">{"'Sheet1'!$L$16"}</definedName>
    <definedName name="____THT11" hidden="1">{"'Sheet1'!$L$16"}</definedName>
    <definedName name="____vpt5" localSheetId="0" hidden="1">{"'Sheet1'!$L$16"}</definedName>
    <definedName name="____vpt5" hidden="1">{"'Sheet1'!$L$16"}</definedName>
    <definedName name="____vpt6" localSheetId="0" hidden="1">{"'Sheet1'!$L$16"}</definedName>
    <definedName name="____vpt6" hidden="1">{"'Sheet1'!$L$16"}</definedName>
    <definedName name="____VT3" localSheetId="0" hidden="1">{"'Sheet1'!$L$16"}</definedName>
    <definedName name="____VT3" hidden="1">{"'Sheet1'!$L$16"}</definedName>
    <definedName name="____xlfn.BAHTTEXT" hidden="1">#NAME?</definedName>
    <definedName name="___1__123Graph_Aｸﾞﾗﾌ_1" localSheetId="0" hidden="1">#REF!</definedName>
    <definedName name="___1__123Graph_Aｸﾞﾗﾌ_1" hidden="1">#REF!</definedName>
    <definedName name="___10__123Graph_Aｸﾞﾗﾌ_5" localSheetId="0" hidden="1">#REF!</definedName>
    <definedName name="___10__123Graph_Aｸﾞﾗﾌ_5" hidden="1">#REF!</definedName>
    <definedName name="___10__123Graph_Xｸﾞﾗﾌ_3" localSheetId="0" hidden="1">#REF!</definedName>
    <definedName name="___10__123Graph_Xｸﾞﾗﾌ_3" hidden="1">#REF!</definedName>
    <definedName name="___10__123Graph_Xｸﾞﾗﾌ_5" localSheetId="0" hidden="1">#REF!</definedName>
    <definedName name="___10__123Graph_Xｸﾞﾗﾌ_5" hidden="1">#REF!</definedName>
    <definedName name="___11__123Graph_Xｸﾞﾗﾌ_1" localSheetId="0" hidden="1">#REF!</definedName>
    <definedName name="___11__123Graph_Xｸﾞﾗﾌ_1" hidden="1">#REF!</definedName>
    <definedName name="___11__123Graph_Xｸﾞﾗﾌ_4" localSheetId="0" hidden="1">#REF!</definedName>
    <definedName name="___11__123Graph_Xｸﾞﾗﾌ_4" hidden="1">#REF!</definedName>
    <definedName name="___12__123Graph_Xｸﾞﾗﾌ_1" localSheetId="0" hidden="1">#REF!</definedName>
    <definedName name="___12__123Graph_Xｸﾞﾗﾌ_1" hidden="1">#REF!</definedName>
    <definedName name="___12__123Graph_Xｸﾞﾗﾌ_2" localSheetId="0" hidden="1">#REF!</definedName>
    <definedName name="___12__123Graph_Xｸﾞﾗﾌ_2" hidden="1">#REF!</definedName>
    <definedName name="___12__123Graph_Xｸﾞﾗﾌ_5" localSheetId="0" hidden="1">#REF!</definedName>
    <definedName name="___12__123Graph_Xｸﾞﾗﾌ_5" hidden="1">#REF!</definedName>
    <definedName name="___13__123Graph_Xｸﾞﾗﾌ_3" localSheetId="0" hidden="1">#REF!</definedName>
    <definedName name="___13__123Graph_Xｸﾞﾗﾌ_3" hidden="1">#REF!</definedName>
    <definedName name="___14__123Graph_Xｸﾞﾗﾌ_2" localSheetId="0" hidden="1">#REF!</definedName>
    <definedName name="___14__123Graph_Xｸﾞﾗﾌ_2" hidden="1">#REF!</definedName>
    <definedName name="___14__123Graph_Xｸﾞﾗﾌ_4" localSheetId="0" hidden="1">#REF!</definedName>
    <definedName name="___14__123Graph_Xｸﾞﾗﾌ_4" hidden="1">#REF!</definedName>
    <definedName name="___15__123Graph_Xｸﾞﾗﾌ_5" localSheetId="0" hidden="1">#REF!</definedName>
    <definedName name="___15__123Graph_Xｸﾞﾗﾌ_5" hidden="1">#REF!</definedName>
    <definedName name="___16__123Graph_Xｸﾞﾗﾌ_3" localSheetId="0" hidden="1">#REF!</definedName>
    <definedName name="___16__123Graph_Xｸﾞﾗﾌ_3" hidden="1">#REF!</definedName>
    <definedName name="___18__123Graph_Xｸﾞﾗﾌ_4" localSheetId="0" hidden="1">#REF!</definedName>
    <definedName name="___18__123Graph_Xｸﾞﾗﾌ_4" hidden="1">#REF!</definedName>
    <definedName name="___2__123Graph_Aｸﾞﾗﾌ_1" localSheetId="0" hidden="1">#REF!</definedName>
    <definedName name="___2__123Graph_Aｸﾞﾗﾌ_1" hidden="1">#REF!</definedName>
    <definedName name="___2__123Graph_Aｸﾞﾗﾌ_2" localSheetId="0" hidden="1">#REF!</definedName>
    <definedName name="___2__123Graph_Aｸﾞﾗﾌ_2" hidden="1">#REF!</definedName>
    <definedName name="___20__123Graph_Xｸﾞﾗﾌ_5" localSheetId="0" hidden="1">#REF!</definedName>
    <definedName name="___20__123Graph_Xｸﾞﾗﾌ_5" hidden="1">#REF!</definedName>
    <definedName name="___3__123Graph_Aｸﾞﾗﾌ_1" localSheetId="0" hidden="1">#REF!</definedName>
    <definedName name="___3__123Graph_Aｸﾞﾗﾌ_1" hidden="1">#REF!</definedName>
    <definedName name="___3__123Graph_Aｸﾞﾗﾌ_2" localSheetId="0" hidden="1">#REF!</definedName>
    <definedName name="___3__123Graph_Aｸﾞﾗﾌ_2" hidden="1">#REF!</definedName>
    <definedName name="___3__123Graph_Aｸﾞﾗﾌ_3" localSheetId="0" hidden="1">#REF!</definedName>
    <definedName name="___3__123Graph_Aｸﾞﾗﾌ_3" hidden="1">#REF!</definedName>
    <definedName name="___4__123Graph_Aｸﾞﾗﾌ_1" localSheetId="0" hidden="1">#REF!</definedName>
    <definedName name="___4__123Graph_Aｸﾞﾗﾌ_1" hidden="1">#REF!</definedName>
    <definedName name="___4__123Graph_Aｸﾞﾗﾌ_2" localSheetId="10" hidden="1">#REF!</definedName>
    <definedName name="___4__123Graph_Aｸﾞﾗﾌ_2" hidden="1">#REF!</definedName>
    <definedName name="___4__123Graph_Aｸﾞﾗﾌ_3" localSheetId="0" hidden="1">#REF!</definedName>
    <definedName name="___4__123Graph_Aｸﾞﾗﾌ_3" hidden="1">#REF!</definedName>
    <definedName name="___4__123Graph_Aｸﾞﾗﾌ_4" localSheetId="0" hidden="1">#REF!</definedName>
    <definedName name="___4__123Graph_Aｸﾞﾗﾌ_4" hidden="1">#REF!</definedName>
    <definedName name="___5__123Graph_Aｸﾞﾗﾌ_3" localSheetId="0" hidden="1">#REF!</definedName>
    <definedName name="___5__123Graph_Aｸﾞﾗﾌ_3" hidden="1">#REF!</definedName>
    <definedName name="___5__123Graph_Aｸﾞﾗﾌ_4" localSheetId="0" hidden="1">#REF!</definedName>
    <definedName name="___5__123Graph_Aｸﾞﾗﾌ_4" hidden="1">#REF!</definedName>
    <definedName name="___5__123Graph_Aｸﾞﾗﾌ_5" localSheetId="0" hidden="1">#REF!</definedName>
    <definedName name="___5__123Graph_Aｸﾞﾗﾌ_5" hidden="1">#REF!</definedName>
    <definedName name="___6__123Graph_Aｸﾞﾗﾌ_3" localSheetId="0" hidden="1">#REF!</definedName>
    <definedName name="___6__123Graph_Aｸﾞﾗﾌ_3" hidden="1">#REF!</definedName>
    <definedName name="___6__123Graph_Aｸﾞﾗﾌ_4" localSheetId="0" hidden="1">#REF!</definedName>
    <definedName name="___6__123Graph_Aｸﾞﾗﾌ_4" hidden="1">#REF!</definedName>
    <definedName name="___6__123Graph_Aｸﾞﾗﾌ_5" localSheetId="0" hidden="1">#REF!</definedName>
    <definedName name="___6__123Graph_Aｸﾞﾗﾌ_5" hidden="1">#REF!</definedName>
    <definedName name="___6__123Graph_Xｸﾞﾗﾌ_1" localSheetId="0" hidden="1">#REF!</definedName>
    <definedName name="___6__123Graph_Xｸﾞﾗﾌ_1" hidden="1">#REF!</definedName>
    <definedName name="___7__123Graph_Aｸﾞﾗﾌ_5" localSheetId="0" hidden="1">#REF!</definedName>
    <definedName name="___7__123Graph_Aｸﾞﾗﾌ_5" hidden="1">#REF!</definedName>
    <definedName name="___7__123Graph_Xｸﾞﾗﾌ_2" localSheetId="0" hidden="1">#REF!</definedName>
    <definedName name="___7__123Graph_Xｸﾞﾗﾌ_2" hidden="1">#REF!</definedName>
    <definedName name="___8__123Graph_Aｸﾞﾗﾌ_4" localSheetId="0" hidden="1">#REF!</definedName>
    <definedName name="___8__123Graph_Aｸﾞﾗﾌ_4" hidden="1">#REF!</definedName>
    <definedName name="___8__123Graph_Xｸﾞﾗﾌ_1" localSheetId="0" hidden="1">#REF!</definedName>
    <definedName name="___8__123Graph_Xｸﾞﾗﾌ_1" hidden="1">#REF!</definedName>
    <definedName name="___8__123Graph_Xｸﾞﾗﾌ_3" localSheetId="0" hidden="1">#REF!</definedName>
    <definedName name="___8__123Graph_Xｸﾞﾗﾌ_3" hidden="1">#REF!</definedName>
    <definedName name="___9__123Graph_Xｸﾞﾗﾌ_2" localSheetId="0" hidden="1">#REF!</definedName>
    <definedName name="___9__123Graph_Xｸﾞﾗﾌ_2" hidden="1">#REF!</definedName>
    <definedName name="___9__123Graph_Xｸﾞﾗﾌ_4" localSheetId="0" hidden="1">#REF!</definedName>
    <definedName name="___9__123Graph_Xｸﾞﾗﾌ_4" hidden="1">#REF!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4" localSheetId="0" hidden="1">{"'Sheet1'!$L$16"}</definedName>
    <definedName name="___A4" hidden="1">{"'Sheet1'!$L$16"}</definedName>
    <definedName name="___BG12" localSheetId="0" hidden="1">{"'Sheet1'!$L$16"}</definedName>
    <definedName name="___BG12" hidden="1">{"'Sheet1'!$L$16"}</definedName>
    <definedName name="___bht6" localSheetId="0" hidden="1">{"'Sheet1'!$L$16"}</definedName>
    <definedName name="___bht6" hidden="1">{"'Sheet1'!$L$16"}</definedName>
    <definedName name="___CN1" localSheetId="0" hidden="1">{"'Sheet1'!$L$16"}</definedName>
    <definedName name="___CN1" hidden="1">{"'Sheet1'!$L$16"}</definedName>
    <definedName name="___ct2005" localSheetId="0" hidden="1">{"'Sheet1'!$L$16"}</definedName>
    <definedName name="___ct2005" hidden="1">{"'Sheet1'!$L$16"}</definedName>
    <definedName name="___Cty501" localSheetId="0" hidden="1">{"'Sheet1'!$L$16"}</definedName>
    <definedName name="___Cty501" hidden="1">{"'Sheet1'!$L$16"}</definedName>
    <definedName name="___d1500" localSheetId="0" hidden="1">{"'Sheet1'!$L$16"}</definedName>
    <definedName name="___d1500" hidden="1">{"'Sheet1'!$L$16"}</definedName>
    <definedName name="___dt1" localSheetId="0" hidden="1">{"'Sheet1'!$L$16"}</definedName>
    <definedName name="___dt1" hidden="1">{"'Sheet1'!$L$16"}</definedName>
    <definedName name="___DT10" localSheetId="0" hidden="1">{"'Sheet1'!$L$16"}</definedName>
    <definedName name="___DT10" hidden="1">{"'Sheet1'!$L$16"}</definedName>
    <definedName name="___f5" localSheetId="0" hidden="1">{"'Sheet1'!$L$16"}</definedName>
    <definedName name="___f5" hidden="1">{"'Sheet1'!$L$16"}</definedName>
    <definedName name="___FAB4" localSheetId="0" hidden="1">#REF!</definedName>
    <definedName name="___FAB4" hidden="1">#REF!</definedName>
    <definedName name="___Goi8" localSheetId="0" hidden="1">{"'Sheet1'!$L$16"}</definedName>
    <definedName name="___Goi8" hidden="1">{"'Sheet1'!$L$16"}</definedName>
    <definedName name="___h1" localSheetId="0" hidden="1">{"'Sheet1'!$L$16"}</definedName>
    <definedName name="___h1" hidden="1">{"'Sheet1'!$L$16"}</definedName>
    <definedName name="___hh1219" localSheetId="0" hidden="1">{"'Sheet1'!$L$16"}</definedName>
    <definedName name="___hh1219"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huy1" localSheetId="0" hidden="1">{"'Sheet1'!$L$16"}</definedName>
    <definedName name="___huy1" hidden="1">{"'Sheet1'!$L$16"}</definedName>
    <definedName name="___huy2" localSheetId="0" hidden="1">{"'Sheet1'!$L$16"}</definedName>
    <definedName name="___huy2" hidden="1">{"'Sheet1'!$L$16"}</definedName>
    <definedName name="___key1" localSheetId="0" hidden="1">#REF!</definedName>
    <definedName name="___key1" hidden="1">#REF!</definedName>
    <definedName name="___key2" localSheetId="10" hidden="1">#REF!</definedName>
    <definedName name="___key2" hidden="1">#REF!</definedName>
    <definedName name="___Lan1" localSheetId="0" hidden="1">{"'Sheet1'!$L$16"}</definedName>
    <definedName name="___Lan1" hidden="1">{"'Sheet1'!$L$16"}</definedName>
    <definedName name="___Lan2" localSheetId="0" hidden="1">{"'Sheet1'!$L$16"}</definedName>
    <definedName name="___Lan2" hidden="1">{"'Sheet1'!$L$16"}</definedName>
    <definedName name="___LAN3" localSheetId="0" hidden="1">{"'Sheet1'!$L$16"}</definedName>
    <definedName name="___LAN3" hidden="1">{"'Sheet1'!$L$16"}</definedName>
    <definedName name="___lao2" localSheetId="0" hidden="1">{"'Sheet1'!$L$16"}</definedName>
    <definedName name="___lao2" hidden="1">{"'Sheet1'!$L$16"}</definedName>
    <definedName name="___ld2" localSheetId="0" hidden="1">{"'Sheet1'!$L$16"}</definedName>
    <definedName name="___ld2" hidden="1">{"'Sheet1'!$L$16"}</definedName>
    <definedName name="___lop111" localSheetId="0" hidden="1">{#N/A,#N/A,FALSE,"特殊室（ＢＱ表）"}</definedName>
    <definedName name="___lop111" hidden="1">{#N/A,#N/A,FALSE,"特殊室（ＢＱ表）"}</definedName>
    <definedName name="___M2" localSheetId="0" hidden="1">{"'Sheet1'!$L$16"}</definedName>
    <definedName name="___M2" hidden="1">{"'Sheet1'!$L$16"}</definedName>
    <definedName name="___m4" localSheetId="0" hidden="1">{"'Sheet1'!$L$16"}</definedName>
    <definedName name="___m4" hidden="1">{"'Sheet1'!$L$16"}</definedName>
    <definedName name="___MCC3" localSheetId="0" hidden="1">{#N/A,#N/A,FALSE,"CCTV"}</definedName>
    <definedName name="___MCC3" hidden="1">{#N/A,#N/A,FALSE,"CCTV"}</definedName>
    <definedName name="___MEP2" localSheetId="0" hidden="1">{#N/A,#N/A,FALSE,"CCTV"}</definedName>
    <definedName name="___MEP2" hidden="1">{#N/A,#N/A,FALSE,"CCTV"}</definedName>
    <definedName name="___NK5" localSheetId="0" hidden="1">{"'Sheet1'!$L$16"}</definedName>
    <definedName name="___NK5" hidden="1">{"'Sheet1'!$L$16"}</definedName>
    <definedName name="___NO1" localSheetId="0" hidden="1">#REF!</definedName>
    <definedName name="___NO1" hidden="1">#REF!</definedName>
    <definedName name="___NO2" localSheetId="0" hidden="1">#REF!</definedName>
    <definedName name="___NO2" hidden="1">#REF!</definedName>
    <definedName name="___nso1" localSheetId="0" hidden="1">{"'Sheet1'!$L$16"}</definedName>
    <definedName name="___nso1" hidden="1">{"'Sheet1'!$L$16"}</definedName>
    <definedName name="___NSO2" localSheetId="0" hidden="1">{"'Sheet1'!$L$16"}</definedName>
    <definedName name="___NSO2" hidden="1">{"'Sheet1'!$L$16"}</definedName>
    <definedName name="___P3" localSheetId="0" hidden="1">{#N/A,#N/A,FALSE,"特殊室（ＢＱ表）"}</definedName>
    <definedName name="___P3" hidden="1">{#N/A,#N/A,FALSE,"特殊室（ＢＱ表）"}</definedName>
    <definedName name="___PA3" localSheetId="0" hidden="1">{"'Sheet1'!$L$16"}</definedName>
    <definedName name="___PA3" hidden="1">{"'Sheet1'!$L$16"}</definedName>
    <definedName name="___PPP3" localSheetId="0" hidden="1">{#N/A,#N/A,FALSE,"特殊室（ＢＱ表）"}</definedName>
    <definedName name="___PPP3" hidden="1">{#N/A,#N/A,FALSE,"特殊室（ＢＱ表）"}</definedName>
    <definedName name="___PPP33" localSheetId="0" hidden="1">{#N/A,#N/A,FALSE,"特殊室（ＢＱ表）"}</definedName>
    <definedName name="___PPP33" hidden="1">{#N/A,#N/A,FALSE,"特殊室（ＢＱ表）"}</definedName>
    <definedName name="___ppp34" localSheetId="0" hidden="1">{#N/A,#N/A,FALSE,"特殊室（ＢＱ表）"}</definedName>
    <definedName name="___ppp34" hidden="1">{#N/A,#N/A,FALSE,"特殊室（ＢＱ表）"}</definedName>
    <definedName name="___ppp3444" localSheetId="0" hidden="1">{#N/A,#N/A,FALSE,"特殊室（ＢＱ表）"}</definedName>
    <definedName name="___ppp3444" hidden="1">{#N/A,#N/A,FALSE,"特殊室（ＢＱ表）"}</definedName>
    <definedName name="___SCL4" localSheetId="0" hidden="1">{"'Sheet1'!$L$16"}</definedName>
    <definedName name="___SCL4" hidden="1">{"'Sheet1'!$L$16"}</definedName>
    <definedName name="___sxt5" localSheetId="0" hidden="1">{"'Sheet1'!$L$16"}</definedName>
    <definedName name="___sxt5" hidden="1">{"'Sheet1'!$L$16"}</definedName>
    <definedName name="___T04" localSheetId="0" hidden="1">{#N/A,#N/A,FALSE,"CCTV"}</definedName>
    <definedName name="___T04" hidden="1">{#N/A,#N/A,FALSE,"CCTV"}</definedName>
    <definedName name="___T1" localSheetId="0" hidden="1">{#N/A,#N/A,FALSE,"Chi tiÆt"}</definedName>
    <definedName name="___T1" hidden="1">{#N/A,#N/A,FALSE,"Chi tiÆt"}</definedName>
    <definedName name="___T10" localSheetId="0" hidden="1">{"'Sheet1'!$L$16"}</definedName>
    <definedName name="___T10" hidden="1">{"'Sheet1'!$L$16"}</definedName>
    <definedName name="___t112" localSheetId="0" hidden="1">{#N/A,#N/A,FALSE,"Chi tiÆt"}</definedName>
    <definedName name="___t112" hidden="1">{#N/A,#N/A,FALSE,"Chi tiÆt"}</definedName>
    <definedName name="___T2" localSheetId="0" hidden="1">{"'Sheet1'!$L$16"}</definedName>
    <definedName name="___T2" hidden="1">{"'Sheet1'!$L$16"}</definedName>
    <definedName name="___T3" localSheetId="0" hidden="1">{"'Sheet1'!$L$16"}</definedName>
    <definedName name="___T3" hidden="1">{"'Sheet1'!$L$16"}</definedName>
    <definedName name="___t5" localSheetId="0" hidden="1">{"'Sheet1'!$L$16"}</definedName>
    <definedName name="___t5" hidden="1">{"'Sheet1'!$L$16"}</definedName>
    <definedName name="___t9" localSheetId="0" hidden="1">{"'Sheet1'!$L$16"}</definedName>
    <definedName name="___t9" hidden="1">{"'Sheet1'!$L$16"}</definedName>
    <definedName name="___TK211" localSheetId="0" hidden="1">{"'Sheet1'!$L$16"}</definedName>
    <definedName name="___TK211" hidden="1">{"'Sheet1'!$L$16"}</definedName>
    <definedName name="___TM2" localSheetId="0" hidden="1">{"'Sheet1'!$L$16"}</definedName>
    <definedName name="___TM2" hidden="1">{"'Sheet1'!$L$16"}</definedName>
    <definedName name="___TT04" localSheetId="0" hidden="1">#REF!</definedName>
    <definedName name="___TT04" hidden="1">#REF!</definedName>
    <definedName name="___tt3" localSheetId="0" hidden="1">{"'Sheet1'!$L$16"}</definedName>
    <definedName name="___tt3" hidden="1">{"'Sheet1'!$L$16"}</definedName>
    <definedName name="___ttt1" localSheetId="0" hidden="1">{"'Sheet1'!$L$16"}</definedName>
    <definedName name="___ttt1" hidden="1">{"'Sheet1'!$L$16"}</definedName>
    <definedName name="___tu4" localSheetId="0" hidden="1">{"'Sheet1'!$L$16"}</definedName>
    <definedName name="___tu4" hidden="1">{"'Sheet1'!$L$16"}</definedName>
    <definedName name="___TV2" localSheetId="0" hidden="1">{"'Sheet1'!$L$16"}</definedName>
    <definedName name="___TV2" hidden="1">{"'Sheet1'!$L$16"}</definedName>
    <definedName name="___TH1" localSheetId="0" hidden="1">{"'Sheet1'!$L$16"}</definedName>
    <definedName name="___TH1" hidden="1">{"'Sheet1'!$L$16"}</definedName>
    <definedName name="___THT11" localSheetId="0" hidden="1">{"'Sheet1'!$L$16"}</definedName>
    <definedName name="___THT11" hidden="1">{"'Sheet1'!$L$16"}</definedName>
    <definedName name="___vpt5" localSheetId="0" hidden="1">{"'Sheet1'!$L$16"}</definedName>
    <definedName name="___vpt5" hidden="1">{"'Sheet1'!$L$16"}</definedName>
    <definedName name="___vpt6" localSheetId="0" hidden="1">{"'Sheet1'!$L$16"}</definedName>
    <definedName name="___vpt6" hidden="1">{"'Sheet1'!$L$16"}</definedName>
    <definedName name="___VT3" localSheetId="0" hidden="1">{"'Sheet1'!$L$16"}</definedName>
    <definedName name="___VT3" hidden="1">{"'Sheet1'!$L$16"}</definedName>
    <definedName name="___xlfn.BAHTTEXT" hidden="1">#NAME?</definedName>
    <definedName name="__1__123Graph_A????_1" localSheetId="0" hidden="1">#REF!</definedName>
    <definedName name="__1__123Graph_A????_1" hidden="1">#REF!</definedName>
    <definedName name="__1__123Graph_ACHART_1" localSheetId="10" hidden="1">#REF!</definedName>
    <definedName name="__1__123Graph_ACHART_1" hidden="1">#REF!</definedName>
    <definedName name="__1__123Graph_Aｸﾞﾗﾌ_1" localSheetId="0" hidden="1">#REF!</definedName>
    <definedName name="__1__123Graph_Aｸﾞﾗﾌ_1" hidden="1">#REF!</definedName>
    <definedName name="__10__123Graph_Aｸﾞﾗﾌ_1" localSheetId="0" hidden="1">#REF!</definedName>
    <definedName name="__10__123Graph_Aｸﾞﾗﾌ_1" hidden="1">#REF!</definedName>
    <definedName name="__10__123Graph_Aｸﾞﾗﾌ_2" localSheetId="0" hidden="1">#REF!</definedName>
    <definedName name="__10__123Graph_Aｸﾞﾗﾌ_2" hidden="1">#REF!</definedName>
    <definedName name="__10__123Graph_Aｸﾞﾗﾌ_5" localSheetId="0" hidden="1">#REF!</definedName>
    <definedName name="__10__123Graph_Aｸﾞﾗﾌ_5" hidden="1">#REF!</definedName>
    <definedName name="__10__123Graph_DCHART_1" localSheetId="10" hidden="1">#REF!</definedName>
    <definedName name="__10__123Graph_DCHART_1" hidden="1">#REF!</definedName>
    <definedName name="__10__123Graph_Xｸﾞﾗﾌ_3" localSheetId="0" hidden="1">#REF!</definedName>
    <definedName name="__10__123Graph_Xｸﾞﾗﾌ_3" hidden="1">#REF!</definedName>
    <definedName name="__10__123Graph_Xｸﾞﾗﾌ_5" localSheetId="0" hidden="1">#REF!</definedName>
    <definedName name="__10__123Graph_Xｸﾞﾗﾌ_5" hidden="1">#REF!</definedName>
    <definedName name="__100__123Graph_Xｸﾞﾗﾌ_5" localSheetId="0" hidden="1">#REF!</definedName>
    <definedName name="__100__123Graph_Xｸﾞﾗﾌ_5" hidden="1">#REF!</definedName>
    <definedName name="__11__123Graph_Aｸﾞﾗﾌ_3" localSheetId="0" hidden="1">#REF!</definedName>
    <definedName name="__11__123Graph_Aｸﾞﾗﾌ_3" hidden="1">#REF!</definedName>
    <definedName name="__11__123Graph_Aｸﾞﾗﾌ_5" localSheetId="0" hidden="1">#REF!</definedName>
    <definedName name="__11__123Graph_Aｸﾞﾗﾌ_5" hidden="1">#REF!</definedName>
    <definedName name="__11__123Graph_X????_1" localSheetId="0" hidden="1">#REF!</definedName>
    <definedName name="__11__123Graph_X????_1" hidden="1">#REF!</definedName>
    <definedName name="__11__123Graph_Xｸﾞﾗﾌ_1" localSheetId="10" hidden="1">#REF!</definedName>
    <definedName name="__11__123Graph_Xｸﾞﾗﾌ_1" hidden="1">#REF!</definedName>
    <definedName name="__11__123Graph_Xｸﾞﾗﾌ_4" localSheetId="0" hidden="1">#REF!</definedName>
    <definedName name="__11__123Graph_Xｸﾞﾗﾌ_4" hidden="1">#REF!</definedName>
    <definedName name="__12__123Graph_Aｸﾞﾗﾌ_3" localSheetId="0" hidden="1">#REF!</definedName>
    <definedName name="__12__123Graph_Aｸﾞﾗﾌ_3" hidden="1">#REF!</definedName>
    <definedName name="__12__123Graph_Aｸﾞﾗﾌ_4" localSheetId="0" hidden="1">#REF!</definedName>
    <definedName name="__12__123Graph_Aｸﾞﾗﾌ_4" hidden="1">#REF!</definedName>
    <definedName name="__12__123Graph_X????_2" localSheetId="0" hidden="1">#REF!</definedName>
    <definedName name="__12__123Graph_X????_2" hidden="1">#REF!</definedName>
    <definedName name="__12__123Graph_Xｸﾞﾗﾌ_1" localSheetId="0" hidden="1">#REF!</definedName>
    <definedName name="__12__123Graph_Xｸﾞﾗﾌ_1" hidden="1">#REF!</definedName>
    <definedName name="__12__123Graph_Xｸﾞﾗﾌ_2" localSheetId="10" hidden="1">#REF!</definedName>
    <definedName name="__12__123Graph_Xｸﾞﾗﾌ_2" hidden="1">#REF!</definedName>
    <definedName name="__12__123Graph_Xｸﾞﾗﾌ_5" localSheetId="0" hidden="1">#REF!</definedName>
    <definedName name="__12__123Graph_Xｸﾞﾗﾌ_5"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localSheetId="0" hidden="1">#REF!</definedName>
    <definedName name="__123Graph_ACF100" hidden="1">#REF!</definedName>
    <definedName name="__123Graph_ACURRENT" localSheetId="0" hidden="1">#REF!</definedName>
    <definedName name="__123Graph_ACURRENT" hidden="1">#REF!</definedName>
    <definedName name="__123Graph_ACHART1" localSheetId="0" hidden="1">#REF!</definedName>
    <definedName name="__123Graph_ACHART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localSheetId="0" hidden="1">#REF!</definedName>
    <definedName name="__123Graph_BCF100" hidden="1">#REF!</definedName>
    <definedName name="__123Graph_C" localSheetId="0" hidden="1">#REF!</definedName>
    <definedName name="__123Graph_C" hidden="1">#REF!</definedName>
    <definedName name="__123Graph_D" localSheetId="0" hidden="1">#REF!</definedName>
    <definedName name="__123Graph_D" hidden="1">#REF!</definedName>
    <definedName name="__123Graph_E" localSheetId="0" hidden="1">#REF!</definedName>
    <definedName name="__123Graph_E" hidden="1">#REF!</definedName>
    <definedName name="__123Graph_F" localSheetId="0" hidden="1">#REF!</definedName>
    <definedName name="__123Graph_F"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localSheetId="0" hidden="1">#REF!</definedName>
    <definedName name="__123Graph_LBL_ACF100" hidden="1">#REF!</definedName>
    <definedName name="__123Graph_LBL_BCF100" localSheetId="0" hidden="1">#REF!</definedName>
    <definedName name="__123Graph_LBL_BCF100"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localSheetId="0" hidden="1">#REF!</definedName>
    <definedName name="__123Graph_XCF100" hidden="1">#REF!</definedName>
    <definedName name="__123Graph_XCURRENT" localSheetId="0" hidden="1">#REF!</definedName>
    <definedName name="__123Graph_XCURRENT" hidden="1">#REF!</definedName>
    <definedName name="__123Graph_XCHART1" localSheetId="0" hidden="1">#REF!</definedName>
    <definedName name="__123Graph_XCHART1" hidden="1">#REF!</definedName>
    <definedName name="__13__123Graph_Aｸﾞﾗﾌ_5" localSheetId="0" hidden="1">#REF!</definedName>
    <definedName name="__13__123Graph_Aｸﾞﾗﾌ_5" hidden="1">#REF!</definedName>
    <definedName name="__13__123Graph_X????_3" localSheetId="0" hidden="1">#REF!</definedName>
    <definedName name="__13__123Graph_X????_3" hidden="1">#REF!</definedName>
    <definedName name="__13__123Graph_Xｸﾞﾗﾌ_3" localSheetId="10" hidden="1">#REF!</definedName>
    <definedName name="__13__123Graph_Xｸﾞﾗﾌ_3" hidden="1">#REF!</definedName>
    <definedName name="__14__123Graph_X????_1" localSheetId="0" hidden="1">#REF!</definedName>
    <definedName name="__14__123Graph_X????_1" hidden="1">#REF!</definedName>
    <definedName name="__14__123Graph_X????_4" localSheetId="0" hidden="1">#REF!</definedName>
    <definedName name="__14__123Graph_X????_4" hidden="1">#REF!</definedName>
    <definedName name="__14__123Graph_Xｸﾞﾗﾌ_1" localSheetId="0" hidden="1">#REF!</definedName>
    <definedName name="__14__123Graph_Xｸﾞﾗﾌ_1" hidden="1">#REF!</definedName>
    <definedName name="__14__123Graph_Xｸﾞﾗﾌ_2" localSheetId="0" hidden="1">#REF!</definedName>
    <definedName name="__14__123Graph_Xｸﾞﾗﾌ_2" hidden="1">#REF!</definedName>
    <definedName name="__14__123Graph_Xｸﾞﾗﾌ_4" localSheetId="10" hidden="1">#REF!</definedName>
    <definedName name="__14__123Graph_Xｸﾞﾗﾌ_4" hidden="1">#REF!</definedName>
    <definedName name="__15__123Graph_Aｸﾞﾗﾌ_5" localSheetId="0" hidden="1">#REF!</definedName>
    <definedName name="__15__123Graph_Aｸﾞﾗﾌ_5" hidden="1">#REF!</definedName>
    <definedName name="__15__123Graph_X????_2" localSheetId="0" hidden="1">#REF!</definedName>
    <definedName name="__15__123Graph_X????_2" hidden="1">#REF!</definedName>
    <definedName name="__15__123Graph_X????_5" localSheetId="0" hidden="1">#REF!</definedName>
    <definedName name="__15__123Graph_X????_5" hidden="1">#REF!</definedName>
    <definedName name="__15__123Graph_Xｸﾞﾗﾌ_2" localSheetId="0" hidden="1">#REF!</definedName>
    <definedName name="__15__123Graph_Xｸﾞﾗﾌ_2" hidden="1">#REF!</definedName>
    <definedName name="__15__123Graph_Xｸﾞﾗﾌ_5" localSheetId="10" hidden="1">#REF!</definedName>
    <definedName name="__15__123Graph_Xｸﾞﾗﾌ_5" hidden="1">#REF!</definedName>
    <definedName name="__16__123Graph_Aｸﾞﾗﾌ_4" localSheetId="0" hidden="1">#REF!</definedName>
    <definedName name="__16__123Graph_Aｸﾞﾗﾌ_4" hidden="1">#REF!</definedName>
    <definedName name="__16__123Graph_X????_3" localSheetId="0" hidden="1">#REF!</definedName>
    <definedName name="__16__123Graph_X????_3" hidden="1">#REF!</definedName>
    <definedName name="__16__123Graph_Xｸﾞﾗﾌ_1" localSheetId="0" hidden="1">#REF!</definedName>
    <definedName name="__16__123Graph_Xｸﾞﾗﾌ_1" hidden="1">#REF!</definedName>
    <definedName name="__16__123Graph_Xｸﾞﾗﾌ_2" localSheetId="0" hidden="1">#REF!</definedName>
    <definedName name="__16__123Graph_Xｸﾞﾗﾌ_2" hidden="1">#REF!</definedName>
    <definedName name="__16__123Graph_Xｸﾞﾗﾌ_3" localSheetId="0" hidden="1">#REF!</definedName>
    <definedName name="__16__123Graph_Xｸﾞﾗﾌ_3" hidden="1">#REF!</definedName>
    <definedName name="__17__123Graph_A????_1" localSheetId="0" hidden="1">#REF!</definedName>
    <definedName name="__17__123Graph_A????_1" hidden="1">#REF!</definedName>
    <definedName name="__17__123Graph_X????_4" localSheetId="0" hidden="1">#REF!</definedName>
    <definedName name="__17__123Graph_X????_4" hidden="1">#REF!</definedName>
    <definedName name="__17__123Graph_Xｸﾞﾗﾌ_2" localSheetId="0" hidden="1">#REF!</definedName>
    <definedName name="__17__123Graph_Xｸﾞﾗﾌ_2" hidden="1">#REF!</definedName>
    <definedName name="__17__123Graph_Xｸﾞﾗﾌ_4" localSheetId="0" hidden="1">#REF!</definedName>
    <definedName name="__17__123Graph_Xｸﾞﾗﾌ_4" hidden="1">#REF!</definedName>
    <definedName name="__18__123Graph_X????_5" localSheetId="0" hidden="1">#REF!</definedName>
    <definedName name="__18__123Graph_X????_5" hidden="1">#REF!</definedName>
    <definedName name="__18__123Graph_Xｸﾞﾗﾌ_1" localSheetId="0" hidden="1">#REF!</definedName>
    <definedName name="__18__123Graph_Xｸﾞﾗﾌ_1" hidden="1">#REF!</definedName>
    <definedName name="__18__123Graph_Xｸﾞﾗﾌ_3" localSheetId="0" hidden="1">#REF!</definedName>
    <definedName name="__18__123Graph_Xｸﾞﾗﾌ_3" hidden="1">#REF!</definedName>
    <definedName name="__18__123Graph_Xｸﾞﾗﾌ_4" localSheetId="0" hidden="1">#REF!</definedName>
    <definedName name="__18__123Graph_Xｸﾞﾗﾌ_4" hidden="1">#REF!</definedName>
    <definedName name="__18__123Graph_Xｸﾞﾗﾌ_5" localSheetId="0" hidden="1">#REF!</definedName>
    <definedName name="__18__123Graph_Xｸﾞﾗﾌ_5" hidden="1">#REF!</definedName>
    <definedName name="__19__123Graph_Xｸﾞﾗﾌ_1" localSheetId="0" hidden="1">#REF!</definedName>
    <definedName name="__19__123Graph_Xｸﾞﾗﾌ_1" hidden="1">#REF!</definedName>
    <definedName name="__19__123Graph_Xｸﾞﾗﾌ_4" localSheetId="0" hidden="1">#REF!</definedName>
    <definedName name="__19__123Graph_Xｸﾞﾗﾌ_4" hidden="1">#REF!</definedName>
    <definedName name="__2__123Graph_A????_2" localSheetId="0" hidden="1">#REF!</definedName>
    <definedName name="__2__123Graph_A????_2" hidden="1">#REF!</definedName>
    <definedName name="__2__123Graph_ACHART_2" localSheetId="10" hidden="1">#REF!</definedName>
    <definedName name="__2__123Graph_ACHART_2" hidden="1">#REF!</definedName>
    <definedName name="__2__123Graph_Aｸﾞﾗﾌ_1" localSheetId="0" hidden="1">#REF!</definedName>
    <definedName name="__2__123Graph_Aｸﾞﾗﾌ_1" hidden="1">#REF!</definedName>
    <definedName name="__2__123Graph_Aｸﾞﾗﾌ_2" localSheetId="0" hidden="1">#REF!</definedName>
    <definedName name="__2__123Graph_Aｸﾞﾗﾌ_2" hidden="1">#REF!</definedName>
    <definedName name="__20__123Graph_Aｸﾞﾗﾌ_2" localSheetId="0" hidden="1">#REF!</definedName>
    <definedName name="__20__123Graph_Aｸﾞﾗﾌ_2" hidden="1">#REF!</definedName>
    <definedName name="__20__123Graph_Aｸﾞﾗﾌ_5" localSheetId="0" hidden="1">#REF!</definedName>
    <definedName name="__20__123Graph_Aｸﾞﾗﾌ_5" hidden="1">#REF!</definedName>
    <definedName name="__20__123Graph_Xｸﾞﾗﾌ_2" localSheetId="0" hidden="1">#REF!</definedName>
    <definedName name="__20__123Graph_Xｸﾞﾗﾌ_2" hidden="1">#REF!</definedName>
    <definedName name="__20__123Graph_Xｸﾞﾗﾌ_4" localSheetId="0" hidden="1">#REF!</definedName>
    <definedName name="__20__123Graph_Xｸﾞﾗﾌ_4" hidden="1">#REF!</definedName>
    <definedName name="__20__123Graph_Xｸﾞﾗﾌ_5" localSheetId="0" hidden="1">#REF!</definedName>
    <definedName name="__20__123Graph_Xｸﾞﾗﾌ_5" hidden="1">#REF!</definedName>
    <definedName name="__21__123Graph_Xｸﾞﾗﾌ_2" localSheetId="0" hidden="1">#REF!</definedName>
    <definedName name="__21__123Graph_Xｸﾞﾗﾌ_2" hidden="1">#REF!</definedName>
    <definedName name="__21__123Graph_Xｸﾞﾗﾌ_3" localSheetId="0" hidden="1">#REF!</definedName>
    <definedName name="__21__123Graph_Xｸﾞﾗﾌ_3" hidden="1">#REF!</definedName>
    <definedName name="__22__123Graph_Xｸﾞﾗﾌ_4" localSheetId="0" hidden="1">#REF!</definedName>
    <definedName name="__22__123Graph_Xｸﾞﾗﾌ_4" hidden="1">#REF!</definedName>
    <definedName name="__22__123Graph_Xｸﾞﾗﾌ_5" localSheetId="0" hidden="1">#REF!</definedName>
    <definedName name="__22__123Graph_Xｸﾞﾗﾌ_5" hidden="1">#REF!</definedName>
    <definedName name="__23__123Graph_Xｸﾞﾗﾌ_5" localSheetId="0" hidden="1">#REF!</definedName>
    <definedName name="__23__123Graph_Xｸﾞﾗﾌ_5" hidden="1">#REF!</definedName>
    <definedName name="__24__123Graph_Xｸﾞﾗﾌ_1" localSheetId="0" hidden="1">#REF!</definedName>
    <definedName name="__24__123Graph_Xｸﾞﾗﾌ_1" hidden="1">#REF!</definedName>
    <definedName name="__24__123Graph_Xｸﾞﾗﾌ_3" localSheetId="0" hidden="1">#REF!</definedName>
    <definedName name="__24__123Graph_Xｸﾞﾗﾌ_3" hidden="1">#REF!</definedName>
    <definedName name="__27__123Graph_Xｸﾞﾗﾌ_4" localSheetId="0" hidden="1">#REF!</definedName>
    <definedName name="__27__123Graph_Xｸﾞﾗﾌ_4" hidden="1">#REF!</definedName>
    <definedName name="__28__123Graph_Xｸﾞﾗﾌ_2" localSheetId="0" hidden="1">#REF!</definedName>
    <definedName name="__28__123Graph_Xｸﾞﾗﾌ_2" hidden="1">#REF!</definedName>
    <definedName name="__3__123Graph_A????_3" localSheetId="0" hidden="1">#REF!</definedName>
    <definedName name="__3__123Graph_A????_3" hidden="1">#REF!</definedName>
    <definedName name="__3__123Graph_Aｸﾞﾗﾌ_1" localSheetId="10" hidden="1">#REF!</definedName>
    <definedName name="__3__123Graph_Aｸﾞﾗﾌ_1" hidden="1">#REF!</definedName>
    <definedName name="__3__123Graph_Aｸﾞﾗﾌ_2" localSheetId="0" hidden="1">#REF!</definedName>
    <definedName name="__3__123Graph_Aｸﾞﾗﾌ_2" hidden="1">#REF!</definedName>
    <definedName name="__3__123Graph_Aｸﾞﾗﾌ_3" localSheetId="0" hidden="1">#REF!</definedName>
    <definedName name="__3__123Graph_Aｸﾞﾗﾌ_3" hidden="1">#REF!</definedName>
    <definedName name="__30__123Graph_Aｸﾞﾗﾌ_3" localSheetId="0" hidden="1">#REF!</definedName>
    <definedName name="__30__123Graph_Aｸﾞﾗﾌ_3" hidden="1">#REF!</definedName>
    <definedName name="__30__123Graph_Xｸﾞﾗﾌ_5" localSheetId="0" hidden="1">#REF!</definedName>
    <definedName name="__30__123Graph_Xｸﾞﾗﾌ_5" hidden="1">#REF!</definedName>
    <definedName name="__32__123Graph_Xｸﾞﾗﾌ_3" localSheetId="0" hidden="1">#REF!</definedName>
    <definedName name="__32__123Graph_Xｸﾞﾗﾌ_3" hidden="1">#REF!</definedName>
    <definedName name="__36__123Graph_Xｸﾞﾗﾌ_4" localSheetId="0" hidden="1">#REF!</definedName>
    <definedName name="__36__123Graph_Xｸﾞﾗﾌ_4" hidden="1">#REF!</definedName>
    <definedName name="__4__123Graph_A????_1" localSheetId="0" hidden="1">#REF!</definedName>
    <definedName name="__4__123Graph_A????_1" hidden="1">#REF!</definedName>
    <definedName name="__4__123Graph_A????_4" localSheetId="0" hidden="1">#REF!</definedName>
    <definedName name="__4__123Graph_A????_4" hidden="1">#REF!</definedName>
    <definedName name="__4__123Graph_Aｸﾞﾗﾌ_1" localSheetId="0" hidden="1">#REF!</definedName>
    <definedName name="__4__123Graph_Aｸﾞﾗﾌ_1" hidden="1">#REF!</definedName>
    <definedName name="__4__123Graph_Aｸﾞﾗﾌ_2" localSheetId="10" hidden="1">#REF!</definedName>
    <definedName name="__4__123Graph_Aｸﾞﾗﾌ_2" hidden="1">#REF!</definedName>
    <definedName name="__4__123Graph_Aｸﾞﾗﾌ_3" localSheetId="0" hidden="1">#REF!</definedName>
    <definedName name="__4__123Graph_Aｸﾞﾗﾌ_3" hidden="1">#REF!</definedName>
    <definedName name="__4__123Graph_Aｸﾞﾗﾌ_4" localSheetId="0" hidden="1">#REF!</definedName>
    <definedName name="__4__123Graph_Aｸﾞﾗﾌ_4" hidden="1">#REF!</definedName>
    <definedName name="__40__123Graph_Aｸﾞﾗﾌ_4" localSheetId="0" hidden="1">#REF!</definedName>
    <definedName name="__40__123Graph_Aｸﾞﾗﾌ_4" hidden="1">#REF!</definedName>
    <definedName name="__40__123Graph_Xｸﾞﾗﾌ_5" localSheetId="0" hidden="1">#REF!</definedName>
    <definedName name="__40__123Graph_Xｸﾞﾗﾌ_5" hidden="1">#REF!</definedName>
    <definedName name="__5__123Graph_A????_2" localSheetId="0" hidden="1">#REF!</definedName>
    <definedName name="__5__123Graph_A????_2" hidden="1">#REF!</definedName>
    <definedName name="__5__123Graph_A????_5" localSheetId="0" hidden="1">#REF!</definedName>
    <definedName name="__5__123Graph_A????_5" hidden="1">#REF!</definedName>
    <definedName name="__5__123Graph_Aｸﾞﾗﾌ_2" localSheetId="0" hidden="1">#REF!</definedName>
    <definedName name="__5__123Graph_Aｸﾞﾗﾌ_2" hidden="1">#REF!</definedName>
    <definedName name="__5__123Graph_Aｸﾞﾗﾌ_3" localSheetId="10" hidden="1">#REF!</definedName>
    <definedName name="__5__123Graph_Aｸﾞﾗﾌ_3" hidden="1">#REF!</definedName>
    <definedName name="__5__123Graph_Aｸﾞﾗﾌ_4" localSheetId="0" hidden="1">#REF!</definedName>
    <definedName name="__5__123Graph_Aｸﾞﾗﾌ_4" hidden="1">#REF!</definedName>
    <definedName name="__5__123Graph_Aｸﾞﾗﾌ_5" localSheetId="0" hidden="1">#REF!</definedName>
    <definedName name="__5__123Graph_Aｸﾞﾗﾌ_5" hidden="1">#REF!</definedName>
    <definedName name="__50__123Graph_Aｸﾞﾗﾌ_5" localSheetId="0" hidden="1">#REF!</definedName>
    <definedName name="__50__123Graph_Aｸﾞﾗﾌ_5" hidden="1">#REF!</definedName>
    <definedName name="__6__123Graph_A????_3" localSheetId="0" hidden="1">#REF!</definedName>
    <definedName name="__6__123Graph_A????_3" hidden="1">#REF!</definedName>
    <definedName name="__6__123Graph_Aｸﾞﾗﾌ_1" localSheetId="0" hidden="1">#REF!</definedName>
    <definedName name="__6__123Graph_Aｸﾞﾗﾌ_1" hidden="1">#REF!</definedName>
    <definedName name="__6__123Graph_Aｸﾞﾗﾌ_2" localSheetId="0" hidden="1">#REF!</definedName>
    <definedName name="__6__123Graph_Aｸﾞﾗﾌ_2" hidden="1">#REF!</definedName>
    <definedName name="__6__123Graph_Aｸﾞﾗﾌ_3" localSheetId="0" hidden="1">#REF!</definedName>
    <definedName name="__6__123Graph_Aｸﾞﾗﾌ_3" hidden="1">#REF!</definedName>
    <definedName name="__6__123Graph_Aｸﾞﾗﾌ_4" localSheetId="10" hidden="1">#REF!</definedName>
    <definedName name="__6__123Graph_Aｸﾞﾗﾌ_4" hidden="1">#REF!</definedName>
    <definedName name="__6__123Graph_Aｸﾞﾗﾌ_5" localSheetId="0" hidden="1">#REF!</definedName>
    <definedName name="__6__123Graph_Aｸﾞﾗﾌ_5" hidden="1">#REF!</definedName>
    <definedName name="__6__123Graph_Xｸﾞﾗﾌ_1" localSheetId="0" hidden="1">#REF!</definedName>
    <definedName name="__6__123Graph_Xｸﾞﾗﾌ_1" hidden="1">#REF!</definedName>
    <definedName name="__60__123Graph_Xｸﾞﾗﾌ_1" localSheetId="0" hidden="1">#REF!</definedName>
    <definedName name="__60__123Graph_Xｸﾞﾗﾌ_1" hidden="1">#REF!</definedName>
    <definedName name="__7__123Graph_A????_4" localSheetId="0" hidden="1">#REF!</definedName>
    <definedName name="__7__123Graph_A????_4" hidden="1">#REF!</definedName>
    <definedName name="__7__123Graph_Aｸﾞﾗﾌ_2" localSheetId="0" hidden="1">#REF!</definedName>
    <definedName name="__7__123Graph_Aｸﾞﾗﾌ_2" hidden="1">#REF!</definedName>
    <definedName name="__7__123Graph_Aｸﾞﾗﾌ_3" localSheetId="0" hidden="1">#REF!</definedName>
    <definedName name="__7__123Graph_Aｸﾞﾗﾌ_3" hidden="1">#REF!</definedName>
    <definedName name="__7__123Graph_Aｸﾞﾗﾌ_5" localSheetId="10" hidden="1">#REF!</definedName>
    <definedName name="__7__123Graph_Aｸﾞﾗﾌ_5" hidden="1">#REF!</definedName>
    <definedName name="__7__123Graph_Xｸﾞﾗﾌ_2" localSheetId="0" hidden="1">#REF!</definedName>
    <definedName name="__7__123Graph_Xｸﾞﾗﾌ_2" hidden="1">#REF!</definedName>
    <definedName name="__70__123Graph_Xｸﾞﾗﾌ_2" localSheetId="0" hidden="1">#REF!</definedName>
    <definedName name="__70__123Graph_Xｸﾞﾗﾌ_2" hidden="1">#REF!</definedName>
    <definedName name="__8__123Graph_A????_5" localSheetId="0" hidden="1">#REF!</definedName>
    <definedName name="__8__123Graph_A????_5" hidden="1">#REF!</definedName>
    <definedName name="__8__123Graph_Aｸﾞﾗﾌ_2" localSheetId="0" hidden="1">#REF!</definedName>
    <definedName name="__8__123Graph_Aｸﾞﾗﾌ_2" hidden="1">#REF!</definedName>
    <definedName name="__8__123Graph_Aｸﾞﾗﾌ_3" localSheetId="0" hidden="1">#REF!</definedName>
    <definedName name="__8__123Graph_Aｸﾞﾗﾌ_3" hidden="1">#REF!</definedName>
    <definedName name="__8__123Graph_Aｸﾞﾗﾌ_4" localSheetId="0" hidden="1">#REF!</definedName>
    <definedName name="__8__123Graph_Aｸﾞﾗﾌ_4" hidden="1">#REF!</definedName>
    <definedName name="__8__123Graph_BCHART_2" localSheetId="10" hidden="1">#REF!</definedName>
    <definedName name="__8__123Graph_BCHART_2" hidden="1">#REF!</definedName>
    <definedName name="__8__123Graph_Xｸﾞﾗﾌ_1" localSheetId="0" hidden="1">#REF!</definedName>
    <definedName name="__8__123Graph_Xｸﾞﾗﾌ_1" hidden="1">#REF!</definedName>
    <definedName name="__8__123Graph_Xｸﾞﾗﾌ_3" localSheetId="0" hidden="1">#REF!</definedName>
    <definedName name="__8__123Graph_Xｸﾞﾗﾌ_3" hidden="1">#REF!</definedName>
    <definedName name="__80__123Graph_Xｸﾞﾗﾌ_3" localSheetId="0" hidden="1">#REF!</definedName>
    <definedName name="__80__123Graph_Xｸﾞﾗﾌ_3" hidden="1">#REF!</definedName>
    <definedName name="__9__123Graph_Aｸﾞﾗﾌ_1" localSheetId="0" hidden="1">#REF!</definedName>
    <definedName name="__9__123Graph_Aｸﾞﾗﾌ_1" hidden="1">#REF!</definedName>
    <definedName name="__9__123Graph_Aｸﾞﾗﾌ_3" localSheetId="0" hidden="1">#REF!</definedName>
    <definedName name="__9__123Graph_Aｸﾞﾗﾌ_3" hidden="1">#REF!</definedName>
    <definedName name="__9__123Graph_Aｸﾞﾗﾌ_4" localSheetId="0" hidden="1">#REF!</definedName>
    <definedName name="__9__123Graph_Aｸﾞﾗﾌ_4" hidden="1">#REF!</definedName>
    <definedName name="__9__123Graph_CCHART_1" localSheetId="10" hidden="1">#REF!</definedName>
    <definedName name="__9__123Graph_CCHART_1" hidden="1">#REF!</definedName>
    <definedName name="__9__123Graph_Xｸﾞﾗﾌ_2" localSheetId="0" hidden="1">#REF!</definedName>
    <definedName name="__9__123Graph_Xｸﾞﾗﾌ_2" hidden="1">#REF!</definedName>
    <definedName name="__9__123Graph_Xｸﾞﾗﾌ_4" localSheetId="0" hidden="1">#REF!</definedName>
    <definedName name="__9__123Graph_Xｸﾞﾗﾌ_4" hidden="1">#REF!</definedName>
    <definedName name="__90__123Graph_Xｸﾞﾗﾌ_4" localSheetId="0" hidden="1">#REF!</definedName>
    <definedName name="__90__123Graph_Xｸﾞﾗﾌ_4" hidden="1">#REF!</definedName>
    <definedName name="__A" localSheetId="0" hidden="1">#REF!</definedName>
    <definedName name="__A" hidden="1">#REF!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0" hidden="1">{"'Sheet1'!$L$16"}</definedName>
    <definedName name="__a2" hidden="1">{"'Sheet1'!$L$16"}</definedName>
    <definedName name="__A4" localSheetId="0" hidden="1">{"'Sheet1'!$L$16"}</definedName>
    <definedName name="__A4" hidden="1">{"'Sheet1'!$L$16"}</definedName>
    <definedName name="__a9" localSheetId="0" hidden="1">{"'Sheet1'!$L$16"}</definedName>
    <definedName name="__a9" hidden="1">{"'Sheet1'!$L$16"}</definedName>
    <definedName name="__BG12" localSheetId="0" hidden="1">{"'Sheet1'!$L$16"}</definedName>
    <definedName name="__BG12" hidden="1">{"'Sheet1'!$L$16"}</definedName>
    <definedName name="__bht4" localSheetId="0" hidden="1">{#N/A,#N/A,FALSE,"Chi tiÆt"}</definedName>
    <definedName name="__bht4" hidden="1">{#N/A,#N/A,FALSE,"Chi tiÆt"}</definedName>
    <definedName name="__bht5" localSheetId="0" hidden="1">{#N/A,#N/A,FALSE,"Chi tiÆt"}</definedName>
    <definedName name="__bht5" hidden="1">{#N/A,#N/A,FALSE,"Chi tiÆt"}</definedName>
    <definedName name="__bht6" localSheetId="0" hidden="1">{"'Sheet1'!$L$16"}</definedName>
    <definedName name="__bht6" hidden="1">{"'Sheet1'!$L$16"}</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ct2005" localSheetId="0" hidden="1">{"'Sheet1'!$L$16"}</definedName>
    <definedName name="__ct2005" hidden="1">{"'Sheet1'!$L$16"}</definedName>
    <definedName name="__CT4" localSheetId="0" hidden="1">{"'Sheet1'!$L$16"}</definedName>
    <definedName name="__CT4" hidden="1">{"'Sheet1'!$L$16"}</definedName>
    <definedName name="__Cty501" localSheetId="0" hidden="1">{"'Sheet1'!$L$16"}</definedName>
    <definedName name="__Cty501" hidden="1">{"'Sheet1'!$L$16"}</definedName>
    <definedName name="__d1500" localSheetId="0" hidden="1">{"'Sheet1'!$L$16"}</definedName>
    <definedName name="__d1500" hidden="1">{"'Sheet1'!$L$16"}</definedName>
    <definedName name="__D41" localSheetId="0" hidden="1">{"'Sheet1'!$L$16"}</definedName>
    <definedName name="__D41" hidden="1">{"'Sheet1'!$L$16"}</definedName>
    <definedName name="__D42" localSheetId="0" hidden="1">{"'Sheet1'!$L$16"}</definedName>
    <definedName name="__D42" hidden="1">{"'Sheet1'!$L$16"}</definedName>
    <definedName name="__D6" localSheetId="0" hidden="1">{#N/A,#N/A,FALSE,"Chi tiÆt"}</definedName>
    <definedName name="__D6" hidden="1">{#N/A,#N/A,FALSE,"Chi tiÆt"}</definedName>
    <definedName name="__dt1" localSheetId="0" hidden="1">{"'Sheet1'!$L$16"}</definedName>
    <definedName name="__dt1" hidden="1">{"'Sheet1'!$L$16"}</definedName>
    <definedName name="__DT10" localSheetId="0" hidden="1">{"'Sheet1'!$L$16"}</definedName>
    <definedName name="__DT10" hidden="1">{"'Sheet1'!$L$16"}</definedName>
    <definedName name="__f5" localSheetId="0" hidden="1">{"'Sheet1'!$L$16"}</definedName>
    <definedName name="__f5" hidden="1">{"'Sheet1'!$L$16"}</definedName>
    <definedName name="__FAB4" localSheetId="10" hidden="1">#REF!</definedName>
    <definedName name="__FAB4" hidden="1">#REF!</definedName>
    <definedName name="__G4211" localSheetId="0" hidden="1">{"'Sheet1'!$L$16"}</definedName>
    <definedName name="__G4211" hidden="1">{"'Sheet1'!$L$16"}</definedName>
    <definedName name="__Goi8" localSheetId="0" hidden="1">{"'Sheet1'!$L$16"}</definedName>
    <definedName name="__Goi8" hidden="1">{"'Sheet1'!$L$16"}</definedName>
    <definedName name="__h1" localSheetId="0" hidden="1">{"'Sheet1'!$L$16"}</definedName>
    <definedName name="__h1" hidden="1">{"'Sheet1'!$L$16"}</definedName>
    <definedName name="__h12" localSheetId="0" hidden="1">{"'Sheet1'!$L$16"}</definedName>
    <definedName name="__h12" hidden="1">{"'Sheet1'!$L$16"}</definedName>
    <definedName name="__hh1219" localSheetId="0" hidden="1">{"'Sheet1'!$L$16"}</definedName>
    <definedName name="__hh1219" hidden="1">{"'Sheet1'!$L$16"}</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huy1" localSheetId="0" hidden="1">{"'Sheet1'!$L$16"}</definedName>
    <definedName name="__huy1" hidden="1">{"'Sheet1'!$L$16"}</definedName>
    <definedName name="__huy2" localSheetId="0" hidden="1">{"'Sheet1'!$L$16"}</definedName>
    <definedName name="__huy2" hidden="1">{"'Sheet1'!$L$16"}</definedName>
    <definedName name="__IntlFixup" hidden="1">TRUE</definedName>
    <definedName name="__K146" localSheetId="0" hidden="1">{"'Sheet1'!$L$16"}</definedName>
    <definedName name="__K146" hidden="1">{"'Sheet1'!$L$16"}</definedName>
    <definedName name="__key1" localSheetId="0" hidden="1">#REF!</definedName>
    <definedName name="__key1" hidden="1">#REF!</definedName>
    <definedName name="__key2" localSheetId="10" hidden="1">#REF!</definedName>
    <definedName name="__key2" hidden="1">#REF!</definedName>
    <definedName name="__kl11" localSheetId="0" hidden="1">{"'Sheet1'!$L$16"}</definedName>
    <definedName name="__kl11" hidden="1">{"'Sheet1'!$L$16"}</definedName>
    <definedName name="__kl4" localSheetId="0" hidden="1">{"'Sheet1'!$L$16"}</definedName>
    <definedName name="__kl4" hidden="1">{"'Sheet1'!$L$16"}</definedName>
    <definedName name="__kl6" localSheetId="0" hidden="1">{"'Sheet1'!$L$16"}</definedName>
    <definedName name="__kl6" hidden="1">{"'Sheet1'!$L$16"}</definedName>
    <definedName name="__Lan1" localSheetId="0" hidden="1">{"'Sheet1'!$L$16"}</definedName>
    <definedName name="__Lan1" hidden="1">{"'Sheet1'!$L$16"}</definedName>
    <definedName name="__Lan2" localSheetId="0" hidden="1">{"'Sheet1'!$L$16"}</definedName>
    <definedName name="__Lan2" hidden="1">{"'Sheet1'!$L$16"}</definedName>
    <definedName name="__LAN3" localSheetId="0" hidden="1">{"'Sheet1'!$L$16"}</definedName>
    <definedName name="__LAN3" hidden="1">{"'Sheet1'!$L$16"}</definedName>
    <definedName name="__ld2" localSheetId="0" hidden="1">{"'Sheet1'!$L$16"}</definedName>
    <definedName name="__ld2" hidden="1">{"'Sheet1'!$L$16"}</definedName>
    <definedName name="__lop111" localSheetId="0" hidden="1">{#N/A,#N/A,FALSE,"特殊室（ＢＱ表）"}</definedName>
    <definedName name="__lop111" hidden="1">{#N/A,#N/A,FALSE,"特殊室（ＢＱ表）"}</definedName>
    <definedName name="__M2" localSheetId="0" hidden="1">{"'Sheet1'!$L$16"}</definedName>
    <definedName name="__M2" hidden="1">{"'Sheet1'!$L$16"}</definedName>
    <definedName name="__m4" localSheetId="0" hidden="1">{"'Sheet1'!$L$16"}</definedName>
    <definedName name="__m4" hidden="1">{"'Sheet1'!$L$16"}</definedName>
    <definedName name="__MCC3" localSheetId="10" hidden="1">{#N/A,#N/A,FALSE,"CCTV"}</definedName>
    <definedName name="__MCC3" localSheetId="0" hidden="1">{#N/A,#N/A,FALSE,"CCTV"}</definedName>
    <definedName name="__MCC3" hidden="1">{#N/A,#N/A,FALSE,"CCTV"}</definedName>
    <definedName name="__MEP2" localSheetId="0" hidden="1">{#N/A,#N/A,FALSE,"CCTV"}</definedName>
    <definedName name="__MEP2" hidden="1">{#N/A,#N/A,FALSE,"CCTV"}</definedName>
    <definedName name="__NO1" localSheetId="0" hidden="1">#REF!</definedName>
    <definedName name="__NO1" hidden="1">#REF!</definedName>
    <definedName name="__NO2" localSheetId="0" hidden="1">#REF!</definedName>
    <definedName name="__NO2" hidden="1">#REF!</definedName>
    <definedName name="__nso1" localSheetId="0" hidden="1">{"'Sheet1'!$L$16"}</definedName>
    <definedName name="__nso1" hidden="1">{"'Sheet1'!$L$16"}</definedName>
    <definedName name="__NSO2" localSheetId="0" hidden="1">{"'Sheet1'!$L$16"}</definedName>
    <definedName name="__NSO2" hidden="1">{"'Sheet1'!$L$16"}</definedName>
    <definedName name="__P3" localSheetId="0" hidden="1">{#N/A,#N/A,FALSE,"特殊室（ＢＱ表）"}</definedName>
    <definedName name="__P3" hidden="1">{#N/A,#N/A,FALSE,"特殊室（ＢＱ表）"}</definedName>
    <definedName name="__P4" localSheetId="0" hidden="1">{#N/A,#N/A,FALSE,"혼합골재"}</definedName>
    <definedName name="__P4" hidden="1">{#N/A,#N/A,FALSE,"혼합골재"}</definedName>
    <definedName name="__P5" localSheetId="0" hidden="1">{#N/A,#N/A,FALSE,"배수1"}</definedName>
    <definedName name="__P5" hidden="1">{#N/A,#N/A,FALSE,"배수1"}</definedName>
    <definedName name="__P6" localSheetId="0" hidden="1">{#N/A,#N/A,FALSE,"2~8번"}</definedName>
    <definedName name="__P6" hidden="1">{#N/A,#N/A,FALSE,"2~8번"}</definedName>
    <definedName name="__PA3" localSheetId="0" hidden="1">{"'Sheet1'!$L$16"}</definedName>
    <definedName name="__PA3" hidden="1">{"'Sheet1'!$L$16"}</definedName>
    <definedName name="__PPP3" localSheetId="0" hidden="1">{#N/A,#N/A,FALSE,"特殊室（ＢＱ表）"}</definedName>
    <definedName name="__PPP3" hidden="1">{#N/A,#N/A,FALSE,"特殊室（ＢＱ表）"}</definedName>
    <definedName name="__PPP33" localSheetId="0" hidden="1">{#N/A,#N/A,FALSE,"特殊室（ＢＱ表）"}</definedName>
    <definedName name="__PPP33" hidden="1">{#N/A,#N/A,FALSE,"特殊室（ＢＱ表）"}</definedName>
    <definedName name="__ppp34" localSheetId="0" hidden="1">{#N/A,#N/A,FALSE,"特殊室（ＢＱ表）"}</definedName>
    <definedName name="__ppp34" hidden="1">{#N/A,#N/A,FALSE,"特殊室（ＢＱ表）"}</definedName>
    <definedName name="__ppp3444" localSheetId="0" hidden="1">{#N/A,#N/A,FALSE,"特殊室（ＢＱ表）"}</definedName>
    <definedName name="__ppp3444" hidden="1">{#N/A,#N/A,FALSE,"特殊室（ＢＱ表）"}</definedName>
    <definedName name="__Rh90" localSheetId="0" hidden="1">{"'Sheet1'!$L$16"}</definedName>
    <definedName name="__Rh90" hidden="1">{"'Sheet1'!$L$16"}</definedName>
    <definedName name="__S3" localSheetId="0" hidden="1">{#N/A,#N/A,FALSE,"포장2"}</definedName>
    <definedName name="__S3" hidden="1">{#N/A,#N/A,FALSE,"포장2"}</definedName>
    <definedName name="__SCL4" localSheetId="0" hidden="1">{"'Sheet1'!$L$16"}</definedName>
    <definedName name="__SCL4" hidden="1">{"'Sheet1'!$L$16"}</definedName>
    <definedName name="__SXT3" localSheetId="0" hidden="1">{#N/A,#N/A,FALSE,"Chi tiÆt"}</definedName>
    <definedName name="__SXT3" hidden="1">{#N/A,#N/A,FALSE,"Chi tiÆt"}</definedName>
    <definedName name="__sxt5" localSheetId="0" hidden="1">{"'Sheet1'!$L$16"}</definedName>
    <definedName name="__sxt5" hidden="1">{"'Sheet1'!$L$16"}</definedName>
    <definedName name="__sxt6" localSheetId="0" hidden="1">{#N/A,#N/A,FALSE,"Chi tiÆt"}</definedName>
    <definedName name="__sxt6" hidden="1">{#N/A,#N/A,FALSE,"Chi tiÆt"}</definedName>
    <definedName name="__T04" localSheetId="0" hidden="1">{#N/A,#N/A,FALSE,"CCTV"}</definedName>
    <definedName name="__T04" hidden="1">{#N/A,#N/A,FALSE,"CCTV"}</definedName>
    <definedName name="__T1" localSheetId="0" hidden="1">{#N/A,#N/A,FALSE,"Chi tiÆt"}</definedName>
    <definedName name="__T1" hidden="1">{#N/A,#N/A,FALSE,"Chi tiÆt"}</definedName>
    <definedName name="__T10" localSheetId="0" hidden="1">{"'Sheet1'!$L$16"}</definedName>
    <definedName name="__T10" hidden="1">{"'Sheet1'!$L$16"}</definedName>
    <definedName name="__t112" localSheetId="0" hidden="1">{#N/A,#N/A,FALSE,"Chi tiÆt"}</definedName>
    <definedName name="__t112" hidden="1">{#N/A,#N/A,FALSE,"Chi tiÆt"}</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{"'Sheet1'!$L$16"}</definedName>
    <definedName name="__T3" hidden="1">{"'Sheet1'!$L$16"}</definedName>
    <definedName name="__T4" localSheetId="0" hidden="1">{"'Sheet1'!$L$16"}</definedName>
    <definedName name="__T4" hidden="1">{"'Sheet1'!$L$16"}</definedName>
    <definedName name="__t5" localSheetId="0" hidden="1">{"'Sheet1'!$L$16"}</definedName>
    <definedName name="__t5" hidden="1">{"'Sheet1'!$L$16"}</definedName>
    <definedName name="__t9" localSheetId="0" hidden="1">{"'Sheet1'!$L$16"}</definedName>
    <definedName name="__t9" hidden="1">{"'Sheet1'!$L$16"}</definedName>
    <definedName name="__TK211" localSheetId="0" hidden="1">{"'Sheet1'!$L$16"}</definedName>
    <definedName name="__TK211" hidden="1">{"'Sheet1'!$L$16"}</definedName>
    <definedName name="__TM2" localSheetId="0" hidden="1">{"'Sheet1'!$L$16"}</definedName>
    <definedName name="__TM2" hidden="1">{"'Sheet1'!$L$16"}</definedName>
    <definedName name="__TT04" localSheetId="0" hidden="1">#REF!</definedName>
    <definedName name="__TT04" hidden="1">#REF!</definedName>
    <definedName name="__tt3" localSheetId="0" hidden="1">{"'Sheet1'!$L$16"}</definedName>
    <definedName name="__tt3" hidden="1">{"'Sheet1'!$L$16"}</definedName>
    <definedName name="__ttt1" localSheetId="0" hidden="1">{"'Sheet1'!$L$16"}</definedName>
    <definedName name="__ttt1" hidden="1">{"'Sheet1'!$L$16"}</definedName>
    <definedName name="__tu4" localSheetId="0" hidden="1">{"'Sheet1'!$L$16"}</definedName>
    <definedName name="__tu4" hidden="1">{"'Sheet1'!$L$16"}</definedName>
    <definedName name="__TV2" localSheetId="0" hidden="1">{"'Sheet1'!$L$16"}</definedName>
    <definedName name="__TV2" hidden="1">{"'Sheet1'!$L$16"}</definedName>
    <definedName name="__TH1" localSheetId="0" hidden="1">{"'Sheet1'!$L$16"}</definedName>
    <definedName name="__TH1" hidden="1">{"'Sheet1'!$L$16"}</definedName>
    <definedName name="__THT11" localSheetId="0" hidden="1">{"'Sheet1'!$L$16"}</definedName>
    <definedName name="__THT11" hidden="1">{"'Sheet1'!$L$16"}</definedName>
    <definedName name="__vl1" localSheetId="0" hidden="1">{"'Sheet1'!$L$16"}</definedName>
    <definedName name="__vl1" hidden="1">{"'Sheet1'!$L$16"}</definedName>
    <definedName name="__vpt5" localSheetId="0" hidden="1">{"'Sheet1'!$L$16"}</definedName>
    <definedName name="__vpt5" hidden="1">{"'Sheet1'!$L$16"}</definedName>
    <definedName name="__vpt6" localSheetId="0" hidden="1">{"'Sheet1'!$L$16"}</definedName>
    <definedName name="__vpt6" hidden="1">{"'Sheet1'!$L$16"}</definedName>
    <definedName name="__VT3" localSheetId="0" hidden="1">{"'Sheet1'!$L$16"}</definedName>
    <definedName name="__VT3" hidden="1">{"'Sheet1'!$L$16"}</definedName>
    <definedName name="__VT675" localSheetId="0" hidden="1">{"Offgrid",#N/A,FALSE,"OFFGRID";"Region",#N/A,FALSE,"REGION";"Offgrid -2",#N/A,FALSE,"OFFGRID";"WTP",#N/A,FALSE,"WTP";"WTP -2",#N/A,FALSE,"WTP";"Project",#N/A,FALSE,"PROJECT";"Summary -2",#N/A,FALSE,"SUMMARY"}</definedName>
    <definedName name="__VT675"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xlfn.BAHTTEXT" hidden="1">#NAME?</definedName>
    <definedName name="__xlfn.IFERROR" hidden="1">#NAME?</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____123Graph_Aｸﾞﾗﾌ_1" localSheetId="0" hidden="1">#REF!</definedName>
    <definedName name="_1______123Graph_Aｸﾞﾗﾌ_1" hidden="1">#REF!</definedName>
    <definedName name="_1___123Graph_ACASH_FLOW1" localSheetId="0" hidden="1">#REF!</definedName>
    <definedName name="_1___123Graph_ACASH_FLOW1" hidden="1">#REF!</definedName>
    <definedName name="_1___123Graph_Aｸﾞﾗﾌ_1" localSheetId="0" hidden="1">#REF!</definedName>
    <definedName name="_1___123Graph_Aｸﾞﾗﾌ_1" hidden="1">#REF!</definedName>
    <definedName name="_1__123Graph_A????_1" localSheetId="0" hidden="1">#REF!</definedName>
    <definedName name="_1__123Graph_A????_1" hidden="1">#REF!</definedName>
    <definedName name="_1__123Graph_ACHART_1" localSheetId="10" hidden="1">#REF!</definedName>
    <definedName name="_1__123Graph_ACHART_1" hidden="1">#REF!</definedName>
    <definedName name="_1__123Graph_Aｸﾞﾗﾌ_1" localSheetId="10" hidden="1">#REF!</definedName>
    <definedName name="_1__123Graph_Aｸﾞﾗﾌ_1" hidden="1">#REF!</definedName>
    <definedName name="_1_0_F" localSheetId="0" hidden="1">#REF!</definedName>
    <definedName name="_1_0_F" hidden="1">#REF!</definedName>
    <definedName name="_1_0ten_" localSheetId="0" hidden="1">#REF!</definedName>
    <definedName name="_1_0ten_" hidden="1">#REF!</definedName>
    <definedName name="_10______123Graph_Xｸﾞﾗﾌ_5" localSheetId="0" hidden="1">#REF!</definedName>
    <definedName name="_10______123Graph_Xｸﾞﾗﾌ_5" hidden="1">#REF!</definedName>
    <definedName name="_10___123Graph_Xｸﾞﾗﾌ_5" localSheetId="0" hidden="1">#REF!</definedName>
    <definedName name="_10___123Graph_Xｸﾞﾗﾌ_5" hidden="1">#REF!</definedName>
    <definedName name="_10__123Graph_ACHART_1" localSheetId="0" hidden="1">#REF!</definedName>
    <definedName name="_10__123Graph_ACHART_1" hidden="1">#REF!</definedName>
    <definedName name="_10__123Graph_Aｸﾞﾗﾌ_1" localSheetId="0" hidden="1">#REF!</definedName>
    <definedName name="_10__123Graph_Aｸﾞﾗﾌ_1" hidden="1">#REF!</definedName>
    <definedName name="_10__123Graph_Aｸﾞﾗﾌ_2" localSheetId="0" hidden="1">#REF!</definedName>
    <definedName name="_10__123Graph_Aｸﾞﾗﾌ_2" hidden="1">#REF!</definedName>
    <definedName name="_10__123Graph_Aｸﾞﾗﾌ_3" localSheetId="0" hidden="1">#REF!</definedName>
    <definedName name="_10__123Graph_Aｸﾞﾗﾌ_3" hidden="1">#REF!</definedName>
    <definedName name="_10__123Graph_Aｸﾞﾗﾌ_4" localSheetId="0" hidden="1">#REF!</definedName>
    <definedName name="_10__123Graph_Aｸﾞﾗﾌ_4" hidden="1">#REF!</definedName>
    <definedName name="_10__123Graph_Aｸﾞﾗﾌ_5" localSheetId="10" hidden="1">#REF!</definedName>
    <definedName name="_10__123Graph_Aｸﾞﾗﾌ_5" hidden="1">#REF!</definedName>
    <definedName name="_10__123Graph_DCHART_1" localSheetId="10" hidden="1">#REF!</definedName>
    <definedName name="_10__123Graph_DCHART_1" hidden="1">#REF!</definedName>
    <definedName name="_10__123Graph_Xｸﾞﾗﾌ_1" localSheetId="0" hidden="1">#REF!</definedName>
    <definedName name="_10__123Graph_Xｸﾞﾗﾌ_1" hidden="1">#REF!</definedName>
    <definedName name="_10__123Graph_Xｸﾞﾗﾌ_2" localSheetId="0" hidden="1">#REF!</definedName>
    <definedName name="_10__123Graph_Xｸﾞﾗﾌ_2" hidden="1">#REF!</definedName>
    <definedName name="_10__123Graph_Xｸﾞﾗﾌ_3" localSheetId="0" hidden="1">#REF!</definedName>
    <definedName name="_10__123Graph_Xｸﾞﾗﾌ_3" hidden="1">#REF!</definedName>
    <definedName name="_10__123Graph_Xｸﾞﾗﾌ_5" localSheetId="10" hidden="1">#REF!</definedName>
    <definedName name="_10__123Graph_Xｸﾞﾗﾌ_5" hidden="1">#REF!</definedName>
    <definedName name="_10_0_0_F" localSheetId="0" hidden="1">#REF!</definedName>
    <definedName name="_10_0_0_F" hidden="1">#REF!</definedName>
    <definedName name="_100__123Graph_Xｸﾞﾗﾌ_3" localSheetId="0" hidden="1">#REF!</definedName>
    <definedName name="_100__123Graph_Xｸﾞﾗﾌ_3" hidden="1">#REF!</definedName>
    <definedName name="_100__123Graph_Xｸﾞﾗﾌ_5" localSheetId="0" hidden="1">#REF!</definedName>
    <definedName name="_100__123Graph_Xｸﾞﾗﾌ_5" hidden="1">#REF!</definedName>
    <definedName name="_103__123Graph_X????_4" localSheetId="0" hidden="1">#REF!</definedName>
    <definedName name="_103__123Graph_X????_4" hidden="1">#REF!</definedName>
    <definedName name="_103__123Graph_Xｸﾞﾗﾌ_5" localSheetId="0" hidden="1">#REF!</definedName>
    <definedName name="_103__123Graph_Xｸﾞﾗﾌ_5" hidden="1">#REF!</definedName>
    <definedName name="_106__123Graph_Xｸﾞﾗﾌ_4" localSheetId="0" hidden="1">#REF!</definedName>
    <definedName name="_106__123Graph_Xｸﾞﾗﾌ_4" hidden="1">#REF!</definedName>
    <definedName name="_108__123Graph_X????_5" localSheetId="0" hidden="1">#REF!</definedName>
    <definedName name="_108__123Graph_X????_5" hidden="1">#REF!</definedName>
    <definedName name="_108__123Graph_Xｸﾞﾗﾌ_1" localSheetId="0" hidden="1">#REF!</definedName>
    <definedName name="_108__123Graph_Xｸﾞﾗﾌ_1" hidden="1">#REF!</definedName>
    <definedName name="_11____123Graph_Aｸﾞﾗﾌ_1" localSheetId="0" hidden="1">#REF!</definedName>
    <definedName name="_11____123Graph_Aｸﾞﾗﾌ_1" hidden="1">#REF!</definedName>
    <definedName name="_11__123Graph_ACHART_2" localSheetId="0" hidden="1">#REF!</definedName>
    <definedName name="_11__123Graph_ACHART_2" hidden="1">#REF!</definedName>
    <definedName name="_11__123Graph_Aｸﾞﾗﾌ_1" localSheetId="0" hidden="1">#REF!</definedName>
    <definedName name="_11__123Graph_Aｸﾞﾗﾌ_1" hidden="1">#REF!</definedName>
    <definedName name="_11__123Graph_Aｸﾞﾗﾌ_2" localSheetId="0" hidden="1">#REF!</definedName>
    <definedName name="_11__123Graph_Aｸﾞﾗﾌ_2" hidden="1">#REF!</definedName>
    <definedName name="_11__123Graph_Aｸﾞﾗﾌ_3" localSheetId="0" hidden="1">#REF!</definedName>
    <definedName name="_11__123Graph_Aｸﾞﾗﾌ_3" hidden="1">#REF!</definedName>
    <definedName name="_11__123Graph_Aｸﾞﾗﾌ_5" localSheetId="0" hidden="1">#REF!</definedName>
    <definedName name="_11__123Graph_Aｸﾞﾗﾌ_5" hidden="1">#REF!</definedName>
    <definedName name="_11__123Graph_X????_1" localSheetId="0" hidden="1">#REF!</definedName>
    <definedName name="_11__123Graph_X????_1" hidden="1">#REF!</definedName>
    <definedName name="_11__123Graph_Xｸﾞﾗﾌ_1" localSheetId="10" hidden="1">#REF!</definedName>
    <definedName name="_11__123Graph_Xｸﾞﾗﾌ_1" hidden="1">#REF!</definedName>
    <definedName name="_11__123Graph_Xｸﾞﾗﾌ_2" localSheetId="0" hidden="1">#REF!</definedName>
    <definedName name="_11__123Graph_Xｸﾞﾗﾌ_2" hidden="1">#REF!</definedName>
    <definedName name="_11__123Graph_Xｸﾞﾗﾌ_3" localSheetId="0" hidden="1">#REF!</definedName>
    <definedName name="_11__123Graph_Xｸﾞﾗﾌ_3" hidden="1">#REF!</definedName>
    <definedName name="_11__123Graph_Xｸﾞﾗﾌ_4" localSheetId="0" hidden="1">#REF!</definedName>
    <definedName name="_11__123Graph_Xｸﾞﾗﾌ_4" hidden="1">#REF!</definedName>
    <definedName name="_110__123Graph_Xｸﾞﾗﾌ_5" localSheetId="0" hidden="1">#REF!</definedName>
    <definedName name="_110__123Graph_Xｸﾞﾗﾌ_5" hidden="1">#REF!</definedName>
    <definedName name="_112__123Graph_Xｸﾞﾗﾌ_2" localSheetId="0" hidden="1">#REF!</definedName>
    <definedName name="_112__123Graph_Xｸﾞﾗﾌ_2" hidden="1">#REF!</definedName>
    <definedName name="_112__123Graph_Xｸﾞﾗﾌ_5" localSheetId="0" hidden="1">#REF!</definedName>
    <definedName name="_112__123Graph_Xｸﾞﾗﾌ_5" hidden="1">#REF!</definedName>
    <definedName name="_116__123Graph_Xｸﾞﾗﾌ_1" localSheetId="0" hidden="1">#REF!</definedName>
    <definedName name="_116__123Graph_Xｸﾞﾗﾌ_1" hidden="1">#REF!</definedName>
    <definedName name="_11P3_" localSheetId="0" hidden="1">{#N/A,#N/A,FALSE,"特殊室（ＢＱ表）"}</definedName>
    <definedName name="_11P3_" hidden="1">{#N/A,#N/A,FALSE,"特殊室（ＢＱ表）"}</definedName>
    <definedName name="_12____123Graph_Aｸﾞﾗﾌ_2" localSheetId="0" hidden="1">#REF!</definedName>
    <definedName name="_12____123Graph_Aｸﾞﾗﾌ_2" hidden="1">#REF!</definedName>
    <definedName name="_12__123Graph_A????_2" localSheetId="0" hidden="1">#REF!</definedName>
    <definedName name="_12__123Graph_A????_2" hidden="1">#REF!</definedName>
    <definedName name="_12__123Graph_Aｸﾞﾗﾌ_1" localSheetId="0" hidden="1">#REF!</definedName>
    <definedName name="_12__123Graph_Aｸﾞﾗﾌ_1" hidden="1">#REF!</definedName>
    <definedName name="_12__123Graph_Aｸﾞﾗﾌ_2" localSheetId="0" hidden="1">#REF!</definedName>
    <definedName name="_12__123Graph_Aｸﾞﾗﾌ_2" hidden="1">#REF!</definedName>
    <definedName name="_12__123Graph_Aｸﾞﾗﾌ_3" localSheetId="0" hidden="1">#REF!</definedName>
    <definedName name="_12__123Graph_Aｸﾞﾗﾌ_3" hidden="1">#REF!</definedName>
    <definedName name="_12__123Graph_Aｸﾞﾗﾌ_4" localSheetId="0" hidden="1">#REF!</definedName>
    <definedName name="_12__123Graph_Aｸﾞﾗﾌ_4" hidden="1">#REF!</definedName>
    <definedName name="_12__123Graph_Aｸﾞﾗﾌ_5" localSheetId="0" hidden="1">#REF!</definedName>
    <definedName name="_12__123Graph_Aｸﾞﾗﾌ_5" hidden="1">#REF!</definedName>
    <definedName name="_12__123Graph_BCASH_FLOW1" localSheetId="0" hidden="1">#REF!</definedName>
    <definedName name="_12__123Graph_BCASH_FLOW1" hidden="1">#REF!</definedName>
    <definedName name="_12__123Graph_BCHART_1" localSheetId="0" hidden="1">#REF!</definedName>
    <definedName name="_12__123Graph_BCHART_1" hidden="1">#REF!</definedName>
    <definedName name="_12__123Graph_X????_2" localSheetId="0" hidden="1">#REF!</definedName>
    <definedName name="_12__123Graph_X????_2" hidden="1">#REF!</definedName>
    <definedName name="_12__123Graph_Xｸﾞﾗﾌ_1" localSheetId="10" hidden="1">#REF!</definedName>
    <definedName name="_12__123Graph_Xｸﾞﾗﾌ_1" hidden="1">#REF!</definedName>
    <definedName name="_12__123Graph_Xｸﾞﾗﾌ_2" localSheetId="10" hidden="1">#REF!</definedName>
    <definedName name="_12__123Graph_Xｸﾞﾗﾌ_2" hidden="1">#REF!</definedName>
    <definedName name="_12__123Graph_Xｸﾞﾗﾌ_3" localSheetId="0" hidden="1">#REF!</definedName>
    <definedName name="_12__123Graph_Xｸﾞﾗﾌ_3" hidden="1">#REF!</definedName>
    <definedName name="_12__123Graph_Xｸﾞﾗﾌ_4" localSheetId="0" hidden="1">#REF!</definedName>
    <definedName name="_12__123Graph_Xｸﾞﾗﾌ_4" hidden="1">#REF!</definedName>
    <definedName name="_12__123Graph_Xｸﾞﾗﾌ_5" localSheetId="0" hidden="1">#REF!</definedName>
    <definedName name="_12__123Graph_Xｸﾞﾗﾌ_5" hidden="1">#REF!</definedName>
    <definedName name="_12_0_S" localSheetId="0" hidden="1">#REF!</definedName>
    <definedName name="_12_0_S" hidden="1">#REF!</definedName>
    <definedName name="_123" localSheetId="0" hidden="1">#REF!</definedName>
    <definedName name="_123" hidden="1">#REF!</definedName>
    <definedName name="_123321" localSheetId="0" hidden="1">#REF!</definedName>
    <definedName name="_123321" hidden="1">#REF!</definedName>
    <definedName name="_12345" localSheetId="0" hidden="1">#REF!</definedName>
    <definedName name="_12345" hidden="1">#REF!</definedName>
    <definedName name="_123678" localSheetId="0" hidden="1">#REF!</definedName>
    <definedName name="_123678" hidden="1">#REF!</definedName>
    <definedName name="_123graph_B" localSheetId="0" hidden="1">#REF!</definedName>
    <definedName name="_123graph_B" hidden="1">#REF!</definedName>
    <definedName name="_123Graph_F" localSheetId="0" hidden="1">#REF!</definedName>
    <definedName name="_123Graph_F" hidden="1">#REF!</definedName>
    <definedName name="_124__123Graph_Xｸﾞﾗﾌ_2" localSheetId="0" hidden="1">#REF!</definedName>
    <definedName name="_124__123Graph_Xｸﾞﾗﾌ_2" hidden="1">#REF!</definedName>
    <definedName name="_126__123Graph_Xｸﾞﾗﾌ_2" localSheetId="0" hidden="1">#REF!</definedName>
    <definedName name="_126__123Graph_Xｸﾞﾗﾌ_2" hidden="1">#REF!</definedName>
    <definedName name="_128__123Graph_Xｸﾞﾗﾌ_3" localSheetId="0" hidden="1">#REF!</definedName>
    <definedName name="_128__123Graph_Xｸﾞﾗﾌ_3" hidden="1">#REF!</definedName>
    <definedName name="_12F" localSheetId="0" hidden="1">#REF!</definedName>
    <definedName name="_12F" hidden="1">#REF!</definedName>
    <definedName name="_12FR" localSheetId="0" hidden="1">{"NGUYEN QUI THIEP - Personal View",#N/A,FALSE,"XDCB.HT.FUR."}</definedName>
    <definedName name="_12FR" hidden="1">{"NGUYEN QUI THIEP - Personal View",#N/A,FALSE,"XDCB.HT.FUR."}</definedName>
    <definedName name="_13____123Graph_Aｸﾞﾗﾌ_3" localSheetId="0" hidden="1">#REF!</definedName>
    <definedName name="_13____123Graph_Aｸﾞﾗﾌ_3" hidden="1">#REF!</definedName>
    <definedName name="_13__123Graph_Aｸﾞﾗﾌ_1" localSheetId="0" hidden="1">#REF!</definedName>
    <definedName name="_13__123Graph_Aｸﾞﾗﾌ_1" hidden="1">#REF!</definedName>
    <definedName name="_13__123Graph_Aｸﾞﾗﾌ_2" localSheetId="0" hidden="1">#REF!</definedName>
    <definedName name="_13__123Graph_Aｸﾞﾗﾌ_2" hidden="1">#REF!</definedName>
    <definedName name="_13__123Graph_Aｸﾞﾗﾌ_3" localSheetId="0" hidden="1">#REF!</definedName>
    <definedName name="_13__123Graph_Aｸﾞﾗﾌ_3" hidden="1">#REF!</definedName>
    <definedName name="_13__123Graph_Aｸﾞﾗﾌ_4" localSheetId="0" hidden="1">#REF!</definedName>
    <definedName name="_13__123Graph_Aｸﾞﾗﾌ_4" hidden="1">#REF!</definedName>
    <definedName name="_13__123Graph_Aｸﾞﾗﾌ_5" localSheetId="0" hidden="1">#REF!</definedName>
    <definedName name="_13__123Graph_Aｸﾞﾗﾌ_5" hidden="1">#REF!</definedName>
    <definedName name="_13__123Graph_BCHART_2" localSheetId="0" hidden="1">#REF!</definedName>
    <definedName name="_13__123Graph_BCHART_2" hidden="1">#REF!</definedName>
    <definedName name="_13__123Graph_LBL_ACASH_FLOW1" localSheetId="0" hidden="1">#REF!</definedName>
    <definedName name="_13__123Graph_LBL_ACASH_FLOW1" hidden="1">#REF!</definedName>
    <definedName name="_13__123Graph_X????_3" localSheetId="0" hidden="1">#REF!</definedName>
    <definedName name="_13__123Graph_X????_3" hidden="1">#REF!</definedName>
    <definedName name="_13__123Graph_Xｸﾞﾗﾌ_2" localSheetId="0" hidden="1">#REF!</definedName>
    <definedName name="_13__123Graph_Xｸﾞﾗﾌ_2" hidden="1">#REF!</definedName>
    <definedName name="_13__123Graph_Xｸﾞﾗﾌ_3" localSheetId="10" hidden="1">#REF!</definedName>
    <definedName name="_13__123Graph_Xｸﾞﾗﾌ_3" hidden="1">#REF!</definedName>
    <definedName name="_13__123Graph_Xｸﾞﾗﾌ_4" localSheetId="0" hidden="1">#REF!</definedName>
    <definedName name="_13__123Graph_Xｸﾞﾗﾌ_4" hidden="1">#REF!</definedName>
    <definedName name="_13__123Graph_Xｸﾞﾗﾌ_5" localSheetId="0" hidden="1">#REF!</definedName>
    <definedName name="_13__123Graph_Xｸﾞﾗﾌ_5" hidden="1">#REF!</definedName>
    <definedName name="_132__123Graph_Xｸﾞﾗﾌ_3" localSheetId="0" hidden="1">#REF!</definedName>
    <definedName name="_132__123Graph_Xｸﾞﾗﾌ_3" hidden="1">#REF!</definedName>
    <definedName name="_14____123Graph_Aｸﾞﾗﾌ_4" localSheetId="0" hidden="1">#REF!</definedName>
    <definedName name="_14____123Graph_Aｸﾞﾗﾌ_4" hidden="1">#REF!</definedName>
    <definedName name="_14__123Graph_Aｸﾞﾗﾌ_2" localSheetId="0" hidden="1">#REF!</definedName>
    <definedName name="_14__123Graph_Aｸﾞﾗﾌ_2" hidden="1">#REF!</definedName>
    <definedName name="_14__123Graph_Aｸﾞﾗﾌ_3" localSheetId="0" hidden="1">#REF!</definedName>
    <definedName name="_14__123Graph_Aｸﾞﾗﾌ_3" hidden="1">#REF!</definedName>
    <definedName name="_14__123Graph_Aｸﾞﾗﾌ_4" localSheetId="0" hidden="1">#REF!</definedName>
    <definedName name="_14__123Graph_Aｸﾞﾗﾌ_4" hidden="1">#REF!</definedName>
    <definedName name="_14__123Graph_Aｸﾞﾗﾌ_5" localSheetId="0" hidden="1">#REF!</definedName>
    <definedName name="_14__123Graph_Aｸﾞﾗﾌ_5" hidden="1">#REF!</definedName>
    <definedName name="_14__123Graph_CCHART_1" localSheetId="0" hidden="1">#REF!</definedName>
    <definedName name="_14__123Graph_CCHART_1" hidden="1">#REF!</definedName>
    <definedName name="_14__123Graph_LBL_BCASH_FLOW1" localSheetId="0" hidden="1">#REF!</definedName>
    <definedName name="_14__123Graph_LBL_BCASH_FLOW1" hidden="1">#REF!</definedName>
    <definedName name="_14__123Graph_X????_1" localSheetId="0" hidden="1">#REF!</definedName>
    <definedName name="_14__123Graph_X????_1" hidden="1">#REF!</definedName>
    <definedName name="_14__123Graph_X????_4" localSheetId="0" hidden="1">#REF!</definedName>
    <definedName name="_14__123Graph_X????_4" hidden="1">#REF!</definedName>
    <definedName name="_14__123Graph_Xｸﾞﾗﾌ_1" localSheetId="0" hidden="1">#REF!</definedName>
    <definedName name="_14__123Graph_Xｸﾞﾗﾌ_1" hidden="1">#REF!</definedName>
    <definedName name="_14__123Graph_Xｸﾞﾗﾌ_2" localSheetId="10" hidden="1">#REF!</definedName>
    <definedName name="_14__123Graph_Xｸﾞﾗﾌ_2" hidden="1">#REF!</definedName>
    <definedName name="_14__123Graph_Xｸﾞﾗﾌ_3" localSheetId="0" hidden="1">#REF!</definedName>
    <definedName name="_14__123Graph_Xｸﾞﾗﾌ_3" hidden="1">#REF!</definedName>
    <definedName name="_14__123Graph_Xｸﾞﾗﾌ_4" localSheetId="10" hidden="1">#REF!</definedName>
    <definedName name="_14__123Graph_Xｸﾞﾗﾌ_4" hidden="1">#REF!</definedName>
    <definedName name="_14__123Graph_Xｸﾞﾗﾌ_5" localSheetId="0" hidden="1">#REF!</definedName>
    <definedName name="_14__123Graph_Xｸﾞﾗﾌ_5" hidden="1">#REF!</definedName>
    <definedName name="_140__123Graph_Xｸﾞﾗﾌ_4" localSheetId="0" hidden="1">#REF!</definedName>
    <definedName name="_140__123Graph_Xｸﾞﾗﾌ_4" hidden="1">#REF!</definedName>
    <definedName name="_144__123Graph_Xｸﾞﾗﾌ_3" localSheetId="0" hidden="1">#REF!</definedName>
    <definedName name="_144__123Graph_Xｸﾞﾗﾌ_3" hidden="1">#REF!</definedName>
    <definedName name="_144__123Graph_Xｸﾞﾗﾌ_4" localSheetId="0" hidden="1">#REF!</definedName>
    <definedName name="_144__123Graph_Xｸﾞﾗﾌ_4" hidden="1">#REF!</definedName>
    <definedName name="_148__123Graph_Xｸﾞﾗﾌ_5" localSheetId="0" hidden="1">#REF!</definedName>
    <definedName name="_148__123Graph_Xｸﾞﾗﾌ_5" hidden="1">#REF!</definedName>
    <definedName name="_15____123Graph_Aｸﾞﾗﾌ_5" localSheetId="0" hidden="1">#REF!</definedName>
    <definedName name="_15____123Graph_Aｸﾞﾗﾌ_5" hidden="1">#REF!</definedName>
    <definedName name="_15__123Graph_Aｸﾞﾗﾌ_3" localSheetId="0" hidden="1">#REF!</definedName>
    <definedName name="_15__123Graph_Aｸﾞﾗﾌ_3" hidden="1">#REF!</definedName>
    <definedName name="_15__123Graph_Aｸﾞﾗﾌ_5" localSheetId="0" hidden="1">#REF!</definedName>
    <definedName name="_15__123Graph_Aｸﾞﾗﾌ_5" hidden="1">#REF!</definedName>
    <definedName name="_15__123Graph_DCHART_1" localSheetId="0" hidden="1">#REF!</definedName>
    <definedName name="_15__123Graph_DCHART_1" hidden="1">#REF!</definedName>
    <definedName name="_15__123Graph_X????_1" localSheetId="0" hidden="1">#REF!</definedName>
    <definedName name="_15__123Graph_X????_1" hidden="1">#REF!</definedName>
    <definedName name="_15__123Graph_X????_2" localSheetId="0" hidden="1">#REF!</definedName>
    <definedName name="_15__123Graph_X????_2" hidden="1">#REF!</definedName>
    <definedName name="_15__123Graph_X????_5" localSheetId="0" hidden="1">#REF!</definedName>
    <definedName name="_15__123Graph_X????_5" hidden="1">#REF!</definedName>
    <definedName name="_15__123Graph_XCHART_1" localSheetId="0" hidden="1">#REF!</definedName>
    <definedName name="_15__123Graph_XCHART_1" hidden="1">#REF!</definedName>
    <definedName name="_15__123Graph_Xｸﾞﾗﾌ_2" localSheetId="0" hidden="1">#REF!</definedName>
    <definedName name="_15__123Graph_Xｸﾞﾗﾌ_2" hidden="1">#REF!</definedName>
    <definedName name="_15__123Graph_Xｸﾞﾗﾌ_4" localSheetId="0" hidden="1">#REF!</definedName>
    <definedName name="_15__123Graph_Xｸﾞﾗﾌ_4" hidden="1">#REF!</definedName>
    <definedName name="_15__123Graph_Xｸﾞﾗﾌ_5" localSheetId="10" hidden="1">#REF!</definedName>
    <definedName name="_15__123Graph_Xｸﾞﾗﾌ_5" hidden="1">#REF!</definedName>
    <definedName name="_16____123Graph_Xｸﾞﾗﾌ_1" localSheetId="0" hidden="1">#REF!</definedName>
    <definedName name="_16____123Graph_Xｸﾞﾗﾌ_1" hidden="1">#REF!</definedName>
    <definedName name="_16__123Graph_Aｸﾞﾗﾌ_1" localSheetId="0" hidden="1">#REF!</definedName>
    <definedName name="_16__123Graph_Aｸﾞﾗﾌ_1" hidden="1">#REF!</definedName>
    <definedName name="_16__123Graph_Aｸﾞﾗﾌ_2" localSheetId="0" hidden="1">#REF!</definedName>
    <definedName name="_16__123Graph_Aｸﾞﾗﾌ_2" hidden="1">#REF!</definedName>
    <definedName name="_16__123Graph_Aｸﾞﾗﾌ_3" localSheetId="0" hidden="1">#REF!</definedName>
    <definedName name="_16__123Graph_Aｸﾞﾗﾌ_3" hidden="1">#REF!</definedName>
    <definedName name="_16__123Graph_Aｸﾞﾗﾌ_4" localSheetId="0" hidden="1">#REF!</definedName>
    <definedName name="_16__123Graph_Aｸﾞﾗﾌ_4" hidden="1">#REF!</definedName>
    <definedName name="_16__123Graph_X????_2" localSheetId="0" hidden="1">#REF!</definedName>
    <definedName name="_16__123Graph_X????_2" hidden="1">#REF!</definedName>
    <definedName name="_16__123Graph_X????_3" localSheetId="0" hidden="1">#REF!</definedName>
    <definedName name="_16__123Graph_X????_3" hidden="1">#REF!</definedName>
    <definedName name="_16__123Graph_XCHART_2" localSheetId="0" hidden="1">#REF!</definedName>
    <definedName name="_16__123Graph_XCHART_2" hidden="1">#REF!</definedName>
    <definedName name="_16__123Graph_Xｸﾞﾗﾌ_1" localSheetId="0" hidden="1">#REF!</definedName>
    <definedName name="_16__123Graph_Xｸﾞﾗﾌ_1" hidden="1">#REF!</definedName>
    <definedName name="_16__123Graph_Xｸﾞﾗﾌ_2" localSheetId="0" hidden="1">#REF!</definedName>
    <definedName name="_16__123Graph_Xｸﾞﾗﾌ_2" hidden="1">#REF!</definedName>
    <definedName name="_16__123Graph_Xｸﾞﾗﾌ_3" localSheetId="10" hidden="1">#REF!</definedName>
    <definedName name="_16__123Graph_Xｸﾞﾗﾌ_3" hidden="1">#REF!</definedName>
    <definedName name="_16__123Graph_Xｸﾞﾗﾌ_5" localSheetId="0" hidden="1">#REF!</definedName>
    <definedName name="_16__123Graph_Xｸﾞﾗﾌ_5" hidden="1">#REF!</definedName>
    <definedName name="_16_0_0_F" localSheetId="0" hidden="1">#REF!</definedName>
    <definedName name="_16_0_0_F" hidden="1">#REF!</definedName>
    <definedName name="_16_0_S" localSheetId="0" hidden="1">#REF!</definedName>
    <definedName name="_16_0_S" hidden="1">#REF!</definedName>
    <definedName name="_160__123Graph_Xｸﾞﾗﾌ_5" localSheetId="0" hidden="1">#REF!</definedName>
    <definedName name="_160__123Graph_Xｸﾞﾗﾌ_5" hidden="1">#REF!</definedName>
    <definedName name="_162__123Graph_Xｸﾞﾗﾌ_4" localSheetId="0" hidden="1">#REF!</definedName>
    <definedName name="_162__123Graph_Xｸﾞﾗﾌ_4" hidden="1">#REF!</definedName>
    <definedName name="_16P3_" localSheetId="0" hidden="1">{#N/A,#N/A,FALSE,"特殊室（ＢＱ表）"}</definedName>
    <definedName name="_16P3_" hidden="1">{#N/A,#N/A,FALSE,"特殊室（ＢＱ表）"}</definedName>
    <definedName name="_17____123Graph_Xｸﾞﾗﾌ_2" localSheetId="0" hidden="1">#REF!</definedName>
    <definedName name="_17____123Graph_Xｸﾞﾗﾌ_2" hidden="1">#REF!</definedName>
    <definedName name="_17__123Graph_A????_1" localSheetId="0" hidden="1">#REF!</definedName>
    <definedName name="_17__123Graph_A????_1" hidden="1">#REF!</definedName>
    <definedName name="_17__123Graph_A????_3" localSheetId="0" hidden="1">#REF!</definedName>
    <definedName name="_17__123Graph_A????_3" hidden="1">#REF!</definedName>
    <definedName name="_17__123Graph_Aｸﾞﾗﾌ_1" localSheetId="0" hidden="1">#REF!</definedName>
    <definedName name="_17__123Graph_Aｸﾞﾗﾌ_1" hidden="1">#REF!</definedName>
    <definedName name="_17__123Graph_Aｸﾞﾗﾌ_2" localSheetId="0" hidden="1">#REF!</definedName>
    <definedName name="_17__123Graph_Aｸﾞﾗﾌ_2" hidden="1">#REF!</definedName>
    <definedName name="_17__123Graph_Aｸﾞﾗﾌ_3" localSheetId="0" hidden="1">#REF!</definedName>
    <definedName name="_17__123Graph_Aｸﾞﾗﾌ_3" hidden="1">#REF!</definedName>
    <definedName name="_17__123Graph_Aｸﾞﾗﾌ_4" localSheetId="0" hidden="1">#REF!</definedName>
    <definedName name="_17__123Graph_Aｸﾞﾗﾌ_4" hidden="1">#REF!</definedName>
    <definedName name="_17__123Graph_Aｸﾞﾗﾌ_5" localSheetId="0" hidden="1">#REF!</definedName>
    <definedName name="_17__123Graph_Aｸﾞﾗﾌ_5" hidden="1">#REF!</definedName>
    <definedName name="_17__123Graph_X????_3" localSheetId="0" hidden="1">#REF!</definedName>
    <definedName name="_17__123Graph_X????_3" hidden="1">#REF!</definedName>
    <definedName name="_17__123Graph_X????_4" localSheetId="0" hidden="1">#REF!</definedName>
    <definedName name="_17__123Graph_X????_4" hidden="1">#REF!</definedName>
    <definedName name="_17__123Graph_Xｸﾞﾗﾌ_1" localSheetId="0" hidden="1">#REF!</definedName>
    <definedName name="_17__123Graph_Xｸﾞﾗﾌ_1" hidden="1">#REF!</definedName>
    <definedName name="_17__123Graph_Xｸﾞﾗﾌ_2" localSheetId="0" hidden="1">#REF!</definedName>
    <definedName name="_17__123Graph_Xｸﾞﾗﾌ_2" hidden="1">#REF!</definedName>
    <definedName name="_17__123Graph_Xｸﾞﾗﾌ_4" localSheetId="0" hidden="1">#REF!</definedName>
    <definedName name="_17__123Graph_Xｸﾞﾗﾌ_4" hidden="1">#REF!</definedName>
    <definedName name="_17_0_S" localSheetId="0" hidden="1">#REF!</definedName>
    <definedName name="_17_0_S" hidden="1">#REF!</definedName>
    <definedName name="_17a1_" localSheetId="0" hidden="1">{"'Sheet1'!$L$16"}</definedName>
    <definedName name="_17a1_" hidden="1">{"'Sheet1'!$L$16"}</definedName>
    <definedName name="_17EE1_" localSheetId="0" hidden="1">{#N/A,#N/A,FALSE,"단가표지"}</definedName>
    <definedName name="_17EE1_" hidden="1">{#N/A,#N/A,FALSE,"단가표지"}</definedName>
    <definedName name="_17P3_" localSheetId="0" hidden="1">{#N/A,#N/A,FALSE,"特殊室（ＢＱ表）"}</definedName>
    <definedName name="_17P3_" hidden="1">{#N/A,#N/A,FALSE,"特殊室（ＢＱ表）"}</definedName>
    <definedName name="_18____123Graph_Xｸﾞﾗﾌ_3" localSheetId="0" hidden="1">#REF!</definedName>
    <definedName name="_18____123Graph_Xｸﾞﾗﾌ_3" hidden="1">#REF!</definedName>
    <definedName name="_18__123Graph_A????_2" localSheetId="0" hidden="1">#REF!</definedName>
    <definedName name="_18__123Graph_A????_2" hidden="1">#REF!</definedName>
    <definedName name="_18__123Graph_Aｸﾞﾗﾌ_1" localSheetId="0" hidden="1">#REF!</definedName>
    <definedName name="_18__123Graph_Aｸﾞﾗﾌ_1" hidden="1">#REF!</definedName>
    <definedName name="_18__123Graph_Aｸﾞﾗﾌ_2" localSheetId="0" hidden="1">#REF!</definedName>
    <definedName name="_18__123Graph_Aｸﾞﾗﾌ_2" hidden="1">#REF!</definedName>
    <definedName name="_18__123Graph_Aｸﾞﾗﾌ_3" localSheetId="0" hidden="1">#REF!</definedName>
    <definedName name="_18__123Graph_Aｸﾞﾗﾌ_3" hidden="1">#REF!</definedName>
    <definedName name="_18__123Graph_Aｸﾞﾗﾌ_4" localSheetId="0" hidden="1">#REF!</definedName>
    <definedName name="_18__123Graph_Aｸﾞﾗﾌ_4" hidden="1">#REF!</definedName>
    <definedName name="_18__123Graph_Aｸﾞﾗﾌ_5" localSheetId="0" hidden="1">#REF!</definedName>
    <definedName name="_18__123Graph_Aｸﾞﾗﾌ_5" hidden="1">#REF!</definedName>
    <definedName name="_18__123Graph_X????_4" localSheetId="0" hidden="1">#REF!</definedName>
    <definedName name="_18__123Graph_X????_4" hidden="1">#REF!</definedName>
    <definedName name="_18__123Graph_X????_5" localSheetId="0" hidden="1">#REF!</definedName>
    <definedName name="_18__123Graph_X????_5" hidden="1">#REF!</definedName>
    <definedName name="_18__123Graph_Xｸﾞﾗﾌ_1" localSheetId="0" hidden="1">#REF!</definedName>
    <definedName name="_18__123Graph_Xｸﾞﾗﾌ_1" hidden="1">#REF!</definedName>
    <definedName name="_18__123Graph_Xｸﾞﾗﾌ_2" localSheetId="0" hidden="1">#REF!</definedName>
    <definedName name="_18__123Graph_Xｸﾞﾗﾌ_2" hidden="1">#REF!</definedName>
    <definedName name="_18__123Graph_Xｸﾞﾗﾌ_3" localSheetId="0" hidden="1">#REF!</definedName>
    <definedName name="_18__123Graph_Xｸﾞﾗﾌ_3" hidden="1">#REF!</definedName>
    <definedName name="_18__123Graph_Xｸﾞﾗﾌ_4" localSheetId="10" hidden="1">#REF!</definedName>
    <definedName name="_18__123Graph_Xｸﾞﾗﾌ_4" hidden="1">#REF!</definedName>
    <definedName name="_18__123Graph_Xｸﾞﾗﾌ_5" localSheetId="0" hidden="1">#REF!</definedName>
    <definedName name="_18__123Graph_Xｸﾞﾗﾌ_5" hidden="1">#REF!</definedName>
    <definedName name="_18_0_S" localSheetId="0" hidden="1">#REF!</definedName>
    <definedName name="_18_0_S" hidden="1">#REF!</definedName>
    <definedName name="_180__123Graph_Xｸﾞﾗﾌ_5" localSheetId="0" hidden="1">#REF!</definedName>
    <definedName name="_180__123Graph_Xｸﾞﾗﾌ_5" hidden="1">#REF!</definedName>
    <definedName name="_19____123Graph_Xｸﾞﾗﾌ_4" localSheetId="0" hidden="1">#REF!</definedName>
    <definedName name="_19____123Graph_Xｸﾞﾗﾌ_4" hidden="1">#REF!</definedName>
    <definedName name="_19__123Graph_A????_3" localSheetId="0" hidden="1">#REF!</definedName>
    <definedName name="_19__123Graph_A????_3" hidden="1">#REF!</definedName>
    <definedName name="_19__123Graph_Aｸﾞﾗﾌ_2" localSheetId="0" hidden="1">#REF!</definedName>
    <definedName name="_19__123Graph_Aｸﾞﾗﾌ_2" hidden="1">#REF!</definedName>
    <definedName name="_19__123Graph_Aｸﾞﾗﾌ_3" localSheetId="0" hidden="1">#REF!</definedName>
    <definedName name="_19__123Graph_Aｸﾞﾗﾌ_3" hidden="1">#REF!</definedName>
    <definedName name="_19__123Graph_Aｸﾞﾗﾌ_4" localSheetId="0" hidden="1">#REF!</definedName>
    <definedName name="_19__123Graph_Aｸﾞﾗﾌ_4" hidden="1">#REF!</definedName>
    <definedName name="_19__123Graph_X????_1" localSheetId="0" hidden="1">#REF!</definedName>
    <definedName name="_19__123Graph_X????_1" hidden="1">#REF!</definedName>
    <definedName name="_19__123Graph_X????_5" localSheetId="0" hidden="1">#REF!</definedName>
    <definedName name="_19__123Graph_X????_5" hidden="1">#REF!</definedName>
    <definedName name="_19__123Graph_Xｸﾞﾗﾌ_1" localSheetId="0" hidden="1">#REF!</definedName>
    <definedName name="_19__123Graph_Xｸﾞﾗﾌ_1" hidden="1">#REF!</definedName>
    <definedName name="_19__123Graph_Xｸﾞﾗﾌ_2" localSheetId="0" hidden="1">#REF!</definedName>
    <definedName name="_19__123Graph_Xｸﾞﾗﾌ_2" hidden="1">#REF!</definedName>
    <definedName name="_19__123Graph_Xｸﾞﾗﾌ_4" localSheetId="0" hidden="1">#REF!</definedName>
    <definedName name="_19__123Graph_Xｸﾞﾗﾌ_4" hidden="1">#REF!</definedName>
    <definedName name="_1P3_" localSheetId="0" hidden="1">{#N/A,#N/A,FALSE,"特殊室（ＢＱ表）"}</definedName>
    <definedName name="_1P3_" hidden="1">{#N/A,#N/A,FALSE,"特殊室（ＢＱ表）"}</definedName>
    <definedName name="_2______123Graph_Aｸﾞﾗﾌ_2" localSheetId="0" hidden="1">#REF!</definedName>
    <definedName name="_2______123Graph_Aｸﾞﾗﾌ_2" hidden="1">#REF!</definedName>
    <definedName name="_2___123Graph_ACHART_1" localSheetId="0" hidden="1">#REF!</definedName>
    <definedName name="_2___123Graph_ACHART_1" hidden="1">#REF!</definedName>
    <definedName name="_2___123Graph_Aｸﾞﾗﾌ_2" localSheetId="0" hidden="1">#REF!</definedName>
    <definedName name="_2___123Graph_Aｸﾞﾗﾌ_2" hidden="1">#REF!</definedName>
    <definedName name="_2__123Graph_A????_2" localSheetId="0" hidden="1">#REF!</definedName>
    <definedName name="_2__123Graph_A????_2" hidden="1">#REF!</definedName>
    <definedName name="_2__123Graph_ACHART_1A" localSheetId="0" hidden="1">#REF!</definedName>
    <definedName name="_2__123Graph_ACHART_1A" hidden="1">#REF!</definedName>
    <definedName name="_2__123Graph_ACHART_2" localSheetId="10" hidden="1">#REF!</definedName>
    <definedName name="_2__123Graph_ACHART_2" hidden="1">#REF!</definedName>
    <definedName name="_2__123Graph_Aｸﾞﾗﾌ_1" localSheetId="10" hidden="1">#REF!</definedName>
    <definedName name="_2__123Graph_Aｸﾞﾗﾌ_1" hidden="1">#REF!</definedName>
    <definedName name="_2__123Graph_Aｸﾞﾗﾌ_2" localSheetId="10" hidden="1">#REF!</definedName>
    <definedName name="_2__123Graph_Aｸﾞﾗﾌ_2" hidden="1">#REF!</definedName>
    <definedName name="_2_0_0_F" localSheetId="0" hidden="1">#REF!</definedName>
    <definedName name="_2_0_0_F" hidden="1">#REF!</definedName>
    <definedName name="_2_0_F" localSheetId="10" hidden="1">#REF!</definedName>
    <definedName name="_2_0_F" hidden="1">#REF!</definedName>
    <definedName name="_2_0xoa_" localSheetId="0" hidden="1">#REF!</definedName>
    <definedName name="_2_0xoa_" hidden="1">#REF!</definedName>
    <definedName name="_20____123Graph_Xｸﾞﾗﾌ_5" localSheetId="0" hidden="1">#REF!</definedName>
    <definedName name="_20____123Graph_Xｸﾞﾗﾌ_5" hidden="1">#REF!</definedName>
    <definedName name="_20__123Graph_A????_4" localSheetId="0" hidden="1">#REF!</definedName>
    <definedName name="_20__123Graph_A????_4" hidden="1">#REF!</definedName>
    <definedName name="_20__123Graph_Aｸﾞﾗﾌ_2" localSheetId="0" hidden="1">#REF!</definedName>
    <definedName name="_20__123Graph_Aｸﾞﾗﾌ_2" hidden="1">#REF!</definedName>
    <definedName name="_20__123Graph_Aｸﾞﾗﾌ_3" localSheetId="0" hidden="1">#REF!</definedName>
    <definedName name="_20__123Graph_Aｸﾞﾗﾌ_3" hidden="1">#REF!</definedName>
    <definedName name="_20__123Graph_Aｸﾞﾗﾌ_4" localSheetId="0" hidden="1">#REF!</definedName>
    <definedName name="_20__123Graph_Aｸﾞﾗﾌ_4" hidden="1">#REF!</definedName>
    <definedName name="_20__123Graph_Aｸﾞﾗﾌ_5" localSheetId="0" hidden="1">#REF!</definedName>
    <definedName name="_20__123Graph_Aｸﾞﾗﾌ_5" hidden="1">#REF!</definedName>
    <definedName name="_20__123Graph_X????_2" localSheetId="0" hidden="1">#REF!</definedName>
    <definedName name="_20__123Graph_X????_2" hidden="1">#REF!</definedName>
    <definedName name="_20__123Graph_Xｸﾞﾗﾌ_1" localSheetId="0" hidden="1">#REF!</definedName>
    <definedName name="_20__123Graph_Xｸﾞﾗﾌ_1" hidden="1">#REF!</definedName>
    <definedName name="_20__123Graph_Xｸﾞﾗﾌ_2" localSheetId="0" hidden="1">#REF!</definedName>
    <definedName name="_20__123Graph_Xｸﾞﾗﾌ_2" hidden="1">#REF!</definedName>
    <definedName name="_20__123Graph_Xｸﾞﾗﾌ_3" localSheetId="0" hidden="1">#REF!</definedName>
    <definedName name="_20__123Graph_Xｸﾞﾗﾌ_3" hidden="1">#REF!</definedName>
    <definedName name="_20__123Graph_Xｸﾞﾗﾌ_4" localSheetId="0" hidden="1">#REF!</definedName>
    <definedName name="_20__123Graph_Xｸﾞﾗﾌ_4" hidden="1">#REF!</definedName>
    <definedName name="_20__123Graph_Xｸﾞﾗﾌ_5" localSheetId="10" hidden="1">#REF!</definedName>
    <definedName name="_20__123Graph_Xｸﾞﾗﾌ_5" hidden="1">#REF!</definedName>
    <definedName name="_21__123Graph_A????_2" localSheetId="0" hidden="1">#REF!</definedName>
    <definedName name="_21__123Graph_A????_2" hidden="1">#REF!</definedName>
    <definedName name="_21__123Graph_A????_5" localSheetId="0" hidden="1">#REF!</definedName>
    <definedName name="_21__123Graph_A????_5" hidden="1">#REF!</definedName>
    <definedName name="_21__123Graph_ACHART_1" localSheetId="0" hidden="1">#REF!</definedName>
    <definedName name="_21__123Graph_ACHART_1" hidden="1">#REF!</definedName>
    <definedName name="_21__123Graph_Aｸﾞﾗﾌ_3" localSheetId="0" hidden="1">#REF!</definedName>
    <definedName name="_21__123Graph_Aｸﾞﾗﾌ_3" hidden="1">#REF!</definedName>
    <definedName name="_21__123Graph_Aｸﾞﾗﾌ_4" localSheetId="0" hidden="1">#REF!</definedName>
    <definedName name="_21__123Graph_Aｸﾞﾗﾌ_4" hidden="1">#REF!</definedName>
    <definedName name="_21__123Graph_Aｸﾞﾗﾌ_5" localSheetId="0" hidden="1">#REF!</definedName>
    <definedName name="_21__123Graph_Aｸﾞﾗﾌ_5" hidden="1">#REF!</definedName>
    <definedName name="_21__123Graph_X????_1" localSheetId="0" hidden="1">#REF!</definedName>
    <definedName name="_21__123Graph_X????_1" hidden="1">#REF!</definedName>
    <definedName name="_21__123Graph_X????_3" localSheetId="0" hidden="1">#REF!</definedName>
    <definedName name="_21__123Graph_X????_3" hidden="1">#REF!</definedName>
    <definedName name="_21__123Graph_Xｸﾞﾗﾌ_1" localSheetId="0" hidden="1">#REF!</definedName>
    <definedName name="_21__123Graph_Xｸﾞﾗﾌ_1" hidden="1">#REF!</definedName>
    <definedName name="_21__123Graph_Xｸﾞﾗﾌ_2" localSheetId="0" hidden="1">#REF!</definedName>
    <definedName name="_21__123Graph_Xｸﾞﾗﾌ_2" hidden="1">#REF!</definedName>
    <definedName name="_21__123Graph_Xｸﾞﾗﾌ_3" localSheetId="0" hidden="1">#REF!</definedName>
    <definedName name="_21__123Graph_Xｸﾞﾗﾌ_3" hidden="1">#REF!</definedName>
    <definedName name="_21P3_" localSheetId="0" hidden="1">{#N/A,#N/A,FALSE,"特殊室（ＢＱ表）"}</definedName>
    <definedName name="_21P3_" hidden="1">{#N/A,#N/A,FALSE,"特殊室（ＢＱ表）"}</definedName>
    <definedName name="_22__123Graph_A????_4" localSheetId="0" hidden="1">#REF!</definedName>
    <definedName name="_22__123Graph_A????_4" hidden="1">#REF!</definedName>
    <definedName name="_22__123Graph_ACHART_2" localSheetId="0" hidden="1">#REF!</definedName>
    <definedName name="_22__123Graph_ACHART_2" hidden="1">#REF!</definedName>
    <definedName name="_22__123Graph_Aｸﾞﾗﾌ_2" localSheetId="0" hidden="1">#REF!</definedName>
    <definedName name="_22__123Graph_Aｸﾞﾗﾌ_2" hidden="1">#REF!</definedName>
    <definedName name="_22__123Graph_Aｸﾞﾗﾌ_4" localSheetId="0" hidden="1">#REF!</definedName>
    <definedName name="_22__123Graph_Aｸﾞﾗﾌ_4" hidden="1">#REF!</definedName>
    <definedName name="_22__123Graph_Aｸﾞﾗﾌ_5" localSheetId="0" hidden="1">#REF!</definedName>
    <definedName name="_22__123Graph_Aｸﾞﾗﾌ_5" hidden="1">#REF!</definedName>
    <definedName name="_22__123Graph_X????_2" localSheetId="0" hidden="1">#REF!</definedName>
    <definedName name="_22__123Graph_X????_2" hidden="1">#REF!</definedName>
    <definedName name="_22__123Graph_X????_4" localSheetId="0" hidden="1">#REF!</definedName>
    <definedName name="_22__123Graph_X????_4" hidden="1">#REF!</definedName>
    <definedName name="_22__123Graph_Xｸﾞﾗﾌ_1" localSheetId="0" hidden="1">#REF!</definedName>
    <definedName name="_22__123Graph_Xｸﾞﾗﾌ_1" hidden="1">#REF!</definedName>
    <definedName name="_22__123Graph_Xｸﾞﾗﾌ_2" localSheetId="0" hidden="1">#REF!</definedName>
    <definedName name="_22__123Graph_Xｸﾞﾗﾌ_2" hidden="1">#REF!</definedName>
    <definedName name="_22__123Graph_Xｸﾞﾗﾌ_3" localSheetId="0" hidden="1">#REF!</definedName>
    <definedName name="_22__123Graph_Xｸﾞﾗﾌ_3" hidden="1">#REF!</definedName>
    <definedName name="_22__123Graph_Xｸﾞﾗﾌ_4" localSheetId="0" hidden="1">#REF!</definedName>
    <definedName name="_22__123Graph_Xｸﾞﾗﾌ_4" hidden="1">#REF!</definedName>
    <definedName name="_22__123Graph_Xｸﾞﾗﾌ_5" localSheetId="0" hidden="1">#REF!</definedName>
    <definedName name="_22__123Graph_Xｸﾞﾗﾌ_5" hidden="1">#REF!</definedName>
    <definedName name="_23__123Graph_A????_1" localSheetId="0" hidden="1">#REF!</definedName>
    <definedName name="_23__123Graph_A????_1" hidden="1">#REF!</definedName>
    <definedName name="_23__123Graph_Aｸﾞﾗﾌ_1" localSheetId="0" hidden="1">#REF!</definedName>
    <definedName name="_23__123Graph_Aｸﾞﾗﾌ_1" hidden="1">#REF!</definedName>
    <definedName name="_23__123Graph_Aｸﾞﾗﾌ_5" localSheetId="0" hidden="1">#REF!</definedName>
    <definedName name="_23__123Graph_Aｸﾞﾗﾌ_5" hidden="1">#REF!</definedName>
    <definedName name="_23__123Graph_X????_3" localSheetId="0" hidden="1">#REF!</definedName>
    <definedName name="_23__123Graph_X????_3" hidden="1">#REF!</definedName>
    <definedName name="_23__123Graph_X????_5" localSheetId="0" hidden="1">#REF!</definedName>
    <definedName name="_23__123Graph_X????_5" hidden="1">#REF!</definedName>
    <definedName name="_23__123Graph_Xｸﾞﾗﾌ_1" localSheetId="0" hidden="1">#REF!</definedName>
    <definedName name="_23__123Graph_Xｸﾞﾗﾌ_1" hidden="1">#REF!</definedName>
    <definedName name="_23__123Graph_Xｸﾞﾗﾌ_2" localSheetId="0" hidden="1">#REF!</definedName>
    <definedName name="_23__123Graph_Xｸﾞﾗﾌ_2" hidden="1">#REF!</definedName>
    <definedName name="_23__123Graph_Xｸﾞﾗﾌ_3" localSheetId="0" hidden="1">#REF!</definedName>
    <definedName name="_23__123Graph_Xｸﾞﾗﾌ_3" hidden="1">#REF!</definedName>
    <definedName name="_23__123Graph_Xｸﾞﾗﾌ_4" localSheetId="0" hidden="1">#REF!</definedName>
    <definedName name="_23__123Graph_Xｸﾞﾗﾌ_4" hidden="1">#REF!</definedName>
    <definedName name="_23__123Graph_Xｸﾞﾗﾌ_5" localSheetId="0" hidden="1">#REF!</definedName>
    <definedName name="_23__123Graph_Xｸﾞﾗﾌ_5" hidden="1">#REF!</definedName>
    <definedName name="_24__123Graph_Aｸﾞﾗﾌ_2" localSheetId="0" hidden="1">#REF!</definedName>
    <definedName name="_24__123Graph_Aｸﾞﾗﾌ_2" hidden="1">#REF!</definedName>
    <definedName name="_24__123Graph_Aｸﾞﾗﾌ_4" localSheetId="0" hidden="1">#REF!</definedName>
    <definedName name="_24__123Graph_Aｸﾞﾗﾌ_4" hidden="1">#REF!</definedName>
    <definedName name="_24__123Graph_X????_4" localSheetId="0" hidden="1">#REF!</definedName>
    <definedName name="_24__123Graph_X????_4" hidden="1">#REF!</definedName>
    <definedName name="_24__123Graph_Xｸﾞﾗﾌ_1" localSheetId="0" hidden="1">#REF!</definedName>
    <definedName name="_24__123Graph_Xｸﾞﾗﾌ_1" hidden="1">#REF!</definedName>
    <definedName name="_24__123Graph_Xｸﾞﾗﾌ_2" localSheetId="0" hidden="1">#REF!</definedName>
    <definedName name="_24__123Graph_Xｸﾞﾗﾌ_2" hidden="1">#REF!</definedName>
    <definedName name="_24__123Graph_Xｸﾞﾗﾌ_3" localSheetId="0" hidden="1">#REF!</definedName>
    <definedName name="_24__123Graph_Xｸﾞﾗﾌ_3" hidden="1">#REF!</definedName>
    <definedName name="_24__123Graph_Xｸﾞﾗﾌ_4" localSheetId="0" hidden="1">#REF!</definedName>
    <definedName name="_24__123Graph_Xｸﾞﾗﾌ_4" hidden="1">#REF!</definedName>
    <definedName name="_24__123Graph_Xｸﾞﾗﾌ_5" localSheetId="0" hidden="1">#REF!</definedName>
    <definedName name="_24__123Graph_Xｸﾞﾗﾌ_5" hidden="1">#REF!</definedName>
    <definedName name="_25__123Graph_A????_3" localSheetId="0" hidden="1">#REF!</definedName>
    <definedName name="_25__123Graph_A????_3" hidden="1">#REF!</definedName>
    <definedName name="_25__123Graph_Aｸﾞﾗﾌ_1" localSheetId="0" hidden="1">#REF!</definedName>
    <definedName name="_25__123Graph_Aｸﾞﾗﾌ_1" hidden="1">#REF!</definedName>
    <definedName name="_25__123Graph_Aｸﾞﾗﾌ_3" localSheetId="0" hidden="1">#REF!</definedName>
    <definedName name="_25__123Graph_Aｸﾞﾗﾌ_3" hidden="1">#REF!</definedName>
    <definedName name="_25__123Graph_Aｸﾞﾗﾌ_5" localSheetId="0" hidden="1">#REF!</definedName>
    <definedName name="_25__123Graph_Aｸﾞﾗﾌ_5" hidden="1">#REF!</definedName>
    <definedName name="_25__123Graph_X????_5" localSheetId="0" hidden="1">#REF!</definedName>
    <definedName name="_25__123Graph_X????_5" hidden="1">#REF!</definedName>
    <definedName name="_25__123Graph_Xｸﾞﾗﾌ_1" localSheetId="0" hidden="1">#REF!</definedName>
    <definedName name="_25__123Graph_Xｸﾞﾗﾌ_1" hidden="1">#REF!</definedName>
    <definedName name="_25__123Graph_Xｸﾞﾗﾌ_2" localSheetId="0" hidden="1">#REF!</definedName>
    <definedName name="_25__123Graph_Xｸﾞﾗﾌ_2" hidden="1">#REF!</definedName>
    <definedName name="_25__123Graph_Xｸﾞﾗﾌ_3" localSheetId="0" hidden="1">#REF!</definedName>
    <definedName name="_25__123Graph_Xｸﾞﾗﾌ_3" hidden="1">#REF!</definedName>
    <definedName name="_25__123Graph_Xｸﾞﾗﾌ_4" localSheetId="0" hidden="1">#REF!</definedName>
    <definedName name="_25__123Graph_Xｸﾞﾗﾌ_4" hidden="1">#REF!</definedName>
    <definedName name="_25__123Graph_Xｸﾞﾗﾌ_5" localSheetId="0" hidden="1">#REF!</definedName>
    <definedName name="_25__123Graph_Xｸﾞﾗﾌ_5" hidden="1">#REF!</definedName>
    <definedName name="_25P3_" localSheetId="0" hidden="1">{#N/A,#N/A,FALSE,"特殊室（ＢＱ表）"}</definedName>
    <definedName name="_25P3_" hidden="1">{#N/A,#N/A,FALSE,"特殊室（ＢＱ表）"}</definedName>
    <definedName name="_26__123Graph_Aｸﾞﾗﾌ_1" localSheetId="0" hidden="1">#REF!</definedName>
    <definedName name="_26__123Graph_Aｸﾞﾗﾌ_1" hidden="1">#REF!</definedName>
    <definedName name="_26__123Graph_Aｸﾞﾗﾌ_2" localSheetId="0" hidden="1">#REF!</definedName>
    <definedName name="_26__123Graph_Aｸﾞﾗﾌ_2" hidden="1">#REF!</definedName>
    <definedName name="_26__123Graph_Aｸﾞﾗﾌ_4" localSheetId="0" hidden="1">#REF!</definedName>
    <definedName name="_26__123Graph_Aｸﾞﾗﾌ_4" hidden="1">#REF!</definedName>
    <definedName name="_26__123Graph_Aｸﾞﾗﾌ_5" localSheetId="0" hidden="1">#REF!</definedName>
    <definedName name="_26__123Graph_Aｸﾞﾗﾌ_5" hidden="1">#REF!</definedName>
    <definedName name="_26__123Graph_Xｸﾞﾗﾌ_3" localSheetId="0" hidden="1">#REF!</definedName>
    <definedName name="_26__123Graph_Xｸﾞﾗﾌ_3" hidden="1">#REF!</definedName>
    <definedName name="_26__123Graph_Xｸﾞﾗﾌ_4" localSheetId="0" hidden="1">#REF!</definedName>
    <definedName name="_26__123Graph_Xｸﾞﾗﾌ_4" hidden="1">#REF!</definedName>
    <definedName name="_26__123Graph_Xｸﾞﾗﾌ_5" localSheetId="0" hidden="1">#REF!</definedName>
    <definedName name="_26__123Graph_Xｸﾞﾗﾌ_5" hidden="1">#REF!</definedName>
    <definedName name="_26a1_" localSheetId="0" hidden="1">{"'Sheet1'!$L$16"}</definedName>
    <definedName name="_26a1_" hidden="1">{"'Sheet1'!$L$16"}</definedName>
    <definedName name="_27__123Graph_A????_5" localSheetId="0" hidden="1">#REF!</definedName>
    <definedName name="_27__123Graph_A????_5" hidden="1">#REF!</definedName>
    <definedName name="_27__123Graph_Aｸﾞﾗﾌ_3" localSheetId="0" hidden="1">#REF!</definedName>
    <definedName name="_27__123Graph_Aｸﾞﾗﾌ_3" hidden="1">#REF!</definedName>
    <definedName name="_27__123Graph_Aｸﾞﾗﾌ_5" localSheetId="0" hidden="1">#REF!</definedName>
    <definedName name="_27__123Graph_Aｸﾞﾗﾌ_5" hidden="1">#REF!</definedName>
    <definedName name="_27__123Graph_Xｸﾞﾗﾌ_2" localSheetId="0" hidden="1">#REF!</definedName>
    <definedName name="_27__123Graph_Xｸﾞﾗﾌ_2" hidden="1">#REF!</definedName>
    <definedName name="_27__123Graph_Xｸﾞﾗﾌ_4" localSheetId="0" hidden="1">#REF!</definedName>
    <definedName name="_27__123Graph_Xｸﾞﾗﾌ_4" hidden="1">#REF!</definedName>
    <definedName name="_27__123Graph_Xｸﾞﾗﾌ_5" localSheetId="0" hidden="1">#REF!</definedName>
    <definedName name="_27__123Graph_Xｸﾞﾗﾌ_5" hidden="1">#REF!</definedName>
    <definedName name="_28__123Graph_A????_2" localSheetId="0" hidden="1">#REF!</definedName>
    <definedName name="_28__123Graph_A????_2" hidden="1">#REF!</definedName>
    <definedName name="_28__123Graph_Aｸﾞﾗﾌ_4" localSheetId="0" hidden="1">#REF!</definedName>
    <definedName name="_28__123Graph_Aｸﾞﾗﾌ_4" hidden="1">#REF!</definedName>
    <definedName name="_28__123Graph_Aｸﾞﾗﾌ_5" localSheetId="0" hidden="1">#REF!</definedName>
    <definedName name="_28__123Graph_Aｸﾞﾗﾌ_5" hidden="1">#REF!</definedName>
    <definedName name="_28__123Graph_BCHART_2" localSheetId="0" hidden="1">#REF!</definedName>
    <definedName name="_28__123Graph_BCHART_2" hidden="1">#REF!</definedName>
    <definedName name="_28__123Graph_Xｸﾞﾗﾌ_1" localSheetId="0" hidden="1">#REF!</definedName>
    <definedName name="_28__123Graph_Xｸﾞﾗﾌ_1" hidden="1">#REF!</definedName>
    <definedName name="_28__123Graph_Xｸﾞﾗﾌ_2" localSheetId="0" hidden="1">#REF!</definedName>
    <definedName name="_28__123Graph_Xｸﾞﾗﾌ_2" hidden="1">#REF!</definedName>
    <definedName name="_28__123Graph_Xｸﾞﾗﾌ_3" localSheetId="0" hidden="1">#REF!</definedName>
    <definedName name="_28__123Graph_Xｸﾞﾗﾌ_3" hidden="1">#REF!</definedName>
    <definedName name="_28__123Graph_Xｸﾞﾗﾌ_4" localSheetId="0" hidden="1">#REF!</definedName>
    <definedName name="_28__123Graph_Xｸﾞﾗﾌ_4" hidden="1">#REF!</definedName>
    <definedName name="_29__123Graph_A????_4" localSheetId="0" hidden="1">#REF!</definedName>
    <definedName name="_29__123Graph_A????_4" hidden="1">#REF!</definedName>
    <definedName name="_29__123Graph_Aｸﾞﾗﾌ_5" localSheetId="0" hidden="1">#REF!</definedName>
    <definedName name="_29__123Graph_Aｸﾞﾗﾌ_5" hidden="1">#REF!</definedName>
    <definedName name="_29__123Graph_CCHART_1" localSheetId="0" hidden="1">#REF!</definedName>
    <definedName name="_29__123Graph_CCHART_1" hidden="1">#REF!</definedName>
    <definedName name="_29__123Graph_X????_1" localSheetId="0" hidden="1">#REF!</definedName>
    <definedName name="_29__123Graph_X????_1" hidden="1">#REF!</definedName>
    <definedName name="_29__123Graph_Xｸﾞﾗﾌ_1" localSheetId="0" hidden="1">#REF!</definedName>
    <definedName name="_29__123Graph_Xｸﾞﾗﾌ_1" hidden="1">#REF!</definedName>
    <definedName name="_29__123Graph_Xｸﾞﾗﾌ_3" localSheetId="0" hidden="1">#REF!</definedName>
    <definedName name="_29__123Graph_Xｸﾞﾗﾌ_3" hidden="1">#REF!</definedName>
    <definedName name="_3______123Graph_Aｸﾞﾗﾌ_3" localSheetId="0" hidden="1">#REF!</definedName>
    <definedName name="_3______123Graph_Aｸﾞﾗﾌ_3" hidden="1">#REF!</definedName>
    <definedName name="_3___123Graph_ACHART_2" localSheetId="0" hidden="1">#REF!</definedName>
    <definedName name="_3___123Graph_ACHART_2" hidden="1">#REF!</definedName>
    <definedName name="_3___123Graph_Aｸﾞﾗﾌ_3" localSheetId="0" hidden="1">#REF!</definedName>
    <definedName name="_3___123Graph_Aｸﾞﾗﾌ_3" hidden="1">#REF!</definedName>
    <definedName name="_3__123Graph_A????_3" localSheetId="0" hidden="1">#REF!</definedName>
    <definedName name="_3__123Graph_A????_3" hidden="1">#REF!</definedName>
    <definedName name="_3__123Graph_Aｸﾞﾗﾌ_1" localSheetId="10" hidden="1">#REF!</definedName>
    <definedName name="_3__123Graph_Aｸﾞﾗﾌ_1" hidden="1">#REF!</definedName>
    <definedName name="_3__123Graph_Aｸﾞﾗﾌ_2" localSheetId="0" hidden="1">#REF!</definedName>
    <definedName name="_3__123Graph_Aｸﾞﾗﾌ_2" hidden="1">#REF!</definedName>
    <definedName name="_3__123Graph_Aｸﾞﾗﾌ_3" localSheetId="10" hidden="1">#REF!</definedName>
    <definedName name="_3__123Graph_Aｸﾞﾗﾌ_3" hidden="1">#REF!</definedName>
    <definedName name="_3__123Graph_BCHART_2" localSheetId="0" hidden="1">#REF!</definedName>
    <definedName name="_3__123Graph_BCHART_2" hidden="1">#REF!</definedName>
    <definedName name="_3_2_0_Parse" localSheetId="0" hidden="1">#REF!</definedName>
    <definedName name="_3_2_0_Parse" hidden="1">#REF!</definedName>
    <definedName name="_30__123Graph_Aｸﾞﾗﾌ_3" localSheetId="0" hidden="1">#REF!</definedName>
    <definedName name="_30__123Graph_Aｸﾞﾗﾌ_3" hidden="1">#REF!</definedName>
    <definedName name="_30__123Graph_Aｸﾞﾗﾌ_5" localSheetId="0" hidden="1">#REF!</definedName>
    <definedName name="_30__123Graph_Aｸﾞﾗﾌ_5" hidden="1">#REF!</definedName>
    <definedName name="_30__123Graph_DCHART_1" localSheetId="0" hidden="1">#REF!</definedName>
    <definedName name="_30__123Graph_DCHART_1" hidden="1">#REF!</definedName>
    <definedName name="_30__123Graph_X????_2" localSheetId="0" hidden="1">#REF!</definedName>
    <definedName name="_30__123Graph_X????_2" hidden="1">#REF!</definedName>
    <definedName name="_30__123Graph_Xｸﾞﾗﾌ_1" localSheetId="0" hidden="1">#REF!</definedName>
    <definedName name="_30__123Graph_Xｸﾞﾗﾌ_1" hidden="1">#REF!</definedName>
    <definedName name="_30__123Graph_Xｸﾞﾗﾌ_5" localSheetId="0" hidden="1">#REF!</definedName>
    <definedName name="_30__123Graph_Xｸﾞﾗﾌ_5" hidden="1">#REF!</definedName>
    <definedName name="_31__123Graph_Aｸﾞﾗﾌ_2" localSheetId="0" hidden="1">#REF!</definedName>
    <definedName name="_31__123Graph_Aｸﾞﾗﾌ_2" hidden="1">#REF!</definedName>
    <definedName name="_31__123Graph_X????_3" localSheetId="0" hidden="1">#REF!</definedName>
    <definedName name="_31__123Graph_X????_3" hidden="1">#REF!</definedName>
    <definedName name="_31__123Graph_Xｸﾞﾗﾌ_1" localSheetId="0" hidden="1">#REF!</definedName>
    <definedName name="_31__123Graph_Xｸﾞﾗﾌ_1" hidden="1">#REF!</definedName>
    <definedName name="_31__123Graph_Xｸﾞﾗﾌ_2" localSheetId="0" hidden="1">#REF!</definedName>
    <definedName name="_31__123Graph_Xｸﾞﾗﾌ_2" hidden="1">#REF!</definedName>
    <definedName name="_31__123Graph_Xｸﾞﾗﾌ_4" localSheetId="0" hidden="1">#REF!</definedName>
    <definedName name="_31__123Graph_Xｸﾞﾗﾌ_4" hidden="1">#REF!</definedName>
    <definedName name="_32__123Graph_Aｸﾞﾗﾌ_2" localSheetId="0" hidden="1">#REF!</definedName>
    <definedName name="_32__123Graph_Aｸﾞﾗﾌ_2" hidden="1">#REF!</definedName>
    <definedName name="_32__123Graph_X????_4" localSheetId="0" hidden="1">#REF!</definedName>
    <definedName name="_32__123Graph_X????_4" hidden="1">#REF!</definedName>
    <definedName name="_32__123Graph_Xｸﾞﾗﾌ_1" localSheetId="0" hidden="1">#REF!</definedName>
    <definedName name="_32__123Graph_Xｸﾞﾗﾌ_1" hidden="1">#REF!</definedName>
    <definedName name="_32__123Graph_Xｸﾞﾗﾌ_2" localSheetId="0" hidden="1">#REF!</definedName>
    <definedName name="_32__123Graph_Xｸﾞﾗﾌ_2" hidden="1">#REF!</definedName>
    <definedName name="_32__123Graph_Xｸﾞﾗﾌ_3" localSheetId="0" hidden="1">#REF!</definedName>
    <definedName name="_32__123Graph_Xｸﾞﾗﾌ_3" hidden="1">#REF!</definedName>
    <definedName name="_33__123Graph_A????_3" localSheetId="0" hidden="1">#REF!</definedName>
    <definedName name="_33__123Graph_A????_3" hidden="1">#REF!</definedName>
    <definedName name="_33__123Graph_A????_5" localSheetId="0" hidden="1">#REF!</definedName>
    <definedName name="_33__123Graph_A????_5" hidden="1">#REF!</definedName>
    <definedName name="_33__123Graph_Aｸﾞﾗﾌ_1" localSheetId="0" hidden="1">#REF!</definedName>
    <definedName name="_33__123Graph_Aｸﾞﾗﾌ_1" hidden="1">#REF!</definedName>
    <definedName name="_33__123Graph_Aｸﾞﾗﾌ_3" localSheetId="0" hidden="1">#REF!</definedName>
    <definedName name="_33__123Graph_Aｸﾞﾗﾌ_3" hidden="1">#REF!</definedName>
    <definedName name="_33__123Graph_X????_5" localSheetId="0" hidden="1">#REF!</definedName>
    <definedName name="_33__123Graph_X????_5" hidden="1">#REF!</definedName>
    <definedName name="_33__123Graph_Xｸﾞﾗﾌ_3" localSheetId="0" hidden="1">#REF!</definedName>
    <definedName name="_33__123Graph_Xｸﾞﾗﾌ_3" hidden="1">#REF!</definedName>
    <definedName name="_33__123Graph_Xｸﾞﾗﾌ_4" localSheetId="0" hidden="1">#REF!</definedName>
    <definedName name="_33__123Graph_Xｸﾞﾗﾌ_4" hidden="1">#REF!</definedName>
    <definedName name="_33__123Graph_Xｸﾞﾗﾌ_5" localSheetId="0" hidden="1">#REF!</definedName>
    <definedName name="_33__123Graph_Xｸﾞﾗﾌ_5" hidden="1">#REF!</definedName>
    <definedName name="_34__123Graph_Xｸﾞﾗﾌ_3" localSheetId="0" hidden="1">#REF!</definedName>
    <definedName name="_34__123Graph_Xｸﾞﾗﾌ_3" hidden="1">#REF!</definedName>
    <definedName name="_34__123Graph_Xｸﾞﾗﾌ_4" localSheetId="0" hidden="1">#REF!</definedName>
    <definedName name="_34__123Graph_Xｸﾞﾗﾌ_4" hidden="1">#REF!</definedName>
    <definedName name="_34__123Graph_Xｸﾞﾗﾌ_5" localSheetId="0" hidden="1">#REF!</definedName>
    <definedName name="_34__123Graph_Xｸﾞﾗﾌ_5" hidden="1">#REF!</definedName>
    <definedName name="_35__123Graph_Aｸﾞﾗﾌ_5" localSheetId="0" hidden="1">#REF!</definedName>
    <definedName name="_35__123Graph_Aｸﾞﾗﾌ_5" hidden="1">#REF!</definedName>
    <definedName name="_35__123Graph_Xｸﾞﾗﾌ_2" localSheetId="0" hidden="1">#REF!</definedName>
    <definedName name="_35__123Graph_Xｸﾞﾗﾌ_2" hidden="1">#REF!</definedName>
    <definedName name="_35__123Graph_Xｸﾞﾗﾌ_4" localSheetId="0" hidden="1">#REF!</definedName>
    <definedName name="_35__123Graph_Xｸﾞﾗﾌ_4" hidden="1">#REF!</definedName>
    <definedName name="_35__123Graph_Xｸﾞﾗﾌ_5" localSheetId="0" hidden="1">#REF!</definedName>
    <definedName name="_35__123Graph_Xｸﾞﾗﾌ_5" hidden="1">#REF!</definedName>
    <definedName name="_36__123Graph_Aｸﾞﾗﾌ_2" localSheetId="0" hidden="1">#REF!</definedName>
    <definedName name="_36__123Graph_Aｸﾞﾗﾌ_2" hidden="1">#REF!</definedName>
    <definedName name="_36__123Graph_Aｸﾞﾗﾌ_3" localSheetId="0" hidden="1">#REF!</definedName>
    <definedName name="_36__123Graph_Aｸﾞﾗﾌ_3" hidden="1">#REF!</definedName>
    <definedName name="_36__123Graph_Aｸﾞﾗﾌ_4" localSheetId="0" hidden="1">#REF!</definedName>
    <definedName name="_36__123Graph_Aｸﾞﾗﾌ_4" hidden="1">#REF!</definedName>
    <definedName name="_36__123Graph_Xｸﾞﾗﾌ_1" localSheetId="0" hidden="1">#REF!</definedName>
    <definedName name="_36__123Graph_Xｸﾞﾗﾌ_1" hidden="1">#REF!</definedName>
    <definedName name="_36__123Graph_Xｸﾞﾗﾌ_4" localSheetId="0" hidden="1">#REF!</definedName>
    <definedName name="_36__123Graph_Xｸﾞﾗﾌ_4" hidden="1">#REF!</definedName>
    <definedName name="_36P3_" localSheetId="0" hidden="1">{#N/A,#N/A,FALSE,"特殊室（ＢＱ表）"}</definedName>
    <definedName name="_36P3_" hidden="1">{#N/A,#N/A,FALSE,"特殊室（ＢＱ表）"}</definedName>
    <definedName name="_37__123Graph_Xｸﾞﾗﾌ_1" localSheetId="0" hidden="1">#REF!</definedName>
    <definedName name="_37__123Graph_Xｸﾞﾗﾌ_1" hidden="1">#REF!</definedName>
    <definedName name="_37__123Graph_Xｸﾞﾗﾌ_2" localSheetId="0" hidden="1">#REF!</definedName>
    <definedName name="_37__123Graph_Xｸﾞﾗﾌ_2" hidden="1">#REF!</definedName>
    <definedName name="_37__123Graph_Xｸﾞﾗﾌ_4" localSheetId="0" hidden="1">#REF!</definedName>
    <definedName name="_37__123Graph_Xｸﾞﾗﾌ_4" hidden="1">#REF!</definedName>
    <definedName name="_37__123Graph_Xｸﾞﾗﾌ_5" localSheetId="0" hidden="1">#REF!</definedName>
    <definedName name="_37__123Graph_Xｸﾞﾗﾌ_5" hidden="1">#REF!</definedName>
    <definedName name="_38__123Graph_A????_4" localSheetId="0" hidden="1">#REF!</definedName>
    <definedName name="_38__123Graph_A????_4" hidden="1">#REF!</definedName>
    <definedName name="_38__123Graph_Aｸﾞﾗﾌ_1" localSheetId="0" hidden="1">#REF!</definedName>
    <definedName name="_38__123Graph_Aｸﾞﾗﾌ_1" hidden="1">#REF!</definedName>
    <definedName name="_39__123Graph_Aｸﾞﾗﾌ_2" localSheetId="0" hidden="1">#REF!</definedName>
    <definedName name="_39__123Graph_Aｸﾞﾗﾌ_2" hidden="1">#REF!</definedName>
    <definedName name="_4______123Graph_Aｸﾞﾗﾌ_4" localSheetId="0" hidden="1">#REF!</definedName>
    <definedName name="_4______123Graph_Aｸﾞﾗﾌ_4" hidden="1">#REF!</definedName>
    <definedName name="_4___123Graph_Aｸﾞﾗﾌ_4" localSheetId="0" hidden="1">#REF!</definedName>
    <definedName name="_4___123Graph_Aｸﾞﾗﾌ_4" hidden="1">#REF!</definedName>
    <definedName name="_4___123Graph_BCASH_FLOW1" localSheetId="0" hidden="1">#REF!</definedName>
    <definedName name="_4___123Graph_BCASH_FLOW1" hidden="1">#REF!</definedName>
    <definedName name="_4__123Graph_A????_1" localSheetId="0" hidden="1">#REF!</definedName>
    <definedName name="_4__123Graph_A????_1" hidden="1">#REF!</definedName>
    <definedName name="_4__123Graph_A????_4" localSheetId="0" hidden="1">#REF!</definedName>
    <definedName name="_4__123Graph_A????_4" hidden="1">#REF!</definedName>
    <definedName name="_4__123Graph_Aｸﾞﾗﾌ_1" localSheetId="0" hidden="1">#REF!</definedName>
    <definedName name="_4__123Graph_Aｸﾞﾗﾌ_1" hidden="1">#REF!</definedName>
    <definedName name="_4__123Graph_Aｸﾞﾗﾌ_2" localSheetId="10" hidden="1">#REF!</definedName>
    <definedName name="_4__123Graph_Aｸﾞﾗﾌ_2" hidden="1">#REF!</definedName>
    <definedName name="_4__123Graph_Aｸﾞﾗﾌ_3" localSheetId="0" hidden="1">#REF!</definedName>
    <definedName name="_4__123Graph_Aｸﾞﾗﾌ_3" hidden="1">#REF!</definedName>
    <definedName name="_4__123Graph_Aｸﾞﾗﾌ_4" localSheetId="10" hidden="1">#REF!</definedName>
    <definedName name="_4__123Graph_Aｸﾞﾗﾌ_4" hidden="1">#REF!</definedName>
    <definedName name="_4__123Graph_CCHART_1" localSheetId="0" hidden="1">#REF!</definedName>
    <definedName name="_4__123Graph_CCHART_1" hidden="1">#REF!</definedName>
    <definedName name="_4__123Graph_XCHART_1A" localSheetId="0" hidden="1">#REF!</definedName>
    <definedName name="_4__123Graph_XCHART_1A" hidden="1">#REF!</definedName>
    <definedName name="_4_0_0_F" localSheetId="10" hidden="1">#REF!</definedName>
    <definedName name="_4_0_0_F" hidden="1">#REF!</definedName>
    <definedName name="_4_123Grap" localSheetId="0" hidden="1">#REF!</definedName>
    <definedName name="_4_123Grap" hidden="1">#REF!</definedName>
    <definedName name="_40__123Graph_Aｸﾞﾗﾌ_4" localSheetId="0" hidden="1">#REF!</definedName>
    <definedName name="_40__123Graph_Aｸﾞﾗﾌ_4" hidden="1">#REF!</definedName>
    <definedName name="_40__123Graph_Xｸﾞﾗﾌ_3" localSheetId="0" hidden="1">#REF!</definedName>
    <definedName name="_40__123Graph_Xｸﾞﾗﾌ_3" hidden="1">#REF!</definedName>
    <definedName name="_40__123Graph_Xｸﾞﾗﾌ_5" localSheetId="0" hidden="1">#REF!</definedName>
    <definedName name="_40__123Graph_Xｸﾞﾗﾌ_5" hidden="1">#REF!</definedName>
    <definedName name="_41__123Graph_Aｸﾞﾗﾌ_4" localSheetId="0" hidden="1">#REF!</definedName>
    <definedName name="_41__123Graph_Aｸﾞﾗﾌ_4" hidden="1">#REF!</definedName>
    <definedName name="_41__123Graph_Xｸﾞﾗﾌ_2" localSheetId="0" hidden="1">#REF!</definedName>
    <definedName name="_41__123Graph_Xｸﾞﾗﾌ_2" hidden="1">#REF!</definedName>
    <definedName name="_42__123Graph_Xｸﾞﾗﾌ_1" localSheetId="0" hidden="1">#REF!</definedName>
    <definedName name="_42__123Graph_Xｸﾞﾗﾌ_1" hidden="1">#REF!</definedName>
    <definedName name="_42__123Graph_Xｸﾞﾗﾌ_2" localSheetId="0" hidden="1">#REF!</definedName>
    <definedName name="_42__123Graph_Xｸﾞﾗﾌ_2" hidden="1">#REF!</definedName>
    <definedName name="_42__123Graph_Xｸﾞﾗﾌ_3" localSheetId="0" hidden="1">#REF!</definedName>
    <definedName name="_42__123Graph_Xｸﾞﾗﾌ_3" hidden="1">#REF!</definedName>
    <definedName name="_43__123Graph_A????_5" localSheetId="0" hidden="1">#REF!</definedName>
    <definedName name="_43__123Graph_A????_5" hidden="1">#REF!</definedName>
    <definedName name="_43__123Graph_Aｸﾞﾗﾌ_2" localSheetId="0" hidden="1">#REF!</definedName>
    <definedName name="_43__123Graph_Aｸﾞﾗﾌ_2" hidden="1">#REF!</definedName>
    <definedName name="_44__123Graph_Aｸﾞﾗﾌ_4" localSheetId="0" hidden="1">#REF!</definedName>
    <definedName name="_44__123Graph_Aｸﾞﾗﾌ_4" hidden="1">#REF!</definedName>
    <definedName name="_45__123Graph_Aｸﾞﾗﾌ_3" localSheetId="0" hidden="1">#REF!</definedName>
    <definedName name="_45__123Graph_Aｸﾞﾗﾌ_3" hidden="1">#REF!</definedName>
    <definedName name="_45__123Graph_Aｸﾞﾗﾌ_5" localSheetId="0" hidden="1">#REF!</definedName>
    <definedName name="_45__123Graph_Aｸﾞﾗﾌ_5" hidden="1">#REF!</definedName>
    <definedName name="_45__123Graph_Xｸﾞﾗﾌ_3" localSheetId="0" hidden="1">#REF!</definedName>
    <definedName name="_45__123Graph_Xｸﾞﾗﾌ_3" hidden="1">#REF!</definedName>
    <definedName name="_45__123Graph_Xｸﾞﾗﾌ_4" localSheetId="0" hidden="1">#REF!</definedName>
    <definedName name="_45__123Graph_Xｸﾞﾗﾌ_4" hidden="1">#REF!</definedName>
    <definedName name="_46__123Graph_Aｸﾞﾗﾌ_5" localSheetId="0" hidden="1">#REF!</definedName>
    <definedName name="_46__123Graph_Aｸﾞﾗﾌ_5" hidden="1">#REF!</definedName>
    <definedName name="_47__123Graph_X????_1" localSheetId="0" hidden="1">#REF!</definedName>
    <definedName name="_47__123Graph_X????_1" hidden="1">#REF!</definedName>
    <definedName name="_47__123Graph_Xｸﾞﾗﾌ_4" localSheetId="0" hidden="1">#REF!</definedName>
    <definedName name="_47__123Graph_Xｸﾞﾗﾌ_4" hidden="1">#REF!</definedName>
    <definedName name="_48__123Graph_Aｸﾞﾗﾌ_3" localSheetId="0" hidden="1">#REF!</definedName>
    <definedName name="_48__123Graph_Aｸﾞﾗﾌ_3" hidden="1">#REF!</definedName>
    <definedName name="_48__123Graph_X????_2" localSheetId="0" hidden="1">#REF!</definedName>
    <definedName name="_48__123Graph_X????_2" hidden="1">#REF!</definedName>
    <definedName name="_48__123Graph_Xｸﾞﾗﾌ_3" localSheetId="0" hidden="1">#REF!</definedName>
    <definedName name="_48__123Graph_Xｸﾞﾗﾌ_3" hidden="1">#REF!</definedName>
    <definedName name="_49__123Graph_X????_3" localSheetId="0" hidden="1">#REF!</definedName>
    <definedName name="_49__123Graph_X????_3" hidden="1">#REF!</definedName>
    <definedName name="_49__123Graph_Xｸﾞﾗﾌ_2" localSheetId="0" hidden="1">#REF!</definedName>
    <definedName name="_49__123Graph_Xｸﾞﾗﾌ_2" hidden="1">#REF!</definedName>
    <definedName name="_49__123Graph_Xｸﾞﾗﾌ_4" localSheetId="0" hidden="1">#REF!</definedName>
    <definedName name="_49__123Graph_Xｸﾞﾗﾌ_4" hidden="1">#REF!</definedName>
    <definedName name="_5______123Graph_Aｸﾞﾗﾌ_5" localSheetId="0" hidden="1">#REF!</definedName>
    <definedName name="_5______123Graph_Aｸﾞﾗﾌ_5" hidden="1">#REF!</definedName>
    <definedName name="_5___123Graph_Aｸﾞﾗﾌ_5" localSheetId="0" hidden="1">#REF!</definedName>
    <definedName name="_5___123Graph_Aｸﾞﾗﾌ_5" hidden="1">#REF!</definedName>
    <definedName name="_5___123Graph_LBL_ACASH_FLOW1" localSheetId="0" hidden="1">#REF!</definedName>
    <definedName name="_5___123Graph_LBL_ACASH_FLOW1" hidden="1">#REF!</definedName>
    <definedName name="_5__123Graph_A????_1" localSheetId="0" hidden="1">#REF!</definedName>
    <definedName name="_5__123Graph_A????_1" hidden="1">#REF!</definedName>
    <definedName name="_5__123Graph_A????_2" localSheetId="0" hidden="1">#REF!</definedName>
    <definedName name="_5__123Graph_A????_2" hidden="1">#REF!</definedName>
    <definedName name="_5__123Graph_A????_5" localSheetId="0" hidden="1">#REF!</definedName>
    <definedName name="_5__123Graph_A????_5" hidden="1">#REF!</definedName>
    <definedName name="_5__123Graph_Aｸﾞﾗﾌ_1" localSheetId="0" hidden="1">#REF!</definedName>
    <definedName name="_5__123Graph_Aｸﾞﾗﾌ_1" hidden="1">#REF!</definedName>
    <definedName name="_5__123Graph_Aｸﾞﾗﾌ_2" localSheetId="0" hidden="1">#REF!</definedName>
    <definedName name="_5__123Graph_Aｸﾞﾗﾌ_2" hidden="1">#REF!</definedName>
    <definedName name="_5__123Graph_Aｸﾞﾗﾌ_3" localSheetId="10" hidden="1">#REF!</definedName>
    <definedName name="_5__123Graph_Aｸﾞﾗﾌ_3" hidden="1">#REF!</definedName>
    <definedName name="_5__123Graph_Aｸﾞﾗﾌ_4" localSheetId="0" hidden="1">#REF!</definedName>
    <definedName name="_5__123Graph_Aｸﾞﾗﾌ_4" hidden="1">#REF!</definedName>
    <definedName name="_5__123Graph_Aｸﾞﾗﾌ_5" localSheetId="10" hidden="1">#REF!</definedName>
    <definedName name="_5__123Graph_Aｸﾞﾗﾌ_5" hidden="1">#REF!</definedName>
    <definedName name="_5__123Graph_DCHART_1" localSheetId="0" hidden="1">#REF!</definedName>
    <definedName name="_5__123Graph_DCHART_1" hidden="1">#REF!</definedName>
    <definedName name="_50__123Graph_Aｸﾞﾗﾌ_5" localSheetId="0" hidden="1">#REF!</definedName>
    <definedName name="_50__123Graph_Aｸﾞﾗﾌ_5" hidden="1">#REF!</definedName>
    <definedName name="_50__123Graph_X????_4" localSheetId="0" hidden="1">#REF!</definedName>
    <definedName name="_50__123Graph_X????_4" hidden="1">#REF!</definedName>
    <definedName name="_50__123Graph_Xｸﾞﾗﾌ_5" localSheetId="0" hidden="1">#REF!</definedName>
    <definedName name="_50__123Graph_Xｸﾞﾗﾌ_5" hidden="1">#REF!</definedName>
    <definedName name="_51__123Graph_Aｸﾞﾗﾌ_1" localSheetId="0" hidden="1">#REF!</definedName>
    <definedName name="_51__123Graph_Aｸﾞﾗﾌ_1" hidden="1">#REF!</definedName>
    <definedName name="_51__123Graph_Aｸﾞﾗﾌ_4" localSheetId="0" hidden="1">#REF!</definedName>
    <definedName name="_51__123Graph_Aｸﾞﾗﾌ_4" hidden="1">#REF!</definedName>
    <definedName name="_51__123Graph_X????_5" localSheetId="0" hidden="1">#REF!</definedName>
    <definedName name="_51__123Graph_X????_5" hidden="1">#REF!</definedName>
    <definedName name="_52__123Graph_Xｸﾞﾗﾌ_5" localSheetId="0" hidden="1">#REF!</definedName>
    <definedName name="_52__123Graph_Xｸﾞﾗﾌ_5" hidden="1">#REF!</definedName>
    <definedName name="_53__123Graph_Aｸﾞﾗﾌ_4" localSheetId="0" hidden="1">#REF!</definedName>
    <definedName name="_53__123Graph_Aｸﾞﾗﾌ_4" hidden="1">#REF!</definedName>
    <definedName name="_53__123Graph_Xｸﾞﾗﾌ_5" localSheetId="0" hidden="1">#REF!</definedName>
    <definedName name="_53__123Graph_Xｸﾞﾗﾌ_5" hidden="1">#REF!</definedName>
    <definedName name="_54__123Graph_Aｸﾞﾗﾌ_3" localSheetId="0" hidden="1">#REF!</definedName>
    <definedName name="_54__123Graph_Aｸﾞﾗﾌ_3" hidden="1">#REF!</definedName>
    <definedName name="_54__123Graph_Xｸﾞﾗﾌ_1" localSheetId="0" hidden="1">#REF!</definedName>
    <definedName name="_54__123Graph_Xｸﾞﾗﾌ_1" hidden="1">#REF!</definedName>
    <definedName name="_54__123Graph_Xｸﾞﾗﾌ_4" localSheetId="0" hidden="1">#REF!</definedName>
    <definedName name="_54__123Graph_Xｸﾞﾗﾌ_4" hidden="1">#REF!</definedName>
    <definedName name="_55__123Graph_Aｸﾞﾗﾌ_5" localSheetId="0" hidden="1">#REF!</definedName>
    <definedName name="_55__123Graph_Aｸﾞﾗﾌ_5" hidden="1">#REF!</definedName>
    <definedName name="_56__123Graph_Xｸﾞﾗﾌ_1" localSheetId="0" hidden="1">#REF!</definedName>
    <definedName name="_56__123Graph_Xｸﾞﾗﾌ_1" hidden="1">#REF!</definedName>
    <definedName name="_56__123Graph_Xｸﾞﾗﾌ_3" localSheetId="0" hidden="1">#REF!</definedName>
    <definedName name="_56__123Graph_Xｸﾞﾗﾌ_3" hidden="1">#REF!</definedName>
    <definedName name="_57__123Graph_Aｸﾞﾗﾌ_5" localSheetId="0" hidden="1">#REF!</definedName>
    <definedName name="_57__123Graph_Aｸﾞﾗﾌ_5" hidden="1">#REF!</definedName>
    <definedName name="_58_?asadas" localSheetId="0" hidden="1">#REF!</definedName>
    <definedName name="_58_?asadas" hidden="1">#REF!</definedName>
    <definedName name="_58__123Graph_Aｸﾞﾗﾌ_5" localSheetId="0" hidden="1">#REF!</definedName>
    <definedName name="_58__123Graph_Aｸﾞﾗﾌ_5" hidden="1">#REF!</definedName>
    <definedName name="_59__123Graph_Aｸﾞﾗﾌ_2" localSheetId="0" hidden="1">#REF!</definedName>
    <definedName name="_59__123Graph_Aｸﾞﾗﾌ_2" hidden="1">#REF!</definedName>
    <definedName name="_5GTRHTRJ" localSheetId="0" hidden="1">{"'Sheet1'!$L$16"}</definedName>
    <definedName name="_5GTRHTRJ" hidden="1">{"'Sheet1'!$L$16"}</definedName>
    <definedName name="_6______123Graph_Xｸﾞﾗﾌ_1" localSheetId="0" hidden="1">#REF!</definedName>
    <definedName name="_6______123Graph_Xｸﾞﾗﾌ_1" hidden="1">#REF!</definedName>
    <definedName name="_6___123Graph_LBL_BCASH_FLOW1" localSheetId="0" hidden="1">#REF!</definedName>
    <definedName name="_6___123Graph_LBL_BCASH_FLOW1" hidden="1">#REF!</definedName>
    <definedName name="_6___123Graph_Xｸﾞﾗﾌ_1" localSheetId="0" hidden="1">#REF!</definedName>
    <definedName name="_6___123Graph_Xｸﾞﾗﾌ_1" hidden="1">#REF!</definedName>
    <definedName name="_6__123Graph_A????_2" localSheetId="0" hidden="1">#REF!</definedName>
    <definedName name="_6__123Graph_A????_2" hidden="1">#REF!</definedName>
    <definedName name="_6__123Graph_A????_3" localSheetId="0" hidden="1">#REF!</definedName>
    <definedName name="_6__123Graph_A????_3" hidden="1">#REF!</definedName>
    <definedName name="_6__123Graph_Aｸﾞﾗﾌ_1" localSheetId="0" hidden="1">#REF!</definedName>
    <definedName name="_6__123Graph_Aｸﾞﾗﾌ_1" hidden="1">#REF!</definedName>
    <definedName name="_6__123Graph_Aｸﾞﾗﾌ_2" localSheetId="0" hidden="1">#REF!</definedName>
    <definedName name="_6__123Graph_Aｸﾞﾗﾌ_2" hidden="1">#REF!</definedName>
    <definedName name="_6__123Graph_Aｸﾞﾗﾌ_3" localSheetId="10" hidden="1">#REF!</definedName>
    <definedName name="_6__123Graph_Aｸﾞﾗﾌ_3" hidden="1">#REF!</definedName>
    <definedName name="_6__123Graph_Aｸﾞﾗﾌ_4" localSheetId="10" hidden="1">#REF!</definedName>
    <definedName name="_6__123Graph_Aｸﾞﾗﾌ_4" hidden="1">#REF!</definedName>
    <definedName name="_6__123Graph_Aｸﾞﾗﾌ_5" localSheetId="0" hidden="1">#REF!</definedName>
    <definedName name="_6__123Graph_Aｸﾞﾗﾌ_5" hidden="1">#REF!</definedName>
    <definedName name="_6__123Graph_Xｸﾞﾗﾌ_1" localSheetId="10" hidden="1">#REF!</definedName>
    <definedName name="_6__123Graph_Xｸﾞﾗﾌ_1" hidden="1">#REF!</definedName>
    <definedName name="_6_2_0_Parse" localSheetId="10" hidden="1">#REF!</definedName>
    <definedName name="_6_2_0_Parse" hidden="1">#REF!</definedName>
    <definedName name="_60__123Graph_Xｸﾞﾗﾌ_1" localSheetId="0" hidden="1">#REF!</definedName>
    <definedName name="_60__123Graph_Xｸﾞﾗﾌ_1" hidden="1">#REF!</definedName>
    <definedName name="_60__123Graph_Xｸﾞﾗﾌ_5" localSheetId="0" hidden="1">#REF!</definedName>
    <definedName name="_60__123Graph_Xｸﾞﾗﾌ_5" hidden="1">#REF!</definedName>
    <definedName name="_61__123Graph_Xｸﾞﾗﾌ_2" localSheetId="0" hidden="1">#REF!</definedName>
    <definedName name="_61__123Graph_Xｸﾞﾗﾌ_2" hidden="1">#REF!</definedName>
    <definedName name="_62__123Graph_X????_1" localSheetId="0" hidden="1">#REF!</definedName>
    <definedName name="_62__123Graph_X????_1" hidden="1">#REF!</definedName>
    <definedName name="_63__123Graph_Xｸﾞﾗﾌ_2" localSheetId="0" hidden="1">#REF!</definedName>
    <definedName name="_63__123Graph_Xｸﾞﾗﾌ_2" hidden="1">#REF!</definedName>
    <definedName name="_63__123Graph_Xｸﾞﾗﾌ_4" localSheetId="0" hidden="1">#REF!</definedName>
    <definedName name="_63__123Graph_Xｸﾞﾗﾌ_4" hidden="1">#REF!</definedName>
    <definedName name="_64__123Graph_Aｸﾞﾗﾌ_4" localSheetId="0" hidden="1">#REF!</definedName>
    <definedName name="_64__123Graph_Aｸﾞﾗﾌ_4" hidden="1">#REF!</definedName>
    <definedName name="_66__123Graph_X????_2" localSheetId="0" hidden="1">#REF!</definedName>
    <definedName name="_66__123Graph_X????_2" hidden="1">#REF!</definedName>
    <definedName name="_66__123Graph_Xｸﾞﾗﾌ_1" localSheetId="0" hidden="1">#REF!</definedName>
    <definedName name="_66__123Graph_Xｸﾞﾗﾌ_1" hidden="1">#REF!</definedName>
    <definedName name="_66__123Graph_Xｸﾞﾗﾌ_3" localSheetId="0" hidden="1">#REF!</definedName>
    <definedName name="_66__123Graph_Xｸﾞﾗﾌ_3" hidden="1">#REF!</definedName>
    <definedName name="_67__123Graph_Aｸﾞﾗﾌ_3" localSheetId="0" hidden="1">#REF!</definedName>
    <definedName name="_67__123Graph_Aｸﾞﾗﾌ_3" hidden="1">#REF!</definedName>
    <definedName name="_67__123Graph_X????_2" localSheetId="0" hidden="1">#REF!</definedName>
    <definedName name="_67__123Graph_X????_2" hidden="1">#REF!</definedName>
    <definedName name="_7______123Graph_Xｸﾞﾗﾌ_2" localSheetId="0" hidden="1">#REF!</definedName>
    <definedName name="_7______123Graph_Xｸﾞﾗﾌ_2" hidden="1">#REF!</definedName>
    <definedName name="_7___123Graph_XCHART_1" localSheetId="0" hidden="1">#REF!</definedName>
    <definedName name="_7___123Graph_XCHART_1" hidden="1">#REF!</definedName>
    <definedName name="_7___123Graph_Xｸﾞﾗﾌ_2" localSheetId="0" hidden="1">#REF!</definedName>
    <definedName name="_7___123Graph_Xｸﾞﾗﾌ_2" hidden="1">#REF!</definedName>
    <definedName name="_7__123Graph_A????_1" localSheetId="0" hidden="1">#REF!</definedName>
    <definedName name="_7__123Graph_A????_1" hidden="1">#REF!</definedName>
    <definedName name="_7__123Graph_A????_3" localSheetId="0" hidden="1">#REF!</definedName>
    <definedName name="_7__123Graph_A????_3" hidden="1">#REF!</definedName>
    <definedName name="_7__123Graph_A????_4" localSheetId="0" hidden="1">#REF!</definedName>
    <definedName name="_7__123Graph_A????_4" hidden="1">#REF!</definedName>
    <definedName name="_7__123Graph_Aｸﾞﾗﾌ_1" localSheetId="0" hidden="1">#REF!</definedName>
    <definedName name="_7__123Graph_Aｸﾞﾗﾌ_1" hidden="1">#REF!</definedName>
    <definedName name="_7__123Graph_Aｸﾞﾗﾌ_2" localSheetId="0" hidden="1">#REF!</definedName>
    <definedName name="_7__123Graph_Aｸﾞﾗﾌ_2" hidden="1">#REF!</definedName>
    <definedName name="_7__123Graph_Aｸﾞﾗﾌ_3" localSheetId="0" hidden="1">#REF!</definedName>
    <definedName name="_7__123Graph_Aｸﾞﾗﾌ_3" hidden="1">#REF!</definedName>
    <definedName name="_7__123Graph_Aｸﾞﾗﾌ_4" localSheetId="0" hidden="1">#REF!</definedName>
    <definedName name="_7__123Graph_Aｸﾞﾗﾌ_4" hidden="1">#REF!</definedName>
    <definedName name="_7__123Graph_Aｸﾞﾗﾌ_5" localSheetId="10" hidden="1">#REF!</definedName>
    <definedName name="_7__123Graph_Aｸﾞﾗﾌ_5" hidden="1">#REF!</definedName>
    <definedName name="_7__123Graph_BCHART_1" localSheetId="0" hidden="1">#REF!</definedName>
    <definedName name="_7__123Graph_BCHART_1" hidden="1">#REF!</definedName>
    <definedName name="_7__123Graph_Xｸﾞﾗﾌ_2" localSheetId="10" hidden="1">#REF!</definedName>
    <definedName name="_7__123Graph_Xｸﾞﾗﾌ_2" hidden="1">#REF!</definedName>
    <definedName name="_7_0_S" localSheetId="0" hidden="1">#REF!</definedName>
    <definedName name="_7_0_S" hidden="1">#REF!</definedName>
    <definedName name="_70__123Graph_X????_3" localSheetId="0" hidden="1">#REF!</definedName>
    <definedName name="_70__123Graph_X????_3" hidden="1">#REF!</definedName>
    <definedName name="_70__123Graph_Xｸﾞﾗﾌ_2" localSheetId="0" hidden="1">#REF!</definedName>
    <definedName name="_70__123Graph_Xｸﾞﾗﾌ_2" hidden="1">#REF!</definedName>
    <definedName name="_70__123Graph_Xｸﾞﾗﾌ_5" localSheetId="0" hidden="1">#REF!</definedName>
    <definedName name="_70__123Graph_Xｸﾞﾗﾌ_5" hidden="1">#REF!</definedName>
    <definedName name="_71__123Graph_Xｸﾞﾗﾌ_4" localSheetId="0" hidden="1">#REF!</definedName>
    <definedName name="_71__123Graph_Xｸﾞﾗﾌ_4" hidden="1">#REF!</definedName>
    <definedName name="_72__123Graph_Aｸﾞﾗﾌ_4" localSheetId="0" hidden="1">#REF!</definedName>
    <definedName name="_72__123Graph_Aｸﾞﾗﾌ_4" hidden="1">#REF!</definedName>
    <definedName name="_72__123Graph_X????_3" localSheetId="0" hidden="1">#REF!</definedName>
    <definedName name="_72__123Graph_X????_3" hidden="1">#REF!</definedName>
    <definedName name="_72__123Graph_Xｸﾞﾗﾌ_3" localSheetId="0" hidden="1">#REF!</definedName>
    <definedName name="_72__123Graph_Xｸﾞﾗﾌ_3" hidden="1">#REF!</definedName>
    <definedName name="_74__123Graph_X????_4" localSheetId="0" hidden="1">#REF!</definedName>
    <definedName name="_74__123Graph_X????_4" hidden="1">#REF!</definedName>
    <definedName name="_75__123Graph_Aｸﾞﾗﾌ_4" localSheetId="0" hidden="1">#REF!</definedName>
    <definedName name="_75__123Graph_Aｸﾞﾗﾌ_4" hidden="1">#REF!</definedName>
    <definedName name="_76__123Graph_Xｸﾞﾗﾌ_5" localSheetId="0" hidden="1">#REF!</definedName>
    <definedName name="_76__123Graph_Xｸﾞﾗﾌ_5" hidden="1">#REF!</definedName>
    <definedName name="_77__123Graph_X????_4" localSheetId="0" hidden="1">#REF!</definedName>
    <definedName name="_77__123Graph_X????_4" hidden="1">#REF!</definedName>
    <definedName name="_77__123Graph_Xｸﾞﾗﾌ_2" localSheetId="0" hidden="1">#REF!</definedName>
    <definedName name="_77__123Graph_Xｸﾞﾗﾌ_2" hidden="1">#REF!</definedName>
    <definedName name="_78__123Graph_X????_5" localSheetId="0" hidden="1">#REF!</definedName>
    <definedName name="_78__123Graph_X????_5" hidden="1">#REF!</definedName>
    <definedName name="_8______123Graph_Xｸﾞﾗﾌ_3" localSheetId="0" hidden="1">#REF!</definedName>
    <definedName name="_8______123Graph_Xｸﾞﾗﾌ_3" hidden="1">#REF!</definedName>
    <definedName name="_8___123Graph_XCHART_2" localSheetId="0" hidden="1">#REF!</definedName>
    <definedName name="_8___123Graph_XCHART_2" hidden="1">#REF!</definedName>
    <definedName name="_8___123Graph_Xｸﾞﾗﾌ_3" localSheetId="0" hidden="1">#REF!</definedName>
    <definedName name="_8___123Graph_Xｸﾞﾗﾌ_3" hidden="1">#REF!</definedName>
    <definedName name="_8__123Graph_A????_4" localSheetId="0" hidden="1">#REF!</definedName>
    <definedName name="_8__123Graph_A????_4" hidden="1">#REF!</definedName>
    <definedName name="_8__123Graph_A????_5" localSheetId="0" hidden="1">#REF!</definedName>
    <definedName name="_8__123Graph_A????_5" hidden="1">#REF!</definedName>
    <definedName name="_8__123Graph_Aｸﾞﾗﾌ_1" localSheetId="0" hidden="1">#REF!</definedName>
    <definedName name="_8__123Graph_Aｸﾞﾗﾌ_1" hidden="1">#REF!</definedName>
    <definedName name="_8__123Graph_Aｸﾞﾗﾌ_2" localSheetId="0" hidden="1">#REF!</definedName>
    <definedName name="_8__123Graph_Aｸﾞﾗﾌ_2" hidden="1">#REF!</definedName>
    <definedName name="_8__123Graph_Aｸﾞﾗﾌ_3" localSheetId="0" hidden="1">#REF!</definedName>
    <definedName name="_8__123Graph_Aｸﾞﾗﾌ_3" hidden="1">#REF!</definedName>
    <definedName name="_8__123Graph_Aｸﾞﾗﾌ_4" localSheetId="10" hidden="1">#REF!</definedName>
    <definedName name="_8__123Graph_Aｸﾞﾗﾌ_4" hidden="1">#REF!</definedName>
    <definedName name="_8__123Graph_Aｸﾞﾗﾌ_5" localSheetId="0" hidden="1">#REF!</definedName>
    <definedName name="_8__123Graph_Aｸﾞﾗﾌ_5" hidden="1">#REF!</definedName>
    <definedName name="_8__123Graph_BCHART_1" localSheetId="0" hidden="1">#REF!</definedName>
    <definedName name="_8__123Graph_BCHART_1" hidden="1">#REF!</definedName>
    <definedName name="_8__123Graph_BCHART_2" localSheetId="10" hidden="1">#REF!</definedName>
    <definedName name="_8__123Graph_BCHART_2" hidden="1">#REF!</definedName>
    <definedName name="_8__123Graph_XCHART_1" localSheetId="0" hidden="1">#REF!</definedName>
    <definedName name="_8__123Graph_XCHART_1" hidden="1">#REF!</definedName>
    <definedName name="_8__123Graph_Xｸﾞﾗﾌ_1" localSheetId="0" hidden="1">#REF!</definedName>
    <definedName name="_8__123Graph_Xｸﾞﾗﾌ_1" hidden="1">#REF!</definedName>
    <definedName name="_8__123Graph_Xｸﾞﾗﾌ_3" localSheetId="10" hidden="1">#REF!</definedName>
    <definedName name="_8__123Graph_Xｸﾞﾗﾌ_3" hidden="1">#REF!</definedName>
    <definedName name="_8_0__123Grap" localSheetId="0" hidden="1">#REF!</definedName>
    <definedName name="_8_0__123Grap" hidden="1">#REF!</definedName>
    <definedName name="_80__123Graph_Aｸﾞﾗﾌ_5" localSheetId="0" hidden="1">#REF!</definedName>
    <definedName name="_80__123Graph_Aｸﾞﾗﾌ_5" hidden="1">#REF!</definedName>
    <definedName name="_80__123Graph_Xｸﾞﾗﾌ_3" localSheetId="0" hidden="1">#REF!</definedName>
    <definedName name="_80__123Graph_Xｸﾞﾗﾌ_3" hidden="1">#REF!</definedName>
    <definedName name="_81__123Graph_Xｸﾞﾗﾌ_4" localSheetId="0" hidden="1">#REF!</definedName>
    <definedName name="_81__123Graph_Xｸﾞﾗﾌ_4" hidden="1">#REF!</definedName>
    <definedName name="_82__123Graph_X????_5" localSheetId="0" hidden="1">#REF!</definedName>
    <definedName name="_82__123Graph_X????_5" hidden="1">#REF!</definedName>
    <definedName name="_83__123Graph_Aｸﾞﾗﾌ_5" localSheetId="0" hidden="1">#REF!</definedName>
    <definedName name="_83__123Graph_Aｸﾞﾗﾌ_5" hidden="1">#REF!</definedName>
    <definedName name="_83__123Graph_Xｸﾞﾗﾌ_1" localSheetId="0" hidden="1">#REF!</definedName>
    <definedName name="_83__123Graph_Xｸﾞﾗﾌ_1" hidden="1">#REF!</definedName>
    <definedName name="_88__123Graph_X????_1" localSheetId="0" hidden="1">#REF!</definedName>
    <definedName name="_88__123Graph_X????_1" hidden="1">#REF!</definedName>
    <definedName name="_88__123Graph_Xｸﾞﾗﾌ_1" localSheetId="0" hidden="1">#REF!</definedName>
    <definedName name="_88__123Graph_Xｸﾞﾗﾌ_1" hidden="1">#REF!</definedName>
    <definedName name="_88__123Graph_Xｸﾞﾗﾌ_2" localSheetId="0" hidden="1">#REF!</definedName>
    <definedName name="_88__123Graph_Xｸﾞﾗﾌ_2" hidden="1">#REF!</definedName>
    <definedName name="_88__123Graph_Xｸﾞﾗﾌ_3" localSheetId="0" hidden="1">#REF!</definedName>
    <definedName name="_88__123Graph_Xｸﾞﾗﾌ_3" hidden="1">#REF!</definedName>
    <definedName name="_8Dist_" localSheetId="0" hidden="1">#REF!</definedName>
    <definedName name="_8Dist_" hidden="1">#REF!</definedName>
    <definedName name="_8S" localSheetId="0" hidden="1">#REF!</definedName>
    <definedName name="_8S" hidden="1">#REF!</definedName>
    <definedName name="_9______123Graph_Xｸﾞﾗﾌ_4" localSheetId="0" hidden="1">#REF!</definedName>
    <definedName name="_9______123Graph_Xｸﾞﾗﾌ_4" hidden="1">#REF!</definedName>
    <definedName name="_9___123Graph_Xｸﾞﾗﾌ_4" localSheetId="0" hidden="1">#REF!</definedName>
    <definedName name="_9___123Graph_Xｸﾞﾗﾌ_4" hidden="1">#REF!</definedName>
    <definedName name="_9__123Graph_A????_5" localSheetId="0" hidden="1">#REF!</definedName>
    <definedName name="_9__123Graph_A????_5" hidden="1">#REF!</definedName>
    <definedName name="_9__123Graph_ACASH_FLOW1" localSheetId="0" hidden="1">#REF!</definedName>
    <definedName name="_9__123Graph_ACASH_FLOW1" hidden="1">#REF!</definedName>
    <definedName name="_9__123Graph_Aｸﾞﾗﾌ_1" localSheetId="0" hidden="1">#REF!</definedName>
    <definedName name="_9__123Graph_Aｸﾞﾗﾌ_1" hidden="1">#REF!</definedName>
    <definedName name="_9__123Graph_Aｸﾞﾗﾌ_3" localSheetId="0" hidden="1">#REF!</definedName>
    <definedName name="_9__123Graph_Aｸﾞﾗﾌ_3" hidden="1">#REF!</definedName>
    <definedName name="_9__123Graph_Aｸﾞﾗﾌ_4" localSheetId="0" hidden="1">#REF!</definedName>
    <definedName name="_9__123Graph_Aｸﾞﾗﾌ_4" hidden="1">#REF!</definedName>
    <definedName name="_9__123Graph_CCHART_1" localSheetId="10" hidden="1">#REF!</definedName>
    <definedName name="_9__123Graph_CCHART_1" hidden="1">#REF!</definedName>
    <definedName name="_9__123Graph_XCHART_2" localSheetId="0" hidden="1">#REF!</definedName>
    <definedName name="_9__123Graph_XCHART_2" hidden="1">#REF!</definedName>
    <definedName name="_9__123Graph_Xｸﾞﾗﾌ_1" localSheetId="0" hidden="1">#REF!</definedName>
    <definedName name="_9__123Graph_Xｸﾞﾗﾌ_1" hidden="1">#REF!</definedName>
    <definedName name="_9__123Graph_Xｸﾞﾗﾌ_2" localSheetId="0" hidden="1">#REF!</definedName>
    <definedName name="_9__123Graph_Xｸﾞﾗﾌ_2" hidden="1">#REF!</definedName>
    <definedName name="_9__123Graph_Xｸﾞﾗﾌ_4" localSheetId="10" hidden="1">#REF!</definedName>
    <definedName name="_9__123Graph_Xｸﾞﾗﾌ_4" hidden="1">#REF!</definedName>
    <definedName name="_90__123Graph_Aｸﾞﾗﾌ_5" localSheetId="0" hidden="1">#REF!</definedName>
    <definedName name="_90__123Graph_Aｸﾞﾗﾌ_5" hidden="1">#REF!</definedName>
    <definedName name="_90__123Graph_Xｸﾞﾗﾌ_4" localSheetId="0" hidden="1">#REF!</definedName>
    <definedName name="_90__123Graph_Xｸﾞﾗﾌ_4" hidden="1">#REF!</definedName>
    <definedName name="_90__123Graph_Xｸﾞﾗﾌ_5" localSheetId="0" hidden="1">#REF!</definedName>
    <definedName name="_90__123Graph_Xｸﾞﾗﾌ_5" hidden="1">#REF!</definedName>
    <definedName name="_93__123Graph_X????_2" localSheetId="0" hidden="1">#REF!</definedName>
    <definedName name="_93__123Graph_X????_2" hidden="1">#REF!</definedName>
    <definedName name="_93__123Graph_Xｸﾞﾗﾌ_3" localSheetId="0" hidden="1">#REF!</definedName>
    <definedName name="_93__123Graph_Xｸﾞﾗﾌ_3" hidden="1">#REF!</definedName>
    <definedName name="_93_111" localSheetId="0" hidden="1">#REF!</definedName>
    <definedName name="_93_111" hidden="1">#REF!</definedName>
    <definedName name="_94__123Graph_Xｸﾞﾗﾌ_2" localSheetId="0" hidden="1">#REF!</definedName>
    <definedName name="_94__123Graph_Xｸﾞﾗﾌ_2" hidden="1">#REF!</definedName>
    <definedName name="_96__123Graph_Xｸﾞﾗﾌ_1" localSheetId="0" hidden="1">#REF!</definedName>
    <definedName name="_96__123Graph_Xｸﾞﾗﾌ_1" hidden="1">#REF!</definedName>
    <definedName name="_98__123Graph_X????_3" localSheetId="0" hidden="1">#REF!</definedName>
    <definedName name="_98__123Graph_X????_3" hidden="1">#REF!</definedName>
    <definedName name="_98__123Graph_Xｸﾞﾗﾌ_4" localSheetId="0" hidden="1">#REF!</definedName>
    <definedName name="_98__123Graph_Xｸﾞﾗﾌ_4" hidden="1">#REF!</definedName>
    <definedName name="_99__123Graph_Xｸﾞﾗﾌ_4" localSheetId="0" hidden="1">#REF!</definedName>
    <definedName name="_99__123Graph_Xｸﾞﾗﾌ_4" hidden="1">#REF!</definedName>
    <definedName name="_9F" localSheetId="0" hidden="1">#REF!</definedName>
    <definedName name="_9F" hidden="1">#REF!</definedName>
    <definedName name="_a1" localSheetId="10" hidden="1">{"'Sheet1'!$L$16"}</definedName>
    <definedName name="_a1" localSheetId="0"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0" hidden="1">{"'Sheet1'!$L$16"}</definedName>
    <definedName name="_a1s" hidden="1">{"'Sheet1'!$L$16"}</definedName>
    <definedName name="_a2" localSheetId="0" hidden="1">{"'Sheet1'!$L$16"}</definedName>
    <definedName name="_a2" hidden="1">{"'Sheet1'!$L$16"}</definedName>
    <definedName name="_A4" localSheetId="0" hidden="1">{"'Sheet1'!$L$16"}</definedName>
    <definedName name="_A4" hidden="1">{"'Sheet1'!$L$16"}</definedName>
    <definedName name="_a9" localSheetId="0" hidden="1">{"'Sheet1'!$L$16"}</definedName>
    <definedName name="_a9" hidden="1">{"'Sheet1'!$L$16"}</definedName>
    <definedName name="_abc" localSheetId="0" hidden="1">#REF!</definedName>
    <definedName name="_abc" hidden="1">#REF!</definedName>
    <definedName name="_B19" localSheetId="0" hidden="1">{"'Sheet1'!$L$16"}</definedName>
    <definedName name="_B19" hidden="1">{"'Sheet1'!$L$16"}</definedName>
    <definedName name="_BG12" localSheetId="0" hidden="1">{"'Sheet1'!$L$16"}</definedName>
    <definedName name="_BG12" hidden="1">{"'Sheet1'!$L$16"}</definedName>
    <definedName name="_bhdbfbf" localSheetId="0" hidden="1">#REF!</definedName>
    <definedName name="_bhdbfbf" hidden="1">#REF!</definedName>
    <definedName name="_bht4" localSheetId="0" hidden="1">{#N/A,#N/A,FALSE,"Chi tiÆt"}</definedName>
    <definedName name="_bht4" hidden="1">{#N/A,#N/A,FALSE,"Chi tiÆt"}</definedName>
    <definedName name="_bht5" localSheetId="0" hidden="1">{#N/A,#N/A,FALSE,"Chi tiÆt"}</definedName>
    <definedName name="_bht5" hidden="1">{#N/A,#N/A,FALSE,"Chi tiÆt"}</definedName>
    <definedName name="_bht6" localSheetId="0" hidden="1">{"'Sheet1'!$L$16"}</definedName>
    <definedName name="_bht6" hidden="1">{"'Sheet1'!$L$16"}</definedName>
    <definedName name="_boq2" localSheetId="0" hidden="1">{"'Sheet1'!$L$16"}</definedName>
    <definedName name="_boq2" hidden="1">{"'Sheet1'!$L$16"}</definedName>
    <definedName name="_Builtin0" localSheetId="0" hidden="1">#REF!</definedName>
    <definedName name="_Builtin0" hidden="1">#REF!</definedName>
    <definedName name="_Builtin155" hidden="1">#N/A</definedName>
    <definedName name="_CD2" localSheetId="0" hidden="1">{"'Sheet1'!$L$16"}</definedName>
    <definedName name="_CD2" hidden="1">{"'Sheet1'!$L$16"}</definedName>
    <definedName name="_CN1" localSheetId="0" hidden="1">{"'Sheet1'!$L$16"}</definedName>
    <definedName name="_CN1" hidden="1">{"'Sheet1'!$L$16"}</definedName>
    <definedName name="_cn3" localSheetId="0" hidden="1">{"'Sheet1'!$L$16"}</definedName>
    <definedName name="_cn3" hidden="1">{"'Sheet1'!$L$16"}</definedName>
    <definedName name="_coc1000" localSheetId="0" hidden="1">{#N/A,#N/A,FALSE,"Chi tiÆt"}</definedName>
    <definedName name="_coc1000" hidden="1">{#N/A,#N/A,FALSE,"Chi tiÆt"}</definedName>
    <definedName name="_Coc39" localSheetId="0" hidden="1">{"'Sheet1'!$L$16"}</definedName>
    <definedName name="_Coc39" hidden="1">{"'Sheet1'!$L$16"}</definedName>
    <definedName name="_ct2005" localSheetId="0" hidden="1">{"'Sheet1'!$L$16"}</definedName>
    <definedName name="_ct2005" hidden="1">{"'Sheet1'!$L$16"}</definedName>
    <definedName name="_CT4" localSheetId="0" hidden="1">{"'Sheet1'!$L$16"}</definedName>
    <definedName name="_CT4" hidden="1">{"'Sheet1'!$L$16"}</definedName>
    <definedName name="_Cty501" localSheetId="0" hidden="1">{"'Sheet1'!$L$16"}</definedName>
    <definedName name="_Cty501" hidden="1">{"'Sheet1'!$L$16"}</definedName>
    <definedName name="_d1500" localSheetId="0" hidden="1">{"'Sheet1'!$L$16"}</definedName>
    <definedName name="_d1500" hidden="1">{"'Sheet1'!$L$16"}</definedName>
    <definedName name="_d2" localSheetId="0" hidden="1">{#N/A,#N/A,FALSE,"mgtsum.XLS";#N/A,#N/A,FALSE,"CAPONE";#N/A,#N/A,FALSE,"CAPTWO";#N/A,#N/A,FALSE,"CAPTHREE"}</definedName>
    <definedName name="_d2" hidden="1">{#N/A,#N/A,FALSE,"mgtsum.XLS";#N/A,#N/A,FALSE,"CAPONE";#N/A,#N/A,FALSE,"CAPTWO";#N/A,#N/A,FALSE,"CAPTHREE"}</definedName>
    <definedName name="_DD3" localSheetId="0" hidden="1">{"'Sheet1'!$L$16"}</definedName>
    <definedName name="_DD3" hidden="1">{"'Sheet1'!$L$16"}</definedName>
    <definedName name="_delete" localSheetId="0" hidden="1">#REF!</definedName>
    <definedName name="_delete" hidden="1">#REF!</definedName>
    <definedName name="_DGFDH4556" localSheetId="0" hidden="1">{"'Sheet1'!$L$16"}</definedName>
    <definedName name="_DGFDH4556" hidden="1">{"'Sheet1'!$L$16"}</definedName>
    <definedName name="_dist__bin" localSheetId="0" hidden="1">#REF!</definedName>
    <definedName name="_dist__bin" hidden="1">#REF!</definedName>
    <definedName name="_Dist_Bin" localSheetId="0" hidden="1">#REF!</definedName>
    <definedName name="_Dist_Bin" hidden="1">#REF!</definedName>
    <definedName name="_Dist_Values" localSheetId="0" hidden="1">#REF!</definedName>
    <definedName name="_Dist_Values" hidden="1">#REF!</definedName>
    <definedName name="_dsa3" localSheetId="0" hidden="1">#REF!</definedName>
    <definedName name="_dsa3" hidden="1">#REF!</definedName>
    <definedName name="_dt1" localSheetId="0" hidden="1">{"'Sheet1'!$L$16"}</definedName>
    <definedName name="_dt1" hidden="1">{"'Sheet1'!$L$16"}</definedName>
    <definedName name="_DT10" localSheetId="0" hidden="1">{"'Sheet1'!$L$16"}</definedName>
    <definedName name="_DT10" hidden="1">{"'Sheet1'!$L$16"}</definedName>
    <definedName name="_f5" localSheetId="0" hidden="1">{"'Sheet1'!$L$16"}</definedName>
    <definedName name="_f5" hidden="1">{"'Sheet1'!$L$16"}</definedName>
    <definedName name="_FAB4" localSheetId="10" hidden="1">#REF!</definedName>
    <definedName name="_FAB4" hidden="1">#REF!</definedName>
    <definedName name="_FIL" localSheetId="0" hidden="1">#REF!</definedName>
    <definedName name="_FIL" hidden="1">#REF!</definedName>
    <definedName name="_Fill" localSheetId="10" hidden="1">#REF!</definedName>
    <definedName name="_Fill" hidden="1">#REF!</definedName>
    <definedName name="_Fill_new" localSheetId="0" hidden="1">#REF!</definedName>
    <definedName name="_Fill_new" hidden="1">#REF!</definedName>
    <definedName name="_Fill1" localSheetId="10" hidden="1">#REF!</definedName>
    <definedName name="_Fill1" hidden="1">#REF!</definedName>
    <definedName name="_Fill2" localSheetId="0" hidden="1">#REF!</definedName>
    <definedName name="_Fill2" hidden="1">#REF!</definedName>
    <definedName name="_FILLa" localSheetId="0" hidden="1">#REF!</definedName>
    <definedName name="_FILLa" hidden="1">#REF!</definedName>
    <definedName name="_FillB" localSheetId="0" hidden="1">#REF!</definedName>
    <definedName name="_FillB" hidden="1">#REF!</definedName>
    <definedName name="_Filll" localSheetId="0" hidden="1">#REF!</definedName>
    <definedName name="_Filll" hidden="1">#REF!</definedName>
    <definedName name="_xlnm._FilterDatabase" localSheetId="4" hidden="1">'1. HT điện'!$A$8:$S$2687</definedName>
    <definedName name="_xlnm._FilterDatabase" localSheetId="5" hidden="1">'2. HT điện nhẹ'!$A$8:$S$55</definedName>
    <definedName name="_xlnm._FilterDatabase" localSheetId="6" hidden="1">'3. HT CTN'!$A$8:$S$844</definedName>
    <definedName name="_xlnm._FilterDatabase" localSheetId="7" hidden="1">'4.1 ĐH VRV'!$A$7:$AT$47</definedName>
    <definedName name="_xlnm._FilterDatabase" localSheetId="8" hidden="1">'4.2 Quạt'!$A$8:$AE$150</definedName>
    <definedName name="_xlnm._FilterDatabase" localSheetId="9" hidden="1">'4.3 DHKK &amp; TG'!$A$8:$S$1548</definedName>
    <definedName name="_xlnm._FilterDatabase" localSheetId="10" hidden="1">'5. Ngăn cháy lan'!$A$8:$S$30</definedName>
    <definedName name="_xlnm._FilterDatabase" hidden="1">#REF!</definedName>
    <definedName name="_G1" localSheetId="0" hidden="1">#REF!</definedName>
    <definedName name="_G1" hidden="1">#REF!</definedName>
    <definedName name="_G4211" localSheetId="0" hidden="1">{"'Sheet1'!$L$16"}</definedName>
    <definedName name="_G4211" hidden="1">{"'Sheet1'!$L$16"}</definedName>
    <definedName name="_GD3" localSheetId="0" hidden="1">{"'Sheet1'!$L$16"}</definedName>
    <definedName name="_GD3" hidden="1">{"'Sheet1'!$L$16"}</definedName>
    <definedName name="_gk2" localSheetId="0" hidden="1">#REF!</definedName>
    <definedName name="_gk2" hidden="1">#REF!</definedName>
    <definedName name="_Goi8" localSheetId="10" hidden="1">{"'Sheet1'!$L$16"}</definedName>
    <definedName name="_Goi8" localSheetId="0" hidden="1">{"'Sheet1'!$L$16"}</definedName>
    <definedName name="_Goi8" hidden="1">{"'Sheet1'!$L$16"}</definedName>
    <definedName name="_h1" localSheetId="0" hidden="1">{"'TDTGT (theo Dphuong)'!$A$4:$F$75"}</definedName>
    <definedName name="_h1" hidden="1">{"'TDTGT (theo Dphuong)'!$A$4:$F$75"}</definedName>
    <definedName name="_h12" localSheetId="0" hidden="1">{"'Sheet1'!$L$16"}</definedName>
    <definedName name="_h12" hidden="1">{"'Sheet1'!$L$16"}</definedName>
    <definedName name="_h2" localSheetId="0" hidden="1">{"'Sheet1'!$L$16"}</definedName>
    <definedName name="_h2" hidden="1">{"'Sheet1'!$L$16"}</definedName>
    <definedName name="_HGJHJ68897" localSheetId="0" hidden="1">#REF!</definedName>
    <definedName name="_HGJHJ68897" hidden="1">#REF!</definedName>
    <definedName name="_hh1219" localSheetId="0" hidden="1">{"'Sheet1'!$L$16"}</definedName>
    <definedName name="_hh1219" hidden="1">{"'Sheet1'!$L$16"}</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huy1" localSheetId="0" hidden="1">{"'Sheet1'!$L$16"}</definedName>
    <definedName name="_huy1" hidden="1">{"'Sheet1'!$L$16"}</definedName>
    <definedName name="_huy2" localSheetId="0" hidden="1">{"'Sheet1'!$L$16"}</definedName>
    <definedName name="_huy2" hidden="1">{"'Sheet1'!$L$16"}</definedName>
    <definedName name="_K146" localSheetId="0" hidden="1">{"'Sheet1'!$L$16"}</definedName>
    <definedName name="_K146" hidden="1">{"'Sheet1'!$L$16"}</definedName>
    <definedName name="_Key1" localSheetId="10" hidden="1">#REF!</definedName>
    <definedName name="_Key1" hidden="1">#REF!</definedName>
    <definedName name="_key10" localSheetId="0" hidden="1">#REF!</definedName>
    <definedName name="_key10" hidden="1">#REF!</definedName>
    <definedName name="_KEY12" localSheetId="0" hidden="1">#REF!</definedName>
    <definedName name="_KEY12" hidden="1">#REF!</definedName>
    <definedName name="_Key2" localSheetId="10" hidden="1">#REF!</definedName>
    <definedName name="_Key2" hidden="1">#REF!</definedName>
    <definedName name="_KEY3" localSheetId="0" hidden="1">#REF!</definedName>
    <definedName name="_KEY3" hidden="1">#REF!</definedName>
    <definedName name="_key4" localSheetId="0" hidden="1">#REF!</definedName>
    <definedName name="_key4" hidden="1">#REF!</definedName>
    <definedName name="_key5" localSheetId="0" hidden="1">#REF!</definedName>
    <definedName name="_key5" hidden="1">#REF!</definedName>
    <definedName name="_keydd" localSheetId="0" hidden="1">#REF!</definedName>
    <definedName name="_keydd" hidden="1">#REF!</definedName>
    <definedName name="_kfkf" localSheetId="0" hidden="1">#REF!</definedName>
    <definedName name="_kfkf" hidden="1">#REF!</definedName>
    <definedName name="_kl11" localSheetId="0" hidden="1">{"'Sheet1'!$L$16"}</definedName>
    <definedName name="_kl11" hidden="1">{"'Sheet1'!$L$16"}</definedName>
    <definedName name="_kl4" localSheetId="0" hidden="1">{"'Sheet1'!$L$16"}</definedName>
    <definedName name="_kl4" hidden="1">{"'Sheet1'!$L$16"}</definedName>
    <definedName name="_kl6" localSheetId="0" hidden="1">{"'Sheet1'!$L$16"}</definedName>
    <definedName name="_kl6" hidden="1">{"'Sheet1'!$L$16"}</definedName>
    <definedName name="_KH12" localSheetId="0" hidden="1">{#N/A,#N/A,FALSE,"Chi tiÆt"}</definedName>
    <definedName name="_KH12" hidden="1">{#N/A,#N/A,FALSE,"Chi tiÆt"}</definedName>
    <definedName name="_L2" localSheetId="0" hidden="1">{"'Sheet1'!$L$16"}</definedName>
    <definedName name="_L2" hidden="1">{"'Sheet1'!$L$16"}</definedName>
    <definedName name="_Lan1" localSheetId="0" hidden="1">{"'Sheet1'!$L$16"}</definedName>
    <definedName name="_Lan1" hidden="1">{"'Sheet1'!$L$16"}</definedName>
    <definedName name="_Lan2" localSheetId="0" hidden="1">{"'Sheet1'!$L$16"}</definedName>
    <definedName name="_Lan2" hidden="1">{"'Sheet1'!$L$16"}</definedName>
    <definedName name="_LAN3" localSheetId="0" hidden="1">{"'Sheet1'!$L$16"}</definedName>
    <definedName name="_LAN3" hidden="1">{"'Sheet1'!$L$16"}</definedName>
    <definedName name="_lao2" localSheetId="0" hidden="1">{"'Sheet1'!$L$16"}</definedName>
    <definedName name="_lao2" hidden="1">{"'Sheet1'!$L$16"}</definedName>
    <definedName name="_ld2" localSheetId="0" hidden="1">{"'Sheet1'!$L$16"}</definedName>
    <definedName name="_ld2" hidden="1">{"'Sheet1'!$L$16"}</definedName>
    <definedName name="_lk2" localSheetId="0" hidden="1">{"'Sheet1'!$L$16"}</definedName>
    <definedName name="_lk2" hidden="1">{"'Sheet1'!$L$16"}</definedName>
    <definedName name="_LLIF" localSheetId="0" hidden="1">#REF!</definedName>
    <definedName name="_LLIF" hidden="1">#REF!</definedName>
    <definedName name="_LLIFF" localSheetId="0" hidden="1">#REF!</definedName>
    <definedName name="_LLIFF" hidden="1">#REF!</definedName>
    <definedName name="_lop111" localSheetId="0" hidden="1">{#N/A,#N/A,FALSE,"特殊室（ＢＱ表）"}</definedName>
    <definedName name="_lop111" hidden="1">{#N/A,#N/A,FALSE,"特殊室（ＢＱ表）"}</definedName>
    <definedName name="_M2" localSheetId="0" hidden="1">{"'Sheet1'!$L$16"}</definedName>
    <definedName name="_M2" hidden="1">{"'Sheet1'!$L$16"}</definedName>
    <definedName name="_M36" localSheetId="0" hidden="1">{"'Sheet1'!$L$16"}</definedName>
    <definedName name="_M36" hidden="1">{"'Sheet1'!$L$16"}</definedName>
    <definedName name="_m4" localSheetId="0" hidden="1">{"'Sheet1'!$L$16"}</definedName>
    <definedName name="_m4" hidden="1">{"'Sheet1'!$L$16"}</definedName>
    <definedName name="_MatInverse_In" localSheetId="0" hidden="1">#REF!</definedName>
    <definedName name="_MatInverse_In" hidden="1">#REF!</definedName>
    <definedName name="_MatInverse_Out" localSheetId="0" hidden="1">#REF!</definedName>
    <definedName name="_MatInverse_Out" hidden="1">#REF!</definedName>
    <definedName name="_MatMult_A" localSheetId="0" hidden="1">#REF!</definedName>
    <definedName name="_MatMult_A" hidden="1">#REF!</definedName>
    <definedName name="_MatMult_AxB" localSheetId="0" hidden="1">#REF!</definedName>
    <definedName name="_MatMult_AxB" hidden="1">#REF!</definedName>
    <definedName name="_MatMult_B" localSheetId="0" hidden="1">#REF!</definedName>
    <definedName name="_MatMult_B" hidden="1">#REF!</definedName>
    <definedName name="_MCC3" localSheetId="10" hidden="1">{#N/A,#N/A,FALSE,"CCTV"}</definedName>
    <definedName name="_MCC3" localSheetId="0" hidden="1">{#N/A,#N/A,FALSE,"CCTV"}</definedName>
    <definedName name="_MCC3" hidden="1">{#N/A,#N/A,FALSE,"CCTV"}</definedName>
    <definedName name="_mo1" localSheetId="0" hidden="1">{"'Sheet1'!$L$16"}</definedName>
    <definedName name="_mo1" hidden="1">{"'Sheet1'!$L$16"}</definedName>
    <definedName name="_NK5" localSheetId="0" hidden="1">{"'Sheet1'!$L$16"}</definedName>
    <definedName name="_NK5" hidden="1">{"'Sheet1'!$L$16"}</definedName>
    <definedName name="_NO1" localSheetId="0" hidden="1">#REF!</definedName>
    <definedName name="_NO1" hidden="1">#REF!</definedName>
    <definedName name="_NO2" localSheetId="0" hidden="1">#REF!</definedName>
    <definedName name="_NO2" hidden="1">#REF!</definedName>
    <definedName name="_nso1" localSheetId="0" hidden="1">{"'Sheet1'!$L$16"}</definedName>
    <definedName name="_nso1" hidden="1">{"'Sheet1'!$L$16"}</definedName>
    <definedName name="_NSO2" localSheetId="0" hidden="1">{"'Sheet1'!$L$16"}</definedName>
    <definedName name="_NSO2" hidden="1">{"'Sheet1'!$L$16"}</definedName>
    <definedName name="_Order1" hidden="1">255</definedName>
    <definedName name="_Order2" hidden="1">255</definedName>
    <definedName name="_P3" localSheetId="10" hidden="1">{#N/A,#N/A,FALSE,"特殊室（ＢＱ表）"}</definedName>
    <definedName name="_P3" localSheetId="0" hidden="1">{#N/A,#N/A,FALSE,"特殊室（ＢＱ表）"}</definedName>
    <definedName name="_P3" hidden="1">{#N/A,#N/A,FALSE,"特殊室（ＢＱ表）"}</definedName>
    <definedName name="_P4" localSheetId="0" hidden="1">{#N/A,#N/A,FALSE,"혼합골재"}</definedName>
    <definedName name="_P4" hidden="1">{#N/A,#N/A,FALSE,"혼합골재"}</definedName>
    <definedName name="_P5" localSheetId="0" hidden="1">{#N/A,#N/A,FALSE,"배수1"}</definedName>
    <definedName name="_P5" hidden="1">{#N/A,#N/A,FALSE,"배수1"}</definedName>
    <definedName name="_P6" localSheetId="0" hidden="1">{#N/A,#N/A,FALSE,"2~8번"}</definedName>
    <definedName name="_P6" hidden="1">{#N/A,#N/A,FALSE,"2~8번"}</definedName>
    <definedName name="_PA3" localSheetId="0" hidden="1">{"'Sheet1'!$L$16"}</definedName>
    <definedName name="_PA3" hidden="1">{"'Sheet1'!$L$16"}</definedName>
    <definedName name="_pa4" localSheetId="0" hidden="1">{"'Sheet1'!$L$16"}</definedName>
    <definedName name="_pa4" hidden="1">{"'Sheet1'!$L$16"}</definedName>
    <definedName name="_Parse_In" localSheetId="0" hidden="1">#REF!</definedName>
    <definedName name="_Parse_In" hidden="1">#REF!</definedName>
    <definedName name="_Parse_Out" hidden="1">#REF!</definedName>
    <definedName name="_PPP3" localSheetId="10" hidden="1">{#N/A,#N/A,FALSE,"特殊室（ＢＱ表）"}</definedName>
    <definedName name="_PPP3" localSheetId="0" hidden="1">{#N/A,#N/A,FALSE,"特殊室（ＢＱ表）"}</definedName>
    <definedName name="_PPP3" hidden="1">{#N/A,#N/A,FALSE,"特殊室（ＢＱ表）"}</definedName>
    <definedName name="_PPP33" localSheetId="10" hidden="1">{#N/A,#N/A,FALSE,"特殊室（ＢＱ表）"}</definedName>
    <definedName name="_PPP33" localSheetId="0" hidden="1">{#N/A,#N/A,FALSE,"特殊室（ＢＱ表）"}</definedName>
    <definedName name="_PPP33" hidden="1">{#N/A,#N/A,FALSE,"特殊室（ＢＱ表）"}</definedName>
    <definedName name="_ppp34" localSheetId="10" hidden="1">{#N/A,#N/A,FALSE,"特殊室（ＢＱ表）"}</definedName>
    <definedName name="_ppp34" localSheetId="0" hidden="1">{#N/A,#N/A,FALSE,"特殊室（ＢＱ表）"}</definedName>
    <definedName name="_ppp34" hidden="1">{#N/A,#N/A,FALSE,"特殊室（ＢＱ表）"}</definedName>
    <definedName name="_ppp3444" localSheetId="10" hidden="1">{#N/A,#N/A,FALSE,"特殊室（ＢＱ表）"}</definedName>
    <definedName name="_ppp3444" localSheetId="0" hidden="1">{#N/A,#N/A,FALSE,"特殊室（ＢＱ表）"}</definedName>
    <definedName name="_ppp3444" hidden="1">{#N/A,#N/A,FALSE,"特殊室（ＢＱ表）"}</definedName>
    <definedName name="_q123" localSheetId="0" hidden="1">#REF!</definedName>
    <definedName name="_q123" hidden="1">#REF!</definedName>
    <definedName name="_QLO7" localSheetId="0" hidden="1">#REF!</definedName>
    <definedName name="_QLO7" hidden="1">#REF!</definedName>
    <definedName name="_QQ1" localSheetId="0" hidden="1">{#N/A,#N/A,FALSE,"단가표지"}</definedName>
    <definedName name="_QQ1" hidden="1">{#N/A,#N/A,FALSE,"단가표지"}</definedName>
    <definedName name="_QW1" localSheetId="0" hidden="1">{#N/A,#N/A,FALSE,"단가표지"}</definedName>
    <definedName name="_QW1" hidden="1">{#N/A,#N/A,FALSE,"단가표지"}</definedName>
    <definedName name="_Regression_Int" hidden="1">1</definedName>
    <definedName name="_Regression_Out" hidden="1">#REF!</definedName>
    <definedName name="_Regression_X" hidden="1">#REF!</definedName>
    <definedName name="_Regression_Y" hidden="1">#REF!</definedName>
    <definedName name="_REV1" localSheetId="0" hidden="1">{#N/A,#N/A,TRUE,"Str.";#N/A,#N/A,TRUE,"Steel &amp; Roof";#N/A,#N/A,TRUE,"Arc.";#N/A,#N/A,TRUE,"Preliminary";#N/A,#N/A,TRUE,"Sum_Prelim"}</definedName>
    <definedName name="_REV1" hidden="1">{#N/A,#N/A,TRUE,"Str.";#N/A,#N/A,TRUE,"Steel &amp; Roof";#N/A,#N/A,TRUE,"Arc.";#N/A,#N/A,TRUE,"Preliminary";#N/A,#N/A,TRUE,"Sum_Prelim"}</definedName>
    <definedName name="_Rh90" localSheetId="0" hidden="1">{"'Sheet1'!$L$16"}</definedName>
    <definedName name="_Rh90" hidden="1">{"'Sheet1'!$L$16"}</definedName>
    <definedName name="_S2" localSheetId="0" hidden="1">{"'Sheet1'!$L$16"}</definedName>
    <definedName name="_S2" hidden="1">{"'Sheet1'!$L$16"}</definedName>
    <definedName name="_S3" localSheetId="0" hidden="1">{#N/A,#N/A,FALSE,"포장2"}</definedName>
    <definedName name="_S3" hidden="1">{#N/A,#N/A,FALSE,"포장2"}</definedName>
    <definedName name="_SCL4" localSheetId="0" hidden="1">{"'Sheet1'!$L$16"}</definedName>
    <definedName name="_SCL4" hidden="1">{"'Sheet1'!$L$16"}</definedName>
    <definedName name="_Sort" localSheetId="10" hidden="1">#REF!</definedName>
    <definedName name="_Sort" hidden="1">#REF!</definedName>
    <definedName name="_Sortmoi" localSheetId="0" hidden="1">#REF!</definedName>
    <definedName name="_Sortmoi" hidden="1">#REF!</definedName>
    <definedName name="_SS1" localSheetId="0" hidden="1">{#N/A,#N/A,FALSE,"운반시간"}</definedName>
    <definedName name="_SS1" hidden="1">{#N/A,#N/A,FALSE,"운반시간"}</definedName>
    <definedName name="_SXT3" localSheetId="0" hidden="1">{#N/A,#N/A,FALSE,"Chi tiÆt"}</definedName>
    <definedName name="_SXT3" hidden="1">{#N/A,#N/A,FALSE,"Chi tiÆt"}</definedName>
    <definedName name="_sxt5" localSheetId="0" hidden="1">{"'Sheet1'!$L$16"}</definedName>
    <definedName name="_sxt5" hidden="1">{"'Sheet1'!$L$16"}</definedName>
    <definedName name="_sxt6" localSheetId="0" hidden="1">{#N/A,#N/A,FALSE,"Chi tiÆt"}</definedName>
    <definedName name="_sxt6" hidden="1">{#N/A,#N/A,FALSE,"Chi tiÆt"}</definedName>
    <definedName name="_T1" localSheetId="0" hidden="1">{#N/A,#N/A,FALSE,"Chi tiÆt"}</definedName>
    <definedName name="_T1" hidden="1">{#N/A,#N/A,FALSE,"Chi tiÆt"}</definedName>
    <definedName name="_T10" localSheetId="0" hidden="1">{"'Sheet1'!$L$16"}</definedName>
    <definedName name="_T10" hidden="1">{"'Sheet1'!$L$16"}</definedName>
    <definedName name="_t112" localSheetId="0" hidden="1">{#N/A,#N/A,FALSE,"Chi tiÆt"}</definedName>
    <definedName name="_t112" hidden="1">{#N/A,#N/A,FALSE,"Chi tiÆt"}</definedName>
    <definedName name="_t12" localSheetId="0" hidden="1">{#N/A,#N/A,FALSE,"Chi tiÆt"}</definedName>
    <definedName name="_t12" hidden="1">{#N/A,#N/A,FALSE,"Chi tiÆt"}</definedName>
    <definedName name="_T2" localSheetId="0" hidden="1">{"'Sheet1'!$L$16"}</definedName>
    <definedName name="_T2" hidden="1">{"'Sheet1'!$L$16"}</definedName>
    <definedName name="_T3" localSheetId="0" hidden="1">{"'Sheet1'!$L$16"}</definedName>
    <definedName name="_T3" hidden="1">{"'Sheet1'!$L$16"}</definedName>
    <definedName name="_t5" localSheetId="0" hidden="1">{"'Sheet1'!$L$16"}</definedName>
    <definedName name="_t5" hidden="1">{"'Sheet1'!$L$16"}</definedName>
    <definedName name="_t9" localSheetId="0" hidden="1">{"'Sheet1'!$L$16"}</definedName>
    <definedName name="_t9" hidden="1">{"'Sheet1'!$L$16"}</definedName>
    <definedName name="_Table1_In1" localSheetId="10" hidden="1">#REF!</definedName>
    <definedName name="_Table1_In1" hidden="1">#REF!</definedName>
    <definedName name="_Table1_Out" localSheetId="10" hidden="1">#REF!</definedName>
    <definedName name="_Table1_Out" hidden="1">#REF!</definedName>
    <definedName name="_Table2_In1" localSheetId="10" hidden="1">#REF!</definedName>
    <definedName name="_Table2_In1" hidden="1">#REF!</definedName>
    <definedName name="_Table2_In2" localSheetId="0" hidden="1">#REF!</definedName>
    <definedName name="_Table2_In2" hidden="1">#REF!</definedName>
    <definedName name="_Table2_Out" localSheetId="10" hidden="1">#REF!</definedName>
    <definedName name="_Table2_Out" hidden="1">#REF!</definedName>
    <definedName name="_tb2" localSheetId="0" hidden="1">{"'Sheet1'!$L$16"}</definedName>
    <definedName name="_tb2" hidden="1">{"'Sheet1'!$L$16"}</definedName>
    <definedName name="_td1" localSheetId="0" hidden="1">{"'Sheet1'!$L$16"}</definedName>
    <definedName name="_td1" hidden="1">{"'Sheet1'!$L$16"}</definedName>
    <definedName name="_TM2" localSheetId="0" hidden="1">{"'Sheet1'!$L$16"}</definedName>
    <definedName name="_TM2" hidden="1">{"'Sheet1'!$L$16"}</definedName>
    <definedName name="_TT04" localSheetId="0" hidden="1">#REF!</definedName>
    <definedName name="_TT04" hidden="1">#REF!</definedName>
    <definedName name="_tt3" localSheetId="0" hidden="1">{"'Sheet1'!$L$16"}</definedName>
    <definedName name="_tt3" hidden="1">{"'Sheet1'!$L$16"}</definedName>
    <definedName name="_ttt1" localSheetId="0" hidden="1">{"'Sheet1'!$L$16"}</definedName>
    <definedName name="_ttt1" hidden="1">{"'Sheet1'!$L$16"}</definedName>
    <definedName name="_tu4" localSheetId="0" hidden="1">{"'Sheet1'!$L$16"}</definedName>
    <definedName name="_tu4" hidden="1">{"'Sheet1'!$L$16"}</definedName>
    <definedName name="_TV2" localSheetId="0" hidden="1">{"'Sheet1'!$L$16"}</definedName>
    <definedName name="_TV2" hidden="1">{"'Sheet1'!$L$16"}</definedName>
    <definedName name="_TH1" localSheetId="0" hidden="1">{"'Sheet1'!$L$16"}</definedName>
    <definedName name="_TH1" hidden="1">{"'Sheet1'!$L$16"}</definedName>
    <definedName name="_THT11" localSheetId="0" hidden="1">{"'Sheet1'!$L$16"}</definedName>
    <definedName name="_THT11" hidden="1">{"'Sheet1'!$L$16"}</definedName>
    <definedName name="_Unknown_User_Defined_Name_0" localSheetId="0" hidden="1">#REF!</definedName>
    <definedName name="_Unknown_User_Defined_Name_0" hidden="1">#REF!</definedName>
    <definedName name="_Unknown_User_Defined_Name_1" localSheetId="0" hidden="1">#REF!</definedName>
    <definedName name="_Unknown_User_Defined_Name_1" hidden="1">#REF!</definedName>
    <definedName name="_Unknown_User_Defined_Name_2" localSheetId="0" hidden="1">#REF!</definedName>
    <definedName name="_Unknown_User_Defined_Name_2" hidden="1">#REF!</definedName>
    <definedName name="_Unknown_User_Defined_Name_3" localSheetId="0" hidden="1">#REF!</definedName>
    <definedName name="_Unknown_User_Defined_Name_3" hidden="1">#REF!</definedName>
    <definedName name="_vl1" localSheetId="0" hidden="1">{"'Sheet1'!$L$16"}</definedName>
    <definedName name="_vl1" hidden="1">{"'Sheet1'!$L$16"}</definedName>
    <definedName name="_vpt5" localSheetId="0" hidden="1">{"'Sheet1'!$L$16"}</definedName>
    <definedName name="_vpt5" hidden="1">{"'Sheet1'!$L$16"}</definedName>
    <definedName name="_vpt6" localSheetId="0" hidden="1">{"'Sheet1'!$L$16"}</definedName>
    <definedName name="_vpt6" hidden="1">{"'Sheet1'!$L$16"}</definedName>
    <definedName name="_VT3" localSheetId="0" hidden="1">{"'Sheet1'!$L$16"}</definedName>
    <definedName name="_VT3" hidden="1">{"'Sheet1'!$L$16"}</definedName>
    <definedName name="_VT675" localSheetId="0" hidden="1">{"Offgrid",#N/A,FALSE,"OFFGRID";"Region",#N/A,FALSE,"REGION";"Offgrid -2",#N/A,FALSE,"OFFGRID";"WTP",#N/A,FALSE,"WTP";"WTP -2",#N/A,FALSE,"WTP";"Project",#N/A,FALSE,"PROJECT";"Summary -2",#N/A,FALSE,"SUMMARY"}</definedName>
    <definedName name="_VT675"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localSheetId="0" hidden="1">#REF!</definedName>
    <definedName name="_woogi" hidden="1">#REF!</definedName>
    <definedName name="_woogi2" localSheetId="0" hidden="1">#REF!</definedName>
    <definedName name="_woogi2" hidden="1">#REF!</definedName>
    <definedName name="_woogi24" localSheetId="0" hidden="1">#REF!</definedName>
    <definedName name="_woogi24" hidden="1">#REF!</definedName>
    <definedName name="_woogi3" localSheetId="0" hidden="1">#REF!</definedName>
    <definedName name="_woogi3" hidden="1">#REF!</definedName>
    <definedName name="_xd2" localSheetId="0" hidden="1">{#N/A,#N/A,FALSE,"Chi tiÆt"}</definedName>
    <definedName name="_xd2" hidden="1">{#N/A,#N/A,FALSE,"Chi tiÆt"}</definedName>
    <definedName name="_재ㅐ햐" localSheetId="0" hidden="1">#REF!</definedName>
    <definedName name="_재ㅐ햐" hidden="1">#REF!</definedName>
    <definedName name="´cAE°eE¹" localSheetId="0" hidden="1">#REF!</definedName>
    <definedName name="´cAE°eE¹" hidden="1">#REF!</definedName>
    <definedName name="¸d" localSheetId="0" hidden="1">{"'Sheet1'!$L$16"}</definedName>
    <definedName name="¸d" hidden="1">{"'Sheet1'!$L$16"}</definedName>
    <definedName name="¸df" localSheetId="0" hidden="1">#REF!</definedName>
    <definedName name="¸df" hidden="1">#REF!</definedName>
    <definedName name="¸dfsad" localSheetId="0" hidden="1">#REF!</definedName>
    <definedName name="¸dfsad" hidden="1">#REF!</definedName>
    <definedName name="￠￥cAE¡ÆeEⓒo" localSheetId="0" hidden="1">#REF!</definedName>
    <definedName name="￠￥cAE¡ÆeEⓒo" hidden="1">#REF!</definedName>
    <definedName name="µgg" localSheetId="0" hidden="1">{"'Sheet1'!$L$16"}</definedName>
    <definedName name="µgg" hidden="1">{"'Sheet1'!$L$16"}</definedName>
    <definedName name="¼QRWERQWR" localSheetId="0" hidden="1">#REF!</definedName>
    <definedName name="¼QRWERQWR" hidden="1">#REF!</definedName>
    <definedName name="­234w4q324q32" localSheetId="0" hidden="1">#REF!</definedName>
    <definedName name="­234w4q324q32" hidden="1">#REF!</definedName>
    <definedName name="A" localSheetId="10" hidden="1">#REF!</definedName>
    <definedName name="a" hidden="1">#REF!</definedName>
    <definedName name="á" localSheetId="0" hidden="1">#REF!</definedName>
    <definedName name="á" hidden="1">#REF!</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hidden="1">{"'Sheet1'!$L$16"}</definedName>
    <definedName name="a3e32" localSheetId="0" hidden="1">#REF!</definedName>
    <definedName name="a3e32" hidden="1">#REF!</definedName>
    <definedName name="a3rt" localSheetId="0" hidden="1">{"'Sheet1'!$L$16"}</definedName>
    <definedName name="a3rt" hidden="1">{"'Sheet1'!$L$16"}</definedName>
    <definedName name="AAA_DOCTOPS" hidden="1">"AAA_SET"</definedName>
    <definedName name="AAA_duser" hidden="1">"OFF"</definedName>
    <definedName name="aaaa_1" localSheetId="0" hidden="1">{#N/A,#N/A,FALSE,"조골재"}</definedName>
    <definedName name="aaaa_1" hidden="1">{#N/A,#N/A,FALSE,"조골재"}</definedName>
    <definedName name="aaaaa_1" localSheetId="0" hidden="1">{#N/A,#N/A,TRUE,"Basic";#N/A,#N/A,TRUE,"EXT-TABLE";#N/A,#N/A,TRUE,"STEEL";#N/A,#N/A,TRUE,"INT-Table";#N/A,#N/A,TRUE,"STEEL";#N/A,#N/A,TRUE,"Door"}</definedName>
    <definedName name="aaaaa_1" hidden="1">{#N/A,#N/A,TRUE,"Basic";#N/A,#N/A,TRUE,"EXT-TABLE";#N/A,#N/A,TRUE,"STEEL";#N/A,#N/A,TRUE,"INT-Table";#N/A,#N/A,TRUE,"STEEL";#N/A,#N/A,TRUE,"Door"}</definedName>
    <definedName name="aaaaaa" localSheetId="0"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0" hidden="1">#REF!</definedName>
    <definedName name="aaaaaaa" hidden="1">#REF!</definedName>
    <definedName name="aaaaaaaaa" localSheetId="0" hidden="1">#REF!</definedName>
    <definedName name="aaaaaaaaa" hidden="1">#REF!</definedName>
    <definedName name="AAAAAAAAAA" localSheetId="0" hidden="1">#REF!</definedName>
    <definedName name="AAAAAAAAAA" hidden="1">#REF!</definedName>
    <definedName name="aaaaaaaaaa_1" localSheetId="0" hidden="1">{#N/A,#N/A,FALSE,"운반시간"}</definedName>
    <definedName name="aaaaaaaaaa_1" hidden="1">{#N/A,#N/A,FALSE,"운반시간"}</definedName>
    <definedName name="aaaaaaaaaaaa" localSheetId="0" hidden="1">#REF!</definedName>
    <definedName name="aaaaaaaaaaaa" hidden="1">#REF!</definedName>
    <definedName name="aaaaaaaaaaaaaaaa" localSheetId="0" hidden="1">{#N/A,#N/A,FALSE,"CCTV"}</definedName>
    <definedName name="aaaaaaaaaaaaaaaa" hidden="1">{#N/A,#N/A,FALSE,"CCTV"}</definedName>
    <definedName name="aaaaaaaaaaaaaaaaa" localSheetId="0" hidden="1">{#N/A,#N/A,FALSE,"CCTV"}</definedName>
    <definedName name="aaaaaaaaaaaaaaaaa" hidden="1">{#N/A,#N/A,FALSE,"CCTV"}</definedName>
    <definedName name="aaafff" localSheetId="0" hidden="1">{"'장비'!$A$3:$M$12"}</definedName>
    <definedName name="aaafff" hidden="1">{"'장비'!$A$3:$M$12"}</definedName>
    <definedName name="aaag" localSheetId="0" hidden="1">{#N/A,#N/A,TRUE,"SUM";#N/A,#N/A,TRUE,"EE";#N/A,#N/A,TRUE,"AC";#N/A,#N/A,TRUE,"SN"}</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eeee" localSheetId="0" hidden="1">{"'Sheet1'!$L$16"}</definedName>
    <definedName name="aaeeee" hidden="1">{"'Sheet1'!$L$16"}</definedName>
    <definedName name="aakdf" localSheetId="0" hidden="1">{#N/A,#N/A,FALSE,"mgtsum.XLS";#N/A,#N/A,FALSE,"CAPONE";#N/A,#N/A,FALSE,"CAPTWO";#N/A,#N/A,FALSE,"CAPTHREE"}</definedName>
    <definedName name="aakdf" hidden="1">{#N/A,#N/A,FALSE,"mgtsum.XLS";#N/A,#N/A,FALSE,"CAPONE";#N/A,#N/A,FALSE,"CAPTWO";#N/A,#N/A,FALSE,"CAPTHREE"}</definedName>
    <definedName name="aasasas" localSheetId="0" hidden="1">{"'Sheet1'!$L$16"}</definedName>
    <definedName name="aasasas" hidden="1">{"'Sheet1'!$L$16"}</definedName>
    <definedName name="aassa" localSheetId="0" hidden="1">{"'Sheet1'!$L$16"}</definedName>
    <definedName name="aassa" hidden="1">{"'Sheet1'!$L$16"}</definedName>
    <definedName name="aassdffgb" localSheetId="0" hidden="1">#REF!</definedName>
    <definedName name="aassdffgb" hidden="1">#REF!</definedName>
    <definedName name="AB" localSheetId="0" hidden="1">{#N/A,#N/A,TRUE,"SUM";#N/A,#N/A,TRUE,"EE";#N/A,#N/A,TRUE,"AC";#N/A,#N/A,TRUE,"SN"}</definedName>
    <definedName name="AB" hidden="1">{#N/A,#N/A,TRUE,"SUM";#N/A,#N/A,TRUE,"EE";#N/A,#N/A,TRUE,"AC";#N/A,#N/A,TRUE,"SN"}</definedName>
    <definedName name="ab_1" localSheetId="0" hidden="1">{#N/A,#N/A,TRUE,"Basic";#N/A,#N/A,TRUE,"EXT-TABLE";#N/A,#N/A,TRUE,"STEEL";#N/A,#N/A,TRUE,"INT-Table";#N/A,#N/A,TRUE,"STEEL";#N/A,#N/A,TRUE,"Door"}</definedName>
    <definedName name="ab_1" hidden="1">{#N/A,#N/A,TRUE,"Basic";#N/A,#N/A,TRUE,"EXT-TABLE";#N/A,#N/A,TRUE,"STEEL";#N/A,#N/A,TRUE,"INT-Table";#N/A,#N/A,TRUE,"STEEL";#N/A,#N/A,TRUE,"Door"}</definedName>
    <definedName name="ABAB" localSheetId="10" hidden="1">{#N/A,#N/A,FALSE,"CCTV"}</definedName>
    <definedName name="ABAB" localSheetId="0" hidden="1">{#N/A,#N/A,FALSE,"CCTV"}</definedName>
    <definedName name="ABAB" hidden="1">{#N/A,#N/A,FALSE,"CCTV"}</definedName>
    <definedName name="abac" hidden="1">#REF!</definedName>
    <definedName name="abbafb" localSheetId="0" hidden="1">#REF!</definedName>
    <definedName name="abbafb" hidden="1">#REF!</definedName>
    <definedName name="abc" localSheetId="10" hidden="1">{"'Sheet1'!$L$16"}</definedName>
    <definedName name="abc" localSheetId="0" hidden="1">{"'Sheet1'!$L$16"}</definedName>
    <definedName name="abc" hidden="1">{"'Sheet1'!$L$16"}</definedName>
    <definedName name="abc_1" localSheetId="0" hidden="1">{#N/A,#N/A,TRUE,"Basic";#N/A,#N/A,TRUE,"EXT-TABLE";#N/A,#N/A,TRUE,"STEEL";#N/A,#N/A,TRUE,"INT-Table";#N/A,#N/A,TRUE,"STEEL";#N/A,#N/A,TRUE,"Door"}</definedName>
    <definedName name="abc_1" hidden="1">{#N/A,#N/A,TRUE,"Basic";#N/A,#N/A,TRUE,"EXT-TABLE";#N/A,#N/A,TRUE,"STEEL";#N/A,#N/A,TRUE,"INT-Table";#N/A,#N/A,TRUE,"STEEL";#N/A,#N/A,TRUE,"Door"}</definedName>
    <definedName name="abcd" localSheetId="0" hidden="1">{#N/A,#N/A,FALSE,"特殊室（ＢＱ表）"}</definedName>
    <definedName name="abcd" hidden="1">{#N/A,#N/A,FALSE,"特殊室（ＢＱ表）"}</definedName>
    <definedName name="abcdefg" localSheetId="0"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bxzss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b" localSheetId="0" hidden="1">#REF!</definedName>
    <definedName name="acb" hidden="1">#REF!</definedName>
    <definedName name="acbq" localSheetId="0" hidden="1">#REF!</definedName>
    <definedName name="acbq" hidden="1">#REF!</definedName>
    <definedName name="Access_Button" hidden="1">"남가내역_data작업_List"</definedName>
    <definedName name="AccessDatabase" hidden="1">"C:\WIN95\Desktop\Ramesh\AIC\Aic.mdb"</definedName>
    <definedName name="acd" localSheetId="0" hidden="1">{"'Sheet1'!$L$16"}</definedName>
    <definedName name="acd" hidden="1">{"'Sheet1'!$L$16"}</definedName>
    <definedName name="ACDA" localSheetId="0" hidden="1">#REF!</definedName>
    <definedName name="ACDA" hidden="1">#REF!</definedName>
    <definedName name="Acell" hidden="1">INDIRECT(ADDRESS(ROW(),COLUMN()))</definedName>
    <definedName name="ACMV" localSheetId="0" hidden="1">{#N/A,#N/A,FALSE,"CCTV"}</definedName>
    <definedName name="ACMV" hidden="1">{#N/A,#N/A,FALSE,"CCTV"}</definedName>
    <definedName name="act" localSheetId="0" hidden="1">#REF!</definedName>
    <definedName name="act" hidden="1">#REF!</definedName>
    <definedName name="àd" localSheetId="0" hidden="1">#REF!</definedName>
    <definedName name="àd" hidden="1">#REF!</definedName>
    <definedName name="ADA" localSheetId="0" hidden="1">#REF!</definedName>
    <definedName name="ADA" hidden="1">#REF!</definedName>
    <definedName name="ádád" localSheetId="0" hidden="1">#REF!</definedName>
    <definedName name="ádád" hidden="1">#REF!</definedName>
    <definedName name="adadad" localSheetId="0" hidden="1">#REF!</definedName>
    <definedName name="adadad" hidden="1">#REF!</definedName>
    <definedName name="adadada" localSheetId="0" hidden="1">{0,0,0,0;0,0,0,0;0,0,0,0;0,0,0,0;0,0,0,0;0,0,0,0;0,0,0,0}</definedName>
    <definedName name="adadada" hidden="1">{0,0,0,0;0,0,0,0;0,0,0,0;0,0,0,0;0,0,0,0;0,0,0,0;0,0,0,0}</definedName>
    <definedName name="adadadad" localSheetId="0" hidden="1">#REF!</definedName>
    <definedName name="adadadad" hidden="1">#REF!</definedName>
    <definedName name="adas" localSheetId="0" hidden="1">#REF!</definedName>
    <definedName name="adas" hidden="1">#REF!</definedName>
    <definedName name="ÁDAS" localSheetId="0" hidden="1">#REF!</definedName>
    <definedName name="ÁDAS" hidden="1">#REF!</definedName>
    <definedName name="adasasdda" localSheetId="0" hidden="1">#REF!</definedName>
    <definedName name="adasasdda" hidden="1">#REF!</definedName>
    <definedName name="ÁDASDFASFA" localSheetId="0" hidden="1">{"'Sheet1'!$L$16"}</definedName>
    <definedName name="ÁDASDFASFA" hidden="1">{"'Sheet1'!$L$16"}</definedName>
    <definedName name="adasfgdsg" localSheetId="0" hidden="1">{"'Sheet1'!$L$16"}</definedName>
    <definedName name="adasfgdsg" hidden="1">{"'Sheet1'!$L$16"}</definedName>
    <definedName name="adbfaba" localSheetId="0" hidden="1">#REF!</definedName>
    <definedName name="adbfaba" hidden="1">#REF!</definedName>
    <definedName name="adc" localSheetId="10" hidden="1">{#N/A,#N/A,FALSE,"CCTV"}</definedName>
    <definedName name="adc" localSheetId="0" hidden="1">{#N/A,#N/A,FALSE,"CCTV"}</definedName>
    <definedName name="adc" hidden="1">{#N/A,#N/A,FALSE,"CCTV"}</definedName>
    <definedName name="ADCD" localSheetId="0" hidden="1">{#N/A,#N/A,FALSE,"特殊室（ＢＱ表）"}</definedName>
    <definedName name="ADCD" hidden="1">{#N/A,#N/A,FALSE,"特殊室（ＢＱ表）"}</definedName>
    <definedName name="ade" localSheetId="0" hidden="1">{#N/A,#N/A,FALSE,"Chi tiÆt"}</definedName>
    <definedName name="ade" hidden="1">{#N/A,#N/A,FALSE,"Chi tiÆt"}</definedName>
    <definedName name="adf" localSheetId="0" hidden="1">{"'Sheet1'!$L$16"}</definedName>
    <definedName name="adf" hidden="1">{"'Sheet1'!$L$16"}</definedName>
    <definedName name="ÁDF" localSheetId="0" hidden="1">#REF!</definedName>
    <definedName name="ÁDF" hidden="1">#REF!</definedName>
    <definedName name="adfgg" localSheetId="0" hidden="1">#REF!</definedName>
    <definedName name="adfgg" hidden="1">#REF!</definedName>
    <definedName name="adfsd" localSheetId="0" hidden="1">#REF!</definedName>
    <definedName name="adfsd" hidden="1">#REF!</definedName>
    <definedName name="ADG" localSheetId="0" hidden="1">#REF!</definedName>
    <definedName name="ADG" hidden="1">#REF!</definedName>
    <definedName name="àdg" localSheetId="0" hidden="1">#REF!</definedName>
    <definedName name="àdg" hidden="1">#REF!</definedName>
    <definedName name="ÁDG" localSheetId="0" hidden="1">#REF!</definedName>
    <definedName name="ÁDG" hidden="1">#REF!</definedName>
    <definedName name="ÁDGDA" localSheetId="0" hidden="1">#REF!</definedName>
    <definedName name="ÁDGDA" hidden="1">#REF!</definedName>
    <definedName name="ADITION" localSheetId="0" hidden="1">{"'장비'!$A$3:$M$12"}</definedName>
    <definedName name="ADITION" hidden="1">{"'장비'!$A$3:$M$12"}</definedName>
    <definedName name="Adrian" localSheetId="0" hidden="1">#REF!</definedName>
    <definedName name="Adrian" hidden="1">#REF!</definedName>
    <definedName name="àds" localSheetId="0" hidden="1">{"'Sheet1'!$L$16"}</definedName>
    <definedName name="àds" hidden="1">{"'Sheet1'!$L$16"}</definedName>
    <definedName name="áds" localSheetId="0" hidden="1">{"'Sheet1'!$L$16"}</definedName>
    <definedName name="áds" hidden="1">{"'Sheet1'!$L$16"}</definedName>
    <definedName name="ÁDSADS" localSheetId="0" hidden="1">#REF!</definedName>
    <definedName name="ÁDSADS" hidden="1">#REF!</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ádsadsa" localSheetId="0" hidden="1">{"'Sheet1'!$L$16"}</definedName>
    <definedName name="ádsadsa" hidden="1">{"'Sheet1'!$L$16"}</definedName>
    <definedName name="ÁDSADSADSA" localSheetId="0" hidden="1">#REF!</definedName>
    <definedName name="ÁDSADSADSA" hidden="1">#REF!</definedName>
    <definedName name="ádsấ" localSheetId="0" hidden="1">{#N/A,#N/A,FALSE,"Tabelle2";#N/A,#N/A,FALSE,"Tabelle1"}</definedName>
    <definedName name="ádsấ" hidden="1">{#N/A,#N/A,FALSE,"Tabelle2";#N/A,#N/A,FALSE,"Tabelle1"}</definedName>
    <definedName name="adsdghtyyuiui" localSheetId="0" hidden="1">#REF!</definedName>
    <definedName name="adsdghtyyuiui" hidden="1">#REF!</definedName>
    <definedName name="adsffz" localSheetId="0" hidden="1">#REF!</definedName>
    <definedName name="adsffz" hidden="1">#REF!</definedName>
    <definedName name="ADV" localSheetId="0" hidden="1">{"'Sheet1'!$A$2"}</definedName>
    <definedName name="ADV" hidden="1">{"'Sheet1'!$A$2"}</definedName>
    <definedName name="ae" localSheetId="0" hidden="1">{"'Sheet1'!$L$16"}</definedName>
    <definedName name="ae" hidden="1">{"'Sheet1'!$L$16"}</definedName>
    <definedName name="AEFWTWRWE" localSheetId="0" hidden="1">{#N/A,#N/A,FALSE,"배수1"}</definedName>
    <definedName name="AEFWTWRWE" hidden="1">{#N/A,#N/A,FALSE,"배수1"}</definedName>
    <definedName name="aerh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e" localSheetId="10" hidden="1">{#N/A,#N/A,FALSE,"CCTV"}</definedName>
    <definedName name="aesde" localSheetId="0" hidden="1">{#N/A,#N/A,FALSE,"CCTV"}</definedName>
    <definedName name="aesde" hidden="1">{#N/A,#N/A,FALSE,"CCTV"}</definedName>
    <definedName name="aew" localSheetId="0"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àewtetewtr" localSheetId="0" hidden="1">{"'Sheet1'!$L$16"}</definedName>
    <definedName name="àewtetewtr" hidden="1">{"'Sheet1'!$L$16"}</definedName>
    <definedName name="afabb" hidden="1">#REF!</definedName>
    <definedName name="afaf" localSheetId="0" hidden="1">{#N/A,#N/A,FALSE,"Chi tiÆt"}</definedName>
    <definedName name="afaf" hidden="1">{#N/A,#N/A,FALSE,"Chi tiÆt"}</definedName>
    <definedName name="afafa" localSheetId="0" hidden="1">{"AnalRSA",#N/A,TRUE,"PL-Anal";"AnalIAS",#N/A,TRUE,"PL-Anal"}</definedName>
    <definedName name="afafa" hidden="1">{"AnalRSA",#N/A,TRUE,"PL-Anal";"AnalIAS",#N/A,TRUE,"PL-Anal"}</definedName>
    <definedName name="afasd" localSheetId="0" hidden="1">{#N/A,#N/A,FALSE,"단가표지"}</definedName>
    <definedName name="afasd" hidden="1">{#N/A,#N/A,FALSE,"단가표지"}</definedName>
    <definedName name="AFASFAS" localSheetId="0" hidden="1">{#N/A,#N/A,FALSE,"조골재"}</definedName>
    <definedName name="AFASFAS" hidden="1">{#N/A,#N/A,FALSE,"조골재"}</definedName>
    <definedName name="afasfsagfas" localSheetId="0" hidden="1">{#N/A,#N/A,FALSE,"Chi tiÆt"}</definedName>
    <definedName name="afasfsagfas" hidden="1">{#N/A,#N/A,FALSE,"Chi tiÆt"}</definedName>
    <definedName name="afbabdddddd" localSheetId="0" hidden="1">#REF!</definedName>
    <definedName name="afbabdddddd" hidden="1">#REF!</definedName>
    <definedName name="afd" localSheetId="0" hidden="1">{#N/A,#N/A,FALSE,"운반시간"}</definedName>
    <definedName name="afd" hidden="1">{#N/A,#N/A,FALSE,"운반시간"}</definedName>
    <definedName name="AFDA" localSheetId="0" hidden="1">#REF!</definedName>
    <definedName name="AFDA" hidden="1">#REF!</definedName>
    <definedName name="afdasgh" localSheetId="0" hidden="1">{#N/A,#N/A,FALSE,"CCTV"}</definedName>
    <definedName name="afdasgh" hidden="1">{#N/A,#N/A,FALSE,"CCTV"}</definedName>
    <definedName name="AFDFD" localSheetId="0" hidden="1">{#N/A,#N/A,FALSE,"Chi tiÆt"}</definedName>
    <definedName name="AFDFD" hidden="1">{#N/A,#N/A,FALSE,"Chi tiÆt"}</definedName>
    <definedName name="afdsfdg" localSheetId="0" hidden="1">{#N/A,#N/A,FALSE,"CCTV"}</definedName>
    <definedName name="afdsfdg" hidden="1">{#N/A,#N/A,FALSE,"CCTV"}</definedName>
    <definedName name="AFDSFDSFDSAF" localSheetId="0" hidden="1">{#N/A,#N/A,FALSE,"혼합골재"}</definedName>
    <definedName name="AFDSFDSFDSAF" hidden="1">{#N/A,#N/A,FALSE,"혼합골재"}</definedName>
    <definedName name="AFDSFSADFSA" localSheetId="0" hidden="1">{#N/A,#N/A,FALSE,"토공2"}</definedName>
    <definedName name="AFDSFSADFSA" hidden="1">{#N/A,#N/A,FALSE,"토공2"}</definedName>
    <definedName name="afff" localSheetId="0" hidden="1">{"'Sheet1'!$L$16"}</definedName>
    <definedName name="afff" hidden="1">{"'Sheet1'!$L$16"}</definedName>
    <definedName name="AFFFFFFFFFFFFFFF" localSheetId="0" hidden="1">{#N/A,#N/A,FALSE,"단가표지"}</definedName>
    <definedName name="AFFFFFFFFFFFFFFF" hidden="1">{#N/A,#N/A,FALSE,"단가표지"}</definedName>
    <definedName name="afffgff" localSheetId="0" hidden="1">{#N/A,#N/A,FALSE,"CCTV"}</definedName>
    <definedName name="afffgff" hidden="1">{#N/A,#N/A,FALSE,"CCTV"}</definedName>
    <definedName name="AFSAFS" localSheetId="0" hidden="1">{#N/A,#N/A,FALSE,"표지목차"}</definedName>
    <definedName name="AFSAFS" hidden="1">{#N/A,#N/A,FALSE,"표지목차"}</definedName>
    <definedName name="AFSAFSA" localSheetId="0" hidden="1">{#N/A,#N/A,FALSE,"이정표"}</definedName>
    <definedName name="AFSAFSA" hidden="1">{#N/A,#N/A,FALSE,"이정표"}</definedName>
    <definedName name="AFSAFSAF" localSheetId="0" hidden="1">{#N/A,#N/A,FALSE,"운반시간"}</definedName>
    <definedName name="AFSAFSAF" hidden="1">{#N/A,#N/A,FALSE,"운반시간"}</definedName>
    <definedName name="AFSDAFSA" localSheetId="0" hidden="1">{#N/A,#N/A,FALSE,"속도"}</definedName>
    <definedName name="AFSDAFSA" hidden="1">{#N/A,#N/A,FALSE,"속도"}</definedName>
    <definedName name="AFSSAFSAFSAFSAFSAD" localSheetId="0" hidden="1">{#N/A,#N/A,FALSE,"배수1"}</definedName>
    <definedName name="AFSSAFSAFSAFSAFSAD" hidden="1">{#N/A,#N/A,FALSE,"배수1"}</definedName>
    <definedName name="AFWRR" localSheetId="0" hidden="1">{"'Sheet1'!$L$16"}</definedName>
    <definedName name="AFWRR" hidden="1">{"'Sheet1'!$L$16"}</definedName>
    <definedName name="AGA" localSheetId="0" hidden="1">#REF!</definedName>
    <definedName name="AGA" hidden="1">#REF!</definedName>
    <definedName name="ÁGD" localSheetId="0" hidden="1">#REF!</definedName>
    <definedName name="ÁGD" hidden="1">#REF!</definedName>
    <definedName name="agfg" localSheetId="0" hidden="1">{"'장비'!$A$3:$M$12"}</definedName>
    <definedName name="agfg" hidden="1">{"'장비'!$A$3:$M$12"}</definedName>
    <definedName name="ahah" localSheetId="0" hidden="1">{"'Sheet1'!$L$16"}</definedName>
    <definedName name="ahah" hidden="1">{"'Sheet1'!$L$16"}</definedName>
    <definedName name="ahajdks" localSheetId="0" hidden="1">{"'Sheet1'!$L$16"}</definedName>
    <definedName name="ahajdks" hidden="1">{"'Sheet1'!$L$16"}</definedName>
    <definedName name="ahdajkd" localSheetId="0" hidden="1">#REF!</definedName>
    <definedName name="ahdajkd" hidden="1">#REF!</definedName>
    <definedName name="AHGA" localSheetId="0" hidden="1">{"'Sheet1'!$L$16"}</definedName>
    <definedName name="AHGA" hidden="1">{"'Sheet1'!$L$16"}</definedName>
    <definedName name="ahtjht" localSheetId="0" hidden="1">{"'Sheet1'!$L$16"}</definedName>
    <definedName name="ahtjht" hidden="1">{"'Sheet1'!$L$16"}</definedName>
    <definedName name="AJ" localSheetId="0" hidden="1">{#N/A,#N/A,FALSE,"이태원철근"}</definedName>
    <definedName name="AJ" hidden="1">{#N/A,#N/A,FALSE,"이태원철근"}</definedName>
    <definedName name="ak" localSheetId="0" hidden="1">#REF!</definedName>
    <definedName name="ak" hidden="1">#REF!</definedName>
    <definedName name="akjlkj" localSheetId="0" hidden="1">#REF!</definedName>
    <definedName name="akjlkj" hidden="1">#REF!</definedName>
    <definedName name="ALCKDGH" localSheetId="0" hidden="1">{#N/A,#N/A,FALSE,"CCTV"}</definedName>
    <definedName name="ALCKDGH" hidden="1">{#N/A,#N/A,FALSE,"CCTV"}</definedName>
    <definedName name="algag" localSheetId="0" hidden="1">{"'Sheet1'!$L$16"}</definedName>
    <definedName name="algag" hidden="1">{"'Sheet1'!$L$16"}</definedName>
    <definedName name="aLKFJFH" localSheetId="0" hidden="1">{#N/A,#N/A,FALSE,"CCTV"}</definedName>
    <definedName name="aLKFJFH" hidden="1">{#N/A,#N/A,FALSE,"CCTV"}</definedName>
    <definedName name="An" localSheetId="0" hidden="1">{"'Sheet1'!$L$16"}</definedName>
    <definedName name="An" hidden="1">{"'Sheet1'!$L$16"}</definedName>
    <definedName name="anscount" hidden="1">8</definedName>
    <definedName name="Antoan" localSheetId="0" hidden="1">{"'Sheet1'!$L$16"}</definedName>
    <definedName name="Antoan" hidden="1">{"'Sheet1'!$L$16"}</definedName>
    <definedName name="anh" localSheetId="0" hidden="1">{"'Sheet1'!$L$16"}</definedName>
    <definedName name="anh" hidden="1">{"'Sheet1'!$L$16"}</definedName>
    <definedName name="AP" localSheetId="0" hidden="1">#REF!</definedName>
    <definedName name="AP" hidden="1">#REF!</definedName>
    <definedName name="aqe" localSheetId="0" hidden="1">{"'Sheet1'!$L$16"}</definedName>
    <definedName name="aqe" hidden="1">{"'Sheet1'!$L$16"}</definedName>
    <definedName name="aqqqqq2321" localSheetId="0" hidden="1">#REF!</definedName>
    <definedName name="aqqqqq2321" hidden="1">#REF!</definedName>
    <definedName name="aqwerq" localSheetId="0" hidden="1">{"'Sheet1'!$L$16"}</definedName>
    <definedName name="aqwerq" hidden="1">{"'Sheet1'!$L$16"}</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mor" localSheetId="0" hidden="1">{#N/A,#N/A,FALSE,"전체집계표";#N/A,#N/A,FALSE,"안벽30000";#N/A,#N/A,FALSE,"안벽20000";#N/A,#N/A,FALSE,"내호안";#N/A,#N/A,FALSE,"외호안";#N/A,#N/A,FALSE,"준설토A";#N/A,#N/A,FALSE,"준설토B";#N/A,#N/A,FALSE,"적출장"}</definedName>
    <definedName name="armor" hidden="1">{#N/A,#N/A,FALSE,"전체집계표";#N/A,#N/A,FALSE,"안벽30000";#N/A,#N/A,FALSE,"안벽20000";#N/A,#N/A,FALSE,"내호안";#N/A,#N/A,FALSE,"외호안";#N/A,#N/A,FALSE,"준설토A";#N/A,#N/A,FALSE,"준설토B";#N/A,#N/A,FALSE,"적출장"}</definedName>
    <definedName name="as" localSheetId="10" hidden="1">{#N/A,#N/A,FALSE,"CCTV"}</definedName>
    <definedName name="AS2DocOpenMode" hidden="1">"AS2DocumentEdit"</definedName>
    <definedName name="AS2HasNoAutoHeaderFooter" hidden="1">" "</definedName>
    <definedName name="AS2ReportLS" hidden="1">1</definedName>
    <definedName name="AS2StaticLS" localSheetId="0" hidden="1">#REF!</definedName>
    <definedName name="AS2StaticLS" hidden="1">#REF!</definedName>
    <definedName name="AS2SyncStepLS" hidden="1">0</definedName>
    <definedName name="AS2TickmarkLS" hidden="1">#REF!</definedName>
    <definedName name="AS2VersionLS" hidden="1">300</definedName>
    <definedName name="asa" localSheetId="0" hidden="1">{"'Sheet1'!$L$16"}</definedName>
    <definedName name="asa" hidden="1">{"'Sheet1'!$L$16"}</definedName>
    <definedName name="aSá" localSheetId="0" hidden="1">#REF!</definedName>
    <definedName name="aSá" hidden="1">#REF!</definedName>
    <definedName name="ASAA" localSheetId="0" hidden="1">#REF!</definedName>
    <definedName name="ASAA" hidden="1">#REF!</definedName>
    <definedName name="asanas" localSheetId="0" hidden="1">#REF!</definedName>
    <definedName name="asanas" hidden="1">#REF!</definedName>
    <definedName name="asas" localSheetId="0" hidden="1">{#N/A,#N/A,FALSE,"Sheet2";#N/A,#N/A,FALSE,"Sheet4";#N/A,#N/A,FALSE,"Sheet6"}</definedName>
    <definedName name="asas" hidden="1">{#N/A,#N/A,FALSE,"Sheet2";#N/A,#N/A,FALSE,"Sheet4";#N/A,#N/A,FALSE,"Sheet6"}</definedName>
    <definedName name="asasadadadaff" localSheetId="0" hidden="1">#REF!</definedName>
    <definedName name="asasadadadaff" hidden="1">#REF!</definedName>
    <definedName name="asca" localSheetId="0" hidden="1">{"'Sheet1'!$L$16"}</definedName>
    <definedName name="asca" hidden="1">{"'Sheet1'!$L$16"}</definedName>
    <definedName name="ascadc" localSheetId="0" hidden="1">#REF!</definedName>
    <definedName name="ascadc" hidden="1">#REF!</definedName>
    <definedName name="asda" localSheetId="0" hidden="1">#REF!</definedName>
    <definedName name="asda" hidden="1">#REF!</definedName>
    <definedName name="asdada" localSheetId="0" hidden="1">{#N/A,#N/A,FALSE,"特殊室（ＢＱ表）"}</definedName>
    <definedName name="asdada"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cad" localSheetId="0" hidden="1">{#N/A,#N/A,FALSE,"CCTV"}</definedName>
    <definedName name="asdcad" hidden="1">{#N/A,#N/A,FALSE,"CCTV"}</definedName>
    <definedName name="asdccccc" localSheetId="0" hidden="1">#REF!</definedName>
    <definedName name="asdccccc" hidden="1">#REF!</definedName>
    <definedName name="ASDF" localSheetId="10" hidden="1">{#N/A,#N/A,FALSE,"CCTV"}</definedName>
    <definedName name="ASDF" localSheetId="0" hidden="1">{#N/A,#N/A,FALSE,"CCTV"}</definedName>
    <definedName name="ASDF" hidden="1">{#N/A,#N/A,FALSE,"CCTV"}</definedName>
    <definedName name="asdfa" localSheetId="10" hidden="1">#REF!</definedName>
    <definedName name="asdfa" hidden="1">#REF!</definedName>
    <definedName name="ASDFD" localSheetId="0" hidden="1">{#N/A,#N/A,FALSE,"CCTV"}</definedName>
    <definedName name="ASDFD" hidden="1">{#N/A,#N/A,FALSE,"CCTV"}</definedName>
    <definedName name="asdffgggh" localSheetId="0" hidden="1">{"'Sheet1'!$L$16"}</definedName>
    <definedName name="asdffgggh" hidden="1">{"'Sheet1'!$L$16"}</definedName>
    <definedName name="asdfg" localSheetId="0" hidden="1">{"'Sheet1'!$L$16"}</definedName>
    <definedName name="asdfg" hidden="1">{"'Sheet1'!$L$16"}</definedName>
    <definedName name="aserasdea" localSheetId="0" hidden="1">{"'Sheet1'!$L$16"}</definedName>
    <definedName name="aserasdea" hidden="1">{"'Sheet1'!$L$16"}</definedName>
    <definedName name="asf" localSheetId="0" hidden="1">{"'Sheet1'!$L$16"}</definedName>
    <definedName name="asf" hidden="1">{"'Sheet1'!$L$16"}</definedName>
    <definedName name="asfa" localSheetId="0" hidden="1">#REF!</definedName>
    <definedName name="asfa" hidden="1">#REF!</definedName>
    <definedName name="asfas" localSheetId="0" hidden="1">{#N/A,#N/A,FALSE,"표지목차"}</definedName>
    <definedName name="asfas" hidden="1">{#N/A,#N/A,FALSE,"표지목차"}</definedName>
    <definedName name="ASFSA" localSheetId="0" hidden="1">{#N/A,#N/A,FALSE,"포장1";#N/A,#N/A,FALSE,"포장1"}</definedName>
    <definedName name="ASFSA" hidden="1">{#N/A,#N/A,FALSE,"포장1";#N/A,#N/A,FALSE,"포장1"}</definedName>
    <definedName name="ASFSADFSAFSA" localSheetId="0" hidden="1">{#N/A,#N/A,FALSE,"부대2"}</definedName>
    <definedName name="ASFSADFSAFSA" hidden="1">{#N/A,#N/A,FALSE,"부대2"}</definedName>
    <definedName name="ASFSADFSDGAFDSAF" localSheetId="0" hidden="1">{#N/A,#N/A,FALSE,"2~8번"}</definedName>
    <definedName name="ASFSADFSDGAFDSAF" hidden="1">{#N/A,#N/A,FALSE,"2~8번"}</definedName>
    <definedName name="ASFSAFAS" localSheetId="0" hidden="1">{#N/A,#N/A,FALSE,"2~8번"}</definedName>
    <definedName name="ASFSAFAS" hidden="1">{#N/A,#N/A,FALSE,"2~8번"}</definedName>
    <definedName name="ASFSAFASFSA" localSheetId="0" hidden="1">{#N/A,#N/A,FALSE,"혼합골재"}</definedName>
    <definedName name="ASFSAFASFSA" hidden="1">{#N/A,#N/A,FALSE,"혼합골재"}</definedName>
    <definedName name="ASFSAFSA" localSheetId="0" hidden="1">{#N/A,#N/A,FALSE,"혼합골재"}</definedName>
    <definedName name="ASFSAFSA" hidden="1">{#N/A,#N/A,FALSE,"혼합골재"}</definedName>
    <definedName name="ASFSDAFSAF" localSheetId="0" hidden="1">{#N/A,#N/A,FALSE,"표지목차"}</definedName>
    <definedName name="ASFSDAFSAF" hidden="1">{#N/A,#N/A,FALSE,"표지목차"}</definedName>
    <definedName name="ASFSDFSDFSAD" localSheetId="0" hidden="1">{#N/A,#N/A,FALSE,"2~8번"}</definedName>
    <definedName name="ASFSDFSDFSAD" hidden="1">{#N/A,#N/A,FALSE,"2~8번"}</definedName>
    <definedName name="asfsf" localSheetId="0" hidden="1">{"'Sheet1'!$L$16"}</definedName>
    <definedName name="asfsf" hidden="1">{"'Sheet1'!$L$16"}</definedName>
    <definedName name="ASGF" localSheetId="0" hidden="1">{#N/A,#N/A,FALSE,"2~8번"}</definedName>
    <definedName name="ASGF" hidden="1">{#N/A,#N/A,FALSE,"2~8번"}</definedName>
    <definedName name="asss" localSheetId="0" hidden="1">{"'Sheet1'!$L$16"}</definedName>
    <definedName name="asss" hidden="1">{"'Sheet1'!$L$16"}</definedName>
    <definedName name="assss" localSheetId="0" hidden="1">#REF!</definedName>
    <definedName name="assss" hidden="1">#REF!</definedName>
    <definedName name="asssss" localSheetId="0" hidden="1">{"'Sheet1'!$L$16"}</definedName>
    <definedName name="asssss" hidden="1">{"'Sheet1'!$L$16"}</definedName>
    <definedName name="asssssda" localSheetId="0" hidden="1">#REF!</definedName>
    <definedName name="asssssda" hidden="1">#REF!</definedName>
    <definedName name="AT" localSheetId="0" hidden="1">#REF!</definedName>
    <definedName name="AT" hidden="1">#REF!</definedName>
    <definedName name="atdakdh" localSheetId="0" hidden="1">#REF!</definedName>
    <definedName name="atdakdh" hidden="1">#REF!</definedName>
    <definedName name="ATGT" localSheetId="0" hidden="1">{"'Sheet1'!$L$16"}</definedName>
    <definedName name="ATGT" hidden="1">{"'Sheet1'!$L$16"}</definedName>
    <definedName name="atien1" localSheetId="0" hidden="1">{"'Sheet1'!$L$16"}</definedName>
    <definedName name="atien1" hidden="1">{"'Sheet1'!$L$16"}</definedName>
    <definedName name="ATW" localSheetId="0" hidden="1">#REF!</definedName>
    <definedName name="ATW" hidden="1">#REF!</definedName>
    <definedName name="AU" localSheetId="0" hidden="1">{"'Sheet1'!$L$16"}</definedName>
    <definedName name="AU" hidden="1">{"'Sheet1'!$L$16"}</definedName>
    <definedName name="av" localSheetId="0" hidden="1">{"'Liquid'!$A$1:$U$57"}</definedName>
    <definedName name="av" hidden="1">{"'Liquid'!$A$1:$U$57"}</definedName>
    <definedName name="avađsf" localSheetId="0" hidden="1">{0,#N/A,FALSE,0;0,#N/A,FALSE,0;0,#N/A,FALSE,0;0,#N/A,FALSE,0;0,#N/A,FALSE,0;0,#N/A,FALSE,0;0,#N/A,FALSE,0}</definedName>
    <definedName name="avađsf" hidden="1">{0,#N/A,FALSE,0;0,#N/A,FALSE,0;0,#N/A,FALSE,0;0,#N/A,FALSE,0;0,#N/A,FALSE,0;0,#N/A,FALSE,0;0,#N/A,FALSE,0}</definedName>
    <definedName name="awegw" localSheetId="0" hidden="1">{#N/A,#N/A,TRUE,"BT M200 da 10x20"}</definedName>
    <definedName name="awegw" hidden="1">{#N/A,#N/A,TRUE,"BT M200 da 10x20"}</definedName>
    <definedName name="aws" localSheetId="0" hidden="1">#REF!</definedName>
    <definedName name="aws" hidden="1">#REF!</definedName>
    <definedName name="AZ" localSheetId="0" hidden="1">#REF!</definedName>
    <definedName name="AZ" hidden="1">#REF!</definedName>
    <definedName name="ằ" localSheetId="0" hidden="1">{"'Sheet1'!$L$16"}</definedName>
    <definedName name="ằ" hidden="1">{"'Sheet1'!$L$16"}</definedName>
    <definedName name="ẮDAS" localSheetId="0" hidden="1">#REF!</definedName>
    <definedName name="ẮDAS" hidden="1">#REF!</definedName>
    <definedName name="ăg" localSheetId="0" hidden="1">{"'Sheet1'!$L$16"}</definedName>
    <definedName name="ăg" hidden="1">{"'Sheet1'!$L$16"}</definedName>
    <definedName name="â" localSheetId="0" hidden="1">{"'Sheet1'!$L$16"}</definedName>
    <definedName name="â" hidden="1">{"'Sheet1'!$L$16"}</definedName>
    <definedName name="ầ" localSheetId="0" hidden="1">{"'Sheet1'!$L$16"}</definedName>
    <definedName name="ầ" hidden="1">{"'Sheet1'!$L$16"}</definedName>
    <definedName name="âasasas" localSheetId="0" hidden="1">{#N/A,#N/A,FALSE,"Sheet1";#N/A,#N/A,FALSE,"Sheet1";#N/A,#N/A,FALSE,"Sheet1"}</definedName>
    <definedName name="âasasas" hidden="1">{#N/A,#N/A,FALSE,"Sheet1";#N/A,#N/A,FALSE,"Sheet1";#N/A,#N/A,FALSE,"Sheet1"}</definedName>
    <definedName name="ấdfsdfasdfsd" localSheetId="0" hidden="1">{"'Sheet1'!$L$16"}</definedName>
    <definedName name="ấdfsdfasdfsd" hidden="1">{"'Sheet1'!$L$16"}</definedName>
    <definedName name="ẤDSA" localSheetId="0" hidden="1">{"'Sheet1'!$L$16"}</definedName>
    <definedName name="ẤDSA" hidden="1">{"'Sheet1'!$L$16"}</definedName>
    <definedName name="âfA" localSheetId="0" hidden="1">{"'Sheet1'!$L$16"}</definedName>
    <definedName name="âfA" hidden="1">{"'Sheet1'!$L$16"}</definedName>
    <definedName name="ầgfabg" localSheetId="0" hidden="1">#REF!</definedName>
    <definedName name="ầgfabg" hidden="1">#REF!</definedName>
    <definedName name="ẩgg" localSheetId="0" hidden="1">{"'Sheet1'!$L$16"}</definedName>
    <definedName name="ẩgg" hidden="1">{"'Sheet1'!$L$16"}</definedName>
    <definedName name="ầgga" localSheetId="0" hidden="1">{"'Sheet1'!$L$16"}</definedName>
    <definedName name="ầgga" hidden="1">{"'Sheet1'!$L$16"}</definedName>
    <definedName name="b" hidden="1">#REF!</definedName>
    <definedName name="B13T14" localSheetId="0" hidden="1">{"'Sheet1'!$L$16"}</definedName>
    <definedName name="B13T14" hidden="1">{"'Sheet1'!$L$16"}</definedName>
    <definedName name="b14b" localSheetId="0" hidden="1">{"'Sheet1'!$L$16"}</definedName>
    <definedName name="b14b" hidden="1">{"'Sheet1'!$L$16"}</definedName>
    <definedName name="b14b1" localSheetId="0" hidden="1">{"'Sheet1'!$L$16"}</definedName>
    <definedName name="b14b1" hidden="1">{"'Sheet1'!$L$16"}</definedName>
    <definedName name="B3.1.9" localSheetId="0" hidden="1">#REF!</definedName>
    <definedName name="B3.1.9" hidden="1">#REF!</definedName>
    <definedName name="b3a1" localSheetId="0" hidden="1">#REF!</definedName>
    <definedName name="b3a1" hidden="1">#REF!</definedName>
    <definedName name="babfbd" localSheetId="0" hidden="1">#REF!</definedName>
    <definedName name="babfbd" hidden="1">#REF!</definedName>
    <definedName name="babffa" localSheetId="0" hidden="1">#REF!</definedName>
    <definedName name="babffa" hidden="1">#REF!</definedName>
    <definedName name="bach" localSheetId="0" hidden="1">#REF!</definedName>
    <definedName name="bach" hidden="1">#REF!</definedName>
    <definedName name="badfbdba" localSheetId="0" hidden="1">#REF!</definedName>
    <definedName name="badfbdba" hidden="1">#REF!</definedName>
    <definedName name="bafbba" localSheetId="0" hidden="1">#REF!</definedName>
    <definedName name="bafbba" hidden="1">#REF!</definedName>
    <definedName name="bafbfba" localSheetId="0" hidden="1">#REF!</definedName>
    <definedName name="bafbfba" hidden="1">#REF!</definedName>
    <definedName name="bafbfbf" localSheetId="0" hidden="1">#REF!</definedName>
    <definedName name="bafbfbf" hidden="1">#REF!</definedName>
    <definedName name="banQL" localSheetId="0" hidden="1">{"'Sheet1'!$L$16"}</definedName>
    <definedName name="banQL" hidden="1">{"'Sheet1'!$L$16"}</definedName>
    <definedName name="Baogia" localSheetId="0" hidden="1">{"'Sheet1'!$L$16"}</definedName>
    <definedName name="Baogia" hidden="1">{"'Sheet1'!$L$16"}</definedName>
    <definedName name="baogio" localSheetId="0" hidden="1">{#N/A,#N/A,FALSE,"CCTV"}</definedName>
    <definedName name="baogio" hidden="1">{#N/A,#N/A,FALSE,"CCTV"}</definedName>
    <definedName name="BASE" localSheetId="0" hidden="1">{#N/A,#N/A,TRUE,"Basic";#N/A,#N/A,TRUE,"EXT-TABLE";#N/A,#N/A,TRUE,"STEEL";#N/A,#N/A,TRUE,"INT-Table";#N/A,#N/A,TRUE,"STEEL";#N/A,#N/A,TRUE,"Door"}</definedName>
    <definedName name="BASE" hidden="1">{#N/A,#N/A,TRUE,"Basic";#N/A,#N/A,TRUE,"EXT-TABLE";#N/A,#N/A,TRUE,"STEEL";#N/A,#N/A,TRUE,"INT-Table";#N/A,#N/A,TRUE,"STEEL";#N/A,#N/A,TRUE,"Door"}</definedName>
    <definedName name="bbanbnn"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0" hidden="1">{"'Sheet1'!$L$16"}</definedName>
    <definedName name="BBB" hidden="1">{"'Sheet1'!$L$16"}</definedName>
    <definedName name="ｂｂｂ" localSheetId="0" hidden="1">{"'Sheet1'!$L$16"}</definedName>
    <definedName name="ｂｂｂ" hidden="1">{"'Sheet1'!$L$16"}</definedName>
    <definedName name="bbbb" localSheetId="0" hidden="1">{"Offgrid",#N/A,FALSE,"OFFGRID";"Region",#N/A,FALSE,"REGION";"Offgrid -2",#N/A,FALSE,"OFFGRID";"WTP",#N/A,FALSE,"WTP";"WTP -2",#N/A,FALSE,"WTP";"Project",#N/A,FALSE,"PROJECT";"Summary -2",#N/A,FALSE,"SUMMARY"}</definedName>
    <definedName name="bbbb" hidden="1">{"Offgrid",#N/A,FALSE,"OFFGRID";"Region",#N/A,FALSE,"REGION";"Offgrid -2",#N/A,FALSE,"OFFGRID";"WTP",#N/A,FALSE,"WTP";"WTP -2",#N/A,FALSE,"WTP";"Project",#N/A,FALSE,"PROJECT";"Summary -2",#N/A,FALSE,"SUMMARY"}</definedName>
    <definedName name="ｂｂｂｂ" localSheetId="0" hidden="1">{"'Sheet1'!$L$16"}</definedName>
    <definedName name="ｂｂｂｂ" hidden="1">{"'Sheet1'!$L$16"}</definedName>
    <definedName name="ｂｂｂｂｂ" localSheetId="0" hidden="1">{"'Sheet1'!$L$16"}</definedName>
    <definedName name="ｂｂｂｂｂ" hidden="1">{"'Sheet1'!$L$16"}</definedName>
    <definedName name="bbbbbbb" localSheetId="0" hidden="1">#REF!</definedName>
    <definedName name="bbbbbbb" hidden="1">#REF!</definedName>
    <definedName name="BBBG" localSheetId="0" hidden="1">{"'Sheet1'!$L$16"}</definedName>
    <definedName name="BBBG" hidden="1">{"'Sheet1'!$L$16"}</definedName>
    <definedName name="bbbvb" localSheetId="0" hidden="1">#REF!</definedName>
    <definedName name="bbbvb" hidden="1">#REF!</definedName>
    <definedName name="bbfd" localSheetId="0" hidden="1">{#N/A,#N/A,FALSE,"Chi tiÆt"}</definedName>
    <definedName name="bbfd" hidden="1">{#N/A,#N/A,FALSE,"Chi tiÆt"}</definedName>
    <definedName name="BBKK" localSheetId="0" hidden="1">{"'Sheet1'!$L$16"}</definedName>
    <definedName name="BBKK" hidden="1">{"'Sheet1'!$L$16"}</definedName>
    <definedName name="bbv" localSheetId="0" hidden="1">#REF!</definedName>
    <definedName name="bbv" hidden="1">#REF!</definedName>
    <definedName name="bc" localSheetId="0" hidden="1">{"'Sheet1'!$L$16"}</definedName>
    <definedName name="bc" hidden="1">{"'Sheet1'!$L$16"}</definedName>
    <definedName name="bcb" localSheetId="0" hidden="1">{"'Sheet1'!$L$16"}</definedName>
    <definedName name="bcb" hidden="1">{"'Sheet1'!$L$16"}</definedName>
    <definedName name="BCTQ" localSheetId="0" hidden="1">{"'Sheet1'!$L$16"}</definedName>
    <definedName name="BCTQ" hidden="1">{"'Sheet1'!$L$16"}</definedName>
    <definedName name="bcv" localSheetId="0" hidden="1">{"'Sheet1'!$L$16"}</definedName>
    <definedName name="bcv" hidden="1">{"'Sheet1'!$L$16"}</definedName>
    <definedName name="BD5산근" localSheetId="0" hidden="1">#REF!</definedName>
    <definedName name="BD5산근" hidden="1">#REF!</definedName>
    <definedName name="BD5수량집계" localSheetId="0" hidden="1">#REF!</definedName>
    <definedName name="BD5수량집계" hidden="1">#REF!</definedName>
    <definedName name="bdv" localSheetId="0" hidden="1">{"'Sheet1'!$L$16"}</definedName>
    <definedName name="bdv" hidden="1">{"'Sheet1'!$L$16"}</definedName>
    <definedName name="bebeaw" localSheetId="0" hidden="1">#REF!</definedName>
    <definedName name="bebeaw" hidden="1">#REF!</definedName>
    <definedName name="bell" localSheetId="0" hidden="1">#REF!</definedName>
    <definedName name="bell" hidden="1">#REF!</definedName>
    <definedName name="BELL_1" localSheetId="0" hidden="1">{#N/A,#N/A,TRUE,"Basic";#N/A,#N/A,TRUE,"EXT-TABLE";#N/A,#N/A,TRUE,"STEEL";#N/A,#N/A,TRUE,"INT-Table";#N/A,#N/A,TRUE,"STEEL";#N/A,#N/A,TRUE,"Door"}</definedName>
    <definedName name="BELL_1" hidden="1">{#N/A,#N/A,TRUE,"Basic";#N/A,#N/A,TRUE,"EXT-TABLE";#N/A,#N/A,TRUE,"STEEL";#N/A,#N/A,TRUE,"INT-Table";#N/A,#N/A,TRUE,"STEEL";#N/A,#N/A,TRUE,"Door"}</definedName>
    <definedName name="bfababaffffffff" localSheetId="0" hidden="1">#REF!</definedName>
    <definedName name="bfababaffffffff" hidden="1">#REF!</definedName>
    <definedName name="bfabdba" localSheetId="0" hidden="1">#REF!</definedName>
    <definedName name="bfabdba" hidden="1">#REF!</definedName>
    <definedName name="bfb" localSheetId="0" hidden="1">#REF!</definedName>
    <definedName name="bfb" hidden="1">#REF!</definedName>
    <definedName name="bfbba" localSheetId="0" hidden="1">#REF!</definedName>
    <definedName name="bfbba" hidden="1">#REF!</definedName>
    <definedName name="bfbfdhfdhdfgh" localSheetId="0" hidden="1">{#N/A,#N/A,FALSE,"CCTV"}</definedName>
    <definedName name="bfbfdhfdhdfgh" hidden="1">{#N/A,#N/A,FALSE,"CCTV"}</definedName>
    <definedName name="BFDF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localSheetId="0" hidden="1">#REF!</definedName>
    <definedName name="bfdfzzzzz" hidden="1">#REF!</definedName>
    <definedName name="bg" localSheetId="0" hidden="1">{"'Sheet1'!$L$16"}</definedName>
    <definedName name="bg" hidden="1">{"'Sheet1'!$L$16"}</definedName>
    <definedName name="BG_Del" hidden="1">15</definedName>
    <definedName name="BG_Ins" hidden="1">4</definedName>
    <definedName name="BG_Mod" hidden="1">6</definedName>
    <definedName name="bghui" localSheetId="0" hidden="1">{"'Sheet1'!$L$16"}</definedName>
    <definedName name="bghui" hidden="1">{"'Sheet1'!$L$16"}</definedName>
    <definedName name="Bgiang" localSheetId="0" hidden="1">{"'Sheet1'!$L$16"}</definedName>
    <definedName name="Bgiang" hidden="1">{"'Sheet1'!$L$16"}</definedName>
    <definedName name="Bhthang4" localSheetId="0" hidden="1">{#N/A,#N/A,FALSE,"Chi tiÆt"}</definedName>
    <definedName name="Bhthang4" hidden="1">{#N/A,#N/A,FALSE,"Chi tiÆt"}</definedName>
    <definedName name="bhthang5" localSheetId="0" hidden="1">{#N/A,#N/A,FALSE,"Chi tiÆt"}</definedName>
    <definedName name="bhthang5" hidden="1">{#N/A,#N/A,FALSE,"Chi tiÆt"}</definedName>
    <definedName name="bhthang6" localSheetId="0" hidden="1">{"'Sheet1'!$L$16"}</definedName>
    <definedName name="bhthang6" hidden="1">{"'Sheet1'!$L$16"}</definedName>
    <definedName name="BI" localSheetId="0" hidden="1">{#N/A,#N/A,FALSE,"이태원철근"}</definedName>
    <definedName name="BI" hidden="1">{#N/A,#N/A,FALSE,"이태원철근"}</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ke" localSheetId="0" hidden="1">#REF!</definedName>
    <definedName name="Bike" hidden="1">#REF!</definedName>
    <definedName name="bill1a" localSheetId="0" hidden="1">{"'Sheet1'!$L$16"}</definedName>
    <definedName name="bill1a" hidden="1">{"'Sheet1'!$L$16"}</definedName>
    <definedName name="Binh" localSheetId="0" hidden="1">{"'Sheet1'!$L$16"}</definedName>
    <definedName name="Binh" hidden="1">{"'Sheet1'!$L$16"}</definedName>
    <definedName name="BJJ" localSheetId="0" hidden="1">{#N/A,#N/A,FALSE,"CCTV"}</definedName>
    <definedName name="BJJ" hidden="1">{#N/A,#N/A,FALSE,"CCTV"}</definedName>
    <definedName name="bkd" localSheetId="0" hidden="1">{"'Sheet1'!$L$16"}</definedName>
    <definedName name="bkd" hidden="1">{"'Sheet1'!$L$16"}</definedName>
    <definedName name="blockc" localSheetId="0" hidden="1">{#N/A,#N/A,FALSE,"전체집계표";#N/A,#N/A,FALSE,"안벽30000";#N/A,#N/A,FALSE,"안벽20000";#N/A,#N/A,FALSE,"내호안";#N/A,#N/A,FALSE,"외호안";#N/A,#N/A,FALSE,"준설토A";#N/A,#N/A,FALSE,"준설토B";#N/A,#N/A,FALSE,"적출장"}</definedName>
    <definedName name="blockc" hidden="1">{#N/A,#N/A,FALSE,"전체집계표";#N/A,#N/A,FALSE,"안벽30000";#N/A,#N/A,FALSE,"안벽20000";#N/A,#N/A,FALSE,"내호안";#N/A,#N/A,FALSE,"외호안";#N/A,#N/A,FALSE,"준설토A";#N/A,#N/A,FALSE,"준설토B";#N/A,#N/A,FALSE,"적출장"}</definedName>
    <definedName name="bmbvmvm" localSheetId="0" hidden="1">#REF!</definedName>
    <definedName name="bmbvmvm" hidden="1">#REF!</definedName>
    <definedName name="bmbxmbv" localSheetId="0" hidden="1">#REF!</definedName>
    <definedName name="bmbxmbv" hidden="1">#REF!</definedName>
    <definedName name="bmbxmvx" localSheetId="0" hidden="1">#REF!</definedName>
    <definedName name="bmbxmvx" hidden="1">#REF!</definedName>
    <definedName name="BMS" localSheetId="0" hidden="1">{"'Sheet1'!$L$16"}</definedName>
    <definedName name="BMS" hidden="1">{"'Sheet1'!$L$16"}</definedName>
    <definedName name="bmxmbbbbbbvxb" localSheetId="0" hidden="1">#REF!</definedName>
    <definedName name="bmxmbbbbbbvxb" hidden="1">#REF!</definedName>
    <definedName name="bmxvmvx" localSheetId="0" hidden="1">#REF!</definedName>
    <definedName name="bmxvmvx" hidden="1">#REF!</definedName>
    <definedName name="BN" localSheetId="0" hidden="1">{"'Sheet1'!$L$16"}</definedName>
    <definedName name="BN" hidden="1">{"'Sheet1'!$L$16"}</definedName>
    <definedName name="bnbnbnnbv" localSheetId="0" hidden="1">#REF!</definedName>
    <definedName name="bnbnbnnbv" hidden="1">#REF!</definedName>
    <definedName name="bnbvb" localSheetId="0" hidden="1">#REF!</definedName>
    <definedName name="bnbvb" hidden="1">#REF!</definedName>
    <definedName name="bnm" localSheetId="0" hidden="1">{#N/A,#N/A,FALSE,"Chi tiÆt"}</definedName>
    <definedName name="bnm" hidden="1">{#N/A,#N/A,FALSE,"Chi tiÆt"}</definedName>
    <definedName name="bnn" localSheetId="0" hidden="1">{#N/A,#N/A,FALSE,"조골재"}</definedName>
    <definedName name="bnn" hidden="1">{#N/A,#N/A,FALSE,"조골재"}</definedName>
    <definedName name="bo" localSheetId="0" hidden="1">{0,0,0,0;0,0,0,0;0,0,0,0;0,0,0,0;0,0,0,0;0,0,0,0;0,0,0,0}</definedName>
    <definedName name="bo" hidden="1">{0,0,0,0;0,0,0,0;0,0,0,0;0,0,0,0;0,0,0,0;0,0,0,0;0,0,0,0}</definedName>
    <definedName name="BOQA2" localSheetId="0" hidden="1">{"'Sheet1'!$L$16"}</definedName>
    <definedName name="BOQA2" hidden="1">{"'Sheet1'!$L$16"}</definedName>
    <definedName name="BOQCongtruong" localSheetId="0" hidden="1">#REF!</definedName>
    <definedName name="BOQCongtruong" hidden="1">#REF!</definedName>
    <definedName name="bosung" localSheetId="0" hidden="1">{"'Sheet1'!$L$16"}</definedName>
    <definedName name="bosung" hidden="1">{"'Sheet1'!$L$16"}</definedName>
    <definedName name="BQO" localSheetId="0" hidden="1">#REF!</definedName>
    <definedName name="BQO" hidden="1">#REF!</definedName>
    <definedName name="brbrr" localSheetId="0" hidden="1">#REF!</definedName>
    <definedName name="brbrr" hidden="1">#REF!</definedName>
    <definedName name="brbtbre" localSheetId="0" hidden="1">#REF!</definedName>
    <definedName name="brbtbre" hidden="1">#REF!</definedName>
    <definedName name="BREAK" localSheetId="0" hidden="1">{#N/A,#N/A,FALSE,"CCTV"}</definedName>
    <definedName name="BREAK" hidden="1">{#N/A,#N/A,FALSE,"CCTV"}</definedName>
    <definedName name="bree" localSheetId="0" hidden="1">#REF!</definedName>
    <definedName name="bree" hidden="1">#REF!</definedName>
    <definedName name="brffdffgf" localSheetId="0" hidden="1">#REF!</definedName>
    <definedName name="brffdffgf" hidden="1">#REF!</definedName>
    <definedName name="btdc2" localSheetId="0" hidden="1">#REF!</definedName>
    <definedName name="btdc2" hidden="1">#REF!</definedName>
    <definedName name="btl" localSheetId="0" hidden="1">{"'Sheet1'!$L$16"}</definedName>
    <definedName name="btl" hidden="1">{"'Sheet1'!$L$16"}</definedName>
    <definedName name="BTH" localSheetId="0" hidden="1">{"'Sheet1'!$L$16"}</definedName>
    <definedName name="BTH" hidden="1">{"'Sheet1'!$L$16"}</definedName>
    <definedName name="bu" localSheetId="0" hidden="1">{"'Sheet1'!$L$16"}</definedName>
    <definedName name="bu" hidden="1">{"'Sheet1'!$L$16"}</definedName>
    <definedName name="buoi" localSheetId="0" hidden="1">{"'Sheet1'!$L$16"}</definedName>
    <definedName name="buoi" hidden="1">{"'Sheet1'!$L$16"}</definedName>
    <definedName name="BV" localSheetId="0" hidden="1">#REF!</definedName>
    <definedName name="BV" hidden="1">#REF!</definedName>
    <definedName name="bvb" localSheetId="0" hidden="1">{"NGUYEN QUI THIEP - Personal View",#N/A,FALSE,"XDCB.HT.FUR."}</definedName>
    <definedName name="bvb" hidden="1">{"NGUYEN QUI THIEP - Personal View",#N/A,FALSE,"XDCB.HT.FUR."}</definedName>
    <definedName name="bvbbvbvv" localSheetId="0" hidden="1">#REF!</definedName>
    <definedName name="bvbbvbvv" hidden="1">#REF!</definedName>
    <definedName name="bvcnnc" localSheetId="0" hidden="1">#REF!</definedName>
    <definedName name="bvcnnc" hidden="1">#REF!</definedName>
    <definedName name="bvhjggj" localSheetId="0" hidden="1">#REF!</definedName>
    <definedName name="bvhjggj" hidden="1">#REF!</definedName>
    <definedName name="bvnbvn" localSheetId="0" hidden="1">#REF!</definedName>
    <definedName name="bvnbvn" hidden="1">#REF!</definedName>
    <definedName name="bvvbbvvnnb" localSheetId="0" hidden="1">#REF!</definedName>
    <definedName name="bvvbbvvnnb" hidden="1">#REF!</definedName>
    <definedName name="bxmmxmx" localSheetId="0" hidden="1">#REF!</definedName>
    <definedName name="bxmmxmx" hidden="1">#REF!</definedName>
    <definedName name="bxvbx" localSheetId="0" hidden="1">{"'Sheet1'!$L$16"}</definedName>
    <definedName name="bxvbx" hidden="1">{"'Sheet1'!$L$16"}</definedName>
    <definedName name="bxvxxvb" localSheetId="0" hidden="1">#REF!</definedName>
    <definedName name="bxvxxvb" hidden="1">#REF!</definedName>
    <definedName name="CA" localSheetId="0" hidden="1">{#N/A,#N/A,TRUE,"SUM";#N/A,#N/A,TRUE,"EE";#N/A,#N/A,TRUE,"AC";#N/A,#N/A,TRUE,"SN"}</definedName>
    <definedName name="CA" hidden="1">{#N/A,#N/A,TRUE,"SUM";#N/A,#N/A,TRUE,"EE";#N/A,#N/A,TRUE,"AC";#N/A,#N/A,TRUE,"SN"}</definedName>
    <definedName name="caccccc" localSheetId="0" hidden="1">{"'Sheet1'!$L$16"}</definedName>
    <definedName name="caccccc" hidden="1">{"'Sheet1'!$L$16"}</definedName>
    <definedName name="cadca" localSheetId="0" hidden="1">#REF!</definedName>
    <definedName name="cadca" hidden="1">#REF!</definedName>
    <definedName name="CALBE" localSheetId="0" hidden="1">{"'Sheet1'!$L$16"}</definedName>
    <definedName name="CALBE" hidden="1">{"'Sheet1'!$L$16"}</definedName>
    <definedName name="cald" localSheetId="10" hidden="1">{#N/A,#N/A,FALSE,"CCTV"}</definedName>
    <definedName name="cald" localSheetId="0" hidden="1">{#N/A,#N/A,FALSE,"CCTV"}</definedName>
    <definedName name="cald" hidden="1">{#N/A,#N/A,FALSE,"CCTV"}</definedName>
    <definedName name="calpine" localSheetId="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e" localSheetId="0" hidden="1">{"'Sheet1'!$L$16"}</definedName>
    <definedName name="came" hidden="1">{"'Sheet1'!$L$16"}</definedName>
    <definedName name="CANON" localSheetId="0" hidden="1">{"'Sheet1'!$L$16"}</definedName>
    <definedName name="CANON" hidden="1">{"'Sheet1'!$L$16"}</definedName>
    <definedName name="CANOPY" localSheetId="0" hidden="1">#REF!</definedName>
    <definedName name="CANOPY" hidden="1">#REF!</definedName>
    <definedName name="canteen" localSheetId="0" hidden="1">#REF!</definedName>
    <definedName name="canteen" hidden="1">#REF!</definedName>
    <definedName name="CaododayGa" localSheetId="0" hidden="1">{"'Sheet1'!$L$16"}</definedName>
    <definedName name="CaododayGa" hidden="1">{"'Sheet1'!$L$16"}</definedName>
    <definedName name="cap" localSheetId="0" hidden="1">{"'Sheet1'!$L$16"}</definedName>
    <definedName name="cap" hidden="1">{"'Sheet1'!$L$16"}</definedName>
    <definedName name="CARL" localSheetId="10" hidden="1">{#N/A,#N/A,FALSE,"CCTV"}</definedName>
    <definedName name="CARL" localSheetId="0" hidden="1">{#N/A,#N/A,FALSE,"CCTV"}</definedName>
    <definedName name="CARL" hidden="1">{#N/A,#N/A,FALSE,"CCTV"}</definedName>
    <definedName name="CARL1" localSheetId="10" hidden="1">{#N/A,#N/A,FALSE,"CCTV"}</definedName>
    <definedName name="CARL1" localSheetId="0" hidden="1">{#N/A,#N/A,FALSE,"CCTV"}</definedName>
    <definedName name="CARL1" hidden="1">{#N/A,#N/A,FALSE,"CCTV"}</definedName>
    <definedName name="CARL2" localSheetId="10" hidden="1">{#N/A,#N/A,FALSE,"CCTV"}</definedName>
    <definedName name="CARL2" localSheetId="0" hidden="1">{#N/A,#N/A,FALSE,"CCTV"}</definedName>
    <definedName name="CARL2" hidden="1">{#N/A,#N/A,FALSE,"CCTV"}</definedName>
    <definedName name="casson3" localSheetId="0" hidden="1">{#N/A,#N/A,FALSE,"전체집계표";#N/A,#N/A,FALSE,"안벽30000";#N/A,#N/A,FALSE,"안벽20000";#N/A,#N/A,FALSE,"내호안";#N/A,#N/A,FALSE,"외호안";#N/A,#N/A,FALSE,"준설토A";#N/A,#N/A,FALSE,"준설토B";#N/A,#N/A,FALSE,"적출장"}</definedName>
    <definedName name="casson3" hidden="1">{#N/A,#N/A,FALSE,"전체집계표";#N/A,#N/A,FALSE,"안벽30000";#N/A,#N/A,FALSE,"안벽20000";#N/A,#N/A,FALSE,"내호안";#N/A,#N/A,FALSE,"외호안";#N/A,#N/A,FALSE,"준설토A";#N/A,#N/A,FALSE,"준설토B";#N/A,#N/A,FALSE,"적출장"}</definedName>
    <definedName name="catalogue" localSheetId="0" hidden="1">{"'Sheet1'!$L$16"}</definedName>
    <definedName name="catalogue" hidden="1">{"'Sheet1'!$L$16"}</definedName>
    <definedName name="cauthang" localSheetId="0" hidden="1">{"'Sheet1'!$L$16"}</definedName>
    <definedName name="cauthang" hidden="1">{"'Sheet1'!$L$16"}</definedName>
    <definedName name="cay" localSheetId="0" hidden="1">{"'Sheet1'!$L$16"}</definedName>
    <definedName name="cay" hidden="1">{"'Sheet1'!$L$16"}</definedName>
    <definedName name="CBWorkbookPriority" hidden="1">-1807836116</definedName>
    <definedName name="cc" localSheetId="0" hidden="1">#REF!</definedName>
    <definedName name="cc" hidden="1">#REF!</definedName>
    <definedName name="ccc" localSheetId="0" hidden="1">{"'Sheet1'!$L$16"}</definedName>
    <definedName name="ccc" hidden="1">{"'Sheet1'!$L$16"}</definedName>
    <definedName name="cccc" localSheetId="0" hidden="1">{#N/A,#N/A,TRUE,"SUM";#N/A,#N/A,TRUE,"EE";#N/A,#N/A,TRUE,"AC";#N/A,#N/A,TRUE,"SN"}</definedName>
    <definedName name="cccc" hidden="1">{#N/A,#N/A,TRUE,"SUM";#N/A,#N/A,TRUE,"EE";#N/A,#N/A,TRUE,"AC";#N/A,#N/A,TRUE,"SN"}</definedName>
    <definedName name="ccccc" localSheetId="0" hidden="1">#REF!</definedName>
    <definedName name="ccccc" hidden="1">#REF!</definedName>
    <definedName name="cccccc" localSheetId="0" hidden="1">#REF!</definedName>
    <definedName name="cccccc" hidden="1">#REF!</definedName>
    <definedName name="CCCCCCCCCC" localSheetId="0" hidden="1">#REF!</definedName>
    <definedName name="CCCCCCCCCC" hidden="1">#REF!</definedName>
    <definedName name="CD" localSheetId="0" hidden="1">#REF!</definedName>
    <definedName name="CD" hidden="1">#REF!</definedName>
    <definedName name="Çdµ" localSheetId="0" hidden="1">{"'Sheet1'!$L$16"}</definedName>
    <definedName name="Çdµ" hidden="1">{"'Sheet1'!$L$16"}</definedName>
    <definedName name="cded" localSheetId="0" hidden="1">#REF!</definedName>
    <definedName name="cded" hidden="1">#REF!</definedName>
    <definedName name="cdfdf" localSheetId="0" hidden="1">{#N/A,#N/A,TRUE,"1";#N/A,#N/A,TRUE,"2";#N/A,#N/A,TRUE,"3";#N/A,#N/A,TRUE,"4";#N/A,#N/A,TRUE,"5";#N/A,#N/A,TRUE,"6";#N/A,#N/A,TRUE,"7"}</definedName>
    <definedName name="cdfdf" hidden="1">{#N/A,#N/A,TRUE,"1";#N/A,#N/A,TRUE,"2";#N/A,#N/A,TRUE,"3";#N/A,#N/A,TRUE,"4";#N/A,#N/A,TRUE,"5";#N/A,#N/A,TRUE,"6";#N/A,#N/A,TRUE,"7"}</definedName>
    <definedName name="CDFRRR" localSheetId="0" hidden="1">#REF!</definedName>
    <definedName name="CDFRRR" hidden="1">#REF!</definedName>
    <definedName name="cdf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s" localSheetId="0" hidden="1">#REF!</definedName>
    <definedName name="cds" hidden="1">#REF!</definedName>
    <definedName name="ced" localSheetId="0" hidden="1">{#N/A,#N/A,FALSE,"Chi tiÆt"}</definedName>
    <definedName name="ced" hidden="1">{#N/A,#N/A,FALSE,"Chi tiÆt"}</definedName>
    <definedName name="Celling" localSheetId="0" hidden="1">{"'Sheet1'!$L$16"}</definedName>
    <definedName name="Celling" hidden="1">{"'Sheet1'!$L$16"}</definedName>
    <definedName name="CF1_a129" localSheetId="0"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dddd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요인" localSheetId="0" hidden="1">#REF!</definedName>
    <definedName name="CF요인" hidden="1">#REF!</definedName>
    <definedName name="cg" localSheetId="0" hidden="1">{"'Sheet1'!$L$16"}</definedName>
    <definedName name="cg" hidden="1">{"'Sheet1'!$L$16"}</definedName>
    <definedName name="cgmh" localSheetId="0" hidden="1">{"'용역비'!$A$4:$C$8"}</definedName>
    <definedName name="cgmh" hidden="1">{"'용역비'!$A$4:$C$8"}</definedName>
    <definedName name="ci" localSheetId="0" hidden="1">{"'Sheet1'!$L$16"}</definedName>
    <definedName name="ci" hidden="1">{"'Sheet1'!$L$16"}</definedName>
    <definedName name="civil2" localSheetId="0" hidden="1">{"'장비'!$A$3:$M$12"}</definedName>
    <definedName name="civil2" hidden="1">{"'장비'!$A$3:$M$12"}</definedName>
    <definedName name="cjh" localSheetId="0" hidden="1">#REF!</definedName>
    <definedName name="cjh" hidden="1">#REF!</definedName>
    <definedName name="CMC" localSheetId="0" hidden="1">{"'Sheet1'!$L$16"}</definedName>
    <definedName name="CMC" hidden="1">{"'Sheet1'!$L$16"}</definedName>
    <definedName name="cn2a" localSheetId="0" hidden="1">{"'Sheet1'!$L$16"}</definedName>
    <definedName name="cn2a" hidden="1">{"'Sheet1'!$L$16"}</definedName>
    <definedName name="cnjfnbnn"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oba" localSheetId="0" hidden="1">#REF!</definedName>
    <definedName name="coba" hidden="1">#REF!</definedName>
    <definedName name="Coc_60" localSheetId="0" hidden="1">{"'Sheet1'!$L$16"}</definedName>
    <definedName name="Coc_60" hidden="1">{"'Sheet1'!$L$16"}</definedName>
    <definedName name="coccat" localSheetId="0" hidden="1">{"'Sheet1'!$L$16"}</definedName>
    <definedName name="coccat" hidden="1">{"'Sheet1'!$L$16"}</definedName>
    <definedName name="cocly" localSheetId="0" hidden="1">{"'Sheet1'!$L$16"}</definedName>
    <definedName name="cocly" hidden="1">{"'Sheet1'!$L$16"}</definedName>
    <definedName name="Code" localSheetId="10" hidden="1">#REF!</definedName>
    <definedName name="Code" hidden="1">#REF!</definedName>
    <definedName name="colum" localSheetId="0" hidden="1">#REF!</definedName>
    <definedName name="colum" hidden="1">#REF!</definedName>
    <definedName name="column" localSheetId="10" hidden="1">#REF!</definedName>
    <definedName name="column" hidden="1">#REF!</definedName>
    <definedName name="Company2013" localSheetId="0" hidden="1">#REF!</definedName>
    <definedName name="Company2013" hidden="1">#REF!</definedName>
    <definedName name="CON" localSheetId="0" hidden="1">{"'Sheet1'!$L$16"}</definedName>
    <definedName name="CON" hidden="1">{"'Sheet1'!$L$16"}</definedName>
    <definedName name="concrete" localSheetId="0" hidden="1">{"'Sheet1'!$L$16"}</definedName>
    <definedName name="concrete" hidden="1">{"'Sheet1'!$L$16"}</definedName>
    <definedName name="condition" localSheetId="0" hidden="1">{"'장비'!$A$3:$M$12"}</definedName>
    <definedName name="condition" hidden="1">{"'장비'!$A$3:$M$12"}</definedName>
    <definedName name="CONGD300" localSheetId="0" hidden="1">{"'Sheet1'!$L$16"}</definedName>
    <definedName name="CONGD300" hidden="1">{"'Sheet1'!$L$16"}</definedName>
    <definedName name="CONGPA1" localSheetId="0" hidden="1">{"'Sheet1'!$L$16"}</definedName>
    <definedName name="CONGPA1" hidden="1">{"'Sheet1'!$L$16"}</definedName>
    <definedName name="coping" localSheetId="0"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phathepviÎttung" hidden="1">{"'Sheet1'!$L$16"}</definedName>
    <definedName name="Copyright" hidden="1">"© 1995 Worley Limited"</definedName>
    <definedName name="Co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T.020" localSheetId="0" hidden="1">#REF!</definedName>
    <definedName name="COST.020" hidden="1">#REF!</definedName>
    <definedName name="COST.030" localSheetId="0" hidden="1">#REF!</definedName>
    <definedName name="COST.030" hidden="1">#REF!</definedName>
    <definedName name="COST.040" localSheetId="0" hidden="1">#REF!</definedName>
    <definedName name="COST.040" hidden="1">#REF!</definedName>
    <definedName name="COST.050" localSheetId="0" hidden="1">#REF!</definedName>
    <definedName name="COST.050" hidden="1">#REF!</definedName>
    <definedName name="COST.060" localSheetId="0" hidden="1">#REF!</definedName>
    <definedName name="COST.060" hidden="1">#REF!</definedName>
    <definedName name="COST.070" localSheetId="0" hidden="1">#REF!</definedName>
    <definedName name="COST.070" hidden="1">#REF!</definedName>
    <definedName name="COST.080" localSheetId="0" hidden="1">#REF!</definedName>
    <definedName name="COST.080" hidden="1">#REF!</definedName>
    <definedName name="COST.100" localSheetId="0" hidden="1">#REF!</definedName>
    <definedName name="COST.100" hidden="1">#REF!</definedName>
    <definedName name="COST.110" localSheetId="0" hidden="1">#REF!</definedName>
    <definedName name="COST.110" hidden="1">#REF!</definedName>
    <definedName name="COST.120" localSheetId="0" hidden="1">#REF!</definedName>
    <definedName name="COST.120" hidden="1">#REF!</definedName>
    <definedName name="COST.130" localSheetId="0" hidden="1">#REF!</definedName>
    <definedName name="COST.130" hidden="1">#REF!</definedName>
    <definedName name="COST.140" localSheetId="0" hidden="1">#REF!</definedName>
    <definedName name="COST.140" hidden="1">#REF!</definedName>
    <definedName name="COST.150" localSheetId="0" hidden="1">#REF!</definedName>
    <definedName name="COST.150" hidden="1">#REF!</definedName>
    <definedName name="COST.210" localSheetId="0" hidden="1">#REF!</definedName>
    <definedName name="COST.210" hidden="1">#REF!</definedName>
    <definedName name="COST.220" localSheetId="0" hidden="1">#REF!</definedName>
    <definedName name="COST.220" hidden="1">#REF!</definedName>
    <definedName name="COST.230" localSheetId="0" hidden="1">#REF!</definedName>
    <definedName name="COST.230" hidden="1">#REF!</definedName>
    <definedName name="COST.240" localSheetId="0" hidden="1">#REF!</definedName>
    <definedName name="COST.240" hidden="1">#REF!</definedName>
    <definedName name="COST.270" localSheetId="0" hidden="1">#REF!</definedName>
    <definedName name="COST.270" hidden="1">#REF!</definedName>
    <definedName name="COST.280" localSheetId="0" hidden="1">#REF!</definedName>
    <definedName name="COST.280" hidden="1">#REF!</definedName>
    <definedName name="COST.300" localSheetId="0" hidden="1">#REF!</definedName>
    <definedName name="COST.300" hidden="1">#REF!</definedName>
    <definedName name="COST.320" localSheetId="0" hidden="1">#REF!</definedName>
    <definedName name="COST.320" hidden="1">#REF!</definedName>
    <definedName name="COST.330" localSheetId="0" hidden="1">#REF!</definedName>
    <definedName name="COST.330" hidden="1">#REF!</definedName>
    <definedName name="COST.350" localSheetId="0" hidden="1">#REF!</definedName>
    <definedName name="COST.350" hidden="1">#REF!</definedName>
    <definedName name="COST.360" localSheetId="0" hidden="1">#REF!</definedName>
    <definedName name="COST.360" hidden="1">#REF!</definedName>
    <definedName name="COST.370" localSheetId="0" hidden="1">#REF!</definedName>
    <definedName name="COST.370" hidden="1">#REF!</definedName>
    <definedName name="COST.380" localSheetId="0" hidden="1">#REF!</definedName>
    <definedName name="COST.380" hidden="1">#REF!</definedName>
    <definedName name="COST.400" localSheetId="0" hidden="1">#REF!</definedName>
    <definedName name="COST.400" hidden="1">#REF!</definedName>
    <definedName name="cost_1" localSheetId="0" hidden="1">{#N/A,#N/A,TRUE,"Basic";#N/A,#N/A,TRUE,"EXT-TABLE";#N/A,#N/A,TRUE,"STEEL";#N/A,#N/A,TRUE,"INT-Table";#N/A,#N/A,TRUE,"STEEL";#N/A,#N/A,TRUE,"Door"}</definedName>
    <definedName name="cost_1"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2_1" localSheetId="0" hidden="1">{#N/A,#N/A,TRUE,"Basic";#N/A,#N/A,TRUE,"EXT-TABLE";#N/A,#N/A,TRUE,"STEEL";#N/A,#N/A,TRUE,"INT-Table";#N/A,#N/A,TRUE,"STEEL";#N/A,#N/A,TRUE,"Door"}</definedName>
    <definedName name="COST2_1" hidden="1">{#N/A,#N/A,TRUE,"Basic";#N/A,#N/A,TRUE,"EXT-TABLE";#N/A,#N/A,TRUE,"STEEL";#N/A,#N/A,TRUE,"INT-Table";#N/A,#N/A,TRUE,"STEEL";#N/A,#N/A,TRUE,"Door"}</definedName>
    <definedName name="COST290" localSheetId="0" hidden="1">#REF!</definedName>
    <definedName name="COST290" hidden="1">#REF!</definedName>
    <definedName name="Costing" hidden="1">#REF!</definedName>
    <definedName name="CostingSheetSolefuse" hidden="1">#REF!</definedName>
    <definedName name="cotycap" localSheetId="0" hidden="1">{"'Sheet1'!$L$16"}</definedName>
    <definedName name="cotycap" hidden="1">{"'Sheet1'!$L$16"}</definedName>
    <definedName name="COVE" localSheetId="0" hidden="1">{"'Sheet1'!$L$16"}</definedName>
    <definedName name="COVE" hidden="1">{"'Sheet1'!$L$16"}</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pf_1" localSheetId="0" hidden="1">{#N/A,#N/A,TRUE,"Basic";#N/A,#N/A,TRUE,"EXT-TABLE";#N/A,#N/A,TRUE,"STEEL";#N/A,#N/A,TRUE,"INT-Table";#N/A,#N/A,TRUE,"STEEL";#N/A,#N/A,TRUE,"Door"}</definedName>
    <definedName name="cpf_1" hidden="1">{#N/A,#N/A,TRUE,"Basic";#N/A,#N/A,TRUE,"EXT-TABLE";#N/A,#N/A,TRUE,"STEEL";#N/A,#N/A,TRUE,"INT-Table";#N/A,#N/A,TRUE,"STEEL";#N/A,#N/A,TRUE,"Door"}</definedName>
    <definedName name="CPM" localSheetId="0" hidden="1">{#N/A,#N/A,FALSE,"Chi tiÆt"}</definedName>
    <definedName name="CPM" hidden="1">{#N/A,#N/A,FALSE,"Chi tiÆt"}</definedName>
    <definedName name="cpp" localSheetId="0" hidden="1">#REF!</definedName>
    <definedName name="cpp" hidden="1">#REF!</definedName>
    <definedName name="CPXD" localSheetId="0" hidden="1">{"'Sheet1'!$L$16"}</definedName>
    <definedName name="CPXD" hidden="1">{"'Sheet1'!$L$16"}</definedName>
    <definedName name="CQ"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xlnm.Criteria" localSheetId="0" hidden="1">#REF!</definedName>
    <definedName name="_xlnm.Criteria" hidden="1">#REF!</definedName>
    <definedName name="csa" localSheetId="0" hidden="1">{#N/A,#N/A,FALSE,"Chi tiÆt"}</definedName>
    <definedName name="csa" hidden="1">{#N/A,#N/A,FALSE,"Chi tiÆt"}</definedName>
    <definedName name="csdcsdvdfvdfbdfbd" localSheetId="0" hidden="1">{#N/A,#N/A,FALSE,"Chi tiÆt"}</definedName>
    <definedName name="csdcsdvdfvdfbdfbd" hidden="1">{#N/A,#N/A,FALSE,"Chi tiÆt"}</definedName>
    <definedName name="CSODJWO" localSheetId="0" hidden="1">{#N/A,#N/A,TRUE,"SUM";#N/A,#N/A,TRUE,"EE";#N/A,#N/A,TRUE,"AC";#N/A,#N/A,TRUE,"SN"}</definedName>
    <definedName name="CSODJWO" hidden="1">{#N/A,#N/A,TRUE,"SUM";#N/A,#N/A,TRUE,"EE";#N/A,#N/A,TRUE,"AC";#N/A,#N/A,TRUE,"SN"}</definedName>
    <definedName name="ctbbt" localSheetId="0" hidden="1">{"'Sheet1'!$L$16"}</definedName>
    <definedName name="ctbbt" hidden="1">{"'Sheet1'!$L$16"}</definedName>
    <definedName name="CTCT1" localSheetId="0" hidden="1">{"'Sheet1'!$L$16"}</definedName>
    <definedName name="CTCT1" hidden="1">{"'Sheet1'!$L$16"}</definedName>
    <definedName name="ctct2" localSheetId="0" hidden="1">{"'Sheet1'!$L$16"}</definedName>
    <definedName name="ctct2" hidden="1">{"'Sheet1'!$L$16"}</definedName>
    <definedName name="ctieu" localSheetId="0" hidden="1">{"'Sheet1'!$L$16"}</definedName>
    <definedName name="ctieu" hidden="1">{"'Sheet1'!$L$16"}</definedName>
    <definedName name="cung" localSheetId="0" hidden="1">{"'Sheet1'!$L$16"}</definedName>
    <definedName name="cung" hidden="1">{"'Sheet1'!$L$16"}</definedName>
    <definedName name="cuong" localSheetId="0" hidden="1">{"'Sheet1'!$L$16"}</definedName>
    <definedName name="cuong" hidden="1">{"'Sheet1'!$L$16"}</definedName>
    <definedName name="CVBGHNN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fr" localSheetId="0" hidden="1">{"'Sheet1'!$L$16"}</definedName>
    <definedName name="cvfr" hidden="1">{"'Sheet1'!$L$16"}</definedName>
    <definedName name="CXVBGFHH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zcsszs" localSheetId="0" hidden="1">#REF!</definedName>
    <definedName name="czcsszs" hidden="1">#REF!</definedName>
    <definedName name="CHAIN" localSheetId="0" hidden="1">#REF!</definedName>
    <definedName name="CHAIN" hidden="1">#REF!</definedName>
    <definedName name="Chart3" localSheetId="0" hidden="1">{"'Sheet1'!$L$16"}</definedName>
    <definedName name="Chart3" hidden="1">{"'Sheet1'!$L$16"}</definedName>
    <definedName name="chemical" localSheetId="0" hidden="1">{#N/A,#N/A,FALSE,"CCTV"}</definedName>
    <definedName name="chemical" hidden="1">{#N/A,#N/A,FALSE,"CCTV"}</definedName>
    <definedName name="chietchai2" localSheetId="0" hidden="1">{"'Sheet1'!$L$16"}</definedName>
    <definedName name="chietchai2" hidden="1">{"'Sheet1'!$L$16"}</definedName>
    <definedName name="chilk" localSheetId="0" hidden="1">{"'Sheet1'!$L$16"}</definedName>
    <definedName name="chilk" hidden="1">{"'Sheet1'!$L$16"}</definedName>
    <definedName name="Chiphi" localSheetId="0" hidden="1">{"'Sheet1'!$L$16"}</definedName>
    <definedName name="Chiphi" hidden="1">{"'Sheet1'!$L$16"}</definedName>
    <definedName name="chitiet3" localSheetId="0" hidden="1">{"'Sheet1'!$L$16"}</definedName>
    <definedName name="chitiet3" hidden="1">{"'Sheet1'!$L$16"}</definedName>
    <definedName name="chitietbgiang2" localSheetId="0" hidden="1">{"'Sheet1'!$L$16"}</definedName>
    <definedName name="chitietbgiang2"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3" hidden="1">{"'Sheet1'!$L$16"}</definedName>
    <definedName name="chottda" localSheetId="0" hidden="1">{"'Sheet1'!$L$16"}</definedName>
    <definedName name="chottda" hidden="1">{"'Sheet1'!$L$16"}</definedName>
    <definedName name="CHRIS" localSheetId="0" hidden="1">{#N/A,#N/A,FALSE,"CCTV"}</definedName>
    <definedName name="CHRIS" hidden="1">{#N/A,#N/A,FALSE,"CCTV"}</definedName>
    <definedName name="chuyen" localSheetId="0" hidden="1">{"'Sheet1'!$L$16"}</definedName>
    <definedName name="chuyen" hidden="1">{"'Sheet1'!$L$16"}</definedName>
    <definedName name="d" localSheetId="10" hidden="1">#REF!</definedName>
    <definedName name="d" hidden="1">#REF!</definedName>
    <definedName name="Ð" localSheetId="0" hidden="1">{"'Sheet1'!$L$16"}</definedName>
    <definedName name="Ð" hidden="1">{"'Sheet1'!$L$16"}</definedName>
    <definedName name="d." localSheetId="0" hidden="1">#REF!</definedName>
    <definedName name="d." hidden="1">#REF!</definedName>
    <definedName name="d¸" localSheetId="0" hidden="1">{"'Sheet1'!$L$16"}</definedName>
    <definedName name="d¸" hidden="1">{"'Sheet1'!$L$16"}</definedName>
    <definedName name="D1D" localSheetId="0" hidden="1">{"'Sheet1'!$L$16"}</definedName>
    <definedName name="D1D" hidden="1">{"'Sheet1'!$L$16"}</definedName>
    <definedName name="D1DUONG" localSheetId="0" hidden="1">{#N/A,#N/A,FALSE,"Chi tiÆt"}</definedName>
    <definedName name="D1DUONG" hidden="1">{#N/A,#N/A,FALSE,"Chi tiÆt"}</definedName>
    <definedName name="D1DUONG1" localSheetId="0" hidden="1">{#N/A,#N/A,FALSE,"Chi tiÆt"}</definedName>
    <definedName name="D1DUONG1" hidden="1">{#N/A,#N/A,FALSE,"Chi tiÆt"}</definedName>
    <definedName name="D3D" localSheetId="0" hidden="1">{"'Sheet1'!$L$16"}</definedName>
    <definedName name="D3D" hidden="1">{"'Sheet1'!$L$16"}</definedName>
    <definedName name="da" localSheetId="0" hidden="1">{"'Sheet1'!$L$16"}</definedName>
    <definedName name="da" hidden="1">{"'Sheet1'!$L$16"}</definedName>
    <definedName name="dà" localSheetId="0" hidden="1">{"'Sheet1'!$L$16"}</definedName>
    <definedName name="dà" hidden="1">{"'Sheet1'!$L$16"}</definedName>
    <definedName name="dá" localSheetId="0" hidden="1">{"'Sheet1'!$L$16"}</definedName>
    <definedName name="dá" hidden="1">{"'Sheet1'!$L$16"}</definedName>
    <definedName name="daa" localSheetId="0" hidden="1">{#N/A,#N/A,FALSE,"特殊室（ＢＱ表）"}</definedName>
    <definedName name="daa" hidden="1">{#N/A,#N/A,FALSE,"特殊室（ＢＱ表）"}</definedName>
    <definedName name="DAD" localSheetId="0" hidden="1">{#N/A,#N/A,FALSE,"Chi tiÆt"}</definedName>
    <definedName name="DAD" hidden="1">{#N/A,#N/A,FALSE,"Chi tiÆt"}</definedName>
    <definedName name="dada" localSheetId="0" hidden="1">{#N/A,#N/A,FALSE,"特殊室（ＢＱ表）"}</definedName>
    <definedName name="dada" hidden="1">{#N/A,#N/A,FALSE,"特殊室（ＢＱ表）"}</definedName>
    <definedName name="dadasda" localSheetId="0" hidden="1">{#N/A,#N/A,FALSE,"特殊室（ＢＱ表）"}</definedName>
    <definedName name="dadasda" hidden="1">{#N/A,#N/A,FALSE,"特殊室（ＢＱ表）"}</definedName>
    <definedName name="daDSD" localSheetId="0" hidden="1">{"'Sheet1'!$L$16"}</definedName>
    <definedName name="daDSD" hidden="1">{"'Sheet1'!$L$16"}</definedName>
    <definedName name="dafas" localSheetId="0" hidden="1">{#N/A,#N/A,TRUE,"BT M200 da 10x20"}</definedName>
    <definedName name="dafas" hidden="1">{#N/A,#N/A,TRUE,"BT M200 da 10x20"}</definedName>
    <definedName name="DAGA" localSheetId="0" hidden="1">#REF!</definedName>
    <definedName name="DAGA" hidden="1">#REF!</definedName>
    <definedName name="DAMMONG" localSheetId="0" hidden="1">{"'Sheet1'!$L$16"}</definedName>
    <definedName name="DAMMONG" hidden="1">{"'Sheet1'!$L$16"}</definedName>
    <definedName name="dang" localSheetId="0" hidden="1">{"'Sheet1'!$L$16"}</definedName>
    <definedName name="dang" hidden="1">{"'Sheet1'!$L$16"}</definedName>
    <definedName name="dao" localSheetId="0" hidden="1">{"'Sheet1'!$L$16"}</definedName>
    <definedName name="dao" hidden="1">{"'Sheet1'!$L$16"}</definedName>
    <definedName name="daomuong" localSheetId="0" hidden="1">{"'Sheet1'!$L$16"}</definedName>
    <definedName name="daomuong" hidden="1">{"'Sheet1'!$L$16"}</definedName>
    <definedName name="dasdsan" localSheetId="0" hidden="1">#REF!</definedName>
    <definedName name="dasdsan" hidden="1">#REF!</definedName>
    <definedName name="dase" localSheetId="10" hidden="1">{#N/A,#N/A,FALSE,"CCTV"}</definedName>
    <definedName name="dase" localSheetId="0" hidden="1">{#N/A,#N/A,FALSE,"CCTV"}</definedName>
    <definedName name="dase" hidden="1">{#N/A,#N/A,FALSE,"CCTV"}</definedName>
    <definedName name="dat" localSheetId="10" hidden="1">{#N/A,#N/A,FALSE,"Sheet1"}</definedName>
    <definedName name="dat" localSheetId="0" hidden="1">{#N/A,#N/A,FALSE,"Sheet1"}</definedName>
    <definedName name="dat" hidden="1">{#N/A,#N/A,FALSE,"Sheet1"}</definedName>
    <definedName name="data" localSheetId="10" hidden="1">#REF!</definedName>
    <definedName name="data" hidden="1">#REF!</definedName>
    <definedName name="DATA_01" localSheetId="0" hidden="1">#REF!</definedName>
    <definedName name="DATA_01" hidden="1">#REF!</definedName>
    <definedName name="data_key1" localSheetId="0" hidden="1">#REF!</definedName>
    <definedName name="data_key1" hidden="1">#REF!</definedName>
    <definedName name="data1" localSheetId="10" hidden="1">#REF!</definedName>
    <definedName name="data1" hidden="1">#REF!</definedName>
    <definedName name="data2" localSheetId="10" hidden="1">#REF!</definedName>
    <definedName name="data2" hidden="1">#REF!</definedName>
    <definedName name="data3" localSheetId="10" hidden="1">#REF!</definedName>
    <definedName name="data3" hidden="1">#REF!</definedName>
    <definedName name="dataww" localSheetId="0" hidden="1">#REF!</definedName>
    <definedName name="dataww" hidden="1">#REF!</definedName>
    <definedName name="Dautu" localSheetId="0" hidden="1">{"'Sheet1'!$L$16"}</definedName>
    <definedName name="Dautu" hidden="1">{"'Sheet1'!$L$16"}</definedName>
    <definedName name="dbdjsjs" localSheetId="0" hidden="1">#REF!</definedName>
    <definedName name="dbdjsjs" hidden="1">#REF!</definedName>
    <definedName name="dc" localSheetId="0" hidden="1">{"'Sheet1'!$L$16"}</definedName>
    <definedName name="dc" hidden="1">{"'Sheet1'!$L$16"}</definedName>
    <definedName name="dca" localSheetId="0" hidden="1">{#N/A,#N/A,FALSE,"Chi tiÆt"}</definedName>
    <definedName name="dca" hidden="1">{#N/A,#N/A,FALSE,"Chi tiÆt"}</definedName>
    <definedName name="DCFBGYY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uocVC_Bachang" localSheetId="0" hidden="1">#REF!</definedName>
    <definedName name="dCuocVC_Bachang" hidden="1">#REF!</definedName>
    <definedName name="ddång" localSheetId="0" hidden="1">{"'Sheet1'!$L$16"}</definedName>
    <definedName name="ddång" hidden="1">{"'Sheet1'!$L$16"}</definedName>
    <definedName name="ddbd" localSheetId="0" hidden="1">#REF!</definedName>
    <definedName name="ddbd" hidden="1">#REF!</definedName>
    <definedName name="ddbdf" localSheetId="0" hidden="1">#REF!</definedName>
    <definedName name="ddbdf" hidden="1">#REF!</definedName>
    <definedName name="ddc" localSheetId="0" hidden="1">{"'Sheet1'!$L$16"}</definedName>
    <definedName name="ddc" hidden="1">{"'Sheet1'!$L$16"}</definedName>
    <definedName name="ddd" localSheetId="0" hidden="1">{#N/A,#N/A,TRUE,"Str.";#N/A,#N/A,TRUE,"Steel &amp; Roof";#N/A,#N/A,TRUE,"Arc.";#N/A,#N/A,TRUE,"Preliminary";#N/A,#N/A,TRUE,"Sum_Prelim"}</definedName>
    <definedName name="ddd" hidden="1">{#N/A,#N/A,TRUE,"Str.";#N/A,#N/A,TRUE,"Steel &amp; Roof";#N/A,#N/A,TRUE,"Arc.";#N/A,#N/A,TRUE,"Preliminary";#N/A,#N/A,TRUE,"Sum_Prelim"}</definedName>
    <definedName name="dddd" localSheetId="0" hidden="1">{"'Sheet1'!$L$16"}</definedName>
    <definedName name="dddd" hidden="1">{"'Sheet1'!$L$16"}</definedName>
    <definedName name="ddddadad" localSheetId="0" hidden="1">#REF!</definedName>
    <definedName name="ddddadad" hidden="1">#REF!</definedName>
    <definedName name="ddddadadadd" localSheetId="0" hidden="1">#REF!</definedName>
    <definedName name="ddddadadadd" hidden="1">#REF!</definedName>
    <definedName name="ddddd" localSheetId="0" hidden="1">{"'Sheet1'!$L$16"}</definedName>
    <definedName name="ddddd" hidden="1">{"'Sheet1'!$L$16"}</definedName>
    <definedName name="ddddd_1" localSheetId="0" hidden="1">{#N/A,#N/A,TRUE,"Basic";#N/A,#N/A,TRUE,"EXT-TABLE";#N/A,#N/A,TRUE,"STEEL";#N/A,#N/A,TRUE,"INT-Table";#N/A,#N/A,TRUE,"STEEL";#N/A,#N/A,TRUE,"Door"}</definedName>
    <definedName name="ddddd_1" hidden="1">{#N/A,#N/A,TRUE,"Basic";#N/A,#N/A,TRUE,"EXT-TABLE";#N/A,#N/A,TRUE,"STEEL";#N/A,#N/A,TRUE,"INT-Table";#N/A,#N/A,TRUE,"STEEL";#N/A,#N/A,TRUE,"Door"}</definedName>
    <definedName name="dddddd" localSheetId="0"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ddbbbbb" localSheetId="0" hidden="1">#REF!</definedName>
    <definedName name="ddddddbbbbb" hidden="1">#REF!</definedName>
    <definedName name="ddddddd" localSheetId="0" hidden="1">#REF!</definedName>
    <definedName name="ddddddd" hidden="1">#REF!</definedName>
    <definedName name="DDDDDDDD" localSheetId="0" hidden="1">{#N/A,#N/A,TRUE,"SUM";#N/A,#N/A,TRUE,"EE";#N/A,#N/A,TRUE,"AC";#N/A,#N/A,TRUE,"SN"}</definedName>
    <definedName name="DDDDDDDD" hidden="1">{#N/A,#N/A,TRUE,"SUM";#N/A,#N/A,TRUE,"EE";#N/A,#N/A,TRUE,"AC";#N/A,#N/A,TRUE,"SN"}</definedName>
    <definedName name="dddddddddd" localSheetId="0" hidden="1">#REF!</definedName>
    <definedName name="dddddddddd" hidden="1">#REF!</definedName>
    <definedName name="DDDDDDDDDDD" localSheetId="0" hidden="1">#REF!</definedName>
    <definedName name="DDDDDDDDDDD" hidden="1">#REF!</definedName>
    <definedName name="dddddddddddd" localSheetId="0" hidden="1">#REF!</definedName>
    <definedName name="dddddddddddd" hidden="1">#REF!</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0" hidden="1">{#N/A,#N/A,TRUE,"Basic";#N/A,#N/A,TRUE,"EXT-TABLE";#N/A,#N/A,TRUE,"STEEL";#N/A,#N/A,TRUE,"INT-Table";#N/A,#N/A,TRUE,"STEEL";#N/A,#N/A,TRUE,"Door"}</definedName>
    <definedName name="dddddddddddddd_1" hidden="1">{#N/A,#N/A,TRUE,"Basic";#N/A,#N/A,TRUE,"EXT-TABLE";#N/A,#N/A,TRUE,"STEEL";#N/A,#N/A,TRUE,"INT-Table";#N/A,#N/A,TRUE,"STEEL";#N/A,#N/A,TRUE,"Door"}</definedName>
    <definedName name="DDDDDDDDDDDDDDDDDDDDDDDDDDDDDDDDDDDD" localSheetId="0" hidden="1">#REF!</definedName>
    <definedName name="DDDDDDDDDDDDDDDDDDDDDDDDDDDDDDDDDDDD" hidden="1">#REF!</definedName>
    <definedName name="ddddddddddddddddddddddddddddddddddddddddd" localSheetId="0" hidden="1">#REF!</definedName>
    <definedName name="ddddddddddddddddddddddddddddddddddddddddd" hidden="1">#REF!</definedName>
    <definedName name="ddddjgdjg" localSheetId="0" hidden="1">#REF!</definedName>
    <definedName name="ddddjgdjg" hidden="1">#REF!</definedName>
    <definedName name="dddds" localSheetId="0" hidden="1">#REF!</definedName>
    <definedName name="dddds" hidden="1">#REF!</definedName>
    <definedName name="dddf" localSheetId="0" hidden="1">{"'장비'!$A$3:$M$12"}</definedName>
    <definedName name="dddf" hidden="1">{"'장비'!$A$3:$M$12"}</definedName>
    <definedName name="DDFD" localSheetId="0" hidden="1">{#N/A,#N/A,FALSE,"CCTV"}</definedName>
    <definedName name="DDFD" hidden="1">{#N/A,#N/A,FALSE,"CCTV"}</definedName>
    <definedName name="DDFDF" localSheetId="0" hidden="1">#REF!</definedName>
    <definedName name="DDFDF" hidden="1">#REF!</definedName>
    <definedName name="ddggdg" localSheetId="0" hidden="1">{"Offgrid",#N/A,FALSE,"OFFGRID";"Region",#N/A,FALSE,"REGION";"Offgrid -2",#N/A,FALSE,"OFFGRID";"WTP",#N/A,FALSE,"WTP";"WTP -2",#N/A,FALSE,"WTP";"Project",#N/A,FALSE,"PROJECT";"Summary -2",#N/A,FALSE,"SUMMARY"}</definedName>
    <definedName name="ddggdg" hidden="1">{"Offgrid",#N/A,FALSE,"OFFGRID";"Region",#N/A,FALSE,"REGION";"Offgrid -2",#N/A,FALSE,"OFFGRID";"WTP",#N/A,FALSE,"WTP";"WTP -2",#N/A,FALSE,"WTP";"Project",#N/A,FALSE,"PROJECT";"Summary -2",#N/A,FALSE,"SUMMARY"}</definedName>
    <definedName name="ddghhjjjj" localSheetId="0" hidden="1">#REF!</definedName>
    <definedName name="ddghhjjjj" hidden="1">#REF!</definedName>
    <definedName name="de" localSheetId="0" hidden="1">{"'Liquid'!$A$1:$U$57"}</definedName>
    <definedName name="de" hidden="1">{"'Liquid'!$A$1:$U$57"}</definedName>
    <definedName name="ded" localSheetId="0" hidden="1">#REF!</definedName>
    <definedName name="ded" hidden="1">#REF!</definedName>
    <definedName name="dede" localSheetId="0" hidden="1">{"'Sheet1'!$L$16"}</definedName>
    <definedName name="dede" hidden="1">{"'Sheet1'!$L$16"}</definedName>
    <definedName name="defe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í" localSheetId="0" hidden="1">{"'Sheet1'!$L$16"}</definedName>
    <definedName name="deí" hidden="1">{"'Sheet1'!$L$16"}</definedName>
    <definedName name="DenDK" localSheetId="0" hidden="1">{"'Sheet1'!$L$16"}</definedName>
    <definedName name="DenDK" hidden="1">{"'Sheet1'!$L$16"}</definedName>
    <definedName name="deqetq" localSheetId="0" hidden="1">{"'Sheet1'!$L$16"}</definedName>
    <definedName name="deqetq" hidden="1">{"'Sheet1'!$L$16"}</definedName>
    <definedName name="det" localSheetId="0" hidden="1">{#N/A,#N/A,FALSE,"PROCUREMENT"}</definedName>
    <definedName name="det" hidden="1">{#N/A,#N/A,FALSE,"PROCUREMENT"}</definedName>
    <definedName name="deviation" localSheetId="10" hidden="1">{#N/A,#N/A,FALSE,"CCTV"}</definedName>
    <definedName name="deviation" localSheetId="0" hidden="1">{#N/A,#N/A,FALSE,"CCTV"}</definedName>
    <definedName name="deviation" hidden="1">{#N/A,#N/A,FALSE,"CCTV"}</definedName>
    <definedName name="DEWSLDW" localSheetId="0" hidden="1">{#N/A,#N/A,TRUE,"SUM";#N/A,#N/A,TRUE,"EE";#N/A,#N/A,TRUE,"AC";#N/A,#N/A,TRUE,"SN"}</definedName>
    <definedName name="DEWSLDW" hidden="1">{#N/A,#N/A,TRUE,"SUM";#N/A,#N/A,TRUE,"EE";#N/A,#N/A,TRUE,"AC";#N/A,#N/A,TRUE,"SN"}</definedName>
    <definedName name="dex" localSheetId="0" hidden="1">{"'Sheet1'!$L$16"}</definedName>
    <definedName name="dex" hidden="1">{"'Sheet1'!$L$16"}</definedName>
    <definedName name="dÊd" localSheetId="0" hidden="1">#REF!</definedName>
    <definedName name="dÊd" hidden="1">#REF!</definedName>
    <definedName name="dfa" localSheetId="0" hidden="1">#REF!</definedName>
    <definedName name="dfa" hidden="1">#REF!</definedName>
    <definedName name="DFADF" localSheetId="0" hidden="1">{"'Sheet1'!$L$16"}</definedName>
    <definedName name="DFADF" hidden="1">{"'Sheet1'!$L$16"}</definedName>
    <definedName name="dfadsfsdf" localSheetId="0" hidden="1">{"'Sheet1'!$L$16"}</definedName>
    <definedName name="dfadsfsdf" hidden="1">{"'Sheet1'!$L$16"}</definedName>
    <definedName name="dfaf" localSheetId="0" hidden="1">{"'장비'!$A$3:$M$12"}</definedName>
    <definedName name="dfaf" hidden="1">{"'장비'!$A$3:$M$12"}</definedName>
    <definedName name="dfafa" localSheetId="0" hidden="1">{#N/A,#N/A,FALSE,"Chi tiÆt"}</definedName>
    <definedName name="dfafa" hidden="1">{#N/A,#N/A,FALSE,"Chi tiÆt"}</definedName>
    <definedName name="dfas" localSheetId="0" hidden="1">#REF!</definedName>
    <definedName name="dfas" hidden="1">#REF!</definedName>
    <definedName name="dfasdfsdfsdf" localSheetId="0" hidden="1">{"'Sheet1'!$L$16"}</definedName>
    <definedName name="dfasdfsdfsdf" hidden="1">{"'Sheet1'!$L$16"}</definedName>
    <definedName name="dfasf" localSheetId="0" hidden="1">#REF!</definedName>
    <definedName name="dfasf" hidden="1">#REF!</definedName>
    <definedName name="DFASFD" localSheetId="0" hidden="1">{#N/A,#N/A,FALSE,"골재소요량";#N/A,#N/A,FALSE,"골재소요량"}</definedName>
    <definedName name="DFASFD" hidden="1">{#N/A,#N/A,FALSE,"골재소요량";#N/A,#N/A,FALSE,"골재소요량"}</definedName>
    <definedName name="dfcvddddds" localSheetId="0" hidden="1">#REF!</definedName>
    <definedName name="dfcvddddds" hidden="1">#REF!</definedName>
    <definedName name="dfd" localSheetId="0" hidden="1">{#N/A,#N/A,FALSE,"Sheet1";#N/A,#N/A,FALSE,"Sheet3";#N/A,#N/A,FALSE,"Sheet5"}</definedName>
    <definedName name="dfd" hidden="1">{#N/A,#N/A,FALSE,"Sheet1";#N/A,#N/A,FALSE,"Sheet3";#N/A,#N/A,FALSE,"Sheet5"}</definedName>
    <definedName name="DFDASFGDASG" localSheetId="0" hidden="1">{#N/A,#N/A,FALSE,"단가표지"}</definedName>
    <definedName name="DFDASFGDASG" hidden="1">{#N/A,#N/A,FALSE,"단가표지"}</definedName>
    <definedName name="DFDF" localSheetId="0"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BGFBFB" localSheetId="0" hidden="1">{"'Sheet1'!$L$16"}</definedName>
    <definedName name="DFDFBGFBFB" hidden="1">{"'Sheet1'!$L$16"}</definedName>
    <definedName name="dfdfd" localSheetId="0" hidden="1">{"'Sheet1'!$L$16"}</definedName>
    <definedName name="dfdfd" hidden="1">{"'Sheet1'!$L$16"}</definedName>
    <definedName name="DFDFDF" localSheetId="0" hidden="1">{#N/A,#N/A,FALSE,"特殊室（ＢＱ表）"}</definedName>
    <definedName name="DFDFDF" hidden="1">{#N/A,#N/A,FALSE,"特殊室（ＢＱ表）"}</definedName>
    <definedName name="DFDFDS" localSheetId="0" hidden="1">{#N/A,#N/A,TRUE,"SUM";#N/A,#N/A,TRUE,"EE";#N/A,#N/A,TRUE,"AC";#N/A,#N/A,TRUE,"SN"}</definedName>
    <definedName name="DFDFDS" hidden="1">{#N/A,#N/A,TRUE,"SUM";#N/A,#N/A,TRUE,"EE";#N/A,#N/A,TRUE,"AC";#N/A,#N/A,TRUE,"SN"}</definedName>
    <definedName name="dfdfg" localSheetId="0" hidden="1">#REF!</definedName>
    <definedName name="dfdfg" hidden="1">#REF!</definedName>
    <definedName name="DFDFGE" localSheetId="0" hidden="1">{#N/A,#N/A,FALSE,"Chi tiÆt"}</definedName>
    <definedName name="DFDFGE" hidden="1">{#N/A,#N/A,FALSE,"Chi tiÆt"}</definedName>
    <definedName name="dfdfsdf" localSheetId="0" hidden="1">{"'Sheet1'!$L$16"}</definedName>
    <definedName name="dfdfsdf" hidden="1">{"'Sheet1'!$L$16"}</definedName>
    <definedName name="DFDFSDFSD" localSheetId="0" hidden="1">{#N/A,#N/A,TRUE,"SUM";#N/A,#N/A,TRUE,"EE";#N/A,#N/A,TRUE,"AC";#N/A,#N/A,TRUE,"SN"}</definedName>
    <definedName name="DFDFSDFSD" hidden="1">{#N/A,#N/A,TRUE,"SUM";#N/A,#N/A,TRUE,"EE";#N/A,#N/A,TRUE,"AC";#N/A,#N/A,TRUE,"SN"}</definedName>
    <definedName name="DFDG" localSheetId="0" hidden="1">{#N/A,#N/A,FALSE,"Chi tiÆt"}</definedName>
    <definedName name="DFDG" hidden="1">{#N/A,#N/A,FALSE,"Chi tiÆt"}</definedName>
    <definedName name="dfdgdf" localSheetId="0" hidden="1">#REF!</definedName>
    <definedName name="dfdgdf" hidden="1">#REF!</definedName>
    <definedName name="DFDSADFADSF" localSheetId="0" hidden="1">{#N/A,#N/A,FALSE,"2~8번"}</definedName>
    <definedName name="DFDSADFADSF" hidden="1">{#N/A,#N/A,FALSE,"2~8번"}</definedName>
    <definedName name="DFDSAFDFD" localSheetId="0" hidden="1">{#N/A,#N/A,FALSE,"부대1"}</definedName>
    <definedName name="DFDSAFDFD" hidden="1">{#N/A,#N/A,FALSE,"부대1"}</definedName>
    <definedName name="DFDSAFSFG" localSheetId="0" hidden="1">{#N/A,#N/A,FALSE,"구조2"}</definedName>
    <definedName name="DFDSAFSFG" hidden="1">{#N/A,#N/A,FALSE,"구조2"}</definedName>
    <definedName name="DFDSAGFDSAG" localSheetId="0" hidden="1">{#N/A,#N/A,FALSE,"혼합골재"}</definedName>
    <definedName name="DFDSAGFDSAG" hidden="1">{#N/A,#N/A,FALSE,"혼합골재"}</definedName>
    <definedName name="dfdsf" localSheetId="0" hidden="1">#REF!</definedName>
    <definedName name="dfdsf" hidden="1">#REF!</definedName>
    <definedName name="DFDSFD" localSheetId="0" hidden="1">{#N/A,#N/A,FALSE,"속도"}</definedName>
    <definedName name="DFDSFD" hidden="1">{#N/A,#N/A,FALSE,"속도"}</definedName>
    <definedName name="DFDSFDFDFD" localSheetId="0" hidden="1">{#N/A,#N/A,FALSE,"구조1"}</definedName>
    <definedName name="DFDSFDFDFD" hidden="1">{#N/A,#N/A,FALSE,"구조1"}</definedName>
    <definedName name="DFDSFDS" localSheetId="0" hidden="1">{#N/A,#N/A,FALSE,"부대2"}</definedName>
    <definedName name="DFDSFDS" hidden="1">{#N/A,#N/A,FALSE,"부대2"}</definedName>
    <definedName name="DFDSSF" localSheetId="0" hidden="1">{#N/A,#N/A,FALSE,"이정표"}</definedName>
    <definedName name="DFDSSF" hidden="1">{#N/A,#N/A,FALSE,"이정표"}</definedName>
    <definedName name="dfef" localSheetId="0" hidden="1">#REF!</definedName>
    <definedName name="dfef" hidden="1">#REF!</definedName>
    <definedName name="DFF" localSheetId="0" hidden="1">{#N/A,#N/A,TRUE,"SUM";#N/A,#N/A,TRUE,"EE";#N/A,#N/A,TRUE,"AC";#N/A,#N/A,TRUE,"SN"}</definedName>
    <definedName name="DFF" hidden="1">{#N/A,#N/A,TRUE,"SUM";#N/A,#N/A,TRUE,"EE";#N/A,#N/A,TRUE,"AC";#N/A,#N/A,TRUE,"SN"}</definedName>
    <definedName name="dffd" localSheetId="0" hidden="1">#REF!</definedName>
    <definedName name="dffd" hidden="1">#REF!</definedName>
    <definedName name="DFFF" localSheetId="0" hidden="1">{"'Sheet1'!$L$16"}</definedName>
    <definedName name="DFFF" hidden="1">{"'Sheet1'!$L$16"}</definedName>
    <definedName name="dffgfd" localSheetId="0" hidden="1">#REF!</definedName>
    <definedName name="dffgfd" hidden="1">#REF!</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fa" localSheetId="0" hidden="1">{#N/A,#N/A,TRUE,"BT M200 da 10x20"}</definedName>
    <definedName name="dfgadfa" hidden="1">{#N/A,#N/A,TRUE,"BT M200 da 10x20"}</definedName>
    <definedName name="DFGADSGAFDG" localSheetId="0" hidden="1">{#N/A,#N/A,FALSE,"운반시간"}</definedName>
    <definedName name="DFGADSGAFDG" hidden="1">{#N/A,#N/A,FALSE,"운반시간"}</definedName>
    <definedName name="dfgdg" localSheetId="0" hidden="1">#REF!</definedName>
    <definedName name="dfgdg" hidden="1">#REF!</definedName>
    <definedName name="dfgdgfdg" localSheetId="0" hidden="1">#REF!</definedName>
    <definedName name="dfgdgfdg" hidden="1">#REF!</definedName>
    <definedName name="dfggfj" localSheetId="0" hidden="1">{0}</definedName>
    <definedName name="dfggfj" hidden="1">{0}</definedName>
    <definedName name="dfggg" localSheetId="0" hidden="1">{"'Sheet1'!$L$16"}</definedName>
    <definedName name="dfggg" hidden="1">{"'Sheet1'!$L$16"}</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localSheetId="0" hidden="1">{#N/A,#N/A,FALSE,"Chi tiÆt"}</definedName>
    <definedName name="dfgh" hidden="1">{#N/A,#N/A,FALSE,"Chi tiÆt"}</definedName>
    <definedName name="dfgrgqrrr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gf" localSheetId="0" hidden="1">#REF!</definedName>
    <definedName name="dfgsdgf" hidden="1">#REF!</definedName>
    <definedName name="dfgsdsdfe" localSheetId="0" hidden="1">{"'Sheet1'!$L$16"}</definedName>
    <definedName name="dfgsdsdfe" hidden="1">{"'Sheet1'!$L$16"}</definedName>
    <definedName name="dfgzxdf" localSheetId="0" hidden="1">{0,#N/A,FALSE,0;0,#N/A,FALSE,0;0,#N/A,FALSE,0;0,#N/A,FALSE,0;0,#N/A,FALSE,0;0,#N/A,FALSE,0;0,#N/A,FALSE,0}</definedName>
    <definedName name="dfgzxdf" hidden="1">{0,#N/A,FALSE,0;0,#N/A,FALSE,0;0,#N/A,FALSE,0;0,#N/A,FALSE,0;0,#N/A,FALSE,0;0,#N/A,FALSE,0;0,#N/A,FALSE,0}</definedName>
    <definedName name="dfh" localSheetId="0" hidden="1">{"'Sheet1'!$L$16"}</definedName>
    <definedName name="dfh" hidden="1">{"'Sheet1'!$L$16"}</definedName>
    <definedName name="DFHDFHRE" localSheetId="0" hidden="1">{#N/A,#N/A,FALSE,"속도"}</definedName>
    <definedName name="DFHDFHRE" hidden="1">{#N/A,#N/A,FALSE,"속도"}</definedName>
    <definedName name="dfhf" localSheetId="0" hidden="1">{"'Sheet1'!$L$16"}</definedName>
    <definedName name="dfhf" hidden="1">{"'Sheet1'!$L$16"}</definedName>
    <definedName name="dfhh" localSheetId="0" hidden="1">{#N/A,#N/A,FALSE,"Chi tiÆt"}</definedName>
    <definedName name="dfhh" hidden="1">{#N/A,#N/A,FALSE,"Chi tiÆt"}</definedName>
    <definedName name="dfhp" localSheetId="0" hidden="1">{"'Sheet1'!$L$16"}</definedName>
    <definedName name="dfhp" hidden="1">{"'Sheet1'!$L$16"}</definedName>
    <definedName name="dfjsdhldfgkfd" localSheetId="0" hidden="1">{"'Sheet1'!$L$16"}</definedName>
    <definedName name="dfjsdhldfgkfd" hidden="1">{"'Sheet1'!$L$16"}</definedName>
    <definedName name="dfkfksf" localSheetId="0" hidden="1">#REF!</definedName>
    <definedName name="dfkfksf" hidden="1">#REF!</definedName>
    <definedName name="dfre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localSheetId="0" hidden="1">#REF!</definedName>
    <definedName name="dfrgthyyy" hidden="1">#REF!</definedName>
    <definedName name="dfs" localSheetId="0" hidden="1">{#N/A,#N/A,TRUE,"SUM";#N/A,#N/A,TRUE,"EE";#N/A,#N/A,TRUE,"AC";#N/A,#N/A,TRUE,"SN"}</definedName>
    <definedName name="dfs" hidden="1">{#N/A,#N/A,TRUE,"SUM";#N/A,#N/A,TRUE,"EE";#N/A,#N/A,TRUE,"AC";#N/A,#N/A,TRUE,"SN"}</definedName>
    <definedName name="DFSAFSAFD" localSheetId="0" hidden="1">#REF!</definedName>
    <definedName name="DFSAFSAFD" hidden="1">#REF!</definedName>
    <definedName name="dfsd" localSheetId="0" hidden="1">#REF!</definedName>
    <definedName name="dfsd" hidden="1">#REF!</definedName>
    <definedName name="DFSDF" localSheetId="0" hidden="1">{"'Sheet1'!$L$16"}</definedName>
    <definedName name="DFSDF" hidden="1">{"'Sheet1'!$L$16"}</definedName>
    <definedName name="DFSF" localSheetId="0" hidden="1">{#N/A,#N/A,FALSE,"特殊室（ＢＱ表）"}</definedName>
    <definedName name="DFSF" hidden="1">{#N/A,#N/A,FALSE,"特殊室（ＢＱ表）"}</definedName>
    <definedName name="dfsfs" localSheetId="0" hidden="1">#REF!</definedName>
    <definedName name="dfsfs" hidden="1">#REF!</definedName>
    <definedName name="dfsfsd" hidden="1">#REF!</definedName>
    <definedName name="dfsgsag" localSheetId="0" hidden="1">{"'Sheet1'!$L$16"}</definedName>
    <definedName name="dfsgsag" hidden="1">{"'Sheet1'!$L$16"}</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BH" localSheetId="0" hidden="1">{"'Sheet1'!$L$16"}</definedName>
    <definedName name="DGBH" hidden="1">{"'Sheet1'!$L$16"}</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FGDG" localSheetId="0" hidden="1">{#N/A,#N/A,FALSE,"배수1"}</definedName>
    <definedName name="DGDFGFGDG" hidden="1">{#N/A,#N/A,FALSE,"배수1"}</definedName>
    <definedName name="dgdghdgdg" localSheetId="0" hidden="1">#REF!</definedName>
    <definedName name="dgdghdgdg" hidden="1">#REF!</definedName>
    <definedName name="dgdjdkgd" localSheetId="0" hidden="1">{#N/A,#N/A,FALSE,"CCTV"}</definedName>
    <definedName name="dgdjdkgd" hidden="1">{#N/A,#N/A,FALSE,"CCTV"}</definedName>
    <definedName name="DGF" localSheetId="0" hidden="1">{#N/A,#N/A,FALSE,"特殊室（ＢＱ表）"}</definedName>
    <definedName name="DGF" hidden="1">{#N/A,#N/A,FALSE,"特殊室（ＢＱ表）"}</definedName>
    <definedName name="DGFDG" localSheetId="0" hidden="1">{#N/A,#N/A,FALSE,"特殊室（ＢＱ表）"}</definedName>
    <definedName name="DGFDG" hidden="1">{#N/A,#N/A,FALSE,"特殊室（ＢＱ表）"}</definedName>
    <definedName name="DGFDS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 localSheetId="0" hidden="1">{#N/A,#N/A,FALSE,"2~8번"}</definedName>
    <definedName name="dgfgf" hidden="1">{#N/A,#N/A,FALSE,"2~8번"}</definedName>
    <definedName name="dgfgjgj" localSheetId="0" hidden="1">{#N/A,#N/A,FALSE,"CCTV"}</definedName>
    <definedName name="dgfgjgj" hidden="1">{#N/A,#N/A,FALSE,"CCTV"}</definedName>
    <definedName name="dgfq" localSheetId="0" hidden="1">#REF!</definedName>
    <definedName name="dgfq" hidden="1">#REF!</definedName>
    <definedName name="dggdl" localSheetId="0" hidden="1">#REF!</definedName>
    <definedName name="dggdl" hidden="1">#REF!</definedName>
    <definedName name="dggfhd" localSheetId="0" hidden="1">{#N/A,#N/A,FALSE,"Chi tiÆt"}</definedName>
    <definedName name="dggfhd" hidden="1">{#N/A,#N/A,FALSE,"Chi tiÆt"}</definedName>
    <definedName name="dggjgdj" localSheetId="0" hidden="1">#REF!</definedName>
    <definedName name="dggjgdj" hidden="1">#REF!</definedName>
    <definedName name="DGH" localSheetId="0" hidden="1">{#N/A,#N/A,FALSE,"조골재"}</definedName>
    <definedName name="DGH" hidden="1">{#N/A,#N/A,FALSE,"조골재"}</definedName>
    <definedName name="dghg" localSheetId="0" hidden="1">{"'Sheet1'!$L$16"}</definedName>
    <definedName name="dghg" hidden="1">{"'Sheet1'!$L$16"}</definedName>
    <definedName name="dghjyuk" localSheetId="0" hidden="1">{"'Sheet1'!$L$16"}</definedName>
    <definedName name="dghjyuk" hidden="1">{"'Sheet1'!$L$16"}</definedName>
    <definedName name="DGKL" localSheetId="0" hidden="1">#REF!</definedName>
    <definedName name="DGKL" hidden="1">#REF!</definedName>
    <definedName name="dgsgsg" localSheetId="0" hidden="1">{"'Sheet1'!$L$16"}</definedName>
    <definedName name="dgsgsg" hidden="1">{"'Sheet1'!$L$16"}</definedName>
    <definedName name="dh" localSheetId="0" hidden="1">{#N/A,#N/A,FALSE,"Chi tiÆt"}</definedName>
    <definedName name="dh" hidden="1">{#N/A,#N/A,FALSE,"Chi tiÆt"}</definedName>
    <definedName name="dhdhd" localSheetId="0" hidden="1">{"'Sheet1'!$L$16"}</definedName>
    <definedName name="dhdhd" hidden="1">{"'Sheet1'!$L$16"}</definedName>
    <definedName name="dhfsg" localSheetId="0" hidden="1">#REF!</definedName>
    <definedName name="dhfsg" hidden="1">#REF!</definedName>
    <definedName name="dhh" localSheetId="0" hidden="1">{"'Sheet1'!$L$16"}</definedName>
    <definedName name="dhh" hidden="1">{"'Sheet1'!$L$16"}</definedName>
    <definedName name="dhj" localSheetId="0" hidden="1">{"'용역비'!$A$4:$C$8"}</definedName>
    <definedName name="dhj" hidden="1">{"'용역비'!$A$4:$C$8"}</definedName>
    <definedName name="dhjddddddddddddddddddddddd" localSheetId="0" hidden="1">#REF!</definedName>
    <definedName name="dhjddddddddddddddddddddddd" hidden="1">#REF!</definedName>
    <definedName name="dhjdhhj" localSheetId="0" hidden="1">#REF!</definedName>
    <definedName name="dhjdhhj" hidden="1">#REF!</definedName>
    <definedName name="DIAMOND" localSheetId="0" hidden="1">{"'장비'!$A$3:$M$12"}</definedName>
    <definedName name="DIAMOND" hidden="1">{"'장비'!$A$3:$M$12"}</definedName>
    <definedName name="dien" localSheetId="0" hidden="1">{"'Sheet1'!$L$16"}</definedName>
    <definedName name="dien" hidden="1">{"'Sheet1'!$L$16"}</definedName>
    <definedName name="diengiai" localSheetId="0" hidden="1">{"'Sheet1'!$L$16"}</definedName>
    <definedName name="diengiai" hidden="1">{"'Sheet1'!$L$16"}</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rect1" localSheetId="0" hidden="1">#REF!</definedName>
    <definedName name="direct1" hidden="1">#REF!</definedName>
    <definedName name="Discount" localSheetId="10" hidden="1">#REF!</definedName>
    <definedName name="Discount" hidden="1">#REF!</definedName>
    <definedName name="display_area_2" localSheetId="10" hidden="1">#REF!</definedName>
    <definedName name="display_area_2" hidden="1">#REF!</definedName>
    <definedName name="dj" localSheetId="0" hidden="1">{"'Sheet1'!$L$16"}</definedName>
    <definedName name="dj" hidden="1">{"'Sheet1'!$L$16"}</definedName>
    <definedName name="djhfyt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gklsdfgj" localSheetId="0" hidden="1">{"'Sheet1'!$L$16"}</definedName>
    <definedName name="djkgklsdfgj" hidden="1">{"'Sheet1'!$L$16"}</definedName>
    <definedName name="dkdjhlajf"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localSheetId="0" hidden="1">{#N/A,#N/A,FALSE,"명세표"}</definedName>
    <definedName name="dkdkdkdkd" hidden="1">{#N/A,#N/A,FALSE,"명세표"}</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ldldldll" localSheetId="0" hidden="1">#REF!</definedName>
    <definedName name="dldldldll" hidden="1">#REF!</definedName>
    <definedName name="dldyddn" localSheetId="0" hidden="1">{"'별표'!$N$220"}</definedName>
    <definedName name="dldyddn" hidden="1">{"'별표'!$N$220"}</definedName>
    <definedName name="dlff" localSheetId="0" hidden="1">{#N/A,#N/A,FALSE,"운반시간"}</definedName>
    <definedName name="dlff" hidden="1">{#N/A,#N/A,FALSE,"운반시간"}</definedName>
    <definedName name="dlfl" localSheetId="0" hidden="1">{#N/A,#N/A,FALSE,"지침";#N/A,#N/A,FALSE,"환경분석";#N/A,#N/A,FALSE,"Sheet16"}</definedName>
    <definedName name="dlfl" hidden="1">{#N/A,#N/A,FALSE,"지침";#N/A,#N/A,FALSE,"환경분석";#N/A,#N/A,FALSE,"Sheet16"}</definedName>
    <definedName name="DMKJUXF" localSheetId="0" hidden="1">{#N/A,#N/A,FALSE,"포장2"}</definedName>
    <definedName name="DMKJUXF" hidden="1">{#N/A,#N/A,FALSE,"포장2"}</definedName>
    <definedName name="dmxl2" localSheetId="0" hidden="1">{"'Sheet1'!$L$16"}</definedName>
    <definedName name="dmxl2" hidden="1">{"'Sheet1'!$L$16"}</definedName>
    <definedName name="dn" localSheetId="0" hidden="1">{#N/A,#N/A,FALSE,"혼합골재"}</definedName>
    <definedName name="dn" hidden="1">{#N/A,#N/A,FALSE,"혼합골재"}</definedName>
    <definedName name="DN1_CT5" localSheetId="0" hidden="1">{"'Sheet1'!$L$16"}</definedName>
    <definedName name="DN1_CT5" hidden="1">{"'Sheet1'!$L$16"}</definedName>
    <definedName name="DNCJFGHH" localSheetId="0" hidden="1">#REF!</definedName>
    <definedName name="DNCJFGHH" hidden="1">#REF!</definedName>
    <definedName name="DNFLF" localSheetId="0" hidden="1">{#N/A,#N/A,FALSE,"지침";#N/A,#N/A,FALSE,"환경분석";#N/A,#N/A,FALSE,"Sheet16"}</definedName>
    <definedName name="DNFLF" hidden="1">{#N/A,#N/A,FALSE,"지침";#N/A,#N/A,FALSE,"환경분석";#N/A,#N/A,FALSE,"Sheet16"}</definedName>
    <definedName name="DNTT" localSheetId="0" hidden="1">{"NGUYEN QUI THIEP - Personal View",#N/A,FALSE,"XDCB.HT.FUR."}</definedName>
    <definedName name="DNTT" hidden="1">{"NGUYEN QUI THIEP - Personal View",#N/A,FALSE,"XDCB.HT.FUR."}</definedName>
    <definedName name="dntt10" localSheetId="0" hidden="1">{"'Sheet1'!$L$16"}</definedName>
    <definedName name="dntt10" hidden="1">{"'Sheet1'!$L$16"}</definedName>
    <definedName name="dntt9" localSheetId="0" hidden="1">{"'Sheet1'!$L$16"}</definedName>
    <definedName name="dntt9" hidden="1">{"'Sheet1'!$L$16"}</definedName>
    <definedName name="dnhgh" localSheetId="0" hidden="1">#REF!</definedName>
    <definedName name="dnhgh" hidden="1">#REF!</definedName>
    <definedName name="doc" localSheetId="0" hidden="1">{"'Sheet1'!$L$16"}</definedName>
    <definedName name="doc" hidden="1">{"'Sheet1'!$L$16"}</definedName>
    <definedName name="Domain" localSheetId="0" hidden="1">#REF!</definedName>
    <definedName name="Domain" hidden="1">#REF!</definedName>
    <definedName name="DpFKDL" localSheetId="0" hidden="1">{#N/A,#N/A,FALSE,"이태원철근"}</definedName>
    <definedName name="DpFKDL" hidden="1">{#N/A,#N/A,FALSE,"이태원철근"}</definedName>
    <definedName name="dQlda_BuocTKRng" localSheetId="0" hidden="1">#REF!</definedName>
    <definedName name="dQlda_BuocTKRng" hidden="1">#REF!</definedName>
    <definedName name="dQlda_CapCtRng" localSheetId="0" hidden="1">#REF!</definedName>
    <definedName name="dQlda_CapCtRng" hidden="1">#REF!</definedName>
    <definedName name="dQlda_GdpVal" localSheetId="0" hidden="1">10%*('ĐIỀU KHOẢN'!dQlda_GxlGtbVal+'ĐIỀU KHOẢN'!dQlda_GcpkVal)/10^9</definedName>
    <definedName name="dQlda_GdpVal" hidden="1">10%*(dQlda_GxlGtbVal+dQlda_GcpkVal)/10^9</definedName>
    <definedName name="dQlda_GtongVal" localSheetId="0" hidden="1">'ĐIỀU KHOẢN'!dQlda_GxlGtbVal+'ĐIỀU KHOẢN'!dQlda_GcpkVal+10%*('ĐIỀU KHOẢN'!dQlda_GxlGtbVal+'ĐIỀU KHOẢN'!dQlda_GcpkVal)</definedName>
    <definedName name="dQlda_GtongVal" hidden="1">dQlda_GxlGtbVal+dQlda_GcpkVal+10%*(dQlda_GxlGtbVal+dQlda_GcpkVal)</definedName>
    <definedName name="dQlda_GxlGtbVal" localSheetId="0" hidden="1">'ĐIỀU KHOẢN'!dQlda_GxlVal+'ĐIỀU KHOẢN'!dQlda_GtbVal</definedName>
    <definedName name="dQlda_GxlGtbVal" hidden="1">dQlda_GxlVal+dQlda_GtbVal</definedName>
    <definedName name="dQlda_LoaiCtRng" localSheetId="0" hidden="1">#REF!</definedName>
    <definedName name="dQlda_LoaiCtRng" hidden="1">#REF!</definedName>
    <definedName name="DR" localSheetId="0" hidden="1">#REF!</definedName>
    <definedName name="DR" hidden="1">#REF!</definedName>
    <definedName name="Drainag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e" localSheetId="0" hidden="1">#REF!</definedName>
    <definedName name="dre" hidden="1">#REF!</definedName>
    <definedName name="DSA" localSheetId="0" hidden="1">{#N/A,#N/A,FALSE,"포장1";#N/A,#N/A,FALSE,"포장1"}</definedName>
    <definedName name="DSA" hidden="1">{#N/A,#N/A,FALSE,"포장1";#N/A,#N/A,FALSE,"포장1"}</definedName>
    <definedName name="dsaaee" localSheetId="0" hidden="1">{"'Sheet1'!$L$16"}</definedName>
    <definedName name="dsaaee" hidden="1">{"'Sheet1'!$L$16"}</definedName>
    <definedName name="dsada" localSheetId="0" hidden="1">{"'Sheet1'!$L$16"}</definedName>
    <definedName name="dsada" hidden="1">{"'Sheet1'!$L$16"}</definedName>
    <definedName name="dsaddad" localSheetId="0" hidden="1">#REF!</definedName>
    <definedName name="dsaddad" hidden="1">#REF!</definedName>
    <definedName name="dsadsa" localSheetId="0" hidden="1">{"'Sheet1'!$L$16"}</definedName>
    <definedName name="dsadsa" hidden="1">{"'Sheet1'!$L$16"}</definedName>
    <definedName name="DSADSADSA" localSheetId="0" hidden="1">#REF!</definedName>
    <definedName name="DSADSADSA" hidden="1">#REF!</definedName>
    <definedName name="dsaf" localSheetId="0" hidden="1">{#N/A,#N/A,FALSE,"조골재"}</definedName>
    <definedName name="dsaf" hidden="1">{#N/A,#N/A,FALSE,"조골재"}</definedName>
    <definedName name="dsaf_1" localSheetId="0" hidden="1">{#N/A,#N/A,FALSE,"조골재"}</definedName>
    <definedName name="dsaf_1" hidden="1">{#N/A,#N/A,FALSE,"조골재"}</definedName>
    <definedName name="dsafddsdf" localSheetId="0" hidden="1">{"'Sheet1'!$L$16"}</definedName>
    <definedName name="dsafddsdf" hidden="1">{"'Sheet1'!$L$16"}</definedName>
    <definedName name="dsasdasdasd" localSheetId="0" hidden="1">#REF!</definedName>
    <definedName name="dsasdasdasd" hidden="1">#REF!</definedName>
    <definedName name="DSCFD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localSheetId="0" hidden="1">{"'용역비'!$A$4:$C$8"}</definedName>
    <definedName name="dsd" hidden="1">{"'용역비'!$A$4:$C$8"}</definedName>
    <definedName name="dsdd" localSheetId="0" hidden="1">#REF!</definedName>
    <definedName name="dsdd" hidden="1">#REF!</definedName>
    <definedName name="DSDS" localSheetId="0" hidden="1">{#N/A,#N/A,FALSE,"SITE INSTALLATIONS"}</definedName>
    <definedName name="DSDS" hidden="1">{#N/A,#N/A,FALSE,"SITE INSTALLATIONS"}</definedName>
    <definedName name="dsdsd" localSheetId="0" hidden="1">{#N/A,#N/A,FALSE,"운반시간"}</definedName>
    <definedName name="dsdsd" hidden="1">{#N/A,#N/A,FALSE,"운반시간"}</definedName>
    <definedName name="dsdsdgsd" localSheetId="0" hidden="1">#REF!</definedName>
    <definedName name="dsdsdgsd" hidden="1">#REF!</definedName>
    <definedName name="dsewrtg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_1" localSheetId="0" hidden="1">{#N/A,#N/A,FALSE,"골재소요량";#N/A,#N/A,FALSE,"골재소요량"}</definedName>
    <definedName name="DSF_1" hidden="1">{#N/A,#N/A,FALSE,"골재소요량";#N/A,#N/A,FALSE,"골재소요량"}</definedName>
    <definedName name="DSFAR" localSheetId="0" hidden="1">{#N/A,#N/A,FALSE,"CCTV"}</definedName>
    <definedName name="DSFAR" hidden="1">{#N/A,#N/A,FALSE,"CCTV"}</definedName>
    <definedName name="dsfas" localSheetId="0" hidden="1">{"'Sheet1'!$L$16"}</definedName>
    <definedName name="dsfas" hidden="1">{"'Sheet1'!$L$16"}</definedName>
    <definedName name="dsfd" localSheetId="0" hidden="1">#REF!</definedName>
    <definedName name="dsfd" hidden="1">#REF!</definedName>
    <definedName name="DSFDFDS" localSheetId="0" hidden="1">#REF!</definedName>
    <definedName name="DSFDFDS" hidden="1">#REF!</definedName>
    <definedName name="DSFDS" localSheetId="0" hidden="1">{"'Sheet1'!$L$16"}</definedName>
    <definedName name="DSFDS" hidden="1">{"'Sheet1'!$L$16"}</definedName>
    <definedName name="DSFG" localSheetId="0" hidden="1">{#N/A,#N/A,FALSE,"2~8번"}</definedName>
    <definedName name="DSFG" hidden="1">{#N/A,#N/A,FALSE,"2~8번"}</definedName>
    <definedName name="dsfs" localSheetId="0" hidden="1">{"'Sheet1'!$L$16"}</definedName>
    <definedName name="dsfs" hidden="1">{"'Sheet1'!$L$16"}</definedName>
    <definedName name="dsfsad" localSheetId="0" hidden="1">{"'Sheet1'!$L$16"}</definedName>
    <definedName name="dsfsad" hidden="1">{"'Sheet1'!$L$16"}</definedName>
    <definedName name="dsfsdf" localSheetId="0" hidden="1">#REF!</definedName>
    <definedName name="dsfsdf" hidden="1">#REF!</definedName>
    <definedName name="dsfsf" localSheetId="0" hidden="1">#REF!</definedName>
    <definedName name="dsfsf" hidden="1">#REF!</definedName>
    <definedName name="dsg" localSheetId="0" hidden="1">{#N/A,#N/A,FALSE,"Chi tiÆt"}</definedName>
    <definedName name="dsg" hidden="1">{#N/A,#N/A,FALSE,"Chi tiÆt"}</definedName>
    <definedName name="dsgfhtyjjt" localSheetId="0" hidden="1">#REF!</definedName>
    <definedName name="dsgfhtyjjt" hidden="1">#REF!</definedName>
    <definedName name="DSGHE" localSheetId="0" hidden="1">{#N/A,#N/A,FALSE,"단가표지"}</definedName>
    <definedName name="DSGHE" hidden="1">{#N/A,#N/A,FALSE,"단가표지"}</definedName>
    <definedName name="dsgsdfgdfshfgh" localSheetId="0" hidden="1">{"'Sheet1'!$L$16"}</definedName>
    <definedName name="dsgsdfgdfshfgh" hidden="1">{"'Sheet1'!$L$16"}</definedName>
    <definedName name="dsgsdg" localSheetId="0" hidden="1">{"'Sheet1'!$L$16"}</definedName>
    <definedName name="dsgsdg" hidden="1">{"'Sheet1'!$L$16"}</definedName>
    <definedName name="DSGSFWERD" localSheetId="0" hidden="1">{#N/A,#N/A,FALSE,"골재소요량";#N/A,#N/A,FALSE,"골재소요량"}</definedName>
    <definedName name="DSGSFWERD" hidden="1">{#N/A,#N/A,FALSE,"골재소요량";#N/A,#N/A,FALSE,"골재소요량"}</definedName>
    <definedName name="DSH" localSheetId="0" hidden="1">{#N/A,#N/A,FALSE,"Chi tiÆt"}</definedName>
    <definedName name="DSH" hidden="1">{#N/A,#N/A,FALSE,"Chi tiÆt"}</definedName>
    <definedName name="dsjk" localSheetId="0" hidden="1">{"'Sheet1'!$L$16"}</definedName>
    <definedName name="dsjk" hidden="1">{"'Sheet1'!$L$16"}</definedName>
    <definedName name="DSJKLDE" localSheetId="0" hidden="1">{#N/A,#N/A,TRUE,"SUM";#N/A,#N/A,TRUE,"EE";#N/A,#N/A,TRUE,"AC";#N/A,#N/A,TRUE,"SN"}</definedName>
    <definedName name="DSJKLDE" hidden="1">{#N/A,#N/A,TRUE,"SUM";#N/A,#N/A,TRUE,"EE";#N/A,#N/A,TRUE,"AC";#N/A,#N/A,TRUE,"SN"}</definedName>
    <definedName name="dssad" localSheetId="0" hidden="1">{"'Sheet1'!$L$16"}</definedName>
    <definedName name="dssad" hidden="1">{"'Sheet1'!$L$16"}</definedName>
    <definedName name="dt" localSheetId="0" hidden="1">#REF!</definedName>
    <definedName name="dt" hidden="1">#REF!</definedName>
    <definedName name="dtctnd" localSheetId="0" hidden="1">{"'Sheet1'!$L$16"}</definedName>
    <definedName name="dtctnd" hidden="1">{"'Sheet1'!$L$16"}</definedName>
    <definedName name="DTKT3" localSheetId="0" hidden="1">{"'Sheet1'!$L$16"}</definedName>
    <definedName name="DTKT3" hidden="1">{"'Sheet1'!$L$16"}</definedName>
    <definedName name="DTMG_vumua" localSheetId="0" hidden="1">{#N/A,#N/A,FALSE,"Chi tiÆt"}</definedName>
    <definedName name="DTMG_vumua" hidden="1">{#N/A,#N/A,FALSE,"Chi tiÆt"}</definedName>
    <definedName name="DTTK" localSheetId="0" hidden="1">{"'Sheet1'!$L$16"}</definedName>
    <definedName name="DTTK" hidden="1">{"'Sheet1'!$L$16"}</definedName>
    <definedName name="dthft" localSheetId="0" hidden="1">{"'Sheet1'!$L$16"}</definedName>
    <definedName name="dthft" hidden="1">{"'Sheet1'!$L$16"}</definedName>
    <definedName name="dTHKP_Rng" localSheetId="0" hidden="1">#REF!</definedName>
    <definedName name="dTHKP_Rng" hidden="1">#REF!</definedName>
    <definedName name="dtrhgnb" localSheetId="0" hidden="1">{#N/A,#N/A,FALSE,"2~8번"}</definedName>
    <definedName name="dtrhgnb" hidden="1">{#N/A,#N/A,FALSE,"2~8번"}</definedName>
    <definedName name="Du" localSheetId="0" hidden="1">#REF!</definedName>
    <definedName name="Du" hidden="1">#REF!</definedName>
    <definedName name="duc" localSheetId="0" hidden="1">{"'Sheet1'!$L$16"}</definedName>
    <definedName name="duc" hidden="1">{"'Sheet1'!$L$16"}</definedName>
    <definedName name="DucO" localSheetId="0" hidden="1">{"'Sheet1'!$L$16"}</definedName>
    <definedName name="DucO" hidden="1">{"'Sheet1'!$L$16"}</definedName>
    <definedName name="DUCT" localSheetId="10" hidden="1">{#N/A,#N/A,FALSE,"Sheet1"}</definedName>
    <definedName name="DUCT" localSheetId="0" hidden="1">{#N/A,#N/A,FALSE,"Sheet1"}</definedName>
    <definedName name="DUCT" hidden="1">{#N/A,#N/A,FALSE,"Sheet1"}</definedName>
    <definedName name="ducta4" localSheetId="0" hidden="1">#REF!</definedName>
    <definedName name="ducta4" hidden="1">#REF!</definedName>
    <definedName name="dumbwaiter" localSheetId="0" hidden="1">{#N/A,#N/A,FALSE,"Sheet1";#N/A,#N/A,FALSE,"Sheet3";#N/A,#N/A,FALSE,"Sheet5"}</definedName>
    <definedName name="dumbwaiter" hidden="1">{#N/A,#N/A,FALSE,"Sheet1";#N/A,#N/A,FALSE,"Sheet3";#N/A,#N/A,FALSE,"Sheet5"}</definedName>
    <definedName name="DUNG" localSheetId="0" hidden="1">{"'Sheet1'!$L$16"}</definedName>
    <definedName name="DUNG" hidden="1">{"'Sheet1'!$L$16"}</definedName>
    <definedName name="Duong1" localSheetId="0" hidden="1">{"'Sheet1'!$L$16"}</definedName>
    <definedName name="Duong1" hidden="1">{"'Sheet1'!$L$16"}</definedName>
    <definedName name="Duongnaco" localSheetId="0" hidden="1">{"'Sheet1'!$L$16"}</definedName>
    <definedName name="Duongnaco" hidden="1">{"'Sheet1'!$L$16"}</definedName>
    <definedName name="dutoanc2" localSheetId="0" hidden="1">{"'Sheet1'!$L$16"}</definedName>
    <definedName name="dutoanc2" hidden="1">{"'Sheet1'!$L$16"}</definedName>
    <definedName name="dutruchiphi" localSheetId="0" hidden="1">{"NGUYEN QUI THIEP - Personal View",#N/A,FALSE,"XDCB.HT.FUR."}</definedName>
    <definedName name="dutruchiphi" hidden="1">{"NGUYEN QUI THIEP - Personal View",#N/A,FALSE,"XDCB.HT.FUR."}</definedName>
    <definedName name="duy" localSheetId="0" hidden="1">#REF!</definedName>
    <definedName name="duy" hidden="1">#REF!</definedName>
    <definedName name="duyuyen" localSheetId="0" hidden="1">#REF!</definedName>
    <definedName name="duyuyen" hidden="1">#REF!</definedName>
    <definedName name="dvadvS" localSheetId="0" hidden="1">#REF!</definedName>
    <definedName name="dvadvS" hidden="1">#REF!</definedName>
    <definedName name="DW" localSheetId="0" hidden="1">{#N/A,#N/A,FALSE,"배수2"}</definedName>
    <definedName name="DW" hidden="1">{#N/A,#N/A,FALSE,"배수2"}</definedName>
    <definedName name="DWPRICE" hidden="1">#REF!</definedName>
    <definedName name="dwqwq" localSheetId="0" hidden="1">#REF!</definedName>
    <definedName name="dwqwq" hidden="1">#REF!</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y" localSheetId="0" hidden="1">#REF!</definedName>
    <definedName name="Dy" hidden="1">#REF!</definedName>
    <definedName name="đ" localSheetId="0" hidden="1">#REF!</definedName>
    <definedName name="đ" hidden="1">#REF!</definedName>
    <definedName name="đasadas" localSheetId="0" hidden="1">#REF!</definedName>
    <definedName name="đasadas" hidden="1">#REF!</definedName>
    <definedName name="đấ" localSheetId="0" hidden="1">{"'Sheet1'!$L$16"}</definedName>
    <definedName name="đấ" hidden="1">{"'Sheet1'!$L$16"}</definedName>
    <definedName name="đfsfdf" localSheetId="0" hidden="1">{#N/A,#N/A,FALSE,"Tabelle2";#N/A,#N/A,FALSE,"Tabelle1"}</definedName>
    <definedName name="đfsfdf" hidden="1">{#N/A,#N/A,FALSE,"Tabelle2";#N/A,#N/A,FALSE,"Tabelle1"}</definedName>
    <definedName name="đhf" localSheetId="0" hidden="1">{"'Sheet1'!$L$16"}</definedName>
    <definedName name="đhf" hidden="1">{"'Sheet1'!$L$16"}</definedName>
    <definedName name="E" localSheetId="10" hidden="1">{#N/A,#N/A,FALSE,"CCTV"}</definedName>
    <definedName name="e4y" localSheetId="0" hidden="1">{#N/A,#N/A,FALSE,"Chi tiÆt"}</definedName>
    <definedName name="e4y" hidden="1">{#N/A,#N/A,FALSE,"Chi tiÆt"}</definedName>
    <definedName name="EASDS" localSheetId="0" hidden="1">{#N/A,#N/A,TRUE,"ERECTION";#N/A,#N/A,TRUE,"A";#N/A,#N/A,TRUE,"B";#N/A,#N/A,TRUE,"C";#N/A,#N/A,TRUE,"D";#N/A,#N/A,TRUE,"E";#N/A,#N/A,TRUE,"F";#N/A,#N/A,TRUE,"G";#N/A,#N/A,TRUE,"H";#N/A,#N/A,TRUE,"I";#N/A,#N/A,TRUE,"J";#N/A,#N/A,TRUE,"K";#N/A,#N/A,TRUE,"L";#N/A,#N/A,TRUE,"M";#N/A,#N/A,TRUE,"N"}</definedName>
    <definedName name="EASDS" hidden="1">{#N/A,#N/A,TRUE,"ERECTION";#N/A,#N/A,TRUE,"A";#N/A,#N/A,TRUE,"B";#N/A,#N/A,TRUE,"C";#N/A,#N/A,TRUE,"D";#N/A,#N/A,TRUE,"E";#N/A,#N/A,TRUE,"F";#N/A,#N/A,TRUE,"G";#N/A,#N/A,TRUE,"H";#N/A,#N/A,TRUE,"I";#N/A,#N/A,TRUE,"J";#N/A,#N/A,TRUE,"K";#N/A,#N/A,TRUE,"L";#N/A,#N/A,TRUE,"M";#N/A,#N/A,TRUE,"N"}</definedName>
    <definedName name="ED" localSheetId="10" hidden="1">{#N/A,#N/A,FALSE,"CCTV"}</definedName>
    <definedName name="ED" localSheetId="0" hidden="1">{#N/A,#N/A,FALSE,"CCTV"}</definedName>
    <definedName name="ED" hidden="1">{#N/A,#N/A,FALSE,"CCTV"}</definedName>
    <definedName name="edasdad" localSheetId="0" hidden="1">#REF!</definedName>
    <definedName name="edasdad" hidden="1">#REF!</definedName>
    <definedName name="edd" localSheetId="0" hidden="1">{"'Sheet1'!$L$16"}</definedName>
    <definedName name="edd" hidden="1">{"'Sheet1'!$L$16"}</definedName>
    <definedName name="edffggg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ssqq" localSheetId="0" hidden="1">{#N/A,#N/A,FALSE,"혼합골재"}</definedName>
    <definedName name="edssqq" hidden="1">{#N/A,#N/A,FALSE,"혼합골재"}</definedName>
    <definedName name="edwfrhjy" localSheetId="0" hidden="1">#REF!</definedName>
    <definedName name="edwfrhjy" hidden="1">#REF!</definedName>
    <definedName name="edwtgfdsgf" localSheetId="0" hidden="1">{"'Sheet1'!$L$16"}</definedName>
    <definedName name="edwtgfdsgf" hidden="1">{"'Sheet1'!$L$16"}</definedName>
    <definedName name="eed" localSheetId="0" hidden="1">{#N/A,#N/A,FALSE,"단가표지"}</definedName>
    <definedName name="eed" hidden="1">{#N/A,#N/A,FALSE,"단가표지"}</definedName>
    <definedName name="eee" localSheetId="0" hidden="1">{"'Liquid'!$A$1:$U$57"}</definedName>
    <definedName name="eee" hidden="1">{"'Liquid'!$A$1:$U$57"}</definedName>
    <definedName name="eee_1" localSheetId="0" hidden="1">{#N/A,#N/A,FALSE,"2~8번"}</definedName>
    <definedName name="eee_1" hidden="1">{#N/A,#N/A,FALSE,"2~8번"}</definedName>
    <definedName name="eeee" localSheetId="0" hidden="1">#REF!</definedName>
    <definedName name="eeee" hidden="1">#REF!</definedName>
    <definedName name="eeeed" localSheetId="0" hidden="1">#REF!</definedName>
    <definedName name="eeeed" hidden="1">#REF!</definedName>
    <definedName name="eeeee" localSheetId="0" hidden="1">{#N/A,#N/A,TRUE,"SUM";#N/A,#N/A,TRUE,"EE";#N/A,#N/A,TRUE,"AC";#N/A,#N/A,TRUE,"SN"}</definedName>
    <definedName name="eeeee" hidden="1">{#N/A,#N/A,TRUE,"SUM";#N/A,#N/A,TRUE,"EE";#N/A,#N/A,TRUE,"AC";#N/A,#N/A,TRUE,"SN"}</definedName>
    <definedName name="EEEEEEE" localSheetId="0" hidden="1">#REF!</definedName>
    <definedName name="EEEEEEE" hidden="1">#REF!</definedName>
    <definedName name="EEEEEEEEE" localSheetId="0" hidden="1">#REF!</definedName>
    <definedName name="EEEEEEEEE" hidden="1">#REF!</definedName>
    <definedName name="eeeeeeeeeee" localSheetId="0" hidden="1">#REF!</definedName>
    <definedName name="eeeeeeeeeee" hidden="1">#REF!</definedName>
    <definedName name="eeese" localSheetId="0" hidden="1">#REF!</definedName>
    <definedName name="eeese" hidden="1">#REF!</definedName>
    <definedName name="eef" localSheetId="0" hidden="1">{"'Sheet1'!$L$16"}</definedName>
    <definedName name="eef" hidden="1">{"'Sheet1'!$L$16"}</definedName>
    <definedName name="eere" localSheetId="0" hidden="1">#REF!</definedName>
    <definedName name="eere" hidden="1">#REF!</definedName>
    <definedName name="eerefdg" localSheetId="0" hidden="1">{#N/A,#N/A,FALSE,"CCTV"}</definedName>
    <definedName name="eerefdg" hidden="1">{#N/A,#N/A,FALSE,"CCTV"}</definedName>
    <definedName name="ees" localSheetId="0" hidden="1">#REF!</definedName>
    <definedName name="ees" hidden="1">#REF!</definedName>
    <definedName name="efdff" localSheetId="0" hidden="1">#REF!</definedName>
    <definedName name="efdff" hidden="1">#REF!</definedName>
    <definedName name="EFFFE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ẻger" localSheetId="0" hidden="1">{#N/A,#N/A,TRUE,"BT M200 da 10x20"}</definedName>
    <definedName name="ẻger" hidden="1">{#N/A,#N/A,TRUE,"BT M200 da 10x20"}</definedName>
    <definedName name="egrdyrtu" localSheetId="0" hidden="1">#REF!</definedName>
    <definedName name="egrdyrtu" hidden="1">#REF!</definedName>
    <definedName name="egsf" localSheetId="0" hidden="1">{"'Sheet1'!$L$16"}</definedName>
    <definedName name="egsf" hidden="1">{"'Sheet1'!$L$16"}</definedName>
    <definedName name="ẻgwe" localSheetId="0" hidden="1">{"'Sheet1'!$L$16"}</definedName>
    <definedName name="ẻgwe" hidden="1">{"'Sheet1'!$L$16"}</definedName>
    <definedName name="ẻgwrq" localSheetId="0" hidden="1">#REF!</definedName>
    <definedName name="ẻgwrq" hidden="1">#REF!</definedName>
    <definedName name="eïhd" localSheetId="0" hidden="1">{"'Sheet1'!$L$16"}</definedName>
    <definedName name="eïhd" hidden="1">{"'Sheet1'!$L$16"}</definedName>
    <definedName name="EK" localSheetId="0" hidden="1">#REF!</definedName>
    <definedName name="EK" hidden="1">#REF!</definedName>
    <definedName name="ELEC" localSheetId="0" hidden="1">#REF!</definedName>
    <definedName name="ELEC" hidden="1">#REF!</definedName>
    <definedName name="elle18" localSheetId="0" hidden="1">{#N/A,#N/A,FALSE,"CCTV"}</definedName>
    <definedName name="elle18" hidden="1">{#N/A,#N/A,FALSE,"CCTV"}</definedName>
    <definedName name="ELLEN1" localSheetId="10" hidden="1">{#N/A,#N/A,FALSE,"CCTV"}</definedName>
    <definedName name="ELLEN1" localSheetId="0" hidden="1">{#N/A,#N/A,FALSE,"CCTV"}</definedName>
    <definedName name="ELLEN1" hidden="1">{#N/A,#N/A,FALSE,"CCTV"}</definedName>
    <definedName name="ELLEN10" localSheetId="10" hidden="1">{#N/A,#N/A,FALSE,"CCTV"}</definedName>
    <definedName name="ELLEN10" localSheetId="0" hidden="1">{#N/A,#N/A,FALSE,"CCTV"}</definedName>
    <definedName name="ELLEN10" hidden="1">{#N/A,#N/A,FALSE,"CCTV"}</definedName>
    <definedName name="ELLEN11" localSheetId="10" hidden="1">{#N/A,#N/A,FALSE,"CCTV"}</definedName>
    <definedName name="ELLEN11" localSheetId="0" hidden="1">{#N/A,#N/A,FALSE,"CCTV"}</definedName>
    <definedName name="ELLEN11" hidden="1">{#N/A,#N/A,FALSE,"CCTV"}</definedName>
    <definedName name="ELLEN12" localSheetId="10" hidden="1">{#N/A,#N/A,FALSE,"CCTV"}</definedName>
    <definedName name="ELLEN12" localSheetId="0" hidden="1">{#N/A,#N/A,FALSE,"CCTV"}</definedName>
    <definedName name="ELLEN12" hidden="1">{#N/A,#N/A,FALSE,"CCTV"}</definedName>
    <definedName name="ELLEN13" localSheetId="10" hidden="1">{#N/A,#N/A,FALSE,"CCTV"}</definedName>
    <definedName name="ELLEN13" localSheetId="0" hidden="1">{#N/A,#N/A,FALSE,"CCTV"}</definedName>
    <definedName name="ELLEN13" hidden="1">{#N/A,#N/A,FALSE,"CCTV"}</definedName>
    <definedName name="ELLEN14" localSheetId="10" hidden="1">{#N/A,#N/A,FALSE,"CCTV"}</definedName>
    <definedName name="ELLEN14" localSheetId="0" hidden="1">{#N/A,#N/A,FALSE,"CCTV"}</definedName>
    <definedName name="ELLEN14" hidden="1">{#N/A,#N/A,FALSE,"CCTV"}</definedName>
    <definedName name="ELLEN15" localSheetId="10" hidden="1">{#N/A,#N/A,FALSE,"CCTV"}</definedName>
    <definedName name="ELLEN15" localSheetId="0" hidden="1">{#N/A,#N/A,FALSE,"CCTV"}</definedName>
    <definedName name="ELLEN15" hidden="1">{#N/A,#N/A,FALSE,"CCTV"}</definedName>
    <definedName name="ELLEN16" localSheetId="10" hidden="1">{#N/A,#N/A,FALSE,"CCTV"}</definedName>
    <definedName name="ELLEN16" localSheetId="0" hidden="1">{#N/A,#N/A,FALSE,"CCTV"}</definedName>
    <definedName name="ELLEN16" hidden="1">{#N/A,#N/A,FALSE,"CCTV"}</definedName>
    <definedName name="ELLEN17" localSheetId="10" hidden="1">{#N/A,#N/A,FALSE,"CCTV"}</definedName>
    <definedName name="ELLEN17" localSheetId="0" hidden="1">{#N/A,#N/A,FALSE,"CCTV"}</definedName>
    <definedName name="ELLEN17" hidden="1">{#N/A,#N/A,FALSE,"CCTV"}</definedName>
    <definedName name="ELLEN18" localSheetId="10" hidden="1">{#N/A,#N/A,FALSE,"CCTV"}</definedName>
    <definedName name="ELLEN18" localSheetId="0" hidden="1">{#N/A,#N/A,FALSE,"CCTV"}</definedName>
    <definedName name="ELLEN18" hidden="1">{#N/A,#N/A,FALSE,"CCTV"}</definedName>
    <definedName name="ELLEN19" localSheetId="10" hidden="1">{#N/A,#N/A,FALSE,"CCTV"}</definedName>
    <definedName name="ELLEN19" localSheetId="0" hidden="1">{#N/A,#N/A,FALSE,"CCTV"}</definedName>
    <definedName name="ELLEN19" hidden="1">{#N/A,#N/A,FALSE,"CCTV"}</definedName>
    <definedName name="ELLEN2" localSheetId="10" hidden="1">{#N/A,#N/A,FALSE,"CCTV"}</definedName>
    <definedName name="ELLEN2" localSheetId="0" hidden="1">{#N/A,#N/A,FALSE,"CCTV"}</definedName>
    <definedName name="ELLEN2" hidden="1">{#N/A,#N/A,FALSE,"CCTV"}</definedName>
    <definedName name="ELLEN3" localSheetId="10" hidden="1">{#N/A,#N/A,FALSE,"CCTV"}</definedName>
    <definedName name="ELLEN3" localSheetId="0" hidden="1">{#N/A,#N/A,FALSE,"CCTV"}</definedName>
    <definedName name="ELLEN3" hidden="1">{#N/A,#N/A,FALSE,"CCTV"}</definedName>
    <definedName name="ELLEN4" localSheetId="10" hidden="1">{#N/A,#N/A,FALSE,"CCTV"}</definedName>
    <definedName name="ELLEN4" localSheetId="0" hidden="1">{#N/A,#N/A,FALSE,"CCTV"}</definedName>
    <definedName name="ELLEN4" hidden="1">{#N/A,#N/A,FALSE,"CCTV"}</definedName>
    <definedName name="ELLEN5" localSheetId="10" hidden="1">{#N/A,#N/A,FALSE,"CCTV"}</definedName>
    <definedName name="ELLEN5" localSheetId="0" hidden="1">{#N/A,#N/A,FALSE,"CCTV"}</definedName>
    <definedName name="ELLEN5" hidden="1">{#N/A,#N/A,FALSE,"CCTV"}</definedName>
    <definedName name="ELLEN6" localSheetId="10" hidden="1">{#N/A,#N/A,FALSE,"CCTV"}</definedName>
    <definedName name="ELLEN6" localSheetId="0" hidden="1">{#N/A,#N/A,FALSE,"CCTV"}</definedName>
    <definedName name="ELLEN6" hidden="1">{#N/A,#N/A,FALSE,"CCTV"}</definedName>
    <definedName name="ELLEN7" localSheetId="10" hidden="1">{#N/A,#N/A,FALSE,"CCTV"}</definedName>
    <definedName name="ELLEN7" localSheetId="0" hidden="1">{#N/A,#N/A,FALSE,"CCTV"}</definedName>
    <definedName name="ELLEN7" hidden="1">{#N/A,#N/A,FALSE,"CCTV"}</definedName>
    <definedName name="ELLEN8" localSheetId="10" hidden="1">{#N/A,#N/A,FALSE,"CCTV"}</definedName>
    <definedName name="ELLEN8" localSheetId="0" hidden="1">{#N/A,#N/A,FALSE,"CCTV"}</definedName>
    <definedName name="ELLEN8" hidden="1">{#N/A,#N/A,FALSE,"CCTV"}</definedName>
    <definedName name="ELLEN9" localSheetId="10" hidden="1">{#N/A,#N/A,FALSE,"CCTV"}</definedName>
    <definedName name="ELLEN9" localSheetId="0" hidden="1">{#N/A,#N/A,FALSE,"CCTV"}</definedName>
    <definedName name="ELLEN9" hidden="1">{#N/A,#N/A,FALSE,"CCTV"}</definedName>
    <definedName name="elv" localSheetId="0" hidden="1">{"'Sheet1'!$L$16"}</definedName>
    <definedName name="elv" hidden="1">{"'Sheet1'!$L$16"}</definedName>
    <definedName name="EndElectExternal" localSheetId="0" hidden="1">#REF!</definedName>
    <definedName name="EndElectExternal" hidden="1">#REF!</definedName>
    <definedName name="erere" localSheetId="0" hidden="1">#REF!</definedName>
    <definedName name="erere" hidden="1">#REF!</definedName>
    <definedName name="erewaf" localSheetId="0" hidden="1">{#N/A,#N/A,FALSE,"Chi tiÆt"}</definedName>
    <definedName name="erewaf" hidden="1">{#N/A,#N/A,FALSE,"Chi tiÆt"}</definedName>
    <definedName name="­erewarqewrqr" localSheetId="0" hidden="1">#REF!</definedName>
    <definedName name="­erewarqewrqr" hidden="1">#REF!</definedName>
    <definedName name="ERR" localSheetId="0" hidden="1">#REF!</definedName>
    <definedName name="ERR" hidden="1">#REF!</definedName>
    <definedName name="ERT" localSheetId="0" hidden="1">{"'Sheet1'!$L$16"}</definedName>
    <definedName name="ERT" hidden="1">{"'Sheet1'!$L$16"}</definedName>
    <definedName name="erteeh" localSheetId="0" hidden="1">#REF!</definedName>
    <definedName name="erteeh" hidden="1">#REF!</definedName>
    <definedName name="ertwqtg" localSheetId="0" hidden="1">{"'Sheet1'!$L$16"}</definedName>
    <definedName name="ertwqtg" hidden="1">{"'Sheet1'!$L$16"}</definedName>
    <definedName name="erty" localSheetId="0" hidden="1">{"'장비'!$A$3:$M$12"}</definedName>
    <definedName name="erty" hidden="1">{"'장비'!$A$3:$M$12"}</definedName>
    <definedName name="ertyertye" localSheetId="0" hidden="1">{"'용역비'!$A$4:$C$8"}</definedName>
    <definedName name="ertyertye" hidden="1">{"'용역비'!$A$4:$C$8"}</definedName>
    <definedName name="erw" localSheetId="0" hidden="1">#REF!</definedName>
    <definedName name="erw" hidden="1">#REF!</definedName>
    <definedName name="erwe" localSheetId="0" hidden="1">{#N/A,#N/A,FALSE,"Chi tiÆt"}</definedName>
    <definedName name="erwe" hidden="1">{#N/A,#N/A,FALSE,"Chi tiÆt"}</definedName>
    <definedName name="ERWER" localSheetId="0" hidden="1">{#N/A,#N/A,FALSE,"Chi tiÆt"}</definedName>
    <definedName name="ERWER" hidden="1">{#N/A,#N/A,FALSE,"Chi tiÆt"}</definedName>
    <definedName name="eryhrtgabqergerggbvrth" localSheetId="0" hidden="1">#REF!</definedName>
    <definedName name="eryhrtgabqergerggbvrth" hidden="1">#REF!</definedName>
    <definedName name="es" localSheetId="0" hidden="1">{"'Sheet1'!$L$16"}</definedName>
    <definedName name="es" hidden="1">{"'Sheet1'!$L$16"}</definedName>
    <definedName name="ese" localSheetId="0" hidden="1">#REF!</definedName>
    <definedName name="ese" hidden="1">#REF!</definedName>
    <definedName name="ess" localSheetId="0" hidden="1">#REF!</definedName>
    <definedName name="ess" hidden="1">#REF!</definedName>
    <definedName name="esseees" localSheetId="0" hidden="1">#REF!</definedName>
    <definedName name="esseees" hidden="1">#REF!</definedName>
    <definedName name="ET" localSheetId="0" hidden="1">{#N/A,#N/A,FALSE,"CCTV"}</definedName>
    <definedName name="ET" hidden="1">{#N/A,#N/A,FALSE,"CCTV"}</definedName>
    <definedName name="etqgsg_đhs" localSheetId="0" hidden="1">{"'Sheet1'!$L$16"}</definedName>
    <definedName name="etqgsg_đhs" hidden="1">{"'Sheet1'!$L$16"}</definedName>
    <definedName name="ettr" localSheetId="0" hidden="1">{#N/A,#N/A,FALSE,"Chi tiÆt"}</definedName>
    <definedName name="ettr" hidden="1">{#N/A,#N/A,FALSE,"Chi tiÆt"}</definedName>
    <definedName name="etuiuti" localSheetId="0" hidden="1">{"'Sheet1'!$L$16"}</definedName>
    <definedName name="etuiuti" hidden="1">{"'Sheet1'!$L$16"}</definedName>
    <definedName name="etyj" localSheetId="0" hidden="1">{"'용역비'!$A$4:$C$8"}</definedName>
    <definedName name="etyj" hidden="1">{"'용역비'!$A$4:$C$8"}</definedName>
    <definedName name="etyjj" localSheetId="0" hidden="1">{"'용역비'!$A$4:$C$8"}</definedName>
    <definedName name="etyjj" hidden="1">{"'용역비'!$A$4:$C$8"}</definedName>
    <definedName name="eûtheí" localSheetId="0" hidden="1">{"'Sheet1'!$L$16"}</definedName>
    <definedName name="eûtheí" hidden="1">{"'Sheet1'!$L$16"}</definedName>
    <definedName name="ewe" localSheetId="0" hidden="1">#REF!</definedName>
    <definedName name="ewe" hidden="1">#REF!</definedName>
    <definedName name="ewewewe" localSheetId="0" hidden="1">#REF!</definedName>
    <definedName name="ewewewe" hidden="1">#REF!</definedName>
    <definedName name="èwf" localSheetId="0" hidden="1">#REF!</definedName>
    <definedName name="èwf" hidden="1">#REF!</definedName>
    <definedName name="ewfawg" localSheetId="0" hidden="1">#REF!</definedName>
    <definedName name="ewfawg" hidden="1">#REF!</definedName>
    <definedName name="EWQE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0" hidden="1">{#N/A,#N/A,FALSE,"골재소요량";#N/A,#N/A,FALSE,"골재소요량"}</definedName>
    <definedName name="EWR" hidden="1">{#N/A,#N/A,FALSE,"골재소요량";#N/A,#N/A,FALSE,"골재소요량"}</definedName>
    <definedName name="ewrfqewrrefeqrftr" localSheetId="0" hidden="1">{"'Sheet1'!$L$16"}</definedName>
    <definedName name="ewrfqewrrefeqrftr" hidden="1">{"'Sheet1'!$L$16"}</definedName>
    <definedName name="ewrt" localSheetId="0" hidden="1">{"'Sheet1'!$L$16"}</definedName>
    <definedName name="ewrt" hidden="1">{"'Sheet1'!$L$16"}</definedName>
    <definedName name="EWRWE" localSheetId="0" hidden="1">{"'장비'!$A$3:$M$12"}</definedName>
    <definedName name="EWRWE" hidden="1">{"'장비'!$A$3:$M$12"}</definedName>
    <definedName name="ewrweq" localSheetId="0" hidden="1">{"'장비'!$A$3:$M$12"}</definedName>
    <definedName name="ewrweq" hidden="1">{"'장비'!$A$3:$M$12"}</definedName>
    <definedName name="ewrwerwe" localSheetId="0" hidden="1">#REF!</definedName>
    <definedName name="ewrwerwe" hidden="1">#REF!</definedName>
    <definedName name="ews" localSheetId="0" hidden="1">{0}</definedName>
    <definedName name="ews" hidden="1">{0}</definedName>
    <definedName name="Excavati" localSheetId="0" hidden="1">{#N/A,#N/A,FALSE,"Chi tiÆt"}</definedName>
    <definedName name="Excavati" hidden="1">{#N/A,#N/A,FALSE,"Chi tiÆt"}</definedName>
    <definedName name="Excel" localSheetId="0" hidden="1">{#N/A,#N/A,FALSE,"표지목차"}</definedName>
    <definedName name="Excel" hidden="1">{#N/A,#N/A,FALSE,"표지목차"}</definedName>
    <definedName name="eyteyt" localSheetId="0" hidden="1">{#N/A,#N/A,FALSE,"CCTV"}</definedName>
    <definedName name="eyteyt" hidden="1">{#N/A,#N/A,FALSE,"CCTV"}</definedName>
    <definedName name="Êc" localSheetId="0" hidden="1">{"'Sheet1'!$L$16"}</definedName>
    <definedName name="Êc" hidden="1">{"'Sheet1'!$L$16"}</definedName>
    <definedName name="F5TF" localSheetId="10" hidden="1">#REF!</definedName>
    <definedName name="F5TF" hidden="1">#REF!</definedName>
    <definedName name="fáaafafaf" localSheetId="0" hidden="1">{"'Sheet1'!$L$16"}</definedName>
    <definedName name="fáaafafaf" hidden="1">{"'Sheet1'!$L$16"}</definedName>
    <definedName name="FACTORY" localSheetId="0" hidden="1">{#N/A,#N/A,TRUE,"SUM";#N/A,#N/A,TRUE,"EE";#N/A,#N/A,TRUE,"AC";#N/A,#N/A,TRUE,"SN"}</definedName>
    <definedName name="FACTORY" hidden="1">{#N/A,#N/A,TRUE,"SUM";#N/A,#N/A,TRUE,"EE";#N/A,#N/A,TRUE,"AC";#N/A,#N/A,TRUE,"SN"}</definedName>
    <definedName name="factory4" localSheetId="0" hidden="1">{"'Sheet1'!$L$16"}</definedName>
    <definedName name="factory4" hidden="1">{"'Sheet1'!$L$16"}</definedName>
    <definedName name="fad" localSheetId="0" hidden="1">#REF!</definedName>
    <definedName name="fad" hidden="1">#REF!</definedName>
    <definedName name="FADHAFH" localSheetId="0" hidden="1">#REF!</definedName>
    <definedName name="FADHAFH" hidden="1">#REF!</definedName>
    <definedName name="faefeaw" localSheetId="0" hidden="1">#REF!</definedName>
    <definedName name="faefeaw" hidden="1">#REF!</definedName>
    <definedName name="FAF" localSheetId="0" hidden="1">{#N/A,#N/A,FALSE,"지침";#N/A,#N/A,FALSE,"환경분석";#N/A,#N/A,FALSE,"Sheet16"}</definedName>
    <definedName name="FAF" hidden="1">{#N/A,#N/A,FALSE,"지침";#N/A,#N/A,FALSE,"환경분석";#N/A,#N/A,FALSE,"Sheet16"}</definedName>
    <definedName name="fafafda" localSheetId="0" hidden="1">{"AnalRSA",#N/A,TRUE,"PL-Anal";"AnalIAS",#N/A,TRUE,"PL-Anal"}</definedName>
    <definedName name="fafafda" hidden="1">{"AnalRSA",#N/A,TRUE,"PL-Anal";"AnalIAS",#N/A,TRUE,"PL-Anal"}</definedName>
    <definedName name="fafsda" localSheetId="0" hidden="1">#REF!</definedName>
    <definedName name="fafsda" hidden="1">#REF!</definedName>
    <definedName name="FAGAG" localSheetId="0" hidden="1">#REF!</definedName>
    <definedName name="FAGAG" hidden="1">#REF!</definedName>
    <definedName name="FASD" localSheetId="0" hidden="1">#REF!</definedName>
    <definedName name="FASD" hidden="1">#REF!</definedName>
    <definedName name="fasdfsdfsdfsdf" localSheetId="0" hidden="1">{"'Sheet1'!$L$16"}</definedName>
    <definedName name="fasdfsdfsdfsdf" hidden="1">{"'Sheet1'!$L$16"}</definedName>
    <definedName name="fasfa" localSheetId="0" hidden="1">{"'Sheet1'!$L$16"}</definedName>
    <definedName name="fasfa" hidden="1">{"'Sheet1'!$L$16"}</definedName>
    <definedName name="fasfaga" localSheetId="0" hidden="1">{"'Sheet1'!$L$16"}</definedName>
    <definedName name="fasfaga" hidden="1">{"'Sheet1'!$L$16"}</definedName>
    <definedName name="fasfsadfs" localSheetId="0" hidden="1">{"'Sheet1'!$L$16"}</definedName>
    <definedName name="fasfsadfs" hidden="1">{"'Sheet1'!$L$16"}</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0" hidden="1">{#N/A,#N/A,TRUE,"Basic";#N/A,#N/A,TRUE,"EXT-TABLE";#N/A,#N/A,TRUE,"STEEL";#N/A,#N/A,TRUE,"INT-Table";#N/A,#N/A,TRUE,"STEEL";#N/A,#N/A,TRUE,"Door"}</definedName>
    <definedName name="fasfsdfsdfasdfsdfsd_1" hidden="1">{#N/A,#N/A,TRUE,"Basic";#N/A,#N/A,TRUE,"EXT-TABLE";#N/A,#N/A,TRUE,"STEEL";#N/A,#N/A,TRUE,"INT-Table";#N/A,#N/A,TRUE,"STEEL";#N/A,#N/A,TRUE,"Door"}</definedName>
    <definedName name="FASFSFSF" localSheetId="0" hidden="1">{#N/A,#N/A,FALSE,"지침";#N/A,#N/A,FALSE,"환경분석";#N/A,#N/A,FALSE,"Sheet16"}</definedName>
    <definedName name="FASFSFSF" hidden="1">{#N/A,#N/A,FALSE,"지침";#N/A,#N/A,FALSE,"환경분석";#N/A,#N/A,FALSE,"Sheet16"}</definedName>
    <definedName name="FASG" localSheetId="0" hidden="1">#REF!</definedName>
    <definedName name="FASG" hidden="1">#REF!</definedName>
    <definedName name="fbafdbaf" localSheetId="0" hidden="1">#REF!</definedName>
    <definedName name="fbafdbaf" hidden="1">#REF!</definedName>
    <definedName name="fbdfffffffffgf" localSheetId="0" hidden="1">#REF!</definedName>
    <definedName name="fbdfffffffffgf" hidden="1">#REF!</definedName>
    <definedName name="fbdg" localSheetId="0" hidden="1">#REF!</definedName>
    <definedName name="fbdg" hidden="1">#REF!</definedName>
    <definedName name="fbfbfdb" localSheetId="0" hidden="1">#REF!</definedName>
    <definedName name="fbfbfdb" hidden="1">#REF!</definedName>
    <definedName name="fbfdbdabf" localSheetId="0" hidden="1">#REF!</definedName>
    <definedName name="fbfdbdabf" hidden="1">#REF!</definedName>
    <definedName name="fbfdbdddddddddddddd" localSheetId="0" hidden="1">#REF!</definedName>
    <definedName name="fbfdbdddddddddddddd" hidden="1">#REF!</definedName>
    <definedName name="fÇ" localSheetId="0" hidden="1">{"'Sheet1'!$L$16"}</definedName>
    <definedName name="fÇ" hidden="1">{"'Sheet1'!$L$16"}</definedName>
    <definedName name="FC5_total" localSheetId="0" hidden="1">#REF!</definedName>
    <definedName name="FC5_total" hidden="1">#REF!</definedName>
    <definedName name="FC6_total" localSheetId="0" hidden="1">#REF!</definedName>
    <definedName name="FC6_total" hidden="1">#REF!</definedName>
    <definedName name="FCode" localSheetId="10" hidden="1">#REF!</definedName>
    <definedName name="FCode" hidden="1">#REF!</definedName>
    <definedName name="FDA" localSheetId="0" hidden="1">#REF!</definedName>
    <definedName name="FDA" hidden="1">#REF!</definedName>
    <definedName name="fdasfa" localSheetId="0" hidden="1">{"'Sheet1'!$L$16"}</definedName>
    <definedName name="fdasfa" hidden="1">{"'Sheet1'!$L$16"}</definedName>
    <definedName name="fdasfadf" localSheetId="0" hidden="1">#REF!</definedName>
    <definedName name="fdasfadf" hidden="1">#REF!</definedName>
    <definedName name="fdasfdsa" localSheetId="0" hidden="1">{#N/A,#N/A,FALSE,"Chi tiÆt"}</definedName>
    <definedName name="fdasfdsa" hidden="1">{#N/A,#N/A,FALSE,"Chi tiÆt"}</definedName>
    <definedName name="fdbf" localSheetId="0" hidden="1">#REF!</definedName>
    <definedName name="fdbf" hidden="1">#REF!</definedName>
    <definedName name="fdcvgfty" localSheetId="0" hidden="1">#REF!</definedName>
    <definedName name="fdcvgfty" hidden="1">#REF!</definedName>
    <definedName name="fddffdsdffsdfs" localSheetId="0" hidden="1">#REF!</definedName>
    <definedName name="fddffdsdffsdfs" hidden="1">#REF!</definedName>
    <definedName name="fddfhdfhdgh" localSheetId="0" hidden="1">{#N/A,#N/A,FALSE,"CCTV"}</definedName>
    <definedName name="fddfhdfhdgh" hidden="1">{#N/A,#N/A,FALSE,"CCTV"}</definedName>
    <definedName name="fdds" localSheetId="0" hidden="1">{"'Sheet1'!$L$16"}</definedName>
    <definedName name="fdds" hidden="1">{"'Sheet1'!$L$16"}</definedName>
    <definedName name="FDED" localSheetId="0" hidden="1">#REF!</definedName>
    <definedName name="FDED" hidden="1">#REF!</definedName>
    <definedName name="fdf" localSheetId="0" hidden="1">{#N/A,#N/A,FALSE,"CCTV"}</definedName>
    <definedName name="fdf" hidden="1">{#N/A,#N/A,FALSE,"CCTV"}</definedName>
    <definedName name="fd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F" localSheetId="0" hidden="1">{#N/A,#N/A,FALSE,"特殊室（ＢＱ表）"}</definedName>
    <definedName name="FDFDF" hidden="1">{#N/A,#N/A,FALSE,"特殊室（ＢＱ表）"}</definedName>
    <definedName name="fdfdfd" localSheetId="0" hidden="1">#REF!</definedName>
    <definedName name="fdfdfd" hidden="1">#REF!</definedName>
    <definedName name="FDFDSF" localSheetId="0" hidden="1">{#N/A,#N/A,TRUE,"SUM";#N/A,#N/A,TRUE,"EE";#N/A,#N/A,TRUE,"AC";#N/A,#N/A,TRUE,"SN"}</definedName>
    <definedName name="FDFDSF" hidden="1">{#N/A,#N/A,TRUE,"SUM";#N/A,#N/A,TRUE,"EE";#N/A,#N/A,TRUE,"AC";#N/A,#N/A,TRUE,"SN"}</definedName>
    <definedName name="fdfdsfsff" localSheetId="0" hidden="1">#REF!</definedName>
    <definedName name="fdfdsfsff" hidden="1">#REF!</definedName>
    <definedName name="fdfs" localSheetId="0" hidden="1">{#N/A,#N/A,TRUE,"SUM";#N/A,#N/A,TRUE,"EE";#N/A,#N/A,TRUE,"AC";#N/A,#N/A,TRUE,"SN"}</definedName>
    <definedName name="fdfs" hidden="1">{#N/A,#N/A,TRUE,"SUM";#N/A,#N/A,TRUE,"EE";#N/A,#N/A,TRUE,"AC";#N/A,#N/A,TRUE,"SN"}</definedName>
    <definedName name="fdfs2" localSheetId="0" hidden="1">{#N/A,#N/A,TRUE,"SUM";#N/A,#N/A,TRUE,"EE";#N/A,#N/A,TRUE,"AC";#N/A,#N/A,TRUE,"SN"}</definedName>
    <definedName name="fdfs2" hidden="1">{#N/A,#N/A,TRUE,"SUM";#N/A,#N/A,TRUE,"EE";#N/A,#N/A,TRUE,"AC";#N/A,#N/A,TRUE,"SN"}</definedName>
    <definedName name="fdfsdfs" localSheetId="0" hidden="1">{#N/A,#N/A,TRUE,"SUM";#N/A,#N/A,TRUE,"EE";#N/A,#N/A,TRUE,"AC";#N/A,#N/A,TRUE,"SN"}</definedName>
    <definedName name="fdfsdfs" hidden="1">{#N/A,#N/A,TRUE,"SUM";#N/A,#N/A,TRUE,"EE";#N/A,#N/A,TRUE,"AC";#N/A,#N/A,TRUE,"SN"}</definedName>
    <definedName name="fdfsf" localSheetId="0" hidden="1">{#N/A,#N/A,FALSE,"Chi tiÆt"}</definedName>
    <definedName name="fdfsf" hidden="1">{#N/A,#N/A,FALSE,"Chi tiÆt"}</definedName>
    <definedName name="fdfsfsf" localSheetId="0" hidden="1">#REF!</definedName>
    <definedName name="fdfsfsf" hidden="1">#REF!</definedName>
    <definedName name="fdg" localSheetId="0" hidden="1">{"'Sheet1'!$L$16"}</definedName>
    <definedName name="fdg" hidden="1">{"'Sheet1'!$L$16"}</definedName>
    <definedName name="FDGDFAGFD" localSheetId="0" hidden="1">{#N/A,#N/A,FALSE,"포장1";#N/A,#N/A,FALSE,"포장1"}</definedName>
    <definedName name="FDGDFAGFD" hidden="1">{#N/A,#N/A,FALSE,"포장1";#N/A,#N/A,FALSE,"포장1"}</definedName>
    <definedName name="FDGDGDF" localSheetId="0"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fdg" localSheetId="0" hidden="1">{#N/A,#N/A,FALSE,"2~8번"}</definedName>
    <definedName name="fdgfdg" hidden="1">{#N/A,#N/A,FALSE,"2~8번"}</definedName>
    <definedName name="fdgfg" localSheetId="0" hidden="1">{"'Sheet1'!$L$16"}</definedName>
    <definedName name="fdgfg" hidden="1">{"'Sheet1'!$L$16"}</definedName>
    <definedName name="fdgfgf" localSheetId="0" hidden="1">{#N/A,#N/A,FALSE,"운반시간"}</definedName>
    <definedName name="fdgfgf" hidden="1">{#N/A,#N/A,FALSE,"운반시간"}</definedName>
    <definedName name="fdgfgjghhk" localSheetId="0" hidden="1">#REF!</definedName>
    <definedName name="fdgfgjghhk" hidden="1">#REF!</definedName>
    <definedName name="fdggfgg" localSheetId="0" hidden="1">#REF!</definedName>
    <definedName name="fdggfgg" hidden="1">#REF!</definedName>
    <definedName name="fdgk" localSheetId="0" hidden="1">{"'Sheet1'!$L$16"}</definedName>
    <definedName name="fdgk" hidden="1">{"'Sheet1'!$L$16"}</definedName>
    <definedName name="fdgssda" localSheetId="0" hidden="1">{"'Sheet1'!$L$16"}</definedName>
    <definedName name="fdgssda" hidden="1">{"'Sheet1'!$L$16"}</definedName>
    <definedName name="fdhgf" localSheetId="0" hidden="1">{"'Sheet1'!$L$16"}</definedName>
    <definedName name="fdhgf" hidden="1">{"'Sheet1'!$L$16"}</definedName>
    <definedName name="FDJK" localSheetId="0" hidden="1">{#N/A,#N/A,FALSE,"지침";#N/A,#N/A,FALSE,"환경분석";#N/A,#N/A,FALSE,"Sheet16"}</definedName>
    <definedName name="FDJK" hidden="1">{#N/A,#N/A,FALSE,"지침";#N/A,#N/A,FALSE,"환경분석";#N/A,#N/A,FALSE,"Sheet16"}</definedName>
    <definedName name="fds" localSheetId="0" hidden="1">{"'Sheet1'!$L$16"}</definedName>
    <definedName name="fds" hidden="1">{"'Sheet1'!$L$16"}</definedName>
    <definedName name="FDSA" localSheetId="0" hidden="1">{#N/A,#N/A,FALSE,"CCTV"}</definedName>
    <definedName name="FDSA" hidden="1">{#N/A,#N/A,FALSE,"CCTV"}</definedName>
    <definedName name="fdsd" localSheetId="0" hidden="1">#REF!</definedName>
    <definedName name="fdsd" hidden="1">#REF!</definedName>
    <definedName name="fdsdf" localSheetId="0" hidden="1">{"'Sheet1'!$L$16"}</definedName>
    <definedName name="fdsdf" hidden="1">{"'Sheet1'!$L$16"}</definedName>
    <definedName name="fdsf" localSheetId="0" hidden="1">{"'Sheet1'!$L$16"}</definedName>
    <definedName name="fdsf" hidden="1">{"'Sheet1'!$L$16"}</definedName>
    <definedName name="fdsfds" localSheetId="0"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f" localSheetId="0" hidden="1">{"'Sheet1'!$L$16"}</definedName>
    <definedName name="fdsff" hidden="1">{"'Sheet1'!$L$16"}</definedName>
    <definedName name="fdsfsdfd" localSheetId="0" hidden="1">{"'Sheet1'!$L$16"}</definedName>
    <definedName name="fdsfsdfd" hidden="1">{"'Sheet1'!$L$16"}</definedName>
    <definedName name="FDSG" localSheetId="0" hidden="1">{#N/A,#N/A,FALSE,"CCTV"}</definedName>
    <definedName name="FDSG" hidden="1">{#N/A,#N/A,FALSE,"CCTV"}</definedName>
    <definedName name="FDSGDFGHS" localSheetId="0" hidden="1">{"Offgrid",#N/A,FALSE,"OFFGRID";"Region",#N/A,FALSE,"REGION";"Offgrid -2",#N/A,FALSE,"OFFGRID";"WTP",#N/A,FALSE,"WTP";"WTP -2",#N/A,FALSE,"WTP";"Project",#N/A,FALSE,"PROJECT";"Summary -2",#N/A,FALSE,"SUMMARY"}</definedName>
    <definedName name="FDSGDFGHS" hidden="1">{"Offgrid",#N/A,FALSE,"OFFGRID";"Region",#N/A,FALSE,"REGION";"Offgrid -2",#N/A,FALSE,"OFFGRID";"WTP",#N/A,FALSE,"WTP";"WTP -2",#N/A,FALSE,"WTP";"Project",#N/A,FALSE,"PROJECT";"Summary -2",#N/A,FALSE,"SUMMARY"}</definedName>
    <definedName name="fdy" localSheetId="0" hidden="1">#REF!</definedName>
    <definedName name="fdy" hidden="1">#REF!</definedName>
    <definedName name="fđffdf" localSheetId="0" hidden="1">{#N/A,#N/A,FALSE,"Sheet1"}</definedName>
    <definedName name="fđffdf" hidden="1">{#N/A,#N/A,FALSE,"Sheet1"}</definedName>
    <definedName name="fđhh" localSheetId="0" hidden="1">{"'Sheet1'!$L$16"}</definedName>
    <definedName name="fđhh" hidden="1">{"'Sheet1'!$L$16"}</definedName>
    <definedName name="fefrefewfe" localSheetId="0" hidden="1">#REF!</definedName>
    <definedName name="fefrefewfe" hidden="1">#REF!</definedName>
    <definedName name="feg" localSheetId="0" hidden="1">#REF!</definedName>
    <definedName name="feg" hidden="1">#REF!</definedName>
    <definedName name="ff" localSheetId="10" hidden="1">#REF!</definedName>
    <definedName name="ff" hidden="1">#REF!</definedName>
    <definedName name="ffas" localSheetId="0" hidden="1">{"'Sheet1'!$L$16"}</definedName>
    <definedName name="ffas" hidden="1">{"'Sheet1'!$L$16"}</definedName>
    <definedName name="ffbdbdbd" localSheetId="0" hidden="1">#REF!</definedName>
    <definedName name="ffbdbdbd" hidden="1">#REF!</definedName>
    <definedName name="ffbfbf" localSheetId="0" hidden="1">#REF!</definedName>
    <definedName name="ffbfbf" hidden="1">#REF!</definedName>
    <definedName name="FFDFG" localSheetId="0" hidden="1">#REF!</definedName>
    <definedName name="FFDFG" hidden="1">#REF!</definedName>
    <definedName name="FFDGF" localSheetId="0" hidden="1">{#N/A,#N/A,FALSE,"부대2"}</definedName>
    <definedName name="FFDGF" hidden="1">{#N/A,#N/A,FALSE,"부대2"}</definedName>
    <definedName name="fff" localSheetId="0" hidden="1">{"'Sheet1'!$L$16"}</definedName>
    <definedName name="fff" hidden="1">{"'Sheet1'!$L$16"}</definedName>
    <definedName name="ffff" localSheetId="0" hidden="1">{"'Sheet1'!$L$16"}</definedName>
    <definedName name="ffff" hidden="1">{"'Sheet1'!$L$16"}</definedName>
    <definedName name="ffffd" localSheetId="0" hidden="1">{#N/A,#N/A,TRUE,"SUM";#N/A,#N/A,TRUE,"EE";#N/A,#N/A,TRUE,"AC";#N/A,#N/A,TRUE,"SN"}</definedName>
    <definedName name="ffffd" hidden="1">{#N/A,#N/A,TRUE,"SUM";#N/A,#N/A,TRUE,"EE";#N/A,#N/A,TRUE,"AC";#N/A,#N/A,TRUE,"SN"}</definedName>
    <definedName name="ffffdavadv" localSheetId="0" hidden="1">#REF!</definedName>
    <definedName name="ffffdavadv" hidden="1">#REF!</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_1" localSheetId="0" hidden="1">{#N/A,#N/A,TRUE,"Basic";#N/A,#N/A,TRUE,"EXT-TABLE";#N/A,#N/A,TRUE,"STEEL";#N/A,#N/A,TRUE,"INT-Table";#N/A,#N/A,TRUE,"STEEL";#N/A,#N/A,TRUE,"Door"}</definedName>
    <definedName name="fffff_1" hidden="1">{#N/A,#N/A,TRUE,"Basic";#N/A,#N/A,TRUE,"EXT-TABLE";#N/A,#N/A,TRUE,"STEEL";#N/A,#N/A,TRUE,"INT-Table";#N/A,#N/A,TRUE,"STEEL";#N/A,#N/A,TRUE,"Door"}</definedName>
    <definedName name="ffffff" localSheetId="0" hidden="1">{#N/A,#N/A,FALSE,"조골재"}</definedName>
    <definedName name="ffffff" hidden="1">{#N/A,#N/A,FALSE,"조골재"}</definedName>
    <definedName name="fffffffffffffff" localSheetId="0" hidden="1">{"'Sheet1'!$L$16"}</definedName>
    <definedName name="fffffffffffffff" hidden="1">{"'Sheet1'!$L$16"}</definedName>
    <definedName name="fffffffg" localSheetId="0" hidden="1">{"'장비'!$A$3:$M$12"}</definedName>
    <definedName name="fffffffg" hidden="1">{"'장비'!$A$3:$M$12"}</definedName>
    <definedName name="ffgfg" localSheetId="0" hidden="1">{"'장비'!$A$3:$M$12"}</definedName>
    <definedName name="ffgfg" hidden="1">{"'장비'!$A$3:$M$12"}</definedName>
    <definedName name="FFMNQUJ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sf" localSheetId="0" hidden="1">#REF!</definedName>
    <definedName name="ffsf" hidden="1">#REF!</definedName>
    <definedName name="ffssfsfsfgsgsdgg" localSheetId="0" hidden="1">#REF!</definedName>
    <definedName name="ffssfsfsfgsgsdgg" hidden="1">#REF!</definedName>
    <definedName name="fg" localSheetId="0" hidden="1">{"'Sheet1'!$L$16"}</definedName>
    <definedName name="fg" hidden="1">{"'Sheet1'!$L$16"}</definedName>
    <definedName name="fgaergrea" localSheetId="0" hidden="1">#REF!</definedName>
    <definedName name="fgaergrea" hidden="1">#REF!</definedName>
    <definedName name="fgd" localSheetId="0" hidden="1">{"'Sheet1'!$L$16"}</definedName>
    <definedName name="fgd" hidden="1">{"'Sheet1'!$L$16"}</definedName>
    <definedName name="FGDAG" localSheetId="0" hidden="1">{#N/A,#N/A,FALSE,"포장2"}</definedName>
    <definedName name="FGDAG" hidden="1">{#N/A,#N/A,FALSE,"포장2"}</definedName>
    <definedName name="FGDAGFG" localSheetId="0" hidden="1">{#N/A,#N/A,FALSE,"혼합골재"}</definedName>
    <definedName name="FGDAGFG" hidden="1">{#N/A,#N/A,FALSE,"혼합골재"}</definedName>
    <definedName name="fgddfgf" localSheetId="0" hidden="1">#REF!</definedName>
    <definedName name="fgddfgf" hidden="1">#REF!</definedName>
    <definedName name="fgdf" localSheetId="0" hidden="1">#REF!</definedName>
    <definedName name="fgdf" hidden="1">#REF!</definedName>
    <definedName name="FGDFGH" localSheetId="0" hidden="1">{"'Sheet1'!$L$16"}</definedName>
    <definedName name="FGDFGH" hidden="1">{"'Sheet1'!$L$16"}</definedName>
    <definedName name="fgdgdfgf" localSheetId="0" hidden="1">#REF!</definedName>
    <definedName name="fgdgdfgf" hidden="1">#REF!</definedName>
    <definedName name="FGF" localSheetId="0" hidden="1">{#N/A,#N/A,FALSE,"Sheet2";#N/A,#N/A,FALSE,"Sheet4";#N/A,#N/A,FALSE,"Sheet6"}</definedName>
    <definedName name="FGF" hidden="1">{#N/A,#N/A,FALSE,"Sheet2";#N/A,#N/A,FALSE,"Sheet4";#N/A,#N/A,FALSE,"Sheet6"}</definedName>
    <definedName name="fgfadgf" localSheetId="0" hidden="1">{#N/A,#N/A,FALSE,"혼합골재"}</definedName>
    <definedName name="fgfadgf" hidden="1">{#N/A,#N/A,FALSE,"혼합골재"}</definedName>
    <definedName name="FGFDG" localSheetId="0" hidden="1">{#N/A,#N/A,FALSE,"표지목차"}</definedName>
    <definedName name="FGFDG" hidden="1">{#N/A,#N/A,FALSE,"표지목차"}</definedName>
    <definedName name="fgfdgdg" localSheetId="0" hidden="1">#REF!</definedName>
    <definedName name="fgfdgdg" hidden="1">#REF!</definedName>
    <definedName name="fgfdgffff" localSheetId="0" hidden="1">{#N/A,#N/A,FALSE,"부대2"}</definedName>
    <definedName name="fgfdgffff" hidden="1">{#N/A,#N/A,FALSE,"부대2"}</definedName>
    <definedName name="fgfdsgdfg" localSheetId="0" hidden="1">{#N/A,#N/A,FALSE,"혼합골재"}</definedName>
    <definedName name="fgfdsgdfg" hidden="1">{#N/A,#N/A,FALSE,"혼합골재"}</definedName>
    <definedName name="fgff" localSheetId="0" hidden="1">{#N/A,#N/A,TRUE,"SUM";#N/A,#N/A,TRUE,"EE";#N/A,#N/A,TRUE,"AC";#N/A,#N/A,TRUE,"SN"}</definedName>
    <definedName name="fgff" hidden="1">{#N/A,#N/A,TRUE,"SUM";#N/A,#N/A,TRUE,"EE";#N/A,#N/A,TRUE,"AC";#N/A,#N/A,TRUE,"SN"}</definedName>
    <definedName name="fgffffff" localSheetId="0" hidden="1">#REF!</definedName>
    <definedName name="fgffffff" hidden="1">#REF!</definedName>
    <definedName name="fgfg" localSheetId="0" hidden="1">#REF!</definedName>
    <definedName name="fgfg" hidden="1">#REF!</definedName>
    <definedName name="fgfgdgd" localSheetId="0" hidden="1">#REF!</definedName>
    <definedName name="fgfgdgd" hidden="1">#REF!</definedName>
    <definedName name="fgfgfdgfd" localSheetId="0" hidden="1">#REF!</definedName>
    <definedName name="fgfgfdgfd" hidden="1">#REF!</definedName>
    <definedName name="fgfgfg" localSheetId="0" hidden="1">{#N/A,#N/A,FALSE,"골재소요량";#N/A,#N/A,FALSE,"골재소요량"}</definedName>
    <definedName name="fgfgfg" hidden="1">{#N/A,#N/A,FALSE,"골재소요량";#N/A,#N/A,FALSE,"골재소요량"}</definedName>
    <definedName name="fgfgfgfgf" localSheetId="0" hidden="1">{"'Sheet1'!$L$16"}</definedName>
    <definedName name="fgfgfgfgf" hidden="1">{"'Sheet1'!$L$16"}</definedName>
    <definedName name="fgfggdf" localSheetId="0" hidden="1">#REF!</definedName>
    <definedName name="fgfggdf" hidden="1">#REF!</definedName>
    <definedName name="fgfggg" localSheetId="0" hidden="1">#REF!</definedName>
    <definedName name="fgfggg" hidden="1">#REF!</definedName>
    <definedName name="fgfh" localSheetId="0" hidden="1">#REF!</definedName>
    <definedName name="fgfh" hidden="1">#REF!</definedName>
    <definedName name="fggddtdhhg" localSheetId="0" hidden="1">#REF!</definedName>
    <definedName name="fggddtdhhg" hidden="1">#REF!</definedName>
    <definedName name="fggfd" localSheetId="0" hidden="1">#REF!</definedName>
    <definedName name="fggfd" hidden="1">#REF!</definedName>
    <definedName name="fggfgfgfg" localSheetId="0" hidden="1">{"'Sheet1'!$L$16"}</definedName>
    <definedName name="fggfgfgfg" hidden="1">{"'Sheet1'!$L$16"}</definedName>
    <definedName name="fggfn" localSheetId="0" hidden="1">#REF!</definedName>
    <definedName name="fggfn" hidden="1">#REF!</definedName>
    <definedName name="FGGHJ" localSheetId="0" hidden="1">{#N/A,#N/A,FALSE,"CCTV"}</definedName>
    <definedName name="FGGHJ" hidden="1">{#N/A,#N/A,FALSE,"CCTV"}</definedName>
    <definedName name="fghbys" localSheetId="0" hidden="1">#REF!</definedName>
    <definedName name="fghbys" hidden="1">#REF!</definedName>
    <definedName name="fghf" localSheetId="0" hidden="1">#REF!</definedName>
    <definedName name="fghf" hidden="1">#REF!</definedName>
    <definedName name="fghfd" localSheetId="0" hidden="1">{"Offgrid",#N/A,FALSE,"OFFGRID";"Region",#N/A,FALSE,"REGION";"Offgrid -2",#N/A,FALSE,"OFFGRID";"WTP",#N/A,FALSE,"WTP";"WTP -2",#N/A,FALSE,"WTP";"Project",#N/A,FALSE,"PROJECT";"Summary -2",#N/A,FALSE,"SUMMARY"}</definedName>
    <definedName name="fghfd" hidden="1">{"Offgrid",#N/A,FALSE,"OFFGRID";"Region",#N/A,FALSE,"REGION";"Offgrid -2",#N/A,FALSE,"OFFGRID";"WTP",#N/A,FALSE,"WTP";"WTP -2",#N/A,FALSE,"WTP";"Project",#N/A,FALSE,"PROJECT";"Summary -2",#N/A,FALSE,"SUMMARY"}</definedName>
    <definedName name="fghfdagfd" localSheetId="0" hidden="1">{#N/A,#N/A,FALSE,"표지목차"}</definedName>
    <definedName name="fghfdagfd" hidden="1">{#N/A,#N/A,FALSE,"표지목차"}</definedName>
    <definedName name="FGHH" localSheetId="0" hidden="1">{#N/A,#N/A,FALSE,"CCTV"}</definedName>
    <definedName name="FGHH" hidden="1">{#N/A,#N/A,FALSE,"CCTV"}</definedName>
    <definedName name="fghhk" localSheetId="0" hidden="1">{0}</definedName>
    <definedName name="fghhk" hidden="1">{0}</definedName>
    <definedName name="fghyt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localSheetId="0" hidden="1">{#N/A,#N/A,FALSE,"배수2"}</definedName>
    <definedName name="FGJFG" hidden="1">{#N/A,#N/A,FALSE,"배수2"}</definedName>
    <definedName name="FGJFK" localSheetId="0" hidden="1">{#N/A,#N/A,FALSE,"구조2"}</definedName>
    <definedName name="FGJFK" hidden="1">{#N/A,#N/A,FALSE,"구조2"}</definedName>
    <definedName name="FGJGFJGF" localSheetId="0" hidden="1">{#N/A,#N/A,FALSE,"포장2"}</definedName>
    <definedName name="FGJGFJGF" hidden="1">{#N/A,#N/A,FALSE,"포장2"}</definedName>
    <definedName name="FGJGFJGH" localSheetId="0" hidden="1">{#N/A,#N/A,FALSE,"구조2"}</definedName>
    <definedName name="FGJGFJGH" hidden="1">{#N/A,#N/A,FALSE,"구조2"}</definedName>
    <definedName name="FGJGFTTJGHK" localSheetId="0" hidden="1">{#N/A,#N/A,FALSE,"배수2"}</definedName>
    <definedName name="FGJGFTTJGHK" hidden="1">{#N/A,#N/A,FALSE,"배수2"}</definedName>
    <definedName name="FGJGHJ" localSheetId="0" hidden="1">{#N/A,#N/A,FALSE,"속도"}</definedName>
    <definedName name="FGJGHJ" hidden="1">{#N/A,#N/A,FALSE,"속도"}</definedName>
    <definedName name="FGJGJG" localSheetId="0" hidden="1">{#N/A,#N/A,FALSE,"배수1"}</definedName>
    <definedName name="FGJGJG" hidden="1">{#N/A,#N/A,FALSE,"배수1"}</definedName>
    <definedName name="FGJHGFJG" localSheetId="0" hidden="1">{#N/A,#N/A,FALSE,"구조2"}</definedName>
    <definedName name="FGJHGFJG" hidden="1">{#N/A,#N/A,FALSE,"구조2"}</definedName>
    <definedName name="fgjj" localSheetId="0" hidden="1">{"'Sheet1'!$L$16"}</definedName>
    <definedName name="fgjj" hidden="1">{"'Sheet1'!$L$16"}</definedName>
    <definedName name="fgn" localSheetId="0" hidden="1">{"'Sheet1'!$L$16"}</definedName>
    <definedName name="fgn" hidden="1">{"'Sheet1'!$L$16"}</definedName>
    <definedName name="fgsdaa" localSheetId="0" hidden="1">{#N/A,#N/A,TRUE,"BT M200 da 10x20"}</definedName>
    <definedName name="fgsdaa" hidden="1">{#N/A,#N/A,TRUE,"BT M200 da 10x20"}</definedName>
    <definedName name="fh" localSheetId="0" hidden="1">#REF!</definedName>
    <definedName name="fh" hidden="1">#REF!</definedName>
    <definedName name="fhddg" localSheetId="0" hidden="1">{#N/A,#N/A,FALSE,"부대1"}</definedName>
    <definedName name="fhddg" hidden="1">{#N/A,#N/A,FALSE,"부대1"}</definedName>
    <definedName name="fhdfh" localSheetId="0" hidden="1">{"'Sheet1'!$L$16"}</definedName>
    <definedName name="fhdfh" hidden="1">{"'Sheet1'!$L$16"}</definedName>
    <definedName name="fhgj" localSheetId="0" hidden="1">{"'Sheet1'!$L$16"}</definedName>
    <definedName name="fhgj" hidden="1">{"'Sheet1'!$L$16"}</definedName>
    <definedName name="fhgjfghfghgf" localSheetId="0" hidden="1">{#N/A,#N/A,FALSE,"CCTV"}</definedName>
    <definedName name="fhgjfghfghgf" hidden="1">{#N/A,#N/A,FALSE,"CCTV"}</definedName>
    <definedName name="fhjjh" localSheetId="0" hidden="1">{"'Sheet1'!$L$16"}</definedName>
    <definedName name="fhjjh" hidden="1">{"'Sheet1'!$L$16"}</definedName>
    <definedName name="fhk" localSheetId="0" hidden="1">{0}</definedName>
    <definedName name="fhk" hidden="1">{0}</definedName>
    <definedName name="FiLL" hidden="1">#REF!</definedName>
    <definedName name="FILL1" localSheetId="0" hidden="1">#REF!</definedName>
    <definedName name="FILL1" hidden="1">#REF!</definedName>
    <definedName name="FILLL" localSheetId="0" hidden="1">#REF!</definedName>
    <definedName name="FILLL" hidden="1">#REF!</definedName>
    <definedName name="FIRST" localSheetId="0" hidden="1">{"'Sheet1'!$L$16"}</definedName>
    <definedName name="FIRST" hidden="1">{"'Sheet1'!$L$16"}</definedName>
    <definedName name="fjg" localSheetId="0" hidden="1">#REF!</definedName>
    <definedName name="fjg" hidden="1">#REF!</definedName>
    <definedName name="fjgfjgfd" localSheetId="0" hidden="1">#REF!</definedName>
    <definedName name="fjgfjgfd" hidden="1">#REF!</definedName>
    <definedName name="FJHGJK" localSheetId="0" hidden="1">{#N/A,#N/A,FALSE,"운반시간"}</definedName>
    <definedName name="FJHGJK" hidden="1">{#N/A,#N/A,FALSE,"운반시간"}</definedName>
    <definedName name="FK" localSheetId="0" hidden="1">{"'용역비'!$A$4:$C$8"}</definedName>
    <definedName name="FK" hidden="1">{"'용역비'!$A$4:$C$8"}</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localSheetId="0" hidden="1">#REF!</definedName>
    <definedName name="fkf" hidden="1">#REF!</definedName>
    <definedName name="FOR" localSheetId="10" hidden="1">{#N/A,#N/A,FALSE,"CCTV"}</definedName>
    <definedName name="FOR" localSheetId="0" hidden="1">{#N/A,#N/A,FALSE,"CCTV"}</definedName>
    <definedName name="FOR" hidden="1">{#N/A,#N/A,FALSE,"CCTV"}</definedName>
    <definedName name="FORMAT" localSheetId="10" hidden="1">{#N/A,#N/A,FALSE,"CCTV"}</definedName>
    <definedName name="FORMAT" localSheetId="0" hidden="1">{#N/A,#N/A,FALSE,"CCTV"}</definedName>
    <definedName name="FORMAT" hidden="1">{#N/A,#N/A,FALSE,"CCTV"}</definedName>
    <definedName name="FORMWORK" localSheetId="0" hidden="1">{"'Sheet1'!$L$16"}</definedName>
    <definedName name="FORMWORK" hidden="1">{"'Sheet1'!$L$16"}</definedName>
    <definedName name="FQWERWE" localSheetId="0" hidden="1">#REF!</definedName>
    <definedName name="FQWERWE" hidden="1">#REF!</definedName>
    <definedName name="FQWFF" localSheetId="0" hidden="1">#REF!</definedName>
    <definedName name="FQWFF" hidden="1">#REF!</definedName>
    <definedName name="fr" localSheetId="0" hidden="1">{"'Liquid'!$A$1:$U$57"}</definedName>
    <definedName name="fr" hidden="1">{"'Liquid'!$A$1:$U$57"}</definedName>
    <definedName name="FRERTT" localSheetId="0" hidden="1">{"'Sheet1'!$L$16"}</definedName>
    <definedName name="FRERTT" hidden="1">{"'Sheet1'!$L$16"}</definedName>
    <definedName name="FRGTHGFRT" localSheetId="0" hidden="1">#REF!</definedName>
    <definedName name="FRGTHGFRT" hidden="1">#REF!</definedName>
    <definedName name="frwrw" localSheetId="0" hidden="1">#REF!</definedName>
    <definedName name="frwrw" hidden="1">#REF!</definedName>
    <definedName name="fs" hidden="1">#REF!</definedName>
    <definedName name="FSA" localSheetId="0" hidden="1">{#N/A,#N/A,FALSE,"조골재"}</definedName>
    <definedName name="FSA" hidden="1">{#N/A,#N/A,FALSE,"조골재"}</definedName>
    <definedName name="FSAFSAFSA" localSheetId="0" hidden="1">{#N/A,#N/A,FALSE,"운반시간"}</definedName>
    <definedName name="FSAFSAFSA" hidden="1">{#N/A,#N/A,FALSE,"운반시간"}</definedName>
    <definedName name="fsd" localSheetId="0" hidden="1">{#N/A,#N/A,FALSE,"mgtsum.XLS";#N/A,#N/A,FALSE,"CAPONE";#N/A,#N/A,FALSE,"CAPTWO";#N/A,#N/A,FALSE,"CAPTHREE"}</definedName>
    <definedName name="fsd" hidden="1">{#N/A,#N/A,FALSE,"mgtsum.XLS";#N/A,#N/A,FALSE,"CAPONE";#N/A,#N/A,FALSE,"CAPTWO";#N/A,#N/A,FALSE,"CAPTHREE"}</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_1" localSheetId="0" hidden="1">{#N/A,#N/A,TRUE,"Basic";#N/A,#N/A,TRUE,"EXT-TABLE";#N/A,#N/A,TRUE,"STEEL";#N/A,#N/A,TRUE,"INT-Table";#N/A,#N/A,TRUE,"STEEL";#N/A,#N/A,TRUE,"Door"}</definedName>
    <definedName name="fsda_1" hidden="1">{#N/A,#N/A,TRUE,"Basic";#N/A,#N/A,TRUE,"EXT-TABLE";#N/A,#N/A,TRUE,"STEEL";#N/A,#N/A,TRUE,"INT-Table";#N/A,#N/A,TRUE,"STEEL";#N/A,#N/A,TRUE,"Door"}</definedName>
    <definedName name="fsdf" localSheetId="0" hidden="1">#REF!</definedName>
    <definedName name="fsdf" hidden="1">#REF!</definedName>
    <definedName name="FSDFASDF" localSheetId="0" hidden="1">{#N/A,#N/A,FALSE,"배수1"}</definedName>
    <definedName name="FSDFASDF" hidden="1">{#N/A,#N/A,FALSE,"배수1"}</definedName>
    <definedName name="fsdfdsf" localSheetId="0" hidden="1">{"'Sheet1'!$L$16"}</definedName>
    <definedName name="fsdfdsf" hidden="1">{"'Sheet1'!$L$16"}</definedName>
    <definedName name="FSD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0" hidden="1">{"'Sheet1'!$L$16"}</definedName>
    <definedName name="fsdfs" hidden="1">{"'Sheet1'!$L$16"}</definedName>
    <definedName name="fsdfsd" localSheetId="0" hidden="1">{#N/A,#N/A,FALSE,"Chi tiÆt"}</definedName>
    <definedName name="fsdfsd" hidden="1">{#N/A,#N/A,FALSE,"Chi tiÆt"}</definedName>
    <definedName name="FSDFSDF" localSheetId="0" hidden="1">{#N/A,#N/A,TRUE,"SUM";#N/A,#N/A,TRUE,"EE";#N/A,#N/A,TRUE,"AC";#N/A,#N/A,TRUE,"SN"}</definedName>
    <definedName name="FSDFSDF" hidden="1">{#N/A,#N/A,TRUE,"SUM";#N/A,#N/A,TRUE,"EE";#N/A,#N/A,TRUE,"AC";#N/A,#N/A,TRUE,"SN"}</definedName>
    <definedName name="fsdfsf" localSheetId="0"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DSAFSA" localSheetId="0" hidden="1">{#N/A,#N/A,FALSE,"2~8번"}</definedName>
    <definedName name="FSDSAFSA" hidden="1">{#N/A,#N/A,FALSE,"2~8번"}</definedName>
    <definedName name="fserah" localSheetId="0" hidden="1">#REF!</definedName>
    <definedName name="fserah" hidden="1">#REF!</definedName>
    <definedName name="fsf" localSheetId="0" hidden="1">#REF!</definedName>
    <definedName name="fsf" hidden="1">#REF!</definedName>
    <definedName name="fsfs" localSheetId="0" hidden="1">#REF!</definedName>
    <definedName name="fsfs" hidden="1">#REF!</definedName>
    <definedName name="fsfsf" localSheetId="0" hidden="1">#REF!</definedName>
    <definedName name="fsfsf" hidden="1">#REF!</definedName>
    <definedName name="fsfsfdd" localSheetId="0" hidden="1">{"'Sheet1'!$L$16"}</definedName>
    <definedName name="fsfsfdd" hidden="1">{"'Sheet1'!$L$16"}</definedName>
    <definedName name="fsg" localSheetId="0" hidden="1">#REF!</definedName>
    <definedName name="fsg" hidden="1">#REF!</definedName>
    <definedName name="fskhkshgh" localSheetId="0" hidden="1">#REF!</definedName>
    <definedName name="fskhkshgh" hidden="1">#REF!</definedName>
    <definedName name="fso" localSheetId="0" hidden="1">#REF!</definedName>
    <definedName name="fso" hidden="1">#REF!</definedName>
    <definedName name="ftgfg" localSheetId="0" hidden="1">{#N/A,#N/A,FALSE,"CCTV"}</definedName>
    <definedName name="ftgfg" hidden="1">{#N/A,#N/A,FALSE,"CCTV"}</definedName>
    <definedName name="fu" localSheetId="0"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LL" localSheetId="10" hidden="1">#REF!</definedName>
    <definedName name="FULL" hidden="1">#REF!</definedName>
    <definedName name="fvcgfd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w" localSheetId="0" hidden="1">#REF!</definedName>
    <definedName name="fw" hidden="1">#REF!</definedName>
    <definedName name="fwef" localSheetId="0" hidden="1">#REF!</definedName>
    <definedName name="fwef" hidden="1">#REF!</definedName>
    <definedName name="FWSE" localSheetId="0" hidden="1">#REF!</definedName>
    <definedName name="FWSE" hidden="1">#REF!</definedName>
    <definedName name="ga" localSheetId="0" hidden="1">#REF!</definedName>
    <definedName name="ga" hidden="1">#REF!</definedName>
    <definedName name="GADFGSDFG" localSheetId="0" hidden="1">#REF!</definedName>
    <definedName name="GADFGSDFG" hidden="1">#REF!</definedName>
    <definedName name="GADGAFDH" localSheetId="0" hidden="1">#REF!</definedName>
    <definedName name="GADGAFDH" hidden="1">#REF!</definedName>
    <definedName name="gag" localSheetId="0" hidden="1">#REF!</definedName>
    <definedName name="gag" hidden="1">#REF!</definedName>
    <definedName name="gaga" localSheetId="0" hidden="1">#REF!</definedName>
    <definedName name="gaga" hidden="1">#REF!</definedName>
    <definedName name="GAGAGA" localSheetId="0" hidden="1">#REF!</definedName>
    <definedName name="GAGAGA" hidden="1">#REF!</definedName>
    <definedName name="găgawg" localSheetId="0" hidden="1">#REF!</definedName>
    <definedName name="găgawg" hidden="1">#REF!</definedName>
    <definedName name="gbb" localSheetId="0" hidden="1">{"'Sheet1'!$L$16"}</definedName>
    <definedName name="gbb" hidden="1">{"'Sheet1'!$L$16"}</definedName>
    <definedName name="gbdff" localSheetId="0" hidden="1">{#N/A,#N/A,FALSE,"Chi tiÆt"}</definedName>
    <definedName name="gbdff" hidden="1">{#N/A,#N/A,FALSE,"Chi tiÆt"}</definedName>
    <definedName name="gbdg" localSheetId="0" hidden="1">{"'Sheet1'!$L$16"}</definedName>
    <definedName name="gbdg" hidden="1">{"'Sheet1'!$L$16"}</definedName>
    <definedName name="gbsbss" localSheetId="0" hidden="1">#REF!</definedName>
    <definedName name="gbsbss" hidden="1">#REF!</definedName>
    <definedName name="gcm" localSheetId="0" hidden="1">{"'Sheet1'!$L$16"}</definedName>
    <definedName name="gcm" hidden="1">{"'Sheet1'!$L$16"}</definedName>
    <definedName name="gd" localSheetId="0" hidden="1">{#N/A,#N/A,FALSE,"Chi tiÆt"}</definedName>
    <definedName name="gd" hidden="1">{#N/A,#N/A,FALSE,"Chi tiÆt"}</definedName>
    <definedName name="gdffg" localSheetId="0" hidden="1">#REF!</definedName>
    <definedName name="gdffg" hidden="1">#REF!</definedName>
    <definedName name="gdfg" localSheetId="0" hidden="1">#REF!</definedName>
    <definedName name="gdfg" hidden="1">#REF!</definedName>
    <definedName name="gdfgdfgdf" localSheetId="0" hidden="1">{"'Sheet1'!$L$16"}</definedName>
    <definedName name="gdfgdfgdf" hidden="1">{"'Sheet1'!$L$16"}</definedName>
    <definedName name="gdfgds" localSheetId="0" hidden="1">#REF!</definedName>
    <definedName name="gdfgds" hidden="1">#REF!</definedName>
    <definedName name="gdfgf" localSheetId="0" hidden="1">#REF!</definedName>
    <definedName name="gdfgf" hidden="1">#REF!</definedName>
    <definedName name="GDFS" localSheetId="0" hidden="1">{#N/A,#N/A,FALSE,"2~8번"}</definedName>
    <definedName name="GDFS" hidden="1">{#N/A,#N/A,FALSE,"2~8번"}</definedName>
    <definedName name="gdg" localSheetId="0" hidden="1">{"'Sheet1'!$L$16"}</definedName>
    <definedName name="gdg" hidden="1">{"'Sheet1'!$L$16"}</definedName>
    <definedName name="gdgdffg" localSheetId="0" hidden="1">#REF!</definedName>
    <definedName name="gdgdffg" hidden="1">#REF!</definedName>
    <definedName name="gdgdhngdddddd" localSheetId="0" hidden="1">#REF!</definedName>
    <definedName name="gdgdhngdddddd" hidden="1">#REF!</definedName>
    <definedName name="gdgfd" localSheetId="0" hidden="1">#REF!</definedName>
    <definedName name="gdgfd" hidden="1">#REF!</definedName>
    <definedName name="gdh" localSheetId="0" hidden="1">{"'Sheet1'!$L$16"}</definedName>
    <definedName name="gdh" hidden="1">{"'Sheet1'!$L$16"}</definedName>
    <definedName name="gdhdh" localSheetId="0" hidden="1">#REF!</definedName>
    <definedName name="gdhdh" hidden="1">#REF!</definedName>
    <definedName name="gdjf" localSheetId="0" hidden="1">{#N/A,#N/A,FALSE,"Chi tiÆt"}</definedName>
    <definedName name="gdjf" hidden="1">{#N/A,#N/A,FALSE,"Chi tiÆt"}</definedName>
    <definedName name="gdret" localSheetId="0" hidden="1">{"'Sheet1'!$L$16"}</definedName>
    <definedName name="gdret" hidden="1">{"'Sheet1'!$L$16"}</definedName>
    <definedName name="GDS" localSheetId="0" hidden="1">{"'Sheet1'!$L$16"}</definedName>
    <definedName name="GDS" hidden="1">{"'Sheet1'!$L$16"}</definedName>
    <definedName name="ge" localSheetId="0" hidden="1">{"'Sheet1'!$L$16"}</definedName>
    <definedName name="ge" hidden="1">{"'Sheet1'!$L$16"}</definedName>
    <definedName name="gegE" localSheetId="0" hidden="1">#REF!</definedName>
    <definedName name="gegE" hidden="1">#REF!</definedName>
    <definedName name="gẻgweg" localSheetId="0" hidden="1">#REF!</definedName>
    <definedName name="gẻgweg" hidden="1">#REF!</definedName>
    <definedName name="gergre" localSheetId="0" hidden="1">#REF!</definedName>
    <definedName name="gergre" hidden="1">#REF!</definedName>
    <definedName name="gewg" localSheetId="0" hidden="1">{#N/A,#N/A,FALSE,"CCTV"}</definedName>
    <definedName name="gewg" hidden="1">{#N/A,#N/A,FALSE,"CCTV"}</definedName>
    <definedName name="gể4" localSheetId="0" hidden="1">#REF!</definedName>
    <definedName name="gể4" hidden="1">#REF!</definedName>
    <definedName name="gfd" localSheetId="0" hidden="1">{"'Sheet1'!$L$16"}</definedName>
    <definedName name="gfd" hidden="1">{"'Sheet1'!$L$16"}</definedName>
    <definedName name="gfdg" localSheetId="0" hidden="1">{#N/A,#N/A,FALSE,"特殊室（ＢＱ表）"}</definedName>
    <definedName name="gfdg" hidden="1">{#N/A,#N/A,FALSE,"特殊室（ＢＱ表）"}</definedName>
    <definedName name="GFDG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localSheetId="0" hidden="1">#REF!</definedName>
    <definedName name="gfdgdfgd" hidden="1">#REF!</definedName>
    <definedName name="GFDGDFGFG" localSheetId="0" hidden="1">{#N/A,#N/A,FALSE,"혼합골재"}</definedName>
    <definedName name="GFDGDFGFG" hidden="1">{#N/A,#N/A,FALSE,"혼합골재"}</definedName>
    <definedName name="gfdgfd" localSheetId="0" hidden="1">#REF!</definedName>
    <definedName name="gfdgfd" hidden="1">#REF!</definedName>
    <definedName name="GFDS" localSheetId="0" hidden="1">{#N/A,#N/A,FALSE,"CCTV"}</definedName>
    <definedName name="GFDS" hidden="1">{#N/A,#N/A,FALSE,"CCTV"}</definedName>
    <definedName name="GFDSAG" localSheetId="0" hidden="1">{#N/A,#N/A,FALSE,"2~8번"}</definedName>
    <definedName name="GFDSAG" hidden="1">{#N/A,#N/A,FALSE,"2~8번"}</definedName>
    <definedName name="gfeg" localSheetId="0" hidden="1">{#N/A,#N/A,FALSE,"Chi tiÆt"}</definedName>
    <definedName name="gfeg" hidden="1">{#N/A,#N/A,FALSE,"Chi tiÆt"}</definedName>
    <definedName name="GFF" localSheetId="0" hidden="1">#REF!</definedName>
    <definedName name="GFF" hidden="1">#REF!</definedName>
    <definedName name="gffgf" localSheetId="0" hidden="1">#REF!</definedName>
    <definedName name="gffgf" hidden="1">#REF!</definedName>
    <definedName name="gfg" localSheetId="0" hidden="1">{"'Sheet1'!$L$16"}</definedName>
    <definedName name="gfg" hidden="1">{"'Sheet1'!$L$16"}</definedName>
    <definedName name="gfgd" localSheetId="0" hidden="1">#REF!</definedName>
    <definedName name="gfgd" hidden="1">#REF!</definedName>
    <definedName name="gfgdfg" localSheetId="0" hidden="1">#REF!</definedName>
    <definedName name="gfgdfg" hidden="1">#REF!</definedName>
    <definedName name="gfgdfgfh" localSheetId="0" hidden="1">#REF!</definedName>
    <definedName name="gfgdfgfh" hidden="1">#REF!</definedName>
    <definedName name="gfgf" localSheetId="0" hidden="1">#REF!</definedName>
    <definedName name="gfgf" hidden="1">#REF!</definedName>
    <definedName name="gfgfg" localSheetId="0" hidden="1">{#N/A,#N/A,FALSE,"골재소요량";#N/A,#N/A,FALSE,"골재소요량"}</definedName>
    <definedName name="gfgfg" hidden="1">{#N/A,#N/A,FALSE,"골재소요량";#N/A,#N/A,FALSE,"골재소요량"}</definedName>
    <definedName name="gfgfgfgfgfg" localSheetId="0" hidden="1">{"'Sheet1'!$L$16"}</definedName>
    <definedName name="gfgfgfgfgfg" hidden="1">{"'Sheet1'!$L$16"}</definedName>
    <definedName name="GFGFHGFHF" localSheetId="0" hidden="1">{#N/A,#N/A,FALSE,"토공2"}</definedName>
    <definedName name="GFGFHGFHF" hidden="1">{#N/A,#N/A,FALSE,"토공2"}</definedName>
    <definedName name="gfh" localSheetId="0" hidden="1">{"'Sheet1'!$L$16"}</definedName>
    <definedName name="gfh" hidden="1">{"'Sheet1'!$L$16"}</definedName>
    <definedName name="gfhgh" localSheetId="0" hidden="1">{#N/A,#N/A,FALSE,"배수2"}</definedName>
    <definedName name="gfhgh" hidden="1">{#N/A,#N/A,FALSE,"배수2"}</definedName>
    <definedName name="gfhgj" localSheetId="0" hidden="1">{0}</definedName>
    <definedName name="gfhgj" hidden="1">{0}</definedName>
    <definedName name="GFHJ" localSheetId="0" hidden="1">{#N/A,#N/A,FALSE,"단가표지"}</definedName>
    <definedName name="GFHJ" hidden="1">{#N/A,#N/A,FALSE,"단가표지"}</definedName>
    <definedName name="GFHR" localSheetId="0" hidden="1">{#N/A,#N/A,FALSE,"운반시간"}</definedName>
    <definedName name="GFHR" hidden="1">{#N/A,#N/A,FALSE,"운반시간"}</definedName>
    <definedName name="gfj" localSheetId="0" hidden="1">{"'Sheet1'!$L$16"}</definedName>
    <definedName name="gfj" hidden="1">{"'Sheet1'!$L$16"}</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JGFJGH" localSheetId="0" hidden="1">{#N/A,#N/A,FALSE,"2~8번"}</definedName>
    <definedName name="GFJGFJGH" hidden="1">{#N/A,#N/A,FALSE,"2~8번"}</definedName>
    <definedName name="GFJGFJRRJGH" localSheetId="0" hidden="1">{#N/A,#N/A,FALSE,"배수1"}</definedName>
    <definedName name="GFJGFJRRJGH" hidden="1">{#N/A,#N/A,FALSE,"배수1"}</definedName>
    <definedName name="GFJHGFJGF" localSheetId="0" hidden="1">{#N/A,#N/A,FALSE,"혼합골재"}</definedName>
    <definedName name="GFJHGFJGF" hidden="1">{#N/A,#N/A,FALSE,"혼합골재"}</definedName>
    <definedName name="gfjnfg" localSheetId="0" hidden="1">{"'Sheet1'!$L$16"}</definedName>
    <definedName name="gfjnfg" hidden="1">{"'Sheet1'!$L$16"}</definedName>
    <definedName name="gfnfm" localSheetId="0" hidden="1">#REF!</definedName>
    <definedName name="gfnfm" hidden="1">#REF!</definedName>
    <definedName name="GFNGHFN" localSheetId="0" hidden="1">{"'Sheet1'!$L$16"}</definedName>
    <definedName name="GFNGHFN" hidden="1">{"'Sheet1'!$L$16"}</definedName>
    <definedName name="GFRRJGH" localSheetId="0" hidden="1">{#N/A,#N/A,FALSE,"단가표지"}</definedName>
    <definedName name="GFRRJGH" hidden="1">{#N/A,#N/A,FALSE,"단가표지"}</definedName>
    <definedName name="gftrhgtrfhb" localSheetId="0" hidden="1">{#N/A,#N/A,FALSE,"기안지";#N/A,#N/A,FALSE,"통신지"}</definedName>
    <definedName name="gftrhgtrfhb" hidden="1">{#N/A,#N/A,FALSE,"기안지";#N/A,#N/A,FALSE,"통신지"}</definedName>
    <definedName name="GG" localSheetId="0" hidden="1">{#N/A,#N/A,TRUE,"SUM";#N/A,#N/A,TRUE,"EE";#N/A,#N/A,TRUE,"AC";#N/A,#N/A,TRUE,"SN"}</definedName>
    <definedName name="GG" hidden="1">{#N/A,#N/A,TRUE,"SUM";#N/A,#N/A,TRUE,"EE";#N/A,#N/A,TRUE,"AC";#N/A,#N/A,TRUE,"SN"}</definedName>
    <definedName name="GGBC1" localSheetId="0" hidden="1">{"'Sheet1'!$L$16"}</definedName>
    <definedName name="GGBC1" hidden="1">{"'Sheet1'!$L$16"}</definedName>
    <definedName name="ggf" localSheetId="0" hidden="1">#REF!</definedName>
    <definedName name="ggf" hidden="1">#REF!</definedName>
    <definedName name="ggfgfsghgs" localSheetId="0" hidden="1">#REF!</definedName>
    <definedName name="ggfgfsghgs" hidden="1">#REF!</definedName>
    <definedName name="GGFGRG" localSheetId="0" hidden="1">#REF!</definedName>
    <definedName name="GGFGRG" hidden="1">#REF!</definedName>
    <definedName name="ggfhgfshgh" localSheetId="0" hidden="1">{#N/A,#N/A,FALSE,"포장2"}</definedName>
    <definedName name="ggfhgfshgh" hidden="1">{#N/A,#N/A,FALSE,"포장2"}</definedName>
    <definedName name="ggg" localSheetId="0" hidden="1">{#N/A,#N/A,FALSE,"Chi tiÆt"}</definedName>
    <definedName name="ggg" hidden="1">{#N/A,#N/A,FALSE,"Chi tiÆt"}</definedName>
    <definedName name="gggdgd" localSheetId="0" hidden="1">#REF!</definedName>
    <definedName name="gggdgd" hidden="1">#REF!</definedName>
    <definedName name="gggfdgdfg" localSheetId="0" hidden="1">#REF!</definedName>
    <definedName name="gggfdgdfg" hidden="1">#REF!</definedName>
    <definedName name="gggfh" localSheetId="0" hidden="1">#REF!</definedName>
    <definedName name="gggfh" hidden="1">#REF!</definedName>
    <definedName name="gggg" localSheetId="0" hidden="1">{"'Sheet1'!$L$16"}</definedName>
    <definedName name="gggg" hidden="1">{"'Sheet1'!$L$16"}</definedName>
    <definedName name="GGGGG" localSheetId="0" hidden="1">{#N/A,#N/A,TRUE,"SUM";#N/A,#N/A,TRUE,"EE";#N/A,#N/A,TRUE,"AC";#N/A,#N/A,TRUE,"SN"}</definedName>
    <definedName name="GGGGG" hidden="1">{#N/A,#N/A,TRUE,"SUM";#N/A,#N/A,TRUE,"EE";#N/A,#N/A,TRUE,"AC";#N/A,#N/A,TRUE,"SN"}</definedName>
    <definedName name="GGGGGG" localSheetId="0" hidden="1">#REF!</definedName>
    <definedName name="GGGGGG" hidden="1">#REF!</definedName>
    <definedName name="gggppiou" localSheetId="0" hidden="1">{#N/A,#N/A,FALSE,"Chi tiÆt"}</definedName>
    <definedName name="gggppiou" hidden="1">{#N/A,#N/A,FALSE,"Chi tiÆt"}</definedName>
    <definedName name="gghnfsn" localSheetId="0" hidden="1">#REF!</definedName>
    <definedName name="gghnfsn" hidden="1">#REF!</definedName>
    <definedName name="ggngfnf" localSheetId="0" hidden="1">#REF!</definedName>
    <definedName name="ggngfnf" hidden="1">#REF!</definedName>
    <definedName name="GGRGH" localSheetId="0" hidden="1">{"'Sheet1'!$L$16"}</definedName>
    <definedName name="GGRGH" hidden="1">{"'Sheet1'!$L$16"}</definedName>
    <definedName name="ggsf" localSheetId="0" hidden="1">#REF!</definedName>
    <definedName name="ggsf" hidden="1">#REF!</definedName>
    <definedName name="ggss" localSheetId="0" hidden="1">{"'Sheet1'!$L$16"}</definedName>
    <definedName name="ggss" hidden="1">{"'Sheet1'!$L$16"}</definedName>
    <definedName name="GH" localSheetId="0" hidden="1">#REF!</definedName>
    <definedName name="GH" hidden="1">#REF!</definedName>
    <definedName name="gh4w" localSheetId="0" hidden="1">#REF!</definedName>
    <definedName name="gh4w" hidden="1">#REF!</definedName>
    <definedName name="GHBDF" localSheetId="0" hidden="1">{#N/A,#N/A,FALSE,"Chi tiÆt"}</definedName>
    <definedName name="GHBDF" hidden="1">{#N/A,#N/A,FALSE,"Chi tiÆt"}</definedName>
    <definedName name="ghdg" localSheetId="0" hidden="1">#REF!</definedName>
    <definedName name="ghdg" hidden="1">#REF!</definedName>
    <definedName name="ghf" localSheetId="0" hidden="1">{"'Sheet1'!$L$16"}</definedName>
    <definedName name="ghf" hidden="1">{"'Sheet1'!$L$16"}</definedName>
    <definedName name="ghfghf" localSheetId="0" hidden="1">#REF!</definedName>
    <definedName name="ghfghf" hidden="1">#REF!</definedName>
    <definedName name="ghg" localSheetId="0" hidden="1">{"'Sheet1'!$L$16"}</definedName>
    <definedName name="ghg" hidden="1">{"'Sheet1'!$L$16"}</definedName>
    <definedName name="ghgfh" localSheetId="0" hidden="1">{#N/A,#N/A,FALSE,"포장2"}</definedName>
    <definedName name="ghgfh" hidden="1">{#N/A,#N/A,FALSE,"포장2"}</definedName>
    <definedName name="ghgg" localSheetId="0" hidden="1">#REF!</definedName>
    <definedName name="ghgg" hidden="1">#REF!</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h" localSheetId="0" hidden="1">#REF!</definedName>
    <definedName name="ghghgh" hidden="1">#REF!</definedName>
    <definedName name="ghgj" localSheetId="0" hidden="1">{0}</definedName>
    <definedName name="ghgj" hidden="1">{0}</definedName>
    <definedName name="ghgk" localSheetId="0" hidden="1">{0}</definedName>
    <definedName name="ghgk" hidden="1">{0}</definedName>
    <definedName name="ghgthb" localSheetId="0" hidden="1">#REF!</definedName>
    <definedName name="ghgthb" hidden="1">#REF!</definedName>
    <definedName name="ghh" localSheetId="0" hidden="1">{#N/A,#N/A,FALSE,"Chi tiÆt"}</definedName>
    <definedName name="ghh" hidden="1">{#N/A,#N/A,FALSE,"Chi tiÆt"}</definedName>
    <definedName name="ghhdsg" localSheetId="0" hidden="1">#REF!</definedName>
    <definedName name="ghhdsg" hidden="1">#REF!</definedName>
    <definedName name="ghhgfj" localSheetId="0" hidden="1">#REF!</definedName>
    <definedName name="ghhgfj" hidden="1">#REF!</definedName>
    <definedName name="ghhh" localSheetId="0" hidden="1">{"'Sheet1'!$L$16"}</definedName>
    <definedName name="ghhh" hidden="1">{"'Sheet1'!$L$16"}</definedName>
    <definedName name="ghjgj" localSheetId="0" hidden="1">#REF!</definedName>
    <definedName name="ghjgj" hidden="1">#REF!</definedName>
    <definedName name="ghjhgj" localSheetId="0" hidden="1">{"'Sheet1'!$L$16"}</definedName>
    <definedName name="ghjhgj" hidden="1">{"'Sheet1'!$L$16"}</definedName>
    <definedName name="ghsd" localSheetId="0" hidden="1">#REF!</definedName>
    <definedName name="ghsd" hidden="1">#REF!</definedName>
    <definedName name="ghsthh" localSheetId="0" hidden="1">#REF!</definedName>
    <definedName name="ghsthh" hidden="1">#REF!</definedName>
    <definedName name="gÎ" localSheetId="0" hidden="1">#REF!</definedName>
    <definedName name="gÎ" hidden="1">#REF!</definedName>
    <definedName name="gj" localSheetId="0" hidden="1">#REF!</definedName>
    <definedName name="gj" hidden="1">#REF!</definedName>
    <definedName name="gjfd" localSheetId="0" hidden="1">#REF!</definedName>
    <definedName name="gjfd" hidden="1">#REF!</definedName>
    <definedName name="gjfge4" localSheetId="0" hidden="1">#REF!</definedName>
    <definedName name="gjfge4" hidden="1">#REF!</definedName>
    <definedName name="GJFGJFGJ" localSheetId="0" hidden="1">{#N/A,#N/A,FALSE,"골재소요량";#N/A,#N/A,FALSE,"골재소요량"}</definedName>
    <definedName name="GJFGJFGJ" hidden="1">{#N/A,#N/A,FALSE,"골재소요량";#N/A,#N/A,FALSE,"골재소요량"}</definedName>
    <definedName name="gjfgvfh" localSheetId="0" hidden="1">{#N/A,#N/A,FALSE,"特殊室（ＢＱ表）"}</definedName>
    <definedName name="gjfgvfh" hidden="1">{#N/A,#N/A,FALSE,"特殊室（ＢＱ表）"}</definedName>
    <definedName name="GJGFJGFHJ" localSheetId="0" hidden="1">{#N/A,#N/A,FALSE,"속도"}</definedName>
    <definedName name="GJGFJGFHJ" hidden="1">{#N/A,#N/A,FALSE,"속도"}</definedName>
    <definedName name="gjgfjgjd" localSheetId="0" hidden="1">#REF!</definedName>
    <definedName name="gjgfjgjd" hidden="1">#REF!</definedName>
    <definedName name="gjgjghh" localSheetId="0" hidden="1">#REF!</definedName>
    <definedName name="gjgjghh" hidden="1">#REF!</definedName>
    <definedName name="GJHGLI" localSheetId="0" hidden="1">{#N/A,#N/A,FALSE,"포장1";#N/A,#N/A,FALSE,"포장1"}</definedName>
    <definedName name="GJHGLI" hidden="1">{#N/A,#N/A,FALSE,"포장1";#N/A,#N/A,FALSE,"포장1"}</definedName>
    <definedName name="gjhhn" localSheetId="0" hidden="1">{"'Sheet1'!$L$16"}</definedName>
    <definedName name="gjhhn" hidden="1">{"'Sheet1'!$L$16"}</definedName>
    <definedName name="gjhi" localSheetId="0" hidden="1">{"'Sheet1'!$L$16"}</definedName>
    <definedName name="gjhi" hidden="1">{"'Sheet1'!$L$16"}</definedName>
    <definedName name="gjkj" localSheetId="0" hidden="1">{"'Sheet1'!$L$16"}</definedName>
    <definedName name="gjkj" hidden="1">{"'Sheet1'!$L$16"}</definedName>
    <definedName name="gjrđjsjs" localSheetId="0" hidden="1">{"'Sheet1'!$L$16"}</definedName>
    <definedName name="gjrđjsjs" hidden="1">{"'Sheet1'!$L$16"}</definedName>
    <definedName name="gkd" localSheetId="0" hidden="1">{"'Sheet1'!$L$16"}</definedName>
    <definedName name="gkd" hidden="1">{"'Sheet1'!$L$16"}</definedName>
    <definedName name="glhlhl" localSheetId="0" hidden="1">{"'Sheet1'!$L$16"}</definedName>
    <definedName name="glhlhl" hidden="1">{"'Sheet1'!$L$16"}</definedName>
    <definedName name="glllhlh" localSheetId="0" hidden="1">{"'Sheet1'!$L$16"}</definedName>
    <definedName name="glllhlh" hidden="1">{"'Sheet1'!$L$16"}</definedName>
    <definedName name="GMG" localSheetId="0" hidden="1">{#N/A,#N/A,FALSE,"特殊室（ＢＱ表）"}</definedName>
    <definedName name="GMG" hidden="1">{#N/A,#N/A,FALSE,"特殊室（ＢＱ表）"}</definedName>
    <definedName name="gmhjg" localSheetId="0" hidden="1">#REF!</definedName>
    <definedName name="gmhjg" hidden="1">#REF!</definedName>
    <definedName name="gnfgf" localSheetId="0" hidden="1">{#N/A,#N/A,FALSE,"Chi tiÆt"}</definedName>
    <definedName name="gnfgf" hidden="1">{#N/A,#N/A,FALSE,"Chi tiÆt"}</definedName>
    <definedName name="GNFKD" localSheetId="0" hidden="1">{#N/A,#N/A,TRUE,"SUM";#N/A,#N/A,TRUE,"EE";#N/A,#N/A,TRUE,"AC";#N/A,#N/A,TRUE,"SN"}</definedName>
    <definedName name="GNFKD" hidden="1">{#N/A,#N/A,TRUE,"SUM";#N/A,#N/A,TRUE,"EE";#N/A,#N/A,TRUE,"AC";#N/A,#N/A,TRUE,"SN"}</definedName>
    <definedName name="gnytemy5"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r" localSheetId="0" hidden="1">{#N/A,#N/A,FALSE,"Chi tiÆt"}</definedName>
    <definedName name="gr" hidden="1">{#N/A,#N/A,FALSE,"Chi tiÆt"}</definedName>
    <definedName name="grap_b" localSheetId="0" hidden="1">#REF!</definedName>
    <definedName name="grap_b" hidden="1">#REF!</definedName>
    <definedName name="GREG4E" localSheetId="0" hidden="1">{"'Sheet1'!$L$16"}</definedName>
    <definedName name="GREG4E" hidden="1">{"'Sheet1'!$L$16"}</definedName>
    <definedName name="GREGF" localSheetId="0" hidden="1">#REF!</definedName>
    <definedName name="GREGF" hidden="1">#REF!</definedName>
    <definedName name="gregre" localSheetId="0" hidden="1">#REF!</definedName>
    <definedName name="gregre" hidden="1">#REF!</definedName>
    <definedName name="gresg" localSheetId="0" hidden="1">{"'Sheet1'!$L$16"}</definedName>
    <definedName name="gresg" hidden="1">{"'Sheet1'!$L$16"}</definedName>
    <definedName name="grew" localSheetId="0" hidden="1">#REF!</definedName>
    <definedName name="grew" hidden="1">#REF!</definedName>
    <definedName name="grewgrhj" localSheetId="0" hidden="1">#REF!</definedName>
    <definedName name="grewgrhj" hidden="1">#REF!</definedName>
    <definedName name="grgeg" localSheetId="0" hidden="1">#REF!</definedName>
    <definedName name="grgeg" hidden="1">#REF!</definedName>
    <definedName name="GroundFloor" localSheetId="0" hidden="1">{"'Sheet1'!$L$16"}</definedName>
    <definedName name="GroundFloor" hidden="1">{"'Sheet1'!$L$16"}</definedName>
    <definedName name="gsdbsa" localSheetId="0" hidden="1">{#N/A,#N/A,FALSE,"Chi tiÆt"}</definedName>
    <definedName name="gsdbsa" hidden="1">{#N/A,#N/A,FALSE,"Chi tiÆt"}</definedName>
    <definedName name="gsdfg" localSheetId="0" hidden="1">#REF!</definedName>
    <definedName name="gsdfg" hidden="1">#REF!</definedName>
    <definedName name="GSDGSRWQR" localSheetId="0" hidden="1">{#N/A,#N/A,FALSE,"속도"}</definedName>
    <definedName name="GSDGSRWQR" hidden="1">{#N/A,#N/A,FALSE,"속도"}</definedName>
    <definedName name="GSF" localSheetId="0" hidden="1">#REF!</definedName>
    <definedName name="GSF" hidden="1">#REF!</definedName>
    <definedName name="GSFFAFSFSDF" localSheetId="0" hidden="1">{"'Sheet1'!$L$16"}</definedName>
    <definedName name="GSFFAFSFSDF" hidden="1">{"'Sheet1'!$L$16"}</definedName>
    <definedName name="gswee" localSheetId="0" hidden="1">#REF!</definedName>
    <definedName name="gswee" hidden="1">#REF!</definedName>
    <definedName name="gt" localSheetId="0" hidden="1">{"'Liquid'!$A$1:$U$57"}</definedName>
    <definedName name="gt" hidden="1">{"'Liquid'!$A$1:$U$57"}</definedName>
    <definedName name="gteyhưez" localSheetId="0" hidden="1">{"'Sheet1'!$L$16"}</definedName>
    <definedName name="gteyhưez" hidden="1">{"'Sheet1'!$L$16"}</definedName>
    <definedName name="GTM" localSheetId="0" hidden="1">{"'Sheet1'!$L$16"}</definedName>
    <definedName name="GTM" hidden="1">{"'Sheet1'!$L$16"}</definedName>
    <definedName name="GTOTAL" localSheetId="0" hidden="1">{"'Sheet1'!$L$16"}</definedName>
    <definedName name="GTOTAL" hidden="1">{"'Sheet1'!$L$16"}</definedName>
    <definedName name="GTVLPhu" localSheetId="0" hidden="1">#REF!</definedName>
    <definedName name="GTVLPhu" hidden="1">#REF!</definedName>
    <definedName name="GUSTLS" localSheetId="0" hidden="1">#REF!</definedName>
    <definedName name="GUSTLS" hidden="1">#REF!</definedName>
    <definedName name="GƯD" localSheetId="0" hidden="1">{"'Sheet1'!$L$16"}</definedName>
    <definedName name="GƯD" hidden="1">{"'Sheet1'!$L$16"}</definedName>
    <definedName name="GV" localSheetId="0" hidden="1">{#N/A,#N/A,FALSE,"CCTV"}</definedName>
    <definedName name="GV" hidden="1">{#N/A,#N/A,FALSE,"CCTV"}</definedName>
    <definedName name="gwewfw" localSheetId="0" hidden="1">#REF!</definedName>
    <definedName name="gwewfw" hidden="1">#REF!</definedName>
    <definedName name="gwgw" localSheetId="0" hidden="1">#REF!</definedName>
    <definedName name="gwgw" hidden="1">#REF!</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d" localSheetId="0" hidden="1">{"'Sheet1'!$L$16"}</definedName>
    <definedName name="gid" hidden="1">{"'Sheet1'!$L$16"}</definedName>
    <definedName name="h" localSheetId="10" hidden="1">{"'Sheet1'!$L$16"}</definedName>
    <definedName name="h" localSheetId="0" hidden="1">{"'Sheet1'!$L$16"}</definedName>
    <definedName name="h" hidden="1">{"'Sheet1'!$L$16"}</definedName>
    <definedName name="h_xoa" localSheetId="0" hidden="1">{"'Sheet1'!$L$16"}</definedName>
    <definedName name="h_xoa" hidden="1">{"'Sheet1'!$L$16"}</definedName>
    <definedName name="h_xoa2" localSheetId="0" hidden="1">{"'Sheet1'!$L$16"}</definedName>
    <definedName name="h_xoa2" hidden="1">{"'Sheet1'!$L$16"}</definedName>
    <definedName name="h_xoa3" localSheetId="0" hidden="1">{"'Sheet1'!$L$16"}</definedName>
    <definedName name="h_xoa3" hidden="1">{"'Sheet1'!$L$16"}</definedName>
    <definedName name="HA" localSheetId="0" hidden="1">{"'Sheet1'!$L$16"}</definedName>
    <definedName name="HA" hidden="1">{"'Sheet1'!$L$16"}</definedName>
    <definedName name="hai" localSheetId="0" hidden="1">{"'Sheet1'!$L$16"}</definedName>
    <definedName name="hai" hidden="1">{"'Sheet1'!$L$16"}</definedName>
    <definedName name="half" localSheetId="0" hidden="1">{#N/A,#N/A,FALSE,"전체집계표";#N/A,#N/A,FALSE,"안벽30000";#N/A,#N/A,FALSE,"안벽20000";#N/A,#N/A,FALSE,"내호안";#N/A,#N/A,FALSE,"외호안";#N/A,#N/A,FALSE,"준설토A";#N/A,#N/A,FALSE,"준설토B";#N/A,#N/A,FALSE,"적출장"}</definedName>
    <definedName name="half" hidden="1">{#N/A,#N/A,FALSE,"전체집계표";#N/A,#N/A,FALSE,"안벽30000";#N/A,#N/A,FALSE,"안벽20000";#N/A,#N/A,FALSE,"내호안";#N/A,#N/A,FALSE,"외호안";#N/A,#N/A,FALSE,"준설토A";#N/A,#N/A,FALSE,"준설토B";#N/A,#N/A,FALSE,"적출장"}</definedName>
    <definedName name="han" localSheetId="10" hidden="1">#REF!</definedName>
    <definedName name="han" hidden="1">#REF!</definedName>
    <definedName name="hanh" localSheetId="0" hidden="1">{"'Sheet1'!$L$16"}</definedName>
    <definedName name="hanh" hidden="1">{"'Sheet1'!$L$16"}</definedName>
    <definedName name="hao" localSheetId="10" hidden="1">#REF!</definedName>
    <definedName name="hao" localSheetId="0" hidden="1">{"'Sheet1'!$L$16"}</definedName>
    <definedName name="hao" hidden="1">{"'Sheet1'!$L$16"}</definedName>
    <definedName name="haq" localSheetId="0" hidden="1">{"'Sheet1'!$L$16"}</definedName>
    <definedName name="haq" hidden="1">{"'Sheet1'!$L$16"}</definedName>
    <definedName name="hau" localSheetId="0" hidden="1">{"'Sheet1'!$L$16"}</definedName>
    <definedName name="hau" hidden="1">{"'Sheet1'!$L$16"}</definedName>
    <definedName name="hb" localSheetId="0" hidden="1">{"'Sheet1'!$L$16"}</definedName>
    <definedName name="hb" hidden="1">{"'Sheet1'!$L$16"}</definedName>
    <definedName name="hbbbbbb" localSheetId="0" hidden="1">{"'Sheet1'!$L$16"}</definedName>
    <definedName name="hbbbbbb" hidden="1">{"'Sheet1'!$L$16"}</definedName>
    <definedName name="HCNA" localSheetId="0" hidden="1">{"'Sheet1'!$L$16"}</definedName>
    <definedName name="HCNA" hidden="1">{"'Sheet1'!$L$16"}</definedName>
    <definedName name="hchdsvf" localSheetId="0" hidden="1">{"'Sheet1'!$L$16"}</definedName>
    <definedName name="hchdsvf" hidden="1">{"'Sheet1'!$L$16"}</definedName>
    <definedName name="hdf" localSheetId="0" hidden="1">#REF!</definedName>
    <definedName name="hdf" hidden="1">#REF!</definedName>
    <definedName name="HDFD" localSheetId="0" hidden="1">{#N/A,#N/A,FALSE,"속도"}</definedName>
    <definedName name="HDFD" hidden="1">{#N/A,#N/A,FALSE,"속도"}</definedName>
    <definedName name="hdfhdf" localSheetId="0" hidden="1">#REF!</definedName>
    <definedName name="hdfhdf" hidden="1">#REF!</definedName>
    <definedName name="hdfhdh" localSheetId="0" hidden="1">#REF!</definedName>
    <definedName name="hdfhdh" hidden="1">#REF!</definedName>
    <definedName name="HDGF" localSheetId="0" hidden="1">{#N/A,#N/A,FALSE,"표지목차"}</definedName>
    <definedName name="HDGF" hidden="1">{#N/A,#N/A,FALSE,"표지목차"}</definedName>
    <definedName name="HDGFDS" localSheetId="0" hidden="1">#REF!</definedName>
    <definedName name="HDGFDS" hidden="1">#REF!</definedName>
    <definedName name="HDGUJ" localSheetId="0" hidden="1">{"'Sheet1'!$L$16"}</definedName>
    <definedName name="HDGUJ" hidden="1">{"'Sheet1'!$L$16"}</definedName>
    <definedName name="hdh" localSheetId="0" hidden="1">{#N/A,#N/A,FALSE,"Chi tiÆt"}</definedName>
    <definedName name="hdh" hidden="1">{#N/A,#N/A,FALSE,"Chi tiÆt"}</definedName>
    <definedName name="hdhdfhrr" localSheetId="0" hidden="1">#REF!</definedName>
    <definedName name="hdhdfhrr" hidden="1">#REF!</definedName>
    <definedName name="hdhj" localSheetId="0" hidden="1">{#N/A,#N/A,FALSE,"Chi tiÆt"}</definedName>
    <definedName name="hdhj" hidden="1">{#N/A,#N/A,FALSE,"Chi tiÆt"}</definedName>
    <definedName name="hdyt" localSheetId="0" hidden="1">{"'Sheet1'!$L$16"}</definedName>
    <definedName name="hdyt" hidden="1">{"'Sheet1'!$L$16"}</definedName>
    <definedName name="he" localSheetId="0" hidden="1">{"'Sheet1'!$L$16"}</definedName>
    <definedName name="he" hidden="1">{"'Sheet1'!$L$16"}</definedName>
    <definedName name="hee_opjg" localSheetId="0" hidden="1">{"'Sheet1'!$L$16"}</definedName>
    <definedName name="hee_opjg" hidden="1">{"'Sheet1'!$L$16"}</definedName>
    <definedName name="hehgeh" localSheetId="0" hidden="1">#REF!</definedName>
    <definedName name="hehgeh" hidden="1">#REF!</definedName>
    <definedName name="herse" localSheetId="0" hidden="1">{#N/A,#N/A,FALSE,"Chi tiÆt"}</definedName>
    <definedName name="herse" hidden="1">{#N/A,#N/A,FALSE,"Chi tiÆt"}</definedName>
    <definedName name="hery" localSheetId="0" hidden="1">#REF!</definedName>
    <definedName name="hery" hidden="1">#REF!</definedName>
    <definedName name="hethongthoatnuocngoainha" hidden="1">#REF!</definedName>
    <definedName name="hẻy" localSheetId="0" hidden="1">{"'Sheet1'!$L$16"}</definedName>
    <definedName name="hẻy" hidden="1">{"'Sheet1'!$L$16"}</definedName>
    <definedName name="hfdgfdg" localSheetId="0" hidden="1">{#N/A,#N/A,FALSE,"CCTV"}</definedName>
    <definedName name="hfdgfdg" hidden="1">{#N/A,#N/A,FALSE,"CCTV"}</definedName>
    <definedName name="hfdhfdh" localSheetId="0" hidden="1">#REF!</definedName>
    <definedName name="hfdhfdh" hidden="1">#REF!</definedName>
    <definedName name="hfgh" localSheetId="0" hidden="1">#REF!</definedName>
    <definedName name="hfgh" hidden="1">#REF!</definedName>
    <definedName name="hfghf" localSheetId="0" hidden="1">#REF!</definedName>
    <definedName name="hfghf" hidden="1">#REF!</definedName>
    <definedName name="hfghfhf" localSheetId="0" hidden="1">#REF!</definedName>
    <definedName name="hfghfhf" hidden="1">#REF!</definedName>
    <definedName name="hfgk" localSheetId="0" hidden="1">{#N/A,#N/A,FALSE,"特殊室（ＢＱ表）"}</definedName>
    <definedName name="hfgk" hidden="1">{#N/A,#N/A,FALSE,"特殊室（ＢＱ表）"}</definedName>
    <definedName name="hfgsdf" localSheetId="0" hidden="1">{"'Sheet1'!$L$16"}</definedName>
    <definedName name="hfgsdf" hidden="1">{"'Sheet1'!$L$16"}</definedName>
    <definedName name="hfhfdh" localSheetId="0" hidden="1">#REF!</definedName>
    <definedName name="hfhfdh" hidden="1">#REF!</definedName>
    <definedName name="hfjhhjj" localSheetId="0" hidden="1">{#N/A,#N/A,FALSE,"CCTV"}</definedName>
    <definedName name="hfjhhjj" hidden="1">{#N/A,#N/A,FALSE,"CCTV"}</definedName>
    <definedName name="hg" localSheetId="0" hidden="1">{"'Sheet1'!$L$16"}</definedName>
    <definedName name="hg" hidden="1">{"'Sheet1'!$L$16"}</definedName>
    <definedName name="hgd" localSheetId="0" hidden="1">{#N/A,#N/A,FALSE,"배수2"}</definedName>
    <definedName name="hgd" hidden="1">{#N/A,#N/A,FALSE,"배수2"}</definedName>
    <definedName name="hgdhdghd" localSheetId="0" hidden="1">{"'Sheet1'!$L$16"}</definedName>
    <definedName name="hgdhdghd" hidden="1">{"'Sheet1'!$L$16"}</definedName>
    <definedName name="HGDSGJGFJGF" localSheetId="0" hidden="1">{#N/A,#N/A,FALSE,"배수2"}</definedName>
    <definedName name="HGDSGJGFJGF" hidden="1">{#N/A,#N/A,FALSE,"배수2"}</definedName>
    <definedName name="hgfagl" localSheetId="0" hidden="1">#REF!</definedName>
    <definedName name="hgfagl" hidden="1">#REF!</definedName>
    <definedName name="hgfghfg" localSheetId="0" hidden="1">#REF!</definedName>
    <definedName name="hgfghfg" hidden="1">#REF!</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f" hidden="1">{#N/A,#N/A,FALSE,"Chi tiÆt"}</definedName>
    <definedName name="hggg" localSheetId="0" hidden="1">{"'Sheet1'!$L$16"}</definedName>
    <definedName name="hggg" hidden="1">{"'Sheet1'!$L$16"}</definedName>
    <definedName name="hgh" localSheetId="0" hidden="1">{#N/A,#N/A,FALSE,"단가표지"}</definedName>
    <definedName name="hgh" hidden="1">{#N/A,#N/A,FALSE,"단가표지"}</definedName>
    <definedName name="hghg" localSheetId="0" hidden="1">{#N/A,#N/A,FALSE,"운반시간"}</definedName>
    <definedName name="hghg" hidden="1">{#N/A,#N/A,FALSE,"운반시간"}</definedName>
    <definedName name="hghghg" localSheetId="0" hidden="1">{"'Sheet1'!$L$16"}</definedName>
    <definedName name="hghghg" hidden="1">{"'Sheet1'!$L$16"}</definedName>
    <definedName name="HGHH" localSheetId="0" hidden="1">{#N/A,#N/A,FALSE,"표지목차"}</definedName>
    <definedName name="HGHH" hidden="1">{#N/A,#N/A,FALSE,"표지목차"}</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jghhjj" localSheetId="0" hidden="1">#REF!</definedName>
    <definedName name="hgjghhjj" hidden="1">#REF!</definedName>
    <definedName name="hgjghj" localSheetId="0" hidden="1">#REF!</definedName>
    <definedName name="hgjghj" hidden="1">#REF!</definedName>
    <definedName name="hgjhkh" localSheetId="0" hidden="1">{"'Sheet1'!$L$16"}</definedName>
    <definedName name="hgjhkh" hidden="1">{"'Sheet1'!$L$16"}</definedName>
    <definedName name="hgjjjh" localSheetId="0" hidden="1">{"'Sheet1'!$L$16"}</definedName>
    <definedName name="hgjjjh" hidden="1">{"'Sheet1'!$L$16"}</definedName>
    <definedName name="hgre_zdfhgfd" localSheetId="0" hidden="1">{"'Sheet1'!$L$16"}</definedName>
    <definedName name="hgre_zdfhgfd" hidden="1">{"'Sheet1'!$L$16"}</definedName>
    <definedName name="hgrf" localSheetId="0" hidden="1">{"'Sheet1'!$L$16"}</definedName>
    <definedName name="hgrf" hidden="1">{"'Sheet1'!$L$16"}</definedName>
    <definedName name="hgsa" localSheetId="0" hidden="1">{#N/A,#N/A,FALSE,"Chi tiÆt"}</definedName>
    <definedName name="hgsa" hidden="1">{#N/A,#N/A,FALSE,"Chi tiÆt"}</definedName>
    <definedName name="hh" localSheetId="0" hidden="1">{"'Sheet1'!$L$16"}</definedName>
    <definedName name="hh" hidden="1">{"'Sheet1'!$L$16"}</definedName>
    <definedName name="HHADG" localSheetId="0" hidden="1">{#N/A,#N/A,FALSE,"조골재"}</definedName>
    <definedName name="HHADG" hidden="1">{#N/A,#N/A,FALSE,"조골재"}</definedName>
    <definedName name="hhb" localSheetId="0" hidden="1">{"'Sheet1'!$L$16"}</definedName>
    <definedName name="hhb" hidden="1">{"'Sheet1'!$L$16"}</definedName>
    <definedName name="hhdhd" localSheetId="0" hidden="1">#REF!</definedName>
    <definedName name="hhdhd" hidden="1">#REF!</definedName>
    <definedName name="hhgggggg" localSheetId="0" hidden="1">{"'Sheet1'!$L$16"}</definedName>
    <definedName name="hhgggggg" hidden="1">{"'Sheet1'!$L$16"}</definedName>
    <definedName name="hhhdhd" localSheetId="0" hidden="1">#REF!</definedName>
    <definedName name="hhhdhd" hidden="1">#REF!</definedName>
    <definedName name="hhhhgf" localSheetId="0" hidden="1">#REF!</definedName>
    <definedName name="hhhhgf" hidden="1">#REF!</definedName>
    <definedName name="hhhhh" localSheetId="0" hidden="1">#REF!</definedName>
    <definedName name="hhhhh" hidden="1">#REF!</definedName>
    <definedName name="HHHHHH" localSheetId="0" hidden="1">{#N/A,#N/A,TRUE,"SUM";#N/A,#N/A,TRUE,"EE";#N/A,#N/A,TRUE,"AC";#N/A,#N/A,TRUE,"SN"}</definedName>
    <definedName name="HHHHHH" hidden="1">{#N/A,#N/A,TRUE,"SUM";#N/A,#N/A,TRUE,"EE";#N/A,#N/A,TRUE,"AC";#N/A,#N/A,TRUE,"SN"}</definedName>
    <definedName name="hhhhhhh" localSheetId="0" hidden="1">{"'Sheet1'!$L$16"}</definedName>
    <definedName name="hhhhhhh" hidden="1">{"'Sheet1'!$L$16"}</definedName>
    <definedName name="HHHHHHHHHHHHHHHHHHHHH" localSheetId="0" hidden="1">{#N/A,#N/A,FALSE,"토공2"}</definedName>
    <definedName name="HHHHHHHHHHHHHHHHHHHHH" hidden="1">{#N/A,#N/A,FALSE,"토공2"}</definedName>
    <definedName name="hhhhhu" localSheetId="0" hidden="1">{"'Sheet1'!$L$16"}</definedName>
    <definedName name="hhhhhu" hidden="1">{"'Sheet1'!$L$16"}</definedName>
    <definedName name="hhhjg" localSheetId="0" hidden="1">#REF!</definedName>
    <definedName name="hhhjg" hidden="1">#REF!</definedName>
    <definedName name="hhhlll" localSheetId="0" hidden="1">{"'Sheet1'!$L$16"}</definedName>
    <definedName name="hhhlll" hidden="1">{"'Sheet1'!$L$16"}</definedName>
    <definedName name="hhk" localSheetId="0" hidden="1">#REF!</definedName>
    <definedName name="hhk" hidden="1">#REF!</definedName>
    <definedName name="HHR" localSheetId="0" hidden="1">{#N/A,#N/A,FALSE,"포장2"}</definedName>
    <definedName name="HHR" hidden="1">{#N/A,#N/A,FALSE,"포장2"}</definedName>
    <definedName name="HiddenRows" localSheetId="10" hidden="1">#REF!</definedName>
    <definedName name="HiddenRows" hidden="1">#REF!</definedName>
    <definedName name="hieu" localSheetId="0" hidden="1">{"'Sheet1'!$L$16"}</definedName>
    <definedName name="hieu" hidden="1">{"'Sheet1'!$L$16"}</definedName>
    <definedName name="HIGH" localSheetId="10" hidden="1">#REF!</definedName>
    <definedName name="HIGH" hidden="1">#REF!</definedName>
    <definedName name="hik" localSheetId="0" hidden="1">{#N/A,#N/A,FALSE,"TABLE"}</definedName>
    <definedName name="hik" hidden="1">{#N/A,#N/A,FALSE,"TABLE"}</definedName>
    <definedName name="HIKH" localSheetId="0" hidden="1">#REF!</definedName>
    <definedName name="HIKH" hidden="1">#REF!</definedName>
    <definedName name="hj" localSheetId="0" hidden="1">{#N/A,#N/A,FALSE,"Chi tiÆt"}</definedName>
    <definedName name="hj" hidden="1">{#N/A,#N/A,FALSE,"Chi tiÆt"}</definedName>
    <definedName name="hjfgh" localSheetId="0" hidden="1">{"'Sheet1'!$L$16"}</definedName>
    <definedName name="hjfgh" hidden="1">{"'Sheet1'!$L$16"}</definedName>
    <definedName name="hjfhj" localSheetId="0" hidden="1">#REF!</definedName>
    <definedName name="hjfhj" hidden="1">#REF!</definedName>
    <definedName name="hjggggggggu" localSheetId="0" hidden="1">#REF!</definedName>
    <definedName name="hjggggggggu" hidden="1">#REF!</definedName>
    <definedName name="hjghhj" localSheetId="0" hidden="1">#REF!</definedName>
    <definedName name="hjghhj" hidden="1">#REF!</definedName>
    <definedName name="hjgjj" localSheetId="0" hidden="1">#REF!</definedName>
    <definedName name="hjgjj" hidden="1">#REF!</definedName>
    <definedName name="hjgs" localSheetId="0" hidden="1">#REF!</definedName>
    <definedName name="hjgs" hidden="1">#REF!</definedName>
    <definedName name="hjh" localSheetId="0" hidden="1">{0,0,0,0}</definedName>
    <definedName name="hjh" hidden="1">{0,0,0,0}</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hhhmh" localSheetId="0" hidden="1">#REF!</definedName>
    <definedName name="hjhhhhhmh" hidden="1">#REF!</definedName>
    <definedName name="hjhj" localSheetId="0" hidden="1">#REF!</definedName>
    <definedName name="hjhj" hidden="1">#REF!</definedName>
    <definedName name="hjjcgd" localSheetId="0" hidden="1">#REF!</definedName>
    <definedName name="hjjcgd" hidden="1">#REF!</definedName>
    <definedName name="hjjgjj" localSheetId="0" hidden="1">#REF!</definedName>
    <definedName name="hjjgjj" hidden="1">#REF!</definedName>
    <definedName name="hjjhjhjg" localSheetId="0" hidden="1">#REF!</definedName>
    <definedName name="hjjhjhjg" hidden="1">#REF!</definedName>
    <definedName name="hjjkl" localSheetId="0" hidden="1">{"'Sheet1'!$L$16"}</definedName>
    <definedName name="hjjkl" hidden="1">{"'Sheet1'!$L$16"}</definedName>
    <definedName name="hjjpu" localSheetId="0" hidden="1">{"'Sheet1'!$L$16"}</definedName>
    <definedName name="hjjpu" hidden="1">{"'Sheet1'!$L$16"}</definedName>
    <definedName name="hjjþu" localSheetId="0" hidden="1">{"'Sheet1'!$L$16"}</definedName>
    <definedName name="hjjþu" hidden="1">{"'Sheet1'!$L$16"}</definedName>
    <definedName name="hjk" localSheetId="0" hidden="1">{"'Sheet1'!$L$16"}</definedName>
    <definedName name="hjk" hidden="1">{"'Sheet1'!$L$16"}</definedName>
    <definedName name="hjkkjh" localSheetId="0" hidden="1">#REF!</definedName>
    <definedName name="hjkkjh" hidden="1">#REF!</definedName>
    <definedName name="hjkl" localSheetId="0" hidden="1">{"'Sheet1'!$L$16"}</definedName>
    <definedName name="hjkl" hidden="1">{"'Sheet1'!$L$16"}</definedName>
    <definedName name="hkj" localSheetId="0" hidden="1">{#N/A,#N/A,FALSE,"혼합골재"}</definedName>
    <definedName name="hkj" hidden="1">{#N/A,#N/A,FALSE,"혼합골재"}</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hj" localSheetId="0" hidden="1">#REF!</definedName>
    <definedName name="hkkhj" hidden="1">#REF!</definedName>
    <definedName name="hkl" localSheetId="0" hidden="1">{"'Sheet1'!$L$16"}</definedName>
    <definedName name="hkl" hidden="1">{"'Sheet1'!$L$16"}</definedName>
    <definedName name="hklhj" localSheetId="0" hidden="1">{"'Sheet1'!$L$16"}</definedName>
    <definedName name="hklhj" hidden="1">{"'Sheet1'!$L$16"}</definedName>
    <definedName name="hllgljl" localSheetId="0" hidden="1">{"'Sheet1'!$L$16"}</definedName>
    <definedName name="hllgljl" hidden="1">{"'Sheet1'!$L$16"}</definedName>
    <definedName name="hlo" localSheetId="0" hidden="1">#REF!</definedName>
    <definedName name="hlo" hidden="1">#REF!</definedName>
    <definedName name="hmghc" localSheetId="0" hidden="1">#REF!</definedName>
    <definedName name="hmghc" hidden="1">#REF!</definedName>
    <definedName name="hmhmh" localSheetId="0" hidden="1">#REF!</definedName>
    <definedName name="hmhmh" hidden="1">#REF!</definedName>
    <definedName name="hoa" localSheetId="0" hidden="1">{"'Sheet1'!$L$16"}</definedName>
    <definedName name="hoa" hidden="1">{"'Sheet1'!$L$16"}</definedName>
    <definedName name="hoanthien" localSheetId="0" hidden="1">#REF!</definedName>
    <definedName name="hoanthien" hidden="1">#REF!</definedName>
    <definedName name="hoc" localSheetId="0" hidden="1">{"'Sheet1'!$L$16"}</definedName>
    <definedName name="hoc" hidden="1">{"'Sheet1'!$L$16"}</definedName>
    <definedName name="hong" localSheetId="0" hidden="1">{"'Sheet1'!$L$16"}</definedName>
    <definedName name="hong" hidden="1">{"'Sheet1'!$L$16"}</definedName>
    <definedName name="HOTE" localSheetId="0" hidden="1">{"'Sheet1'!$L$16"}</definedName>
    <definedName name="HOTE" hidden="1">{"'Sheet1'!$L$16"}</definedName>
    <definedName name="HOUY" localSheetId="0" hidden="1">{#N/A,#N/A,FALSE,"CCTV"}</definedName>
    <definedName name="HOUY" hidden="1">{#N/A,#N/A,FALSE,"CCTV"}</definedName>
    <definedName name="hp" localSheetId="0" hidden="1">{"'Sheet1'!$L$16"}</definedName>
    <definedName name="hp" hidden="1">{"'Sheet1'!$L$16"}</definedName>
    <definedName name="HRH" localSheetId="0" hidden="1">{#N/A,#N/A,FALSE,"혼합골재"}</definedName>
    <definedName name="HRH" hidden="1">{#N/A,#N/A,FALSE,"혼합골재"}</definedName>
    <definedName name="hsghgsghsg" localSheetId="0" hidden="1">#REF!</definedName>
    <definedName name="hsghgsghsg" hidden="1">#REF!</definedName>
    <definedName name="HTD" localSheetId="0" hidden="1">{#N/A,#N/A,FALSE,"CCTV"}</definedName>
    <definedName name="HTD" hidden="1">{#N/A,#N/A,FALSE,"CCTV"}</definedName>
    <definedName name="htlm" localSheetId="0" hidden="1">{"'Sheet1'!$L$16"}</definedName>
    <definedName name="htlm" hidden="1">{"'Sheet1'!$L$16"}</definedName>
    <definedName name="html" localSheetId="0" hidden="1">{"'Sheet1'!$L$16"}</definedName>
    <definedName name="html" hidden="1">{"'Sheet1'!$L$16"}</definedName>
    <definedName name="HTML_CodePage" hidden="1">950</definedName>
    <definedName name="HTML_Control" localSheetId="10" hidden="1">{"'Sheet1'!$L$16"}</definedName>
    <definedName name="HTML_Control" localSheetId="0" hidden="1">{"'Sheet1'!$L$16"}</definedName>
    <definedName name="HTML_Control" hidden="1">{"'Sheet1'!$L$16"}</definedName>
    <definedName name="html_control_xoa2" localSheetId="0" hidden="1">{"'Sheet1'!$L$16"}</definedName>
    <definedName name="html_control_xoa2" hidden="1">{"'Sheet1'!$L$16"}</definedName>
    <definedName name="HTML_Control1" localSheetId="10" hidden="1">{"'Sheet1'!$L$16"}</definedName>
    <definedName name="HTML_Control1" localSheetId="0" hidden="1">{"'Sheet1'!$L$16"}</definedName>
    <definedName name="HTML_Control1"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1" localSheetId="0" hidden="1">{"'장비'!$A$3:$M$12"}</definedName>
    <definedName name="HTML1" hidden="1">{"'장비'!$A$3:$M$12"}</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localSheetId="0" hidden="1">{"'Sheet1'!$L$16"}</definedName>
    <definedName name="html2" hidden="1">{"'Sheet1'!$L$16"}</definedName>
    <definedName name="HTMLCount" hidden="1">1</definedName>
    <definedName name="HTMLcpnmtrol" localSheetId="0" hidden="1">{"'Sheet1'!$L$16"}</definedName>
    <definedName name="HTMLcpnmtrol" hidden="1">{"'Sheet1'!$L$16"}</definedName>
    <definedName name="htmll" localSheetId="0" hidden="1">{"'Sheet1'!$L$16"}</definedName>
    <definedName name="htmll" hidden="1">{"'Sheet1'!$L$16"}</definedName>
    <definedName name="htwh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þ" localSheetId="0" hidden="1">{"'Sheet1'!$L$16"}</definedName>
    <definedName name="hþ" hidden="1">{"'Sheet1'!$L$16"}</definedName>
    <definedName name="hþwr" localSheetId="0" hidden="1">{"'Sheet1'!$L$16"}</definedName>
    <definedName name="hþwr" hidden="1">{"'Sheet1'!$L$16"}</definedName>
    <definedName name="HTR" localSheetId="0" hidden="1">{#N/A,#N/A,FALSE,"이태원철근"}</definedName>
    <definedName name="HTR" hidden="1">{#N/A,#N/A,FALSE,"이태원철근"}</definedName>
    <definedName name="htrshts" localSheetId="0" hidden="1">#REF!</definedName>
    <definedName name="htrshts" hidden="1">#REF!</definedName>
    <definedName name="hu" localSheetId="0" hidden="1">{"'Sheet1'!$L$16"}</definedName>
    <definedName name="hu" hidden="1">{"'Sheet1'!$L$16"}</definedName>
    <definedName name="hud" localSheetId="0" hidden="1">{"'Sheet1'!$L$16"}</definedName>
    <definedName name="hud" hidden="1">{"'Sheet1'!$L$16"}</definedName>
    <definedName name="HUE" localSheetId="0" hidden="1">{"'Sheet1'!$L$16"}</definedName>
    <definedName name="HUE"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i" hidden="1">{"'Sheet1'!$L$16"}</definedName>
    <definedName name="HUNG" localSheetId="0" hidden="1">{#N/A,#N/A,FALSE,"Chi tiÆt"}</definedName>
    <definedName name="HUNG" hidden="1">{#N/A,#N/A,FALSE,"Chi tiÆt"}</definedName>
    <definedName name="hung3" localSheetId="0" hidden="1">{"'Sheet1'!$L$16"}</definedName>
    <definedName name="hung3" hidden="1">{"'Sheet1'!$L$16"}</definedName>
    <definedName name="hunh" localSheetId="0" hidden="1">{"'Sheet1'!$L$16"}</definedName>
    <definedName name="hunh" hidden="1">{"'Sheet1'!$L$16"}</definedName>
    <definedName name="huong" localSheetId="0" hidden="1">{"'Sheet1'!$L$16"}</definedName>
    <definedName name="huong" hidden="1">{"'Sheet1'!$L$16"}</definedName>
    <definedName name="hut" localSheetId="0" hidden="1">{"'Sheet1'!$L$16"}</definedName>
    <definedName name="hut" hidden="1">{"'Sheet1'!$L$16"}</definedName>
    <definedName name="HUU" localSheetId="0" hidden="1">{"'Sheet1'!$L$16"}</definedName>
    <definedName name="HUU" hidden="1">{"'Sheet1'!$L$16"}</definedName>
    <definedName name="huy" localSheetId="10" hidden="1">{"'Sheet1'!$L$16"}</definedName>
    <definedName name="huy" localSheetId="0" hidden="1">{"'Sheet1'!$L$16"}</definedName>
    <definedName name="huy"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en" localSheetId="0" hidden="1">{"'Sheet1'!$L$16"}</definedName>
    <definedName name="huyen" hidden="1">{"'Sheet1'!$L$16"}</definedName>
    <definedName name="huyhoa" localSheetId="0" hidden="1">{"'Sheet1'!$L$16"}</definedName>
    <definedName name="huyhoa" hidden="1">{"'Sheet1'!$L$16"}</definedName>
    <definedName name="huyhu" localSheetId="0" hidden="1">{"'Sheet1'!$L$16"}</definedName>
    <definedName name="huyhu" hidden="1">{"'Sheet1'!$L$16"}</definedName>
    <definedName name="huymoi" localSheetId="0" hidden="1">{"'Sheet1'!$L$16"}</definedName>
    <definedName name="huymoi" hidden="1">{"'Sheet1'!$L$16"}</definedName>
    <definedName name="HUYØ" localSheetId="0" hidden="1">{"'Sheet1'!$L$16"}</definedName>
    <definedName name="HUYØ" hidden="1">{"'Sheet1'!$L$16"}</definedName>
    <definedName name="huyy" localSheetId="0" hidden="1">{"'Sheet1'!$L$16"}</definedName>
    <definedName name="huyy" hidden="1">{"'Sheet1'!$L$16"}</definedName>
    <definedName name="huyyy" localSheetId="0" hidden="1">{"'Sheet1'!$L$16"}</definedName>
    <definedName name="huyyy" hidden="1">{"'Sheet1'!$L$16"}</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 localSheetId="0" hidden="1">{"'Sheet1'!$L$16"}</definedName>
    <definedName name="hy" hidden="1">{"'Sheet1'!$L$16"}</definedName>
    <definedName name="hygy" localSheetId="0" hidden="1">#REF!</definedName>
    <definedName name="hygy" hidden="1">#REF!</definedName>
    <definedName name="IC" localSheetId="0" hidden="1">#REF!</definedName>
    <definedName name="IC" hidden="1">#REF!</definedName>
    <definedName name="ie" localSheetId="0" hidden="1">{"'Sheet1'!$L$16"}</definedName>
    <definedName name="ie" hidden="1">{"'Sheet1'!$L$16"}</definedName>
    <definedName name="ii" localSheetId="0" hidden="1">#REF!</definedName>
    <definedName name="ii" hidden="1">#REF!</definedName>
    <definedName name="iiouolkll" localSheetId="0" hidden="1">{#N/A,#N/A,FALSE,"CCTV"}</definedName>
    <definedName name="iiouolkll" hidden="1">{#N/A,#N/A,FALSE,"CCTV"}</definedName>
    <definedName name="ijhgfddffth" localSheetId="0" hidden="1">{"'Sheet1'!$L$16"}</definedName>
    <definedName name="ijhgfddffth" hidden="1">{"'Sheet1'!$L$16"}</definedName>
    <definedName name="ilipip" localSheetId="0" hidden="1">#REF!</definedName>
    <definedName name="ilipip" hidden="1">#REF!</definedName>
    <definedName name="imsi" localSheetId="0" hidden="1">{#N/A,#N/A,TRUE,"LOADCOVE";#N/A,#N/A,TRUE,"PAGE001";#N/A,#N/A,TRUE,"PAGE002";#N/A,#N/A,TRUE,"PAGE003";#N/A,#N/A,TRUE,"PAGE004";#N/A,#N/A,TRUE,"PAGE005";#N/A,#N/A,TRUE,"PAGE006";#N/A,#N/A,TRUE,"PAGE007";#N/A,#N/A,TRUE,"PAGE008";#N/A,#N/A,TRUE,"PAGE009";#N/A,#N/A,TRUE,"PAGE010";#N/A,#N/A,TRUE,"PAGE011";#N/A,#N/A,TRUE,"PAGE012";#N/A,#N/A,TRUE,"PAGE013"}</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 localSheetId="0" hidden="1">{"'Sheet1'!$L$16"}</definedName>
    <definedName name="in" hidden="1">{"'Sheet1'!$L$16"}</definedName>
    <definedName name="INDIRECT_COST" localSheetId="0" hidden="1">#REF!</definedName>
    <definedName name="INDIRECT_COST" hidden="1">#REF!</definedName>
    <definedName name="infrastructure" localSheetId="0" hidden="1">#REF!</definedName>
    <definedName name="infrastructure" hidden="1">#REF!</definedName>
    <definedName name="IntroPrintArea" localSheetId="0" hidden="1">#REF!</definedName>
    <definedName name="IntroPrintArea" hidden="1">#REF!</definedName>
    <definedName name="ioi" localSheetId="0" hidden="1">#REF!</definedName>
    <definedName name="ioi" hidden="1">#REF!</definedName>
    <definedName name="IOIOIOIO" localSheetId="0" hidden="1">{#N/A,#N/A,FALSE,"표지목차"}</definedName>
    <definedName name="IOIOIOIO" hidden="1">{#N/A,#N/A,FALSE,"표지목차"}</definedName>
    <definedName name="is" localSheetId="0" hidden="1">{"'Sheet1'!$L$16"}</definedName>
    <definedName name="is" hidden="1">{"'Sheet1'!$L$16"}</definedName>
    <definedName name="itity" localSheetId="0" hidden="1">#REF!</definedName>
    <definedName name="itity" hidden="1">#REF!</definedName>
    <definedName name="itiytityyti" localSheetId="0" hidden="1">#REF!</definedName>
    <definedName name="itiytityyti" hidden="1">#REF!</definedName>
    <definedName name="itiyttttttit" localSheetId="0" hidden="1">#REF!</definedName>
    <definedName name="itiyttttttit" hidden="1">#REF!</definedName>
    <definedName name="ityiymitt" localSheetId="0" hidden="1">#REF!</definedName>
    <definedName name="ityiymitt" hidden="1">#REF!</definedName>
    <definedName name="ityiyy" localSheetId="0" hidden="1">#REF!</definedName>
    <definedName name="ityiyy" hidden="1">#REF!</definedName>
    <definedName name="ịth" localSheetId="0" hidden="1">{"'Sheet1'!$L$16"}</definedName>
    <definedName name="ịth" hidden="1">{"'Sheet1'!$L$16"}</definedName>
    <definedName name="iuliupoui" localSheetId="0" hidden="1">{"'Sheet1'!$L$16"}</definedName>
    <definedName name="iuliupoui" hidden="1">{"'Sheet1'!$L$16"}</definedName>
    <definedName name="iutryeg" localSheetId="0" hidden="1">#REF!</definedName>
    <definedName name="iutryeg" hidden="1">#REF!</definedName>
    <definedName name="iuui" localSheetId="0" hidden="1">#REF!</definedName>
    <definedName name="iuui" hidden="1">#REF!</definedName>
    <definedName name="iuutyrv" localSheetId="0" hidden="1">#REF!</definedName>
    <definedName name="iuutyrv" hidden="1">#REF!</definedName>
    <definedName name="iwer" localSheetId="0" hidden="1">{"'Sheet1'!$L$16"}</definedName>
    <definedName name="iwer" hidden="1">{"'Sheet1'!$L$16"}</definedName>
    <definedName name="iylryi" localSheetId="0" hidden="1">{"'Sheet1'!$L$16"}</definedName>
    <definedName name="iylryi" hidden="1">{"'Sheet1'!$L$16"}</definedName>
    <definedName name="iytii" localSheetId="0" hidden="1">#REF!</definedName>
    <definedName name="iytii" hidden="1">#REF!</definedName>
    <definedName name="Î" localSheetId="0" hidden="1">{#N/A,#N/A,FALSE,"Chi tiÆt"}</definedName>
    <definedName name="Î" hidden="1">{#N/A,#N/A,FALSE,"Chi tiÆt"}</definedName>
    <definedName name="Ît" localSheetId="0" hidden="1">{"'Sheet1'!$L$16"}</definedName>
    <definedName name="Ît" hidden="1">{"'Sheet1'!$L$16"}</definedName>
    <definedName name="J" localSheetId="0" hidden="1">{"'용역비'!$A$4:$C$8"}</definedName>
    <definedName name="J" hidden="1">{"'용역비'!$A$4:$C$8"}</definedName>
    <definedName name="jæít" localSheetId="0" hidden="1">{"'Sheet1'!$L$16"}</definedName>
    <definedName name="jæít" hidden="1">{"'Sheet1'!$L$16"}</definedName>
    <definedName name="jdffhfg" localSheetId="0" hidden="1">#REF!</definedName>
    <definedName name="jdffhfg" hidden="1">#REF!</definedName>
    <definedName name="JDFHERHGFHJ" localSheetId="0" hidden="1">{#N/A,#N/A,FALSE,"포장2"}</definedName>
    <definedName name="JDFHERHGFHJ" hidden="1">{#N/A,#N/A,FALSE,"포장2"}</definedName>
    <definedName name="JDFHERHGFJFD" localSheetId="0" hidden="1">{#N/A,#N/A,FALSE,"포장1";#N/A,#N/A,FALSE,"포장1"}</definedName>
    <definedName name="JDFHERHGFJFD" hidden="1">{#N/A,#N/A,FALSE,"포장1";#N/A,#N/A,FALSE,"포장1"}</definedName>
    <definedName name="JDFHETHGFJ" localSheetId="0" hidden="1">{#N/A,#N/A,FALSE,"조골재"}</definedName>
    <definedName name="JDFHETHGFJ" hidden="1">{#N/A,#N/A,FALSE,"조골재"}</definedName>
    <definedName name="JDFHFDJDNDHT" localSheetId="0" hidden="1">{#N/A,#N/A,FALSE,"토공2"}</definedName>
    <definedName name="JDFHFDJDNDHT" hidden="1">{#N/A,#N/A,FALSE,"토공2"}</definedName>
    <definedName name="JDHDFHERHG" localSheetId="0" hidden="1">{#N/A,#N/A,FALSE,"이정표"}</definedName>
    <definedName name="JDHDFHERHG" hidden="1">{#N/A,#N/A,FALSE,"이정표"}</definedName>
    <definedName name="JDHGEHGFGJRTYJHFG" localSheetId="0" hidden="1">{#N/A,#N/A,FALSE,"구조1"}</definedName>
    <definedName name="JDHGEHGFGJRTYJHFG" hidden="1">{#N/A,#N/A,FALSE,"구조1"}</definedName>
    <definedName name="jdhjd" localSheetId="0" hidden="1">#REF!</definedName>
    <definedName name="jdhjd" hidden="1">#REF!</definedName>
    <definedName name="jdjdjd" localSheetId="0" hidden="1">#REF!</definedName>
    <definedName name="jdjdjd" hidden="1">#REF!</definedName>
    <definedName name="jdjhdhg" localSheetId="0" hidden="1">#REF!</definedName>
    <definedName name="jdjhdhg" hidden="1">#REF!</definedName>
    <definedName name="JDVSBVBV" localSheetId="0" hidden="1">#REF!</definedName>
    <definedName name="JDVSBVBV" hidden="1">#REF!</definedName>
    <definedName name="jfgjfjfj" localSheetId="0" hidden="1">#REF!</definedName>
    <definedName name="jfgjfjfj" hidden="1">#REF!</definedName>
    <definedName name="jfgjgfj" localSheetId="0" hidden="1">#REF!</definedName>
    <definedName name="jfgjgfj" hidden="1">#REF!</definedName>
    <definedName name="jfgsdf" localSheetId="0" hidden="1">{"'Sheet1'!$L$16"}</definedName>
    <definedName name="jfgsdf" hidden="1">{"'Sheet1'!$L$16"}</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gui78" localSheetId="0" hidden="1">{"'Sheet1'!$L$16"}</definedName>
    <definedName name="jggui78" hidden="1">{"'Sheet1'!$L$16"}</definedName>
    <definedName name="JGH" localSheetId="0" hidden="1">{#N/A,#N/A,FALSE,"골재소요량";#N/A,#N/A,FALSE,"골재소요량"}</definedName>
    <definedName name="JGH" hidden="1">{#N/A,#N/A,FALSE,"골재소요량";#N/A,#N/A,FALSE,"골재소요량"}</definedName>
    <definedName name="jghjgh" localSheetId="0" hidden="1">#REF!</definedName>
    <definedName name="jghjgh" hidden="1">#REF!</definedName>
    <definedName name="JGJ" localSheetId="0" hidden="1">#REF!</definedName>
    <definedName name="JGJ" hidden="1">#REF!</definedName>
    <definedName name="jgjff" localSheetId="0" hidden="1">#REF!</definedName>
    <definedName name="jgjff" hidden="1">#REF!</definedName>
    <definedName name="JGJG" localSheetId="0" hidden="1">{#N/A,#N/A,FALSE,"Chi tiÆt"}</definedName>
    <definedName name="JGJG" hidden="1">{#N/A,#N/A,FALSE,"Chi tiÆt"}</definedName>
    <definedName name="jgjgj" localSheetId="0" hidden="1">#REF!</definedName>
    <definedName name="jgjgj" hidden="1">#REF!</definedName>
    <definedName name="jgjhjhg" localSheetId="0" hidden="1">#REF!</definedName>
    <definedName name="jgjhjhg" hidden="1">#REF!</definedName>
    <definedName name="jgtjdt" localSheetId="0" hidden="1">{"'Sheet1'!$L$16"}</definedName>
    <definedName name="jgtjdt" hidden="1">{"'Sheet1'!$L$16"}</definedName>
    <definedName name="JGUGƯ" localSheetId="0" hidden="1">{#N/A,#N/A,FALSE,"特殊室（ＢＱ表）"}</definedName>
    <definedName name="JGUGƯ" hidden="1">{#N/A,#N/A,FALSE,"特殊室（ＢＱ表）"}</definedName>
    <definedName name="jh" localSheetId="0" hidden="1">#REF!</definedName>
    <definedName name="jh" hidden="1">#REF!</definedName>
    <definedName name="jhakjhskjd" localSheetId="0" hidden="1">{0,0,0,0;0,0,TRUE,0;0,#N/A,FALSE,0;0,#N/A,FALSE,0;0,#N/A,FALSE,0;0,#N/A,FALSE,0;0,#N/A,FALSE,0}</definedName>
    <definedName name="jhakjhskjd" hidden="1">{0,0,0,0;0,0,TRUE,0;0,#N/A,FALSE,0;0,#N/A,FALSE,0;0,#N/A,FALSE,0;0,#N/A,FALSE,0;0,#N/A,FALSE,0}</definedName>
    <definedName name="jhfdgy" localSheetId="0" hidden="1">{"'Sheet1'!$L$16"}</definedName>
    <definedName name="jhfdgy"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localSheetId="0" hidden="1">#REF!</definedName>
    <definedName name="jhgghjj" hidden="1">#REF!</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gj" localSheetId="0" hidden="1">#REF!</definedName>
    <definedName name="jhghgj" hidden="1">#REF!</definedName>
    <definedName name="JHGJ" localSheetId="0" hidden="1">{#N/A,#N/A,FALSE,"운반시간"}</definedName>
    <definedName name="JHGJ" hidden="1">{#N/A,#N/A,FALSE,"운반시간"}</definedName>
    <definedName name="jhgjgh" localSheetId="0" hidden="1">#REF!</definedName>
    <definedName name="jhgjgh" hidden="1">#REF!</definedName>
    <definedName name="jhhhh" localSheetId="0" hidden="1">{#N/A,#N/A,FALSE,"CCTV"}</definedName>
    <definedName name="jhhhh" hidden="1">{#N/A,#N/A,FALSE,"CCTV"}</definedName>
    <definedName name="jhj" localSheetId="0" hidden="1">#REF!</definedName>
    <definedName name="jhj" hidden="1">#REF!</definedName>
    <definedName name="jhjg" localSheetId="0" hidden="1">{#N/A,#N/A,FALSE,"조골재"}</definedName>
    <definedName name="jhjg" hidden="1">{#N/A,#N/A,FALSE,"조골재"}</definedName>
    <definedName name="jhjgghj" localSheetId="0" hidden="1">#REF!</definedName>
    <definedName name="jhjgghj" hidden="1">#REF!</definedName>
    <definedName name="jhjh" localSheetId="0" hidden="1">#REF!</definedName>
    <definedName name="jhjh" hidden="1">#REF!</definedName>
    <definedName name="jhjjhkgh" localSheetId="0" hidden="1">#REF!</definedName>
    <definedName name="jhjjhkgh" hidden="1">#REF!</definedName>
    <definedName name="jhk" localSheetId="0" hidden="1">#REF!</definedName>
    <definedName name="jhk" hidden="1">#REF!</definedName>
    <definedName name="jhkjhjk" localSheetId="0" hidden="1">#REF!</definedName>
    <definedName name="jhkjhjk" hidden="1">#REF!</definedName>
    <definedName name="jhkjhkhj" localSheetId="0" hidden="1">#REF!</definedName>
    <definedName name="jhkjhkhj" hidden="1">#REF!</definedName>
    <definedName name="jhkhjkhjk" localSheetId="0" hidden="1">#REF!</definedName>
    <definedName name="jhkhjkhjk" hidden="1">#REF!</definedName>
    <definedName name="ji" localSheetId="0" hidden="1">#REF!</definedName>
    <definedName name="ji" hidden="1">#REF!</definedName>
    <definedName name="jjdgjd" localSheetId="0" hidden="1">#REF!</definedName>
    <definedName name="jjdgjd" hidden="1">#REF!</definedName>
    <definedName name="jjdjdhjjjjj" localSheetId="0" hidden="1">#REF!</definedName>
    <definedName name="jjdjdhjjjjj" hidden="1">#REF!</definedName>
    <definedName name="jjgfdjd" localSheetId="0" hidden="1">#REF!</definedName>
    <definedName name="jjgfdjd" hidden="1">#REF!</definedName>
    <definedName name="jjgff" localSheetId="0" hidden="1">#REF!</definedName>
    <definedName name="jjgff" hidden="1">#REF!</definedName>
    <definedName name="jjhj" localSheetId="0" hidden="1">#REF!</definedName>
    <definedName name="jjhj" hidden="1">#REF!</definedName>
    <definedName name="jjhjhkhkg" localSheetId="0" hidden="1">#REF!</definedName>
    <definedName name="jjhjhkhkg" hidden="1">#REF!</definedName>
    <definedName name="J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ghjh" localSheetId="0" hidden="1">#REF!</definedName>
    <definedName name="jjjghjh" hidden="1">#REF!</definedName>
    <definedName name="jjjjj" localSheetId="0" hidden="1">{"'Sheet1'!$L$16"}</definedName>
    <definedName name="jjjjj" hidden="1">{"'Sheet1'!$L$16"}</definedName>
    <definedName name="jjkk" localSheetId="0" hidden="1">{"'Sheet1'!$L$16"}</definedName>
    <definedName name="jjkk" hidden="1">{"'Sheet1'!$L$16"}</definedName>
    <definedName name="jjmnj" localSheetId="0" hidden="1">{#N/A,#N/A,TRUE,"LOADCOVE";#N/A,#N/A,TRUE,"PAGE001";#N/A,#N/A,TRUE,"PAGE002";#N/A,#N/A,TRUE,"PAGE003";#N/A,#N/A,TRUE,"PAGE004";#N/A,#N/A,TRUE,"PAGE005";#N/A,#N/A,TRUE,"PAGE006";#N/A,#N/A,TRUE,"PAGE007";#N/A,#N/A,TRUE,"PAGE008";#N/A,#N/A,TRUE,"PAGE009";#N/A,#N/A,TRUE,"PAGE010";#N/A,#N/A,TRUE,"PAGE011";#N/A,#N/A,TRUE,"PAGE012";#N/A,#N/A,TRUE,"PAGE013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oiooi" localSheetId="0" hidden="1">#REF!</definedName>
    <definedName name="jjoiooi" hidden="1">#REF!</definedName>
    <definedName name="jjy" localSheetId="0" hidden="1">#REF!</definedName>
    <definedName name="jjy" hidden="1">#REF!</definedName>
    <definedName name="jk" localSheetId="0" hidden="1">#REF!</definedName>
    <definedName name="jk" hidden="1">#REF!</definedName>
    <definedName name="JKDFSJCSDKJ" localSheetId="0" hidden="1">{#N/A,#N/A,TRUE,"SUM";#N/A,#N/A,TRUE,"EE";#N/A,#N/A,TRUE,"AC";#N/A,#N/A,TRUE,"SN"}</definedName>
    <definedName name="JKDFSJCSDKJ" hidden="1">{#N/A,#N/A,TRUE,"SUM";#N/A,#N/A,TRUE,"EE";#N/A,#N/A,TRUE,"AC";#N/A,#N/A,TRUE,"SN"}</definedName>
    <definedName name="jkjhkhj" localSheetId="0" hidden="1">#REF!</definedName>
    <definedName name="jkjhkhj" hidden="1">#REF!</definedName>
    <definedName name="jkjk" localSheetId="0" hidden="1">#REF!</definedName>
    <definedName name="jkjk" hidden="1">#REF!</definedName>
    <definedName name="JKJKJKJK" localSheetId="0" hidden="1">{#N/A,#N/A,FALSE,"포장1";#N/A,#N/A,FALSE,"포장1"}</definedName>
    <definedName name="JKJKJKJK" hidden="1">{#N/A,#N/A,FALSE,"포장1";#N/A,#N/A,FALSE,"포장1"}</definedName>
    <definedName name="JKKIO" localSheetId="0" hidden="1">{#N/A,#N/A,FALSE,"CCTV"}</definedName>
    <definedName name="JKKIO" hidden="1">{#N/A,#N/A,FALSE,"CCTV"}</definedName>
    <definedName name="jkkjhkj" localSheetId="0" hidden="1">#REF!</definedName>
    <definedName name="jkkjhkj" hidden="1">#REF!</definedName>
    <definedName name="jkkhhhhhhhhhhh" localSheetId="0" hidden="1">#REF!</definedName>
    <definedName name="jkkhhhhhhhhhhh" hidden="1">#REF!</definedName>
    <definedName name="jkl" localSheetId="0" hidden="1">{"'Sheet1'!$L$16"}</definedName>
    <definedName name="jkl"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localSheetId="0" hidden="1">#REF!</definedName>
    <definedName name="jkhgdf" hidden="1">#REF!</definedName>
    <definedName name="jkhjh" localSheetId="0"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khkk" localSheetId="0" hidden="1">#REF!</definedName>
    <definedName name="jkhkk" hidden="1">#REF!</definedName>
    <definedName name="jlhj" localSheetId="0" hidden="1">#REF!</definedName>
    <definedName name="jlhj" hidden="1">#REF!</definedName>
    <definedName name="jmj" localSheetId="0" hidden="1">#REF!</definedName>
    <definedName name="jmj" hidden="1">#REF!</definedName>
    <definedName name="jmjhjh" localSheetId="0" hidden="1">#REF!</definedName>
    <definedName name="jmjhjh" hidden="1">#REF!</definedName>
    <definedName name="jmjmh" localSheetId="0" hidden="1">#REF!</definedName>
    <definedName name="jmjmh" hidden="1">#REF!</definedName>
    <definedName name="jmjmjmj" localSheetId="0" hidden="1">#REF!</definedName>
    <definedName name="jmjmjmj" hidden="1">#REF!</definedName>
    <definedName name="JMMFF" localSheetId="0" hidden="1">{#N/A,#N/A,FALSE,"포장1";#N/A,#N/A,FALSE,"포장1"}</definedName>
    <definedName name="JMMFF" hidden="1">{#N/A,#N/A,FALSE,"포장1";#N/A,#N/A,FALSE,"포장1"}</definedName>
    <definedName name="jo" localSheetId="0" hidden="1">{"'Sheet1'!$L$16"}</definedName>
    <definedName name="jo" hidden="1">{"'Sheet1'!$L$16"}</definedName>
    <definedName name="jrtj" localSheetId="0" hidden="1">{#N/A,#N/A,FALSE,"Chi tiÆt"}</definedName>
    <definedName name="jrtj" hidden="1">{#N/A,#N/A,FALSE,"Chi tiÆt"}</definedName>
    <definedName name="jsdh" localSheetId="0" hidden="1">{"'Sheet1'!$L$16"}</definedName>
    <definedName name="jsdh" hidden="1">{"'Sheet1'!$L$16"}</definedName>
    <definedName name="jsdjs" localSheetId="0" hidden="1">{"'Sheet1'!$L$16"}</definedName>
    <definedName name="jsdjs" hidden="1">{"'Sheet1'!$L$16"}</definedName>
    <definedName name="jspoi" localSheetId="0" hidden="1">#REF!</definedName>
    <definedName name="jspoi" hidden="1">#REF!</definedName>
    <definedName name="jsryj" localSheetId="0" hidden="1">{"'Sheet1'!$L$16"}</definedName>
    <definedName name="jsryj" hidden="1">{"'Sheet1'!$L$16"}</definedName>
    <definedName name="jt" localSheetId="0" hidden="1">{"'Sheet1'!$L$16"}</definedName>
    <definedName name="jt" hidden="1">{"'Sheet1'!$L$16"}</definedName>
    <definedName name="jtyk" localSheetId="0" hidden="1">{"'Sheet1'!$L$16"}</definedName>
    <definedName name="jtyk" hidden="1">{"'Sheet1'!$L$16"}</definedName>
    <definedName name="jtru" localSheetId="0" hidden="1">{"'Sheet1'!$L$16"}</definedName>
    <definedName name="jtru" hidden="1">{"'Sheet1'!$L$16"}</definedName>
    <definedName name="jvbvknbln" localSheetId="0" hidden="1">#REF!</definedName>
    <definedName name="jvbvknbln" hidden="1">#REF!</definedName>
    <definedName name="JY" localSheetId="0" hidden="1">{"'Sheet1'!$L$16"}</definedName>
    <definedName name="JY" hidden="1">{"'Sheet1'!$L$16"}</definedName>
    <definedName name="JYDFF" localSheetId="0" hidden="1">{#N/A,#N/A,FALSE,"속도"}</definedName>
    <definedName name="JYDFF" hidden="1">{#N/A,#N/A,FALSE,"속도"}</definedName>
    <definedName name="jyemkue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ru" localSheetId="0" hidden="1">{"'Sheet1'!$L$16"}</definedName>
    <definedName name="jyru" hidden="1">{"'Sheet1'!$L$16"}</definedName>
    <definedName name="jytdj" localSheetId="0" hidden="1">{#N/A,#N/A,FALSE,"Chi tiÆt"}</definedName>
    <definedName name="jytdj" hidden="1">{#N/A,#N/A,FALSE,"Chi tiÆt"}</definedName>
    <definedName name="jyuk" localSheetId="0" hidden="1">{"'Sheet1'!$L$16"}</definedName>
    <definedName name="jyuk" hidden="1">{"'Sheet1'!$L$16"}</definedName>
    <definedName name="jýỵy" localSheetId="0" hidden="1">{"'Sheet1'!$L$16"}</definedName>
    <definedName name="jýỵy" hidden="1">{"'Sheet1'!$L$16"}</definedName>
    <definedName name="jzeseee" localSheetId="0" hidden="1">#REF!</definedName>
    <definedName name="jzeseee" hidden="1">#REF!</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viecBAHUNG" localSheetId="0" hidden="1">{"'Sheet1'!$L$16"}</definedName>
    <definedName name="K.viecBAHUNG" hidden="1">{"'Sheet1'!$L$16"}</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localSheetId="0" hidden="1">{#N/A,#N/A,FALSE,"Sheet1"}</definedName>
    <definedName name="K2_K2" hidden="1">{#N/A,#N/A,FALSE,"Sheet1"}</definedName>
    <definedName name="kbj" localSheetId="0" hidden="1">#REF!</definedName>
    <definedName name="kbj" hidden="1">#REF!</definedName>
    <definedName name="KCThep" localSheetId="0" hidden="1">{"'Sheet1'!$L$16"}</definedName>
    <definedName name="KCThep" hidden="1">{"'Sheet1'!$L$16"}</definedName>
    <definedName name="KDCNThonmoi20_00" localSheetId="0" hidden="1">{"'Sheet1'!$L$16"}</definedName>
    <definedName name="KDCNThonmoi20_00" hidden="1">{"'Sheet1'!$L$16"}</definedName>
    <definedName name="kdkk" localSheetId="0" hidden="1">{"'Sheet1'!$L$16"}</definedName>
    <definedName name="kdkk" hidden="1">{"'Sheet1'!$L$16"}</definedName>
    <definedName name="Kds" localSheetId="0" hidden="1">#REF!</definedName>
    <definedName name="Kds" hidden="1">#REF!</definedName>
    <definedName name="ke" localSheetId="0" hidden="1">#REF!</definedName>
    <definedName name="ke" hidden="1">#REF!</definedName>
    <definedName name="kek" localSheetId="0" hidden="1">#REF!</definedName>
    <definedName name="kek" hidden="1">#REF!</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localSheetId="0" hidden="1">{#N/A,#N/A,FALSE,"혼합골재"}</definedName>
    <definedName name="KFGHYH" hidden="1">{#N/A,#N/A,FALSE,"혼합골재"}</definedName>
    <definedName name="KFGJGFJGHGRJGH" localSheetId="0" hidden="1">{#N/A,#N/A,FALSE,"부대1"}</definedName>
    <definedName name="KFGJGFJGHGRJGH" hidden="1">{#N/A,#N/A,FALSE,"부대1"}</definedName>
    <definedName name="KFGJREYDFHFD" localSheetId="0" hidden="1">{#N/A,#N/A,FALSE,"속도"}</definedName>
    <definedName name="KFGJREYDFHFD" hidden="1">{#N/A,#N/A,FALSE,"속도"}</definedName>
    <definedName name="kfok" localSheetId="0" hidden="1">#REF!</definedName>
    <definedName name="kfok" hidden="1">#REF!</definedName>
    <definedName name="kgdf" localSheetId="0" hidden="1">{#N/A,#N/A,FALSE,"Chi tiÆt"}</definedName>
    <definedName name="kgdf" hidden="1">{#N/A,#N/A,FALSE,"Chi tiÆt"}</definedName>
    <definedName name="KGFJHGJGH" localSheetId="0" hidden="1">{#N/A,#N/A,FALSE,"2~8번"}</definedName>
    <definedName name="KGFJHGJGH" hidden="1">{#N/A,#N/A,FALSE,"2~8번"}</definedName>
    <definedName name="kgh" localSheetId="0" hidden="1">{"'Sheet1'!$L$16"}</definedName>
    <definedName name="kgh" hidden="1">{"'Sheet1'!$L$16"}</definedName>
    <definedName name="kghlgh" localSheetId="0" hidden="1">{#N/A,#N/A,FALSE,"CCTV"}</definedName>
    <definedName name="kghlgh" hidden="1">{#N/A,#N/A,FALSE,"CCTV"}</definedName>
    <definedName name="kien" localSheetId="0" hidden="1">#REF!</definedName>
    <definedName name="kien" hidden="1">#REF!</definedName>
    <definedName name="kihjgbn" localSheetId="0" hidden="1">#REF!</definedName>
    <definedName name="kihjgbn" hidden="1">#REF!</definedName>
    <definedName name="kihsrog" localSheetId="0" hidden="1">#REF!</definedName>
    <definedName name="kihsrog" hidden="1">#REF!</definedName>
    <definedName name="kiiuurtv" localSheetId="0" hidden="1">#REF!</definedName>
    <definedName name="kiiuurtv" hidden="1">#REF!</definedName>
    <definedName name="kiulil" localSheetId="0" hidden="1">{#N/A,#N/A,FALSE,"CCTV"}</definedName>
    <definedName name="kiulil" hidden="1">{#N/A,#N/A,FALSE,"CCTV"}</definedName>
    <definedName name="kiyddfdr" localSheetId="0" hidden="1">{"'Sheet1'!$L$16"}</definedName>
    <definedName name="kiyddfdr" hidden="1">{"'Sheet1'!$L$16"}</definedName>
    <definedName name="kj" localSheetId="0" hidden="1">{#N/A,#N/A,FALSE,"Chi tiÆt"}</definedName>
    <definedName name="kj" hidden="1">{#N/A,#N/A,FALSE,"Chi tiÆt"}</definedName>
    <definedName name="KJGHJG" localSheetId="0" hidden="1">{#N/A,#N/A,FALSE,"배수2"}</definedName>
    <definedName name="KJGHJG" hidden="1">{#N/A,#N/A,FALSE,"배수2"}</definedName>
    <definedName name="kjhhghj" localSheetId="0" hidden="1">#REF!</definedName>
    <definedName name="kjhhghj" hidden="1">#REF!</definedName>
    <definedName name="kjhk" localSheetId="0" hidden="1">#REF!</definedName>
    <definedName name="kjhk" hidden="1">#REF!</definedName>
    <definedName name="kjhkjhk" localSheetId="0" hidden="1">#REF!</definedName>
    <definedName name="kjhkjhk" hidden="1">#REF!</definedName>
    <definedName name="kjhkhj" localSheetId="0" hidden="1">{"'Sheet1'!$L$16"}</definedName>
    <definedName name="kjhkhj" hidden="1">{"'Sheet1'!$L$16"}</definedName>
    <definedName name="kjhlh" localSheetId="0" hidden="1">{#N/A,#N/A,FALSE,"CCTV"}</definedName>
    <definedName name="kjhlh" hidden="1">{#N/A,#N/A,FALSE,"CCTV"}</definedName>
    <definedName name="kjhljhk" localSheetId="0" hidden="1">{#N/A,#N/A,FALSE,"CCTV"}</definedName>
    <definedName name="kjhljhk" hidden="1">{#N/A,#N/A,FALSE,"CCTV"}</definedName>
    <definedName name="kjjjh" localSheetId="0" hidden="1">#REF!</definedName>
    <definedName name="kjjjh" hidden="1">#REF!</definedName>
    <definedName name="kjjkj" localSheetId="0" hidden="1">#REF!</definedName>
    <definedName name="kjjkj" hidden="1">#REF!</definedName>
    <definedName name="kjjkjgg" localSheetId="0" hidden="1">{"'Sheet1'!$L$16"}</definedName>
    <definedName name="kjjkjgg" hidden="1">{"'Sheet1'!$L$16"}</definedName>
    <definedName name="kjjlll" localSheetId="0" hidden="1">{"'Sheet1'!$L$16"}</definedName>
    <definedName name="kjjlll" hidden="1">{"'Sheet1'!$L$16"}</definedName>
    <definedName name="kjkgh" localSheetId="0" hidden="1">{"'장비'!$A$3:$M$12"}</definedName>
    <definedName name="kjkgh" hidden="1">{"'장비'!$A$3:$M$12"}</definedName>
    <definedName name="kjkjkj" localSheetId="0" hidden="1">{"'Sheet1'!$L$16"}</definedName>
    <definedName name="kjkjkj" hidden="1">{"'Sheet1'!$L$16"}</definedName>
    <definedName name="kjoh" localSheetId="0" hidden="1">{#N/A,#N/A,FALSE,"特殊室（ＢＱ表）"}</definedName>
    <definedName name="kjoh" hidden="1">{#N/A,#N/A,FALSE,"特殊室（ＢＱ表）"}</definedName>
    <definedName name="kk" localSheetId="0" hidden="1">{#N/A,#N/A,TRUE,"SUM";#N/A,#N/A,TRUE,"EE";#N/A,#N/A,TRUE,"AC";#N/A,#N/A,TRUE,"SN"}</definedName>
    <definedName name="kk" hidden="1">{#N/A,#N/A,TRUE,"SUM";#N/A,#N/A,TRUE,"EE";#N/A,#N/A,TRUE,"AC";#N/A,#N/A,TRUE,"SN"}</definedName>
    <definedName name="kke" hidden="1">#REF!</definedName>
    <definedName name="kkgdss" localSheetId="0" hidden="1">{"'Sheet1'!$L$16"}</definedName>
    <definedName name="kkgdss" hidden="1">{"'Sheet1'!$L$16"}</definedName>
    <definedName name="kkk" localSheetId="0" hidden="1">{"'Sheet1'!$L$16"}</definedName>
    <definedName name="kkk" hidden="1">{"'Sheet1'!$L$16"}</definedName>
    <definedName name="ｋｋｋ" localSheetId="0" hidden="1">{"'Sheet1'!$L$16"}</definedName>
    <definedName name="ｋｋｋ" hidden="1">{"'Sheet1'!$L$16"}</definedName>
    <definedName name="kkkk" localSheetId="0" hidden="1">{"'Sheet1'!$L$16"}</definedName>
    <definedName name="kkkk" hidden="1">{"'Sheet1'!$L$16"}</definedName>
    <definedName name="kkkl" localSheetId="0" hidden="1">{"'Sheet1'!$L$16"}</definedName>
    <definedName name="kkkl" hidden="1">{"'Sheet1'!$L$16"}</definedName>
    <definedName name="kkl" localSheetId="0" hidden="1">{"'Sheet1'!$L$16"}</definedName>
    <definedName name="kkl" hidden="1">{"'Sheet1'!$L$16"}</definedName>
    <definedName name="kkll" localSheetId="0" hidden="1">{"'Sheet1'!$L$16"}</definedName>
    <definedName name="kkll" hidden="1">{"'Sheet1'!$L$16"}</definedName>
    <definedName name="kklll" localSheetId="0" hidden="1">{"'Sheet1'!$L$16"}</definedName>
    <definedName name="kklll" hidden="1">{"'Sheet1'!$L$16"}</definedName>
    <definedName name="kkhjkhj" localSheetId="0" hidden="1">#REF!</definedName>
    <definedName name="kkhjkhj" hidden="1">#REF!</definedName>
    <definedName name="KL_Dai" localSheetId="0" hidden="1">{"'Sheet1'!$L$16"}</definedName>
    <definedName name="KL_Dai" hidden="1">{"'Sheet1'!$L$16"}</definedName>
    <definedName name="KLduonggiaods" localSheetId="0" hidden="1">{"'Sheet1'!$L$16"}</definedName>
    <definedName name="KLduonggiaods" hidden="1">{"'Sheet1'!$L$16"}</definedName>
    <definedName name="klhkl" localSheetId="10" hidden="1">{#N/A,#N/A,FALSE,"CCTV"}</definedName>
    <definedName name="klhkl" localSheetId="0" hidden="1">{#N/A,#N/A,FALSE,"CCTV"}</definedName>
    <definedName name="klhkl" hidden="1">{#N/A,#N/A,FALSE,"CCTV"}</definedName>
    <definedName name="klkklk" localSheetId="0" hidden="1">{#N/A,#N/A,FALSE,"Sheet1";#N/A,#N/A,FALSE,"Sheet3";#N/A,#N/A,FALSE,"Sheet5"}</definedName>
    <definedName name="klkklk" hidden="1">{#N/A,#N/A,FALSE,"Sheet1";#N/A,#N/A,FALSE,"Sheet3";#N/A,#N/A,FALSE,"Sheet5"}</definedName>
    <definedName name="KLLKLKLK" localSheetId="0" hidden="1">{#N/A,#N/A,FALSE,"포장2"}</definedName>
    <definedName name="KLLKLKLK" hidden="1">{#N/A,#N/A,FALSE,"포장2"}</definedName>
    <definedName name="KLLT" localSheetId="0" hidden="1">#REF!</definedName>
    <definedName name="KLLT" hidden="1">#REF!</definedName>
    <definedName name="klm" localSheetId="0" hidden="1">{"'Sheet1'!$L$16"}</definedName>
    <definedName name="klm" hidden="1">{"'Sheet1'!$L$16"}</definedName>
    <definedName name="klnhhh" localSheetId="0" hidden="1">{"'Sheet1'!$L$16"}</definedName>
    <definedName name="klnhhh" hidden="1">{"'Sheet1'!$L$16"}</definedName>
    <definedName name="KNDAT_CHUA_SU_DUNG" localSheetId="0" hidden="1">#REF!</definedName>
    <definedName name="KNDAT_CHUA_SU_DUNG" hidden="1">#REF!</definedName>
    <definedName name="kon" localSheetId="0" hidden="1">{"'Sheet1'!$L$16"}</definedName>
    <definedName name="kon" hidden="1">{"'Sheet1'!$L$16"}</definedName>
    <definedName name="ks" localSheetId="0" hidden="1">{"'Sheet1'!$L$16"}</definedName>
    <definedName name="ks" hidden="1">{"'Sheet1'!$L$16"}</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tf" localSheetId="0" hidden="1">#REF!</definedName>
    <definedName name="ktf" hidden="1">#REF!</definedName>
    <definedName name="kty" localSheetId="0" hidden="1">#REF!</definedName>
    <definedName name="kty" hidden="1">#REF!</definedName>
    <definedName name="kukek" localSheetId="0" hidden="1">{"'Sheet1'!$L$16"}</definedName>
    <definedName name="kukek" hidden="1">{"'Sheet1'!$L$16"}</definedName>
    <definedName name="kuklk" localSheetId="0" hidden="1">{"'Sheet1'!$L$16"}</definedName>
    <definedName name="kuklk" hidden="1">{"'Sheet1'!$L$16"}</definedName>
    <definedName name="kuktry" localSheetId="0" hidden="1">#REF!</definedName>
    <definedName name="kuktry" hidden="1">#REF!</definedName>
    <definedName name="kutkuk" localSheetId="0" hidden="1">{"'Sheet1'!$L$16"}</definedName>
    <definedName name="kutkuk" hidden="1">{"'Sheet1'!$L$16"}</definedName>
    <definedName name="KUYGGDF" localSheetId="0" hidden="1">{#N/A,#N/A,FALSE,"표지목차"}</definedName>
    <definedName name="KUYGGDF" hidden="1">{#N/A,#N/A,FALSE,"표지목차"}</definedName>
    <definedName name="Kye" localSheetId="0" hidden="1">#REF!</definedName>
    <definedName name="Kye" hidden="1">#REF!</definedName>
    <definedName name="kyocera_project" localSheetId="0" hidden="1">#REF!</definedName>
    <definedName name="kyocera_project" hidden="1">#REF!</definedName>
    <definedName name="khanh" localSheetId="0" hidden="1">#REF!</definedName>
    <definedName name="khanh" hidden="1">#REF!</definedName>
    <definedName name="khg" localSheetId="0" hidden="1">{"'Sheet1'!$L$16"}</definedName>
    <definedName name="khg" hidden="1">{"'Sheet1'!$L$16"}</definedName>
    <definedName name="KHGDFKHGFJKGF" localSheetId="0" hidden="1">#REF!</definedName>
    <definedName name="KHGDFKHGFJKGF" hidden="1">#REF!</definedName>
    <definedName name="khgkhg" localSheetId="0" hidden="1">#REF!</definedName>
    <definedName name="khgkhg" hidden="1">#REF!</definedName>
    <definedName name="khhkj" localSheetId="0" hidden="1">#REF!</definedName>
    <definedName name="khhkj" hidden="1">#REF!</definedName>
    <definedName name="khjkhjk" localSheetId="0" hidden="1">#REF!</definedName>
    <definedName name="khjkhjk" hidden="1">#REF!</definedName>
    <definedName name="khjkhjkh" localSheetId="0" hidden="1">#REF!</definedName>
    <definedName name="khjkhjkh" hidden="1">#REF!</definedName>
    <definedName name="khkttt" localSheetId="0" hidden="1">{"'Sheet1'!$L$16"}</definedName>
    <definedName name="khkttt" hidden="1">{"'Sheet1'!$L$16"}</definedName>
    <definedName name="khkhkh" localSheetId="0" hidden="1">#REF!</definedName>
    <definedName name="khkhkh" hidden="1">#REF!</definedName>
    <definedName name="khl" localSheetId="0" hidden="1">{#N/A,#N/A,FALSE,"2~8번"}</definedName>
    <definedName name="khl" hidden="1">{#N/A,#N/A,FALSE,"2~8번"}</definedName>
    <definedName name="khoas" localSheetId="0" hidden="1">{"'Sheet1'!$L$16"}</definedName>
    <definedName name="khoas" hidden="1">{"'Sheet1'!$L$16"}</definedName>
    <definedName name="khoi" localSheetId="0" hidden="1">#REF!</definedName>
    <definedName name="khoi" hidden="1">#REF!</definedName>
    <definedName name="KHOILUONG" localSheetId="0" hidden="1">{"'Sheet1'!$L$16"}</definedName>
    <definedName name="KHOILUONG" hidden="1">{"'Sheet1'!$L$16"}</definedName>
    <definedName name="KhongCT" localSheetId="0" hidden="1">{"'Sheet1'!$L$16"}</definedName>
    <definedName name="KhongCT" hidden="1">{"'Sheet1'!$L$16"}</definedName>
    <definedName name="khongtruotgia" localSheetId="0" hidden="1">{"'Sheet1'!$L$16"}</definedName>
    <definedName name="khongtruotgia" hidden="1">{"'Sheet1'!$L$16"}</definedName>
    <definedName name="l" localSheetId="0" hidden="1">{"'Liquid'!$A$1:$U$57"}</definedName>
    <definedName name="l" hidden="1">{"'Liquid'!$A$1:$U$57"}</definedName>
    <definedName name="lam" localSheetId="0" hidden="1">{"'Sheet1'!$L$16"}</definedName>
    <definedName name="lam" hidden="1">{"'Sheet1'!$L$16"}</definedName>
    <definedName name="lan" localSheetId="10" hidden="1">{#N/A,#N/A,TRUE,"BT M200 da 10x20"}</definedName>
    <definedName name="lan" localSheetId="0" hidden="1">{#N/A,#N/A,TRUE,"BT M200 da 10x20"}</definedName>
    <definedName name="lan" hidden="1">{#N/A,#N/A,TRUE,"BT M200 da 10x20"}</definedName>
    <definedName name="langson" localSheetId="0" hidden="1">{"'Sheet1'!$L$16"}</definedName>
    <definedName name="langson" hidden="1">{"'Sheet1'!$L$16"}</definedName>
    <definedName name="lapmoi8430" localSheetId="0" hidden="1">{"'Sheet1'!$L$16"}</definedName>
    <definedName name="lapmoi8430" hidden="1">{"'Sheet1'!$L$16"}</definedName>
    <definedName name="Last_Row" hidden="1">IF(Values_Entered,Header_Row+Number_of_Payments,Header_Row)</definedName>
    <definedName name="LC5_total" localSheetId="0" hidden="1">#REF!</definedName>
    <definedName name="LC5_total" hidden="1">#REF!</definedName>
    <definedName name="LC6_total" localSheetId="0" hidden="1">#REF!</definedName>
    <definedName name="LC6_total" hidden="1">#REF!</definedName>
    <definedName name="LDTB" localSheetId="0" hidden="1">{"'Sheet1'!$L$16"}</definedName>
    <definedName name="LDTB" hidden="1">{"'Sheet1'!$L$16"}</definedName>
    <definedName name="le" localSheetId="0" hidden="1">{"'Sheet1'!$L$16"}</definedName>
    <definedName name="le" hidden="1">{"'Sheet1'!$L$16"}</definedName>
    <definedName name="lee" localSheetId="0" hidden="1">{"'Sheet1'!$L$16"}</definedName>
    <definedName name="lee" hidden="1">{"'Sheet1'!$L$16"}</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vel1" localSheetId="0" hidden="1">{"'장비'!$A$3:$M$12"}</definedName>
    <definedName name="level1" hidden="1">{"'장비'!$A$3:$M$12"}</definedName>
    <definedName name="LFKFJFO" localSheetId="0" hidden="1">{#N/A,#N/A,FALSE,"CCTV"}</definedName>
    <definedName name="LFKFJFO" hidden="1">{#N/A,#N/A,FALSE,"CCTV"}</definedName>
    <definedName name="lflfflss" localSheetId="0" hidden="1">#REF!</definedName>
    <definedName name="lflfflss" hidden="1">#REF!</definedName>
    <definedName name="lgala" localSheetId="0" hidden="1">{"'Sheet1'!$L$16"}</definedName>
    <definedName name="lgala" hidden="1">{"'Sheet1'!$L$16"}</definedName>
    <definedName name="lhgllg" localSheetId="0" hidden="1">#REF!</definedName>
    <definedName name="lhgllg" hidden="1">#REF!</definedName>
    <definedName name="lhhh" localSheetId="0" hidden="1">{#N/A,#N/A,FALSE,"Chi tiÆt"}</definedName>
    <definedName name="lhhh" hidden="1">{#N/A,#N/A,FALSE,"Chi tiÆt"}</definedName>
    <definedName name="lhjlhl" localSheetId="0" hidden="1">#REF!</definedName>
    <definedName name="lhjlhl" hidden="1">#REF!</definedName>
    <definedName name="lhn" localSheetId="0" hidden="1">{#N/A,#N/A,FALSE,"CCTV"}</definedName>
    <definedName name="lhn" hidden="1">{#N/A,#N/A,FALSE,"CCTV"}</definedName>
    <definedName name="li" localSheetId="0" hidden="1">{"'용역비'!$A$4:$C$8"}</definedName>
    <definedName name="li" hidden="1">{"'용역비'!$A$4:$C$8"}</definedName>
    <definedName name="lie" localSheetId="0" hidden="1">{"'Sheet1'!$L$16"}</definedName>
    <definedName name="lie" hidden="1">{"'Sheet1'!$L$16"}</definedName>
    <definedName name="lilil" localSheetId="0" hidden="1">#REF!</definedName>
    <definedName name="lilil" hidden="1">#REF!</definedName>
    <definedName name="limcount" hidden="1">4</definedName>
    <definedName name="linh" localSheetId="0" hidden="1">{"'Sheet1'!$L$16"}</definedName>
    <definedName name="linh" hidden="1">{"'Sheet1'!$L$16"}</definedName>
    <definedName name="linhT" localSheetId="0" hidden="1">{"'Sheet1'!$L$16"}</definedName>
    <definedName name="linhT" hidden="1">{"'Sheet1'!$L$16"}</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1_1" localSheetId="0" hidden="1">{#N/A,#N/A,TRUE,"Basic";#N/A,#N/A,TRUE,"EXT-TABLE";#N/A,#N/A,TRUE,"STEEL";#N/A,#N/A,TRUE,"INT-Table";#N/A,#N/A,TRUE,"STEEL";#N/A,#N/A,TRUE,"Door"}</definedName>
    <definedName name="list01_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hg" localSheetId="0" hidden="1">{"'Sheet1'!$L$16"}</definedName>
    <definedName name="ljhghg" hidden="1">{"'Sheet1'!$L$16"}</definedName>
    <definedName name="ljjjj" localSheetId="0" hidden="1">#REF!</definedName>
    <definedName name="ljjjj" hidden="1">#REF!</definedName>
    <definedName name="ljklk" localSheetId="0" hidden="1">{"'Sheet1'!$L$16"}</definedName>
    <definedName name="ljklk" hidden="1">{"'Sheet1'!$L$16"}</definedName>
    <definedName name="ljkㅏㅎ" localSheetId="0" hidden="1">{#N/A,#N/A,FALSE,"2~8번"}</definedName>
    <definedName name="ljkㅏㅎ" hidden="1">{#N/A,#N/A,FALSE,"2~8번"}</definedName>
    <definedName name="ljl" hidden="1">#REF!</definedName>
    <definedName name="lk" localSheetId="0" hidden="1">{#N/A,#N/A,FALSE,"mgtsum.XLS";#N/A,#N/A,FALSE,"CAPONE";#N/A,#N/A,FALSE,"CAPTWO";#N/A,#N/A,FALSE,"CAPTHREE"}</definedName>
    <definedName name="lk" hidden="1">{#N/A,#N/A,FALSE,"mgtsum.XLS";#N/A,#N/A,FALSE,"CAPONE";#N/A,#N/A,FALSE,"CAPTWO";#N/A,#N/A,FALSE,"CAPTHREE"}</definedName>
    <definedName name="lkj" localSheetId="0" hidden="1">{"'Sheet1'!$L$16"}</definedName>
    <definedName name="lkj" hidden="1">{"'Sheet1'!$L$16"}</definedName>
    <definedName name="lkjhgf" localSheetId="0" hidden="1">{"'Sheet1'!$L$16"}</definedName>
    <definedName name="lkjhgf" hidden="1">{"'Sheet1'!$L$16"}</definedName>
    <definedName name="LKJHKU" localSheetId="0" hidden="1">{#N/A,#N/A,FALSE,"CCTV"}</definedName>
    <definedName name="LKJHKU" hidden="1">{#N/A,#N/A,FALSE,"CCTV"}</definedName>
    <definedName name="lkklll" localSheetId="0" hidden="1">{"'Sheet1'!$L$16"}</definedName>
    <definedName name="lkklll" hidden="1">{"'Sheet1'!$L$16"}</definedName>
    <definedName name="lkkh" localSheetId="0" hidden="1">#REF!</definedName>
    <definedName name="lkkh" hidden="1">#REF!</definedName>
    <definedName name="lklhlkjl" localSheetId="0" hidden="1">{#N/A,#N/A,FALSE,"CCTV"}</definedName>
    <definedName name="lklhlkjl" hidden="1">{#N/A,#N/A,FALSE,"CCTV"}</definedName>
    <definedName name="lklkhh" localSheetId="0" hidden="1">{"'Sheet1'!$L$16"}</definedName>
    <definedName name="lklkhh" hidden="1">{"'Sheet1'!$L$16"}</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localSheetId="0" hidden="1">{#N/A,#N/A,FALSE,"特殊室（ＢＱ表）"}</definedName>
    <definedName name="lll" hidden="1">{#N/A,#N/A,FALSE,"特殊室（ＢＱ表）"}</definedName>
    <definedName name="LLL\" localSheetId="0" hidden="1">#REF!</definedName>
    <definedName name="LLL\" hidden="1">#REF!</definedName>
    <definedName name="lllj" localSheetId="0" hidden="1">{"'Sheet1'!$L$16"}</definedName>
    <definedName name="lllj" hidden="1">{"'Sheet1'!$L$16"}</definedName>
    <definedName name="LLLL" localSheetId="0" hidden="1">{#N/A,#N/A,FALSE,"CCTV"}</definedName>
    <definedName name="LLLL" hidden="1">{#N/A,#N/A,FALSE,"CCTV"}</definedName>
    <definedName name="LLLLLLL" localSheetId="0" hidden="1">#REF!</definedName>
    <definedName name="LLLLLLL" hidden="1">#REF!</definedName>
    <definedName name="lllllllllllll" localSheetId="0" hidden="1">#REF!</definedName>
    <definedName name="lllllllllllll" hidden="1">#REF!</definedName>
    <definedName name="lluilu" localSheetId="0" hidden="1">#REF!</definedName>
    <definedName name="lluilu" hidden="1">#REF!</definedName>
    <definedName name="load" localSheetId="0" hidden="1">{#N/A,#N/A,TRUE,"LDLST";#N/A,#N/A,TRUE,"LDLST (2)"}</definedName>
    <definedName name="load" hidden="1">{#N/A,#N/A,TRUE,"LDLST";#N/A,#N/A,TRUE,"LDLST (2)"}</definedName>
    <definedName name="LoaiBQL" localSheetId="0" hidden="1">#REF!</definedName>
    <definedName name="LoaiBQL" hidden="1">#REF!</definedName>
    <definedName name="loan" localSheetId="0" hidden="1">{#N/A,#N/A,FALSE,"CCTV"}</definedName>
    <definedName name="loan" hidden="1">{#N/A,#N/A,FALSE,"CCTV"}</definedName>
    <definedName name="LOCO" localSheetId="0" hidden="1">{"'Sheet1'!$L$16"}</definedName>
    <definedName name="LOCO" hidden="1">{"'Sheet1'!$L$16"}</definedName>
    <definedName name="LOCO2" localSheetId="0" hidden="1">{"'Sheet1'!$L$16"}</definedName>
    <definedName name="LOCO2" hidden="1">{"'Sheet1'!$L$16"}</definedName>
    <definedName name="lon" localSheetId="0" hidden="1">{"'Sheet1'!$L$16"}</definedName>
    <definedName name="lon" hidden="1">{"'Sheet1'!$L$16"}</definedName>
    <definedName name="lontrau" localSheetId="0" hidden="1">{"'Sheet1'!$L$16"}</definedName>
    <definedName name="lontrau" hidden="1">{"'Sheet1'!$L$16"}</definedName>
    <definedName name="Long" localSheetId="0" hidden="1">{"'Sheet1'!$L$16"}</definedName>
    <definedName name="Long" hidden="1">{"'Sheet1'!$L$16"}</definedName>
    <definedName name="lop" localSheetId="0" hidden="1">{#N/A,#N/A,FALSE,"特殊室（ＢＱ表）"}</definedName>
    <definedName name="lop" hidden="1">{#N/A,#N/A,FALSE,"特殊室（ＢＱ表）"}</definedName>
    <definedName name="lop." localSheetId="0" hidden="1">{#N/A,#N/A,FALSE,"特殊室（ＢＱ表）"}</definedName>
    <definedName name="lop." hidden="1">{#N/A,#N/A,FALSE,"特殊室（ＢＱ表）"}</definedName>
    <definedName name="lpou" localSheetId="0" hidden="1">#REF!</definedName>
    <definedName name="lpou" hidden="1">#REF!</definedName>
    <definedName name="LTKD" localSheetId="0" hidden="1">{"'Sheet1'!$L$16"}</definedName>
    <definedName name="LTKD" hidden="1">{"'Sheet1'!$L$16"}</definedName>
    <definedName name="LTrai" localSheetId="0" hidden="1">#REF!</definedName>
    <definedName name="LTrai" hidden="1">#REF!</definedName>
    <definedName name="luan" localSheetId="0" hidden="1">{"'Sheet1'!$L$16"}</definedName>
    <definedName name="luan" hidden="1">{"'Sheet1'!$L$16"}</definedName>
    <definedName name="luong" localSheetId="0" hidden="1">{"'Sheet1'!$L$16"}</definedName>
    <definedName name="luong" hidden="1">{"'Sheet1'!$L$16"}</definedName>
    <definedName name="luyÕn" localSheetId="0" hidden="1">{"'Sheet1'!$L$16"}</definedName>
    <definedName name="luyÕn" hidden="1">{"'Sheet1'!$L$16"}</definedName>
    <definedName name="LV" hidden="1">#REF!</definedName>
    <definedName name="M10." localSheetId="0" hidden="1">{"'Sheet1'!$L$16"}</definedName>
    <definedName name="M10." hidden="1">{"'Sheet1'!$L$16"}</definedName>
    <definedName name="MAITAI.11.MARCH08" localSheetId="0" hidden="1">{"'Sheet1'!$L$16"}</definedName>
    <definedName name="MAITAI.11.MARCH08" hidden="1">{"'Sheet1'!$L$16"}</definedName>
    <definedName name="Masonry" localSheetId="0" hidden="1">{#N/A,#N/A,FALSE,"Tabelle2";#N/A,#N/A,FALSE,"Tabelle1"}</definedName>
    <definedName name="Masonry" hidden="1">{#N/A,#N/A,FALSE,"Tabelle2";#N/A,#N/A,FALSE,"Tabelle1"}</definedName>
    <definedName name="mat.spare" localSheetId="0" hidden="1">{"'ELEC'!$A$2:$H$216","'ELEC'!$C$2:$D$2"}</definedName>
    <definedName name="mat.spare" hidden="1">{"'ELEC'!$A$2:$H$216","'ELEC'!$C$2:$D$2"}</definedName>
    <definedName name="MAU" localSheetId="0" hidden="1">{"'Sheet1'!$L$16"}</definedName>
    <definedName name="MAU" hidden="1">{"'Sheet1'!$L$16"}</definedName>
    <definedName name="mb" localSheetId="0" hidden="1">#REF!</definedName>
    <definedName name="mb" hidden="1">#REF!</definedName>
    <definedName name="mbbbbb" localSheetId="0" hidden="1">#REF!</definedName>
    <definedName name="mbbbbb" hidden="1">#REF!</definedName>
    <definedName name="mbbmnbnm" localSheetId="0" hidden="1">#REF!</definedName>
    <definedName name="mbbmnbnm" hidden="1">#REF!</definedName>
    <definedName name="MBM" localSheetId="0" hidden="1">{#N/A,#N/A,FALSE,"特殊室（ＢＱ表）"}</definedName>
    <definedName name="MBM" hidden="1">{#N/A,#N/A,FALSE,"特殊室（ＢＱ表）"}</definedName>
    <definedName name="mbmbbb" localSheetId="0" hidden="1">#REF!</definedName>
    <definedName name="mbmbbb" hidden="1">#REF!</definedName>
    <definedName name="mbmbbbbv" localSheetId="0" hidden="1">#REF!</definedName>
    <definedName name="mbmbbbbv" hidden="1">#REF!</definedName>
    <definedName name="mbmbm" localSheetId="0" hidden="1">#REF!</definedName>
    <definedName name="mbmbm" hidden="1">#REF!</definedName>
    <definedName name="mbmcvmcm" localSheetId="0" hidden="1">#REF!</definedName>
    <definedName name="mbmcvmcm" hidden="1">#REF!</definedName>
    <definedName name="mbmmbn" localSheetId="0" hidden="1">#REF!</definedName>
    <definedName name="mbmmbn" hidden="1">#REF!</definedName>
    <definedName name="mbmnbmn" localSheetId="0" hidden="1">#REF!</definedName>
    <definedName name="mbmnbmn" hidden="1">#REF!</definedName>
    <definedName name="mbmvbm" localSheetId="0" hidden="1">#REF!</definedName>
    <definedName name="mbmvbm" hidden="1">#REF!</definedName>
    <definedName name="mbmvm" localSheetId="0" hidden="1">#REF!</definedName>
    <definedName name="mbmvm" hidden="1">#REF!</definedName>
    <definedName name="mbnbm" localSheetId="0" hidden="1">#REF!</definedName>
    <definedName name="mbnbm" hidden="1">#REF!</definedName>
    <definedName name="mbnbmn" localSheetId="0" hidden="1">#REF!</definedName>
    <definedName name="mbnbmn" hidden="1">#REF!</definedName>
    <definedName name="mbnm" localSheetId="0" hidden="1">#REF!</definedName>
    <definedName name="mbnm" hidden="1">#REF!</definedName>
    <definedName name="mbnmn" localSheetId="0" hidden="1">#REF!</definedName>
    <definedName name="mbnmn" hidden="1">#REF!</definedName>
    <definedName name="mbnmnb" localSheetId="0" hidden="1">#REF!</definedName>
    <definedName name="mbnmnb" hidden="1">#REF!</definedName>
    <definedName name="mbnmnm" localSheetId="0" hidden="1">#REF!</definedName>
    <definedName name="mbnmnm" hidden="1">#REF!</definedName>
    <definedName name="mbvm" localSheetId="0" hidden="1">#REF!</definedName>
    <definedName name="mbvm" hidden="1">#REF!</definedName>
    <definedName name="mbvmvbmbv" localSheetId="0" hidden="1">#REF!</definedName>
    <definedName name="mbvmvbmbv" hidden="1">#REF!</definedName>
    <definedName name="mbvvv" localSheetId="0" hidden="1">#REF!</definedName>
    <definedName name="mbvvv" hidden="1">#REF!</definedName>
    <definedName name="mbvvvmvb" localSheetId="0" hidden="1">#REF!</definedName>
    <definedName name="mbvvvmvb" hidden="1">#REF!</definedName>
    <definedName name="mbxmvxmvxm" localSheetId="0" hidden="1">#REF!</definedName>
    <definedName name="mbxmvxmvxm" hidden="1">#REF!</definedName>
    <definedName name="mbxvvvxm" localSheetId="0" hidden="1">#REF!</definedName>
    <definedName name="mbxvvvxm" hidden="1">#REF!</definedName>
    <definedName name="mcc" localSheetId="0" hidden="1">{#N/A,#N/A,FALSE,"MCC-12-1";#N/A,#N/A,FALSE,"MCC-12-2";#N/A,#N/A,FALSE,"SUM"}</definedName>
    <definedName name="mcc" hidden="1">{#N/A,#N/A,FALSE,"MCC-12-1";#N/A,#N/A,FALSE,"MCC-12-2";#N/A,#N/A,FALSE,"SUM"}</definedName>
    <definedName name="mccb" localSheetId="10" hidden="1">{#N/A,#N/A,FALSE,"CCTV"}</definedName>
    <definedName name="mccb" localSheetId="0" hidden="1">{#N/A,#N/A,FALSE,"CCTV"}</definedName>
    <definedName name="mccb" hidden="1">{#N/A,#N/A,FALSE,"CCTV"}</definedName>
    <definedName name="MCCO" localSheetId="10" hidden="1">{#N/A,#N/A,FALSE,"CCTV"}</definedName>
    <definedName name="MCCO" localSheetId="0" hidden="1">{#N/A,#N/A,FALSE,"CCTV"}</definedName>
    <definedName name="MCCO" hidden="1">{#N/A,#N/A,FALSE,"CCTV"}</definedName>
    <definedName name="MCCO10" localSheetId="10" hidden="1">{#N/A,#N/A,FALSE,"CCTV"}</definedName>
    <definedName name="MCCO10" localSheetId="0" hidden="1">{#N/A,#N/A,FALSE,"CCTV"}</definedName>
    <definedName name="MCCO10" hidden="1">{#N/A,#N/A,FALSE,"CCTV"}</definedName>
    <definedName name="MCCO11" localSheetId="10" hidden="1">{#N/A,#N/A,FALSE,"CCTV"}</definedName>
    <definedName name="MCCO11" localSheetId="0" hidden="1">{#N/A,#N/A,FALSE,"CCTV"}</definedName>
    <definedName name="MCCO11" hidden="1">{#N/A,#N/A,FALSE,"CCTV"}</definedName>
    <definedName name="MCCO12" localSheetId="10" hidden="1">{#N/A,#N/A,FALSE,"CCTV"}</definedName>
    <definedName name="MCCO12" localSheetId="0" hidden="1">{#N/A,#N/A,FALSE,"CCTV"}</definedName>
    <definedName name="MCCO12" hidden="1">{#N/A,#N/A,FALSE,"CCTV"}</definedName>
    <definedName name="MCCO13" localSheetId="10" hidden="1">{#N/A,#N/A,FALSE,"CCTV"}</definedName>
    <definedName name="MCCO13" localSheetId="0" hidden="1">{#N/A,#N/A,FALSE,"CCTV"}</definedName>
    <definedName name="MCCO13" hidden="1">{#N/A,#N/A,FALSE,"CCTV"}</definedName>
    <definedName name="MCCO3" localSheetId="10" hidden="1">{#N/A,#N/A,FALSE,"CCTV"}</definedName>
    <definedName name="MCCO3" localSheetId="0" hidden="1">{#N/A,#N/A,FALSE,"CCTV"}</definedName>
    <definedName name="MCCO3" hidden="1">{#N/A,#N/A,FALSE,"CCTV"}</definedName>
    <definedName name="MCCO4" localSheetId="10" hidden="1">{#N/A,#N/A,FALSE,"CCTV"}</definedName>
    <definedName name="MCCO4" localSheetId="0" hidden="1">{#N/A,#N/A,FALSE,"CCTV"}</definedName>
    <definedName name="MCCO4" hidden="1">{#N/A,#N/A,FALSE,"CCTV"}</definedName>
    <definedName name="MCCO5" localSheetId="10" hidden="1">{#N/A,#N/A,FALSE,"CCTV"}</definedName>
    <definedName name="MCCO5" localSheetId="0" hidden="1">{#N/A,#N/A,FALSE,"CCTV"}</definedName>
    <definedName name="MCCO5" hidden="1">{#N/A,#N/A,FALSE,"CCTV"}</definedName>
    <definedName name="MCCO6" localSheetId="10" hidden="1">{#N/A,#N/A,FALSE,"CCTV"}</definedName>
    <definedName name="MCCO6" localSheetId="0" hidden="1">{#N/A,#N/A,FALSE,"CCTV"}</definedName>
    <definedName name="MCCO6" hidden="1">{#N/A,#N/A,FALSE,"CCTV"}</definedName>
    <definedName name="MCCO7" localSheetId="10" hidden="1">{#N/A,#N/A,FALSE,"CCTV"}</definedName>
    <definedName name="MCCO7" localSheetId="0" hidden="1">{#N/A,#N/A,FALSE,"CCTV"}</definedName>
    <definedName name="MCCO7" hidden="1">{#N/A,#N/A,FALSE,"CCTV"}</definedName>
    <definedName name="MCCO8" localSheetId="10" hidden="1">{#N/A,#N/A,FALSE,"CCTV"}</definedName>
    <definedName name="MCCO8" localSheetId="0" hidden="1">{#N/A,#N/A,FALSE,"CCTV"}</definedName>
    <definedName name="MCCO8" hidden="1">{#N/A,#N/A,FALSE,"CCTV"}</definedName>
    <definedName name="MCCO9" localSheetId="10" hidden="1">{#N/A,#N/A,FALSE,"CCTV"}</definedName>
    <definedName name="MCCO9" localSheetId="0" hidden="1">{#N/A,#N/A,FALSE,"CCTV"}</definedName>
    <definedName name="MCCO9" hidden="1">{#N/A,#N/A,FALSE,"CCTV"}</definedName>
    <definedName name="MCCOÙ" localSheetId="10" hidden="1">{#N/A,#N/A,FALSE,"CCTV"}</definedName>
    <definedName name="MCCOÙ" localSheetId="0" hidden="1">{#N/A,#N/A,FALSE,"CCTV"}</definedName>
    <definedName name="MCCOÙ" hidden="1">{#N/A,#N/A,FALSE,"CCTV"}</definedName>
    <definedName name="mck" localSheetId="0" hidden="1">{#N/A,#N/A,FALSE,"Chi tiÆt"}</definedName>
    <definedName name="mck" hidden="1">{#N/A,#N/A,FALSE,"Chi tiÆt"}</definedName>
    <definedName name="mcmc" localSheetId="0" hidden="1">#REF!</definedName>
    <definedName name="mcmc" hidden="1">#REF!</definedName>
    <definedName name="mcmccc" localSheetId="0" hidden="1">#REF!</definedName>
    <definedName name="mcmccc" hidden="1">#REF!</definedName>
    <definedName name="MD1수량집계" localSheetId="0" hidden="1">#REF!</definedName>
    <definedName name="MD1수량집계" hidden="1">#REF!</definedName>
    <definedName name="MDVBSV" localSheetId="0" hidden="1">#REF!</definedName>
    <definedName name="MDVBSV" hidden="1">#REF!</definedName>
    <definedName name="MD총괄수량집계" localSheetId="0" hidden="1">#REF!</definedName>
    <definedName name="MD총괄수량집계" hidden="1">#REF!</definedName>
    <definedName name="Mech" localSheetId="0" hidden="1">#REF!</definedName>
    <definedName name="Mech" hidden="1">#REF!</definedName>
    <definedName name="MGB" localSheetId="0" hidden="1">{#N/A,#N/A,FALSE,"特殊室（ＢＱ表）"}</definedName>
    <definedName name="MGB" hidden="1">{#N/A,#N/A,FALSE,"特殊室（ＢＱ表）"}</definedName>
    <definedName name="mgmgmg" localSheetId="0" hidden="1">#REF!</definedName>
    <definedName name="mgmgmg" hidden="1">#REF!</definedName>
    <definedName name="mh" localSheetId="0" hidden="1">{"'Sheet1'!$L$16"}</definedName>
    <definedName name="mh" hidden="1">{"'Sheet1'!$L$16"}</definedName>
    <definedName name="mhmhmg" localSheetId="0" hidden="1">#REF!</definedName>
    <definedName name="mhmhmg" hidden="1">#REF!</definedName>
    <definedName name="Middle" localSheetId="0" hidden="1">{"'Sheet1'!$L$16"}</definedName>
    <definedName name="Middle" hidden="1">{"'Sheet1'!$L$16"}</definedName>
    <definedName name="minh" localSheetId="0" hidden="1">{"'Sheet1'!$L$16"}</definedName>
    <definedName name="minh" hidden="1">{"'Sheet1'!$L$16"}</definedName>
    <definedName name="mmhfmf" localSheetId="0" hidden="1">#REF!</definedName>
    <definedName name="mmhfmf" hidden="1">#REF!</definedName>
    <definedName name="mmj" localSheetId="0" hidden="1">#REF!</definedName>
    <definedName name="mmj" hidden="1">#REF!</definedName>
    <definedName name="mmm" localSheetId="0" hidden="1">{"'Sheet1'!$L$16"}</definedName>
    <definedName name="mmm" hidden="1">{"'Sheet1'!$L$16"}</definedName>
    <definedName name="ｍｍｍ" localSheetId="0" hidden="1">{"'Sheet1'!$L$16"}</definedName>
    <definedName name="ｍｍｍ" hidden="1">{"'Sheet1'!$L$16"}</definedName>
    <definedName name="mmmm" localSheetId="0" hidden="1">{"'Sheet1'!$L$16"}</definedName>
    <definedName name="mmmm" hidden="1">{"'Sheet1'!$L$16"}</definedName>
    <definedName name="ｍｍｍｍ" localSheetId="0" hidden="1">{"'Sheet1'!$L$16"}</definedName>
    <definedName name="ｍｍｍｍ" hidden="1">{"'Sheet1'!$L$16"}</definedName>
    <definedName name="mmmmm" localSheetId="0" hidden="1">{#N/A,#N/A,FALSE,"CCTV"}</definedName>
    <definedName name="mmmmm" hidden="1">{#N/A,#N/A,FALSE,"CCTV"}</definedName>
    <definedName name="mmmmmmmm" localSheetId="0" hidden="1">{"'Sheet1'!$L$16"}</definedName>
    <definedName name="mmmmmmmm" hidden="1">{"'Sheet1'!$L$16"}</definedName>
    <definedName name="mmmmmmmmmmmmmmm" localSheetId="0" hidden="1">#REF!</definedName>
    <definedName name="mmmmmmmmmmmmmmm" hidden="1">#REF!</definedName>
    <definedName name="mmnmnmbmb" localSheetId="0" hidden="1">#REF!</definedName>
    <definedName name="mmnmnmbmb" hidden="1">#REF!</definedName>
    <definedName name="mmvm" localSheetId="0" hidden="1">#REF!</definedName>
    <definedName name="mmvm" hidden="1">#REF!</definedName>
    <definedName name="MNB" localSheetId="0" hidden="1">{#N/A,#N/A,FALSE,"特殊室（ＢＱ表）"}</definedName>
    <definedName name="MNB" hidden="1">{#N/A,#N/A,FALSE,"特殊室（ＢＱ表）"}</definedName>
    <definedName name="mnbmbm" localSheetId="0" hidden="1">#REF!</definedName>
    <definedName name="mnbmbm" hidden="1">#REF!</definedName>
    <definedName name="mnbmnm" localSheetId="0" hidden="1">#REF!</definedName>
    <definedName name="mnbmnm" hidden="1">#REF!</definedName>
    <definedName name="mnbnmnb" localSheetId="0" hidden="1">#REF!</definedName>
    <definedName name="mnbnmnb" hidden="1">#REF!</definedName>
    <definedName name="mnjjhkj" localSheetId="0" hidden="1">{#N/A,#N/A,FALSE,"Chi tiÆt"}</definedName>
    <definedName name="mnjjhkj" hidden="1">{#N/A,#N/A,FALSE,"Chi tiÆt"}</definedName>
    <definedName name="mnmb" localSheetId="0" hidden="1">#REF!</definedName>
    <definedName name="mnmb" hidden="1">#REF!</definedName>
    <definedName name="mnnnnmn" localSheetId="0" hidden="1">#REF!</definedName>
    <definedName name="mnnnnmn" hidden="1">#REF!</definedName>
    <definedName name="mo" localSheetId="0" hidden="1">{"'Sheet1'!$L$16"}</definedName>
    <definedName name="mo" hidden="1">{"'Sheet1'!$L$16"}</definedName>
    <definedName name="moi" localSheetId="10" hidden="1">{"'Sheet1'!$L$16"}</definedName>
    <definedName name="moi" localSheetId="0" hidden="1">{"'Sheet1'!$L$16"}</definedName>
    <definedName name="moi" hidden="1">{"'Sheet1'!$L$16"}</definedName>
    <definedName name="MSSS" localSheetId="0" hidden="1">{#N/A,#N/A,TRUE,"Basic";#N/A,#N/A,TRUE,"EXT-TABLE";#N/A,#N/A,TRUE,"STEEL";#N/A,#N/A,TRUE,"INT-Table";#N/A,#N/A,TRUE,"STEEL";#N/A,#N/A,TRUE,"Door"}</definedName>
    <definedName name="MSSS" hidden="1">{#N/A,#N/A,TRUE,"Basic";#N/A,#N/A,TRUE,"EXT-TABLE";#N/A,#N/A,TRUE,"STEEL";#N/A,#N/A,TRUE,"INT-Table";#N/A,#N/A,TRUE,"STEEL";#N/A,#N/A,TRUE,"Door"}</definedName>
    <definedName name="MV" localSheetId="0" hidden="1">{#N/A,#N/A,FALSE,"Sheet1";#N/A,#N/A,FALSE,"Sheet3";#N/A,#N/A,FALSE,"Sheet5"}</definedName>
    <definedName name="MV" hidden="1">{#N/A,#N/A,FALSE,"Sheet1";#N/A,#N/A,FALSE,"Sheet3";#N/A,#N/A,FALSE,"Sheet5"}</definedName>
    <definedName name="mvac" localSheetId="0" hidden="1">{"'Sheet1'!$L$16"}</definedName>
    <definedName name="mvac" hidden="1">{"'Sheet1'!$L$16"}</definedName>
    <definedName name="mvbbbvbbc" localSheetId="0" hidden="1">#REF!</definedName>
    <definedName name="mvbbbvbbc" hidden="1">#REF!</definedName>
    <definedName name="mvbvmv" localSheetId="0" hidden="1">#REF!</definedName>
    <definedName name="mvbvmv" hidden="1">#REF!</definedName>
    <definedName name="mvmmv" localSheetId="0" hidden="1">#REF!</definedName>
    <definedName name="mvmmv" hidden="1">#REF!</definedName>
    <definedName name="mxbmmxm" localSheetId="0" hidden="1">#REF!</definedName>
    <definedName name="mxbmmxm" hidden="1">#REF!</definedName>
    <definedName name="mxbmvxb" localSheetId="0" hidden="1">#REF!</definedName>
    <definedName name="mxbmvxb" hidden="1">#REF!</definedName>
    <definedName name="mxbmxxxxxxxx" localSheetId="0" hidden="1">#REF!</definedName>
    <definedName name="mxbmxxxxxxxx" hidden="1">#REF!</definedName>
    <definedName name="mxbvxxx" localSheetId="0" hidden="1">#REF!</definedName>
    <definedName name="mxbvxxx" hidden="1">#REF!</definedName>
    <definedName name="mxmbbbbbxmbx" localSheetId="0" hidden="1">#REF!</definedName>
    <definedName name="mxmbbbbbxmbx" hidden="1">#REF!</definedName>
    <definedName name="mxmbx" localSheetId="0" hidden="1">#REF!</definedName>
    <definedName name="mxmbx" hidden="1">#REF!</definedName>
    <definedName name="mxmbxmx" localSheetId="0" hidden="1">#REF!</definedName>
    <definedName name="mxmbxmx" hidden="1">#REF!</definedName>
    <definedName name="mxmmm" localSheetId="0" hidden="1">#REF!</definedName>
    <definedName name="mxmmm" hidden="1">#REF!</definedName>
    <definedName name="mxmxb" localSheetId="0" hidden="1">#REF!</definedName>
    <definedName name="mxmxb" hidden="1">#REF!</definedName>
    <definedName name="n" localSheetId="10" hidden="1">#REF!</definedName>
    <definedName name="n" hidden="1">#REF!</definedName>
    <definedName name="na" localSheetId="0" hidden="1">{"'Sheet1'!$L$16"}</definedName>
    <definedName name="na" hidden="1">{"'Sheet1'!$L$16"}</definedName>
    <definedName name="nam" localSheetId="0" hidden="1">{"'Sheet1'!$L$16"}</definedName>
    <definedName name="nam" hidden="1">{"'Sheet1'!$L$16"}</definedName>
    <definedName name="name_one" localSheetId="0" hidden="1">#REF!</definedName>
    <definedName name="name_one" hidden="1">#REF!</definedName>
    <definedName name="name_two" localSheetId="0" hidden="1">#REF!</definedName>
    <definedName name="name_two" hidden="1">#REF!</definedName>
    <definedName name="name_three" localSheetId="0" hidden="1">#REF!</definedName>
    <definedName name="name_three" hidden="1">#REF!</definedName>
    <definedName name="nbbbbnnbbv" localSheetId="0" hidden="1">#REF!</definedName>
    <definedName name="nbbbbnnbbv" hidden="1">#REF!</definedName>
    <definedName name="nbbbnb" localSheetId="0" hidden="1">#REF!</definedName>
    <definedName name="nbbbnb" hidden="1">#REF!</definedName>
    <definedName name="nbbvbnmnvb" localSheetId="0" hidden="1">#REF!</definedName>
    <definedName name="nbbvbnmnvb" hidden="1">#REF!</definedName>
    <definedName name="nbc" localSheetId="0" hidden="1">{"'Sheet1'!$L$16"}</definedName>
    <definedName name="nbc" hidden="1">{"'Sheet1'!$L$16"}</definedName>
    <definedName name="nbmmnb" localSheetId="0" hidden="1">#REF!</definedName>
    <definedName name="nbmmnb" hidden="1">#REF!</definedName>
    <definedName name="nbnnvbvvb" localSheetId="0" hidden="1">#REF!</definedName>
    <definedName name="nbnnvbvvb" hidden="1">#REF!</definedName>
    <definedName name="nbvbbvv" localSheetId="0" hidden="1">#REF!</definedName>
    <definedName name="nbvbbvv" hidden="1">#REF!</definedName>
    <definedName name="nbvvbbnbv" localSheetId="0" hidden="1">#REF!</definedName>
    <definedName name="nbvvbbnbv" hidden="1">#REF!</definedName>
    <definedName name="nccvvnvvv" localSheetId="0" hidden="1">#REF!</definedName>
    <definedName name="nccvvnvvv" hidden="1">#REF!</definedName>
    <definedName name="nccvvvc" localSheetId="0" hidden="1">#REF!</definedName>
    <definedName name="nccvvvc" hidden="1">#REF!</definedName>
    <definedName name="ncnvbc" localSheetId="0" hidden="1">#REF!</definedName>
    <definedName name="ncnvbc" hidden="1">#REF!</definedName>
    <definedName name="ncvncn" localSheetId="0" hidden="1">#REF!</definedName>
    <definedName name="ncvncn" hidden="1">#REF!</definedName>
    <definedName name="ncvvnc" localSheetId="0" hidden="1">#REF!</definedName>
    <definedName name="ncvvnc" hidden="1">#REF!</definedName>
    <definedName name="ncvvncv" localSheetId="0" hidden="1">#REF!</definedName>
    <definedName name="ncvvncv" hidden="1">#REF!</definedName>
    <definedName name="ncvvvn" localSheetId="0" hidden="1">#REF!</definedName>
    <definedName name="ncvvvn" hidden="1">#REF!</definedName>
    <definedName name="Ne" localSheetId="0" hidden="1">{"'Sheet1'!$L$16"}</definedName>
    <definedName name="Ne"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pcua" hidden="1">{#N/A,#N/A,FALSE,"Chi tiÆt"}</definedName>
    <definedName name="ner" localSheetId="0" hidden="1">{"'Sheet1'!$L$16"}</definedName>
    <definedName name="ner" hidden="1">{"'Sheet1'!$L$16"}</definedName>
    <definedName name="NEW" localSheetId="0" hidden="1">{#N/A,#N/A,FALSE,"Chi tiÆt"}</definedName>
    <definedName name="NEW" hidden="1">{#N/A,#N/A,FALSE,"Chi tiÆt"}</definedName>
    <definedName name="NEWNAME" localSheetId="10" hidden="1">{#N/A,#N/A,FALSE,"CCTV"}</definedName>
    <definedName name="NEWNAME" localSheetId="0" hidden="1">{#N/A,#N/A,FALSE,"CCTV"}</definedName>
    <definedName name="NEWNAME" hidden="1">{#N/A,#N/A,FALSE,"CCTV"}</definedName>
    <definedName name="NFG" localSheetId="0" hidden="1">{#N/A,#N/A,FALSE,"배수2"}</definedName>
    <definedName name="NFG" hidden="1">{#N/A,#N/A,FALSE,"배수2"}</definedName>
    <definedName name="NFYJD" localSheetId="0" hidden="1">{#N/A,#N/A,FALSE,"토공2"}</definedName>
    <definedName name="NFYJD" hidden="1">{#N/A,#N/A,FALSE,"토공2"}</definedName>
    <definedName name="nkknk" localSheetId="0" hidden="1">{#N/A,#N/A,FALSE,"CCTV"}</definedName>
    <definedName name="nkknk" hidden="1">{#N/A,#N/A,FALSE,"CCTV"}</definedName>
    <definedName name="nmb" localSheetId="0" hidden="1">#REF!</definedName>
    <definedName name="nmb" hidden="1">#REF!</definedName>
    <definedName name="nmbmbm" localSheetId="0" hidden="1">#REF!</definedName>
    <definedName name="nmbmbm" hidden="1">#REF!</definedName>
    <definedName name="nmhjjj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nbnvv" localSheetId="0" hidden="1">#REF!</definedName>
    <definedName name="nnbnvv" hidden="1">#REF!</definedName>
    <definedName name="nnbvbnnv" localSheetId="0" hidden="1">#REF!</definedName>
    <definedName name="nnbvbnnv" hidden="1">#REF!</definedName>
    <definedName name="NNN" localSheetId="0" hidden="1">{#N/A,#N/A,FALSE,"BN (2)"}</definedName>
    <definedName name="NNN" hidden="1">{#N/A,#N/A,FALSE,"BN (2)"}</definedName>
    <definedName name="nnnbvbnv" localSheetId="0" hidden="1">#REF!</definedName>
    <definedName name="nnnbvbnv" hidden="1">#REF!</definedName>
    <definedName name="nnncnc" localSheetId="0" hidden="1">#REF!</definedName>
    <definedName name="nnncnc" hidden="1">#REF!</definedName>
    <definedName name="nnnn" localSheetId="0" hidden="1">#REF!</definedName>
    <definedName name="nnnn" hidden="1">#REF!</definedName>
    <definedName name="nnnnn" localSheetId="0" hidden="1">{"'Sheet1'!$L$16"}</definedName>
    <definedName name="nnnnn" hidden="1">{"'Sheet1'!$L$16"}</definedName>
    <definedName name="nnnvcvnvcc" localSheetId="0" hidden="1">#REF!</definedName>
    <definedName name="nnnvcvnvcc" hidden="1">#REF!</definedName>
    <definedName name="nnnvcvv" localSheetId="0" hidden="1">#REF!</definedName>
    <definedName name="nnnvcvv" hidden="1">#REF!</definedName>
    <definedName name="NO" localSheetId="0" hidden="1">#REF!</definedName>
    <definedName name="NO" hidden="1">#REF!</definedName>
    <definedName name="No.10" localSheetId="0" hidden="1">{"'Sheet1'!$L$16"}</definedName>
    <definedName name="No.10" hidden="1">{"'Sheet1'!$L$16"}</definedName>
    <definedName name="No.9" localSheetId="0" hidden="1">{"'Sheet1'!$L$16"}</definedName>
    <definedName name="No.9" hidden="1">{"'Sheet1'!$L$16"}</definedName>
    <definedName name="note1" localSheetId="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RNCG" localSheetId="0" hidden="1">{#N/A,#N/A,FALSE,"2~8번"}</definedName>
    <definedName name="NRNCG" hidden="1">{#N/A,#N/A,FALSE,"2~8번"}</definedName>
    <definedName name="NSC" localSheetId="0" hidden="1">{#N/A,#N/A,TRUE,"ERECTION";#N/A,#N/A,TRUE,"A";#N/A,#N/A,TRUE,"B";#N/A,#N/A,TRUE,"C";#N/A,#N/A,TRUE,"D";#N/A,#N/A,TRUE,"E";#N/A,#N/A,TRUE,"F";#N/A,#N/A,TRUE,"G";#N/A,#N/A,TRUE,"H";#N/A,#N/A,TRUE,"I";#N/A,#N/A,TRUE,"J";#N/A,#N/A,TRUE,"K";#N/A,#N/A,TRUE,"L";#N/A,#N/A,TRUE,"M";#N/A,#N/A,TRUE,"N"}</definedName>
    <definedName name="NSC" hidden="1">{#N/A,#N/A,TRUE,"ERECTION";#N/A,#N/A,TRUE,"A";#N/A,#N/A,TRUE,"B";#N/A,#N/A,TRUE,"C";#N/A,#N/A,TRUE,"D";#N/A,#N/A,TRUE,"E";#N/A,#N/A,TRUE,"F";#N/A,#N/A,TRUE,"G";#N/A,#N/A,TRUE,"H";#N/A,#N/A,TRUE,"I";#N/A,#N/A,TRUE,"J";#N/A,#N/A,TRUE,"K";#N/A,#N/A,TRUE,"L";#N/A,#N/A,TRUE,"M";#N/A,#N/A,TRUE,"N"}</definedName>
    <definedName name="nttn" localSheetId="0" hidden="1">{"'Sheet1'!$L$16"}</definedName>
    <definedName name="nttn" hidden="1">{"'Sheet1'!$L$16"}</definedName>
    <definedName name="ntwrt" localSheetId="0" hidden="1">#REF!</definedName>
    <definedName name="ntwrt" hidden="1">#REF!</definedName>
    <definedName name="NTRD" localSheetId="0" hidden="1">{#N/A,#N/A,FALSE,"배수1"}</definedName>
    <definedName name="NTRD" hidden="1">{#N/A,#N/A,FALSE,"배수1"}</definedName>
    <definedName name="NUF" localSheetId="0" hidden="1">{#N/A,#N/A,FALSE,"운반시간"}</definedName>
    <definedName name="NUF" hidden="1">{#N/A,#N/A,FALSE,"운반시간"}</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nvbbn" localSheetId="0" hidden="1">#REF!</definedName>
    <definedName name="nvbbn" hidden="1">#REF!</definedName>
    <definedName name="nvbnnbvbn" localSheetId="0" hidden="1">#REF!</definedName>
    <definedName name="nvbnnbvbn" hidden="1">#REF!</definedName>
    <definedName name="nvbvbn" localSheetId="0" hidden="1">#REF!</definedName>
    <definedName name="nvbvbn" hidden="1">#REF!</definedName>
    <definedName name="nvbvbnbv" localSheetId="0" hidden="1">#REF!</definedName>
    <definedName name="nvbvbnbv" hidden="1">#REF!</definedName>
    <definedName name="nvcnccv" localSheetId="0" hidden="1">#REF!</definedName>
    <definedName name="nvcnccv" hidden="1">#REF!</definedName>
    <definedName name="nvcvbvcn" localSheetId="0" hidden="1">#REF!</definedName>
    <definedName name="nvcvbvcn" hidden="1">#REF!</definedName>
    <definedName name="nvnn" localSheetId="0" hidden="1">#REF!</definedName>
    <definedName name="nvnn" hidden="1">#REF!</definedName>
    <definedName name="nvnncncc" localSheetId="0" hidden="1">#REF!</definedName>
    <definedName name="nvnncncc" hidden="1">#REF!</definedName>
    <definedName name="nvnvb" localSheetId="0" hidden="1">#REF!</definedName>
    <definedName name="nvnvb" hidden="1">#REF!</definedName>
    <definedName name="NYDDFG" localSheetId="0" hidden="1">{#N/A,#N/A,FALSE,"조골재"}</definedName>
    <definedName name="NYDDFG" hidden="1">{#N/A,#N/A,FALSE,"조골재"}</definedName>
    <definedName name="NYDTDS" localSheetId="0" hidden="1">{#N/A,#N/A,FALSE,"구조2"}</definedName>
    <definedName name="NYDTDS" hidden="1">{#N/A,#N/A,FALSE,"구조2"}</definedName>
    <definedName name="NYFD" localSheetId="0" hidden="1">{#N/A,#N/A,FALSE,"골재소요량";#N/A,#N/A,FALSE,"골재소요량"}</definedName>
    <definedName name="NYFD" hidden="1">{#N/A,#N/A,FALSE,"골재소요량";#N/A,#N/A,FALSE,"골재소요량"}</definedName>
    <definedName name="nymyuu" localSheetId="0" hidden="1">#REF!</definedName>
    <definedName name="nymyuu" hidden="1">#REF!</definedName>
    <definedName name="NYTDY" localSheetId="0" hidden="1">{#N/A,#N/A,FALSE,"단가표지"}</definedName>
    <definedName name="NYTDY" hidden="1">{#N/A,#N/A,FALSE,"단가표지"}</definedName>
    <definedName name="NYTND" localSheetId="0" hidden="1">{#N/A,#N/A,FALSE,"구조1"}</definedName>
    <definedName name="NYTND" hidden="1">{#N/A,#N/A,FALSE,"구조1"}</definedName>
    <definedName name="ng" localSheetId="0" hidden="1">{"'Sheet1'!$L$16"}</definedName>
    <definedName name="ng" hidden="1">{"'Sheet1'!$L$16"}</definedName>
    <definedName name="NGE" localSheetId="0" hidden="1">{#N/A,#N/A,FALSE,"혼합골재"}</definedName>
    <definedName name="NGE" hidden="1">{#N/A,#N/A,FALSE,"혼합골재"}</definedName>
    <definedName name="NGFDFNS" localSheetId="0" hidden="1">{#N/A,#N/A,FALSE,"부대1"}</definedName>
    <definedName name="NGFDFNS" hidden="1">{#N/A,#N/A,FALSE,"부대1"}</definedName>
    <definedName name="ngfmg" localSheetId="0" hidden="1">{#N/A,#N/A,FALSE,"Chi tiÆt"}</definedName>
    <definedName name="ngfmg" hidden="1">{#N/A,#N/A,FALSE,"Chi tiÆt"}</definedName>
    <definedName name="nghgh" localSheetId="0" hidden="1">{"'Sheet1'!$L$16"}</definedName>
    <definedName name="nghgh" hidden="1">{"'Sheet1'!$L$16"}</definedName>
    <definedName name="ngljlj" localSheetId="0" hidden="1">{"'Sheet1'!$L$16"}</definedName>
    <definedName name="ngljlj" hidden="1">{"'Sheet1'!$L$16"}</definedName>
    <definedName name="ngo" localSheetId="0" hidden="1">#REF!</definedName>
    <definedName name="ngo" hidden="1">#REF!</definedName>
    <definedName name="ngu" localSheetId="0" hidden="1">{"'Sheet1'!$L$16"}</definedName>
    <definedName name="ngu" hidden="1">{"'Sheet1'!$L$16"}</definedName>
    <definedName name="NguyenDiep" localSheetId="0" hidden="1">{"'Sheet1'!$L$16"}</definedName>
    <definedName name="NguyenDiep" hidden="1">{"'Sheet1'!$L$16"}</definedName>
    <definedName name="nguyennha" localSheetId="0" hidden="1">{"'Sheet1'!$L$16"}</definedName>
    <definedName name="nguyennha" hidden="1">{"'Sheet1'!$L$16"}</definedName>
    <definedName name="nguyet" localSheetId="0" hidden="1">{"'Sheet1'!$L$16"}</definedName>
    <definedName name="nguyet" hidden="1">{"'Sheet1'!$L$16"}</definedName>
    <definedName name="nham" localSheetId="0" hidden="1">{0,#VALUE!,0,0;0,#VALUE!,0,#VALUE!;0,0,0,0;#NULL!,0,0,0;0,0,TRUE,0;0,#N/A,FALSE,0;0,#N/A,FALSE,0}</definedName>
    <definedName name="nham" hidden="1">{0,#VALUE!,0,0;0,#VALUE!,0,#VALUE!;0,0,0,0;#NULL!,0,0,0;0,0,TRUE,0;0,#N/A,FALSE,0;0,#N/A,FALSE,0}</definedName>
    <definedName name="nhanuoc" localSheetId="0" hidden="1">{"'Sheet1'!$L$16"}</definedName>
    <definedName name="nhanuoc" hidden="1">{"'Sheet1'!$L$16"}</definedName>
    <definedName name="NHAP5P" localSheetId="0" hidden="1">{"'Sheet1'!$L$16"}</definedName>
    <definedName name="NHAP5P" hidden="1">{"'Sheet1'!$L$16"}</definedName>
    <definedName name="nharac" localSheetId="0" hidden="1">{#N/A,#N/A,FALSE,"Chi tiÆt"}</definedName>
    <definedName name="nharac" hidden="1">{#N/A,#N/A,FALSE,"Chi tiÆt"}</definedName>
    <definedName name="Nhiem" localSheetId="0" hidden="1">{"'Sheet1'!$L$16"}</definedName>
    <definedName name="Nhiem" hidden="1">{"'Sheet1'!$L$16"}</definedName>
    <definedName name="nhjf" localSheetId="0" hidden="1">#REF!</definedName>
    <definedName name="nhjf" hidden="1">#REF!</definedName>
    <definedName name="nhjhy" localSheetId="0" hidden="1">#REF!</definedName>
    <definedName name="nhjhy" hidden="1">#REF!</definedName>
    <definedName name="nhjyeru" localSheetId="0" hidden="1">{"'Sheet1'!$L$16"}</definedName>
    <definedName name="nhjyeru" hidden="1">{"'Sheet1'!$L$16"}</definedName>
    <definedName name="nhndgndg" localSheetId="0" hidden="1">#REF!</definedName>
    <definedName name="nhndgndg" hidden="1">#REF!</definedName>
    <definedName name="nhug" localSheetId="0" hidden="1">{"một";"hai";"ba";"bốn";"năm";"sáu";"bảy";"tám";"chín";"mười";"mươi";"mốt";"lăm";"trăm";"nghìn";"triệu";"tỷ";"lẻ";"không trăm";"Bằng chử : "}</definedName>
    <definedName name="nhug" hidden="1">{"một";"hai";"ba";"bốn";"năm";"sáu";"bảy";"tám";"chín";"mười";"mươi";"mốt";"lăm";"trăm";"nghìn";"triệu";"tỷ";"lẻ";"không trăm";"Bằng chử : "}</definedName>
    <definedName name="NHUNG" localSheetId="0" hidden="1">zIsDgiaCTiet_Gia.VTu*2+3</definedName>
    <definedName name="NHUNG" hidden="1">zIsDgiaCTiet_Gia.VTu*2+3</definedName>
    <definedName name="oa" localSheetId="10" hidden="1">#REF!</definedName>
    <definedName name="oa" hidden="1">#REF!</definedName>
    <definedName name="õadfgdfgdf" localSheetId="0" hidden="1">{"'Sheet1'!$L$16"}</definedName>
    <definedName name="õadfgdfgdf" hidden="1">{"'Sheet1'!$L$16"}</definedName>
    <definedName name="oanh" localSheetId="0" hidden="1">{"'Sheet1'!$L$16"}</definedName>
    <definedName name="oanh" hidden="1">{"'Sheet1'!$L$16"}</definedName>
    <definedName name="OC" localSheetId="0" hidden="1">{"'Sheet1'!$L$16"}</definedName>
    <definedName name="OC" hidden="1">{"'Sheet1'!$L$16"}</definedName>
    <definedName name="ocf" localSheetId="0" hidden="1">#REF!</definedName>
    <definedName name="ocf" hidden="1">#REF!</definedName>
    <definedName name="ODH" localSheetId="0" hidden="1">#REF!</definedName>
    <definedName name="ODH" hidden="1">#REF!</definedName>
    <definedName name="office" localSheetId="0" hidden="1">{"'Sheet1'!$L$16"}</definedName>
    <definedName name="office" hidden="1">{"'Sheet1'!$L$16"}</definedName>
    <definedName name="OIJYED" localSheetId="0" hidden="1">{"'Sheet1'!$L$16"}</definedName>
    <definedName name="OIJYED" hidden="1">{"'Sheet1'!$L$16"}</definedName>
    <definedName name="OIL" localSheetId="0" hidden="1">{"'용역비'!$A$4:$C$8"}</definedName>
    <definedName name="OIL" hidden="1">{"'용역비'!$A$4:$C$8"}</definedName>
    <definedName name="oililui" localSheetId="0" hidden="1">{#N/A,#N/A,FALSE,"CCTV"}</definedName>
    <definedName name="oililui" hidden="1">{#N/A,#N/A,FALSE,"CCTV"}</definedName>
    <definedName name="oiuy" localSheetId="0" hidden="1">{#N/A,#N/A,FALSE,"Chi tiÆt"}</definedName>
    <definedName name="oiuy" hidden="1">{#N/A,#N/A,FALSE,"Chi tiÆt"}</definedName>
    <definedName name="ok" localSheetId="0" hidden="1">{"'Liquid'!$A$1:$U$57"}</definedName>
    <definedName name="ok" hidden="1">{"'Liquid'!$A$1:$U$57"}</definedName>
    <definedName name="okay" localSheetId="0" hidden="1">{#N/A,#N/A,FALSE,"mgtsum.XLS";#N/A,#N/A,FALSE,"CAPONE";#N/A,#N/A,FALSE,"CAPTWO";#N/A,#N/A,FALSE,"CAPTHREE"}</definedName>
    <definedName name="okay" hidden="1">{#N/A,#N/A,FALSE,"mgtsum.XLS";#N/A,#N/A,FALSE,"CAPONE";#N/A,#N/A,FALSE,"CAPTWO";#N/A,#N/A,FALSE,"CAPTHREE"}</definedName>
    <definedName name="old" localSheetId="0" hidden="1">{"'ELEC'!$A$2:$H$216","'ELEC'!$C$2:$D$2"}</definedName>
    <definedName name="old" hidden="1">{"'ELEC'!$A$2:$H$216","'ELEC'!$C$2:$D$2"}</definedName>
    <definedName name="olk" localSheetId="0" hidden="1">{#N/A,#N/A,FALSE,"特殊室（ＢＱ表）"}</definedName>
    <definedName name="olk" hidden="1">{#N/A,#N/A,FALSE,"特殊室（ＢＱ表）"}</definedName>
    <definedName name="ONP" localSheetId="0" hidden="1">#REF!</definedName>
    <definedName name="ONP" hidden="1">#REF!</definedName>
    <definedName name="ong" localSheetId="0" hidden="1">#REF!</definedName>
    <definedName name="ong" hidden="1">#REF!</definedName>
    <definedName name="oo" localSheetId="0" hidden="1">{"'Liquid'!$A$1:$U$57"}</definedName>
    <definedName name="oo" hidden="1">{"'Liquid'!$A$1:$U$57"}</definedName>
    <definedName name="ooi" localSheetId="0" hidden="1">#REF!</definedName>
    <definedName name="ooi" hidden="1">#REF!</definedName>
    <definedName name="ooop" localSheetId="0" hidden="1">#REF!</definedName>
    <definedName name="ooop" hidden="1">#REF!</definedName>
    <definedName name="oouoppu" localSheetId="0" hidden="1">#REF!</definedName>
    <definedName name="oouoppu" hidden="1">#REF!</definedName>
    <definedName name="opiuy" localSheetId="0" hidden="1">{"'Sheet1'!$L$16"}</definedName>
    <definedName name="opiuy" hidden="1">{"'Sheet1'!$L$16"}</definedName>
    <definedName name="opo" localSheetId="0" hidden="1">{#N/A,#N/A,FALSE,"지침";#N/A,#N/A,FALSE,"환경분석";#N/A,#N/A,FALSE,"Sheet16"}</definedName>
    <definedName name="opo" hidden="1">{#N/A,#N/A,FALSE,"지침";#N/A,#N/A,FALSE,"환경분석";#N/A,#N/A,FALSE,"Sheet16"}</definedName>
    <definedName name="Option" localSheetId="0" hidden="1">{"'Sheet1'!$L$16"}</definedName>
    <definedName name="Option" hidden="1">{"'Sheet1'!$L$16"}</definedName>
    <definedName name="order2" hidden="1">0</definedName>
    <definedName name="OrderTable" localSheetId="10" hidden="1">#REF!</definedName>
    <definedName name="OrderTable" hidden="1">#REF!</definedName>
    <definedName name="os" localSheetId="0" hidden="1">{#N/A,#N/A,FALSE,"TABLE"}</definedName>
    <definedName name="os" hidden="1">{#N/A,#N/A,FALSE,"TABLE"}</definedName>
    <definedName name="OSBL" localSheetId="0" hidden="1">{#N/A,#N/A,FALSE,"CCTV"}</definedName>
    <definedName name="OSBL" hidden="1">{#N/A,#N/A,FALSE,"CCTV"}</definedName>
    <definedName name="ouioyoigoigyiyugi" localSheetId="0" hidden="1">#REF!</definedName>
    <definedName name="ouioyoigoigyiyugi" hidden="1">#REF!</definedName>
    <definedName name="ououiu" localSheetId="0" hidden="1">#REF!</definedName>
    <definedName name="ououiu" hidden="1">#REF!</definedName>
    <definedName name="ôclsaclnmc" localSheetId="0" hidden="1">{"'Sheet1'!$L$16"}</definedName>
    <definedName name="ôclsaclnmc" hidden="1">{"'Sheet1'!$L$16"}</definedName>
    <definedName name="Ống" localSheetId="0" hidden="1">#REF!</definedName>
    <definedName name="Ống" hidden="1">#REF!</definedName>
    <definedName name="ｐｐｐｐ" localSheetId="0" hidden="1">{"'Sheet1'!$L$16"}</definedName>
    <definedName name="ｐｐｐｐ" hidden="1">{"'Sheet1'!$L$16"}</definedName>
    <definedName name="p" localSheetId="0" hidden="1">{"'Sheet1'!$L$16"}</definedName>
    <definedName name="p" hidden="1">{"'Sheet1'!$L$16"}</definedName>
    <definedName name="PAIII_" localSheetId="0" hidden="1">{"'Sheet1'!$L$16"}</definedName>
    <definedName name="PAIII_" hidden="1">{"'Sheet1'!$L$16"}</definedName>
    <definedName name="Panel" localSheetId="0" hidden="1">{#N/A,#N/A,TRUE,"SUM";#N/A,#N/A,TRUE,"EE";#N/A,#N/A,TRUE,"AC";#N/A,#N/A,TRUE,"SN"}</definedName>
    <definedName name="Panel"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ddo" localSheetId="0" hidden="1">#REF!</definedName>
    <definedName name="pddo" hidden="1">#REF!</definedName>
    <definedName name="peroxide" localSheetId="0" hidden="1">{#N/A,#N/A,FALSE,"CCTV"}</definedName>
    <definedName name="peroxide" hidden="1">{#N/A,#N/A,FALSE,"CCTV"}</definedName>
    <definedName name="petro2" localSheetId="0" hidden="1">#REF!</definedName>
    <definedName name="petro2" hidden="1">#REF!</definedName>
    <definedName name="pgq" localSheetId="0" hidden="1">#REF!</definedName>
    <definedName name="pgq" hidden="1">#REF!</definedName>
    <definedName name="PGV" localSheetId="0" hidden="1">#REF!</definedName>
    <definedName name="PGV" hidden="1">#REF!</definedName>
    <definedName name="piiiil" localSheetId="0" hidden="1">#REF!</definedName>
    <definedName name="piiiil" hidden="1">#REF!</definedName>
    <definedName name="Pipe" localSheetId="0" hidden="1">{#N/A,#N/A,FALSE,"CCTV"}</definedName>
    <definedName name="Pipe" hidden="1">{#N/A,#N/A,FALSE,"CCTV"}</definedName>
    <definedName name="pjkljlkjkl" localSheetId="0" hidden="1">#REF!</definedName>
    <definedName name="pjkljlkjkl" hidden="1">#REF!</definedName>
    <definedName name="PKTN." localSheetId="0" hidden="1">{"'Sheet1'!$L$16"}</definedName>
    <definedName name="PKTN." hidden="1">{"'Sheet1'!$L$16"}</definedName>
    <definedName name="PLK" localSheetId="0" hidden="1">{#N/A,#N/A,FALSE,"CCTV"}</definedName>
    <definedName name="PLK" hidden="1">{#N/A,#N/A,FALSE,"CCTV"}</definedName>
    <definedName name="PlucBcaoTD" localSheetId="0" hidden="1">{"'Sheet1'!$L$16"}</definedName>
    <definedName name="PlucBcaoTD" hidden="1">{"'Sheet1'!$L$16"}</definedName>
    <definedName name="PMS" localSheetId="0" hidden="1">{"'Sheet1'!$L$16"}</definedName>
    <definedName name="PMS" hidden="1">{"'Sheet1'!$L$16"}</definedName>
    <definedName name="podium" localSheetId="0" hidden="1">#REF!</definedName>
    <definedName name="podium" hidden="1">#REF!</definedName>
    <definedName name="POI" localSheetId="0" hidden="1">{#N/A,#N/A,FALSE,"전력간선"}</definedName>
    <definedName name="POI" hidden="1">{#N/A,#N/A,FALSE,"전력간선"}</definedName>
    <definedName name="pol" localSheetId="0" hidden="1">{#N/A,#N/A,FALSE,"Chi tiÆt"}</definedName>
    <definedName name="pol" hidden="1">{#N/A,#N/A,FALSE,"Chi tiÆt"}</definedName>
    <definedName name="pope" localSheetId="0" hidden="1">{"'Sheet1'!$L$16"}</definedName>
    <definedName name="pope" hidden="1">{"'Sheet1'!$L$16"}</definedName>
    <definedName name="Port1" localSheetId="10" hidden="1">{#N/A,#N/A,FALSE,"特殊室（ＢＱ表）"}</definedName>
    <definedName name="Port1" localSheetId="0" hidden="1">{#N/A,#N/A,FALSE,"特殊室（ＢＱ表）"}</definedName>
    <definedName name="Port1" hidden="1">{#N/A,#N/A,FALSE,"特殊室（ＢＱ表）"}</definedName>
    <definedName name="port11" localSheetId="10" hidden="1">{#N/A,#N/A,FALSE,"特殊室（ＢＱ表）"}</definedName>
    <definedName name="port11" localSheetId="0" hidden="1">{#N/A,#N/A,FALSE,"特殊室（ＢＱ表）"}</definedName>
    <definedName name="port11" hidden="1">{#N/A,#N/A,FALSE,"特殊室（ＢＱ表）"}</definedName>
    <definedName name="port2" localSheetId="0" hidden="1">{#N/A,#N/A,FALSE,"特殊室（ＢＱ表）"}</definedName>
    <definedName name="port2" hidden="1">{#N/A,#N/A,FALSE,"特殊室（ＢＱ表）"}</definedName>
    <definedName name="pp" localSheetId="0" hidden="1">{#N/A,#N/A,FALSE,"OUTPUT SHEET "}</definedName>
    <definedName name="pp" hidden="1">{#N/A,#N/A,FALSE,"OUTPUT SHEET "}</definedName>
    <definedName name="PPPP" localSheetId="0" hidden="1">{"'Sheet1'!$L$16"}</definedName>
    <definedName name="PPPP" hidden="1">{"'Sheet1'!$L$16"}</definedName>
    <definedName name="ppyy" localSheetId="0" hidden="1">#REF!</definedName>
    <definedName name="ppyy" hidden="1">#REF!</definedName>
    <definedName name="PRAYER" localSheetId="0" hidden="1">{#N/A,#N/A,FALSE,"CCTV"}</definedName>
    <definedName name="PRAYER" hidden="1">{#N/A,#N/A,FALSE,"CCTV"}</definedName>
    <definedName name="pri" localSheetId="0" hidden="1">{#N/A,#N/A,TRUE,"Str.";#N/A,#N/A,TRUE,"Steel &amp; Roof";#N/A,#N/A,TRUE,"Arc.";#N/A,#N/A,TRUE,"Preliminary";#N/A,#N/A,TRUE,"Sum_Prelim"}</definedName>
    <definedName name="pri" hidden="1">{#N/A,#N/A,TRUE,"Str.";#N/A,#N/A,TRUE,"Steel &amp; Roof";#N/A,#N/A,TRUE,"Arc.";#N/A,#N/A,TRUE,"Preliminary";#N/A,#N/A,TRUE,"Sum_Prelim"}</definedName>
    <definedName name="print" localSheetId="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odForm" localSheetId="10" hidden="1">#REF!</definedName>
    <definedName name="ProdForm" hidden="1">#REF!</definedName>
    <definedName name="Product" localSheetId="10" hidden="1">#REF!</definedName>
    <definedName name="Product" hidden="1">#REF!</definedName>
    <definedName name="PRODUCTION" localSheetId="0" hidden="1">{"'Sheet1'!$L$16"}</definedName>
    <definedName name="PRODUCTION" hidden="1">{"'Sheet1'!$L$16"}</definedName>
    <definedName name="pst" localSheetId="0" hidden="1">{"'Sheet1'!$L$16"}</definedName>
    <definedName name="pst" hidden="1">{"'Sheet1'!$L$16"}</definedName>
    <definedName name="ptdm1" localSheetId="0" hidden="1">{#N/A,#N/A,FALSE,"CCTV"}</definedName>
    <definedName name="ptdm1" hidden="1">{#N/A,#N/A,FALSE,"CCTV"}</definedName>
    <definedName name="ptich3" localSheetId="0" hidden="1">{"'Sheet1'!$L$16"}</definedName>
    <definedName name="ptich3" hidden="1">{"'Sheet1'!$L$16"}</definedName>
    <definedName name="pthu" localSheetId="0" hidden="1">{"'Sheet1'!$L$16"}</definedName>
    <definedName name="pthu" hidden="1">{"'Sheet1'!$L$16"}</definedName>
    <definedName name="PUBLIC" localSheetId="0" hidden="1">{"'Sheet1'!$L$16"}</definedName>
    <definedName name="PUBLIC" hidden="1">{"'Sheet1'!$L$16"}</definedName>
    <definedName name="PVC" localSheetId="0" hidden="1">{"'Sheet1'!$L$16"}</definedName>
    <definedName name="PVC" hidden="1">{"'Sheet1'!$L$16"}</definedName>
    <definedName name="pyyuoui" localSheetId="0" hidden="1">#REF!</definedName>
    <definedName name="pyyuoui" hidden="1">#REF!</definedName>
    <definedName name="phai" localSheetId="0" hidden="1">{"'Sheet1'!$L$16"}</definedName>
    <definedName name="phai" hidden="1">{"'Sheet1'!$L$16"}</definedName>
    <definedName name="PHAN" localSheetId="0" hidden="1">{#N/A,#N/A,FALSE,"CCTV"}</definedName>
    <definedName name="PHAN" hidden="1">{#N/A,#N/A,FALSE,"CCTV"}</definedName>
    <definedName name="phantich3" localSheetId="0" hidden="1">{"'Sheet1'!$L$16"}</definedName>
    <definedName name="phantich3" hidden="1">{"'Sheet1'!$L$16"}</definedName>
    <definedName name="PHASE" localSheetId="0" hidden="1">{#N/A,#N/A,TRUE,"Basic";#N/A,#N/A,TRUE,"EXT-TABLE";#N/A,#N/A,TRUE,"STEEL";#N/A,#N/A,TRUE,"INT-Table";#N/A,#N/A,TRUE,"STEEL";#N/A,#N/A,TRUE,"Door"}</definedName>
    <definedName name="PHASE" hidden="1">{#N/A,#N/A,TRUE,"Basic";#N/A,#N/A,TRUE,"EXT-TABLE";#N/A,#N/A,TRUE,"STEEL";#N/A,#N/A,TRUE,"INT-Table";#N/A,#N/A,TRUE,"STEEL";#N/A,#N/A,TRUE,"Door"}</definedName>
    <definedName name="PHAT" localSheetId="0" hidden="1">{#N/A,#N/A,FALSE,"CCTV"}</definedName>
    <definedName name="PHAT" hidden="1">{#N/A,#N/A,FALSE,"CCTV"}</definedName>
    <definedName name="phñto2" localSheetId="0" hidden="1">{"'Sheet1'!$L$16"}</definedName>
    <definedName name="phñto2" hidden="1">{"'Sheet1'!$L$16"}</definedName>
    <definedName name="phong" localSheetId="0" hidden="1">{"'Sheet1'!$L$16"}</definedName>
    <definedName name="phong" hidden="1">{"'Sheet1'!$L$16"}</definedName>
    <definedName name="PHOTO" localSheetId="10" hidden="1">#REF!</definedName>
    <definedName name="PHOTO" hidden="1">#REF!</definedName>
    <definedName name="Phuong" localSheetId="0" hidden="1">{"'Sheet1'!$L$16"}</definedName>
    <definedName name="Phuong" hidden="1">{"'Sheet1'!$L$16"}</definedName>
    <definedName name="Q_1" localSheetId="0" hidden="1">{#N/A,#N/A,TRUE,"Basic";#N/A,#N/A,TRUE,"EXT-TABLE";#N/A,#N/A,TRUE,"STEEL";#N/A,#N/A,TRUE,"INT-Table";#N/A,#N/A,TRUE,"STEEL";#N/A,#N/A,TRUE,"Door"}</definedName>
    <definedName name="Q_1" hidden="1">{#N/A,#N/A,TRUE,"Basic";#N/A,#N/A,TRUE,"EXT-TABLE";#N/A,#N/A,TRUE,"STEEL";#N/A,#N/A,TRUE,"INT-Table";#N/A,#N/A,TRUE,"STEEL";#N/A,#N/A,TRUE,"Door"}</definedName>
    <definedName name="q00" localSheetId="0" hidden="1">{#N/A,#N/A,FALSE,"운반시간"}</definedName>
    <definedName name="q00" hidden="1">{#N/A,#N/A,FALSE,"운반시간"}</definedName>
    <definedName name="q1wqw" localSheetId="0" hidden="1">#REF!</definedName>
    <definedName name="q1wqw" hidden="1">#REF!</definedName>
    <definedName name="q234562456" localSheetId="0" hidden="1">{"'용역비'!$A$4:$C$8"}</definedName>
    <definedName name="q234562456" hidden="1">{"'용역비'!$A$4:$C$8"}</definedName>
    <definedName name="Q3WEE" localSheetId="0" hidden="1">{#N/A,#N/A,FALSE,"조골재"}</definedName>
    <definedName name="Q3WEE" hidden="1">{#N/A,#N/A,FALSE,"조골재"}</definedName>
    <definedName name="Q3WEE_1" localSheetId="0" hidden="1">{#N/A,#N/A,FALSE,"조골재"}</definedName>
    <definedName name="Q3WEE_1" hidden="1">{#N/A,#N/A,FALSE,"조골재"}</definedName>
    <definedName name="qa" localSheetId="0" hidden="1">{"'Sheet1'!$L$16"}</definedName>
    <definedName name="qa" hidden="1">{"'Sheet1'!$L$16"}</definedName>
    <definedName name="QAAA" localSheetId="0" hidden="1">#REF!</definedName>
    <definedName name="QAAA" hidden="1">#REF!</definedName>
    <definedName name="qaaaaxz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localSheetId="0" hidden="1">{"'Sheet1'!$L$16"}</definedName>
    <definedName name="QADASD" hidden="1">{"'Sheet1'!$L$16"}</definedName>
    <definedName name="QAS" localSheetId="0" hidden="1">{#N/A,#N/A,FALSE,"Chi tiÆt"}</definedName>
    <definedName name="QAS" hidden="1">{#N/A,#N/A,FALSE,"Chi tiÆt"}</definedName>
    <definedName name="QAZ" localSheetId="0" hidden="1">{#N/A,#N/A,FALSE,"CCTV"}</definedName>
    <definedName name="QAZ" hidden="1">{#N/A,#N/A,FALSE,"CCTV"}</definedName>
    <definedName name="qd10_gt" localSheetId="0" hidden="1">{"'Sheet1'!$L$16"}</definedName>
    <definedName name="qd10_gt" hidden="1">{"'Sheet1'!$L$16"}</definedName>
    <definedName name="qd10_gt1" localSheetId="0" hidden="1">{"'Sheet1'!$L$16"}</definedName>
    <definedName name="qd10_gt1" hidden="1">{"'Sheet1'!$L$16"}</definedName>
    <definedName name="QDGF" localSheetId="0" hidden="1">{#N/A,#N/A,TRUE,"BT M200 da 10x20"}</definedName>
    <definedName name="QDGF" hidden="1">{#N/A,#N/A,TRUE,"BT M200 da 10x20"}</definedName>
    <definedName name="qdwfwdfwfwe" localSheetId="0" hidden="1">#REF!</definedName>
    <definedName name="qdwfwdfwfwe" hidden="1">#REF!</definedName>
    <definedName name="qeqwe" localSheetId="0" hidden="1">#REF!</definedName>
    <definedName name="qeqwe" hidden="1">#REF!</definedName>
    <definedName name="qer" localSheetId="0" hidden="1">#REF!</definedName>
    <definedName name="qer" hidden="1">#REF!</definedName>
    <definedName name="qet" localSheetId="0" hidden="1">{"'Sheet1'!$L$16"}</definedName>
    <definedName name="qet" hidden="1">{"'Sheet1'!$L$16"}</definedName>
    <definedName name="QẺTTT" localSheetId="0" hidden="1">{"'Sheet1'!$L$16"}</definedName>
    <definedName name="QẺTTT" hidden="1">{"'Sheet1'!$L$16"}</definedName>
    <definedName name="qềqg" localSheetId="0" hidden="1">{"'Sheet1'!$L$16"}</definedName>
    <definedName name="qềqg" hidden="1">{"'Sheet1'!$L$16"}</definedName>
    <definedName name="QFWW" localSheetId="0" hidden="1">#REF!</definedName>
    <definedName name="QFWW" hidden="1">#REF!</definedName>
    <definedName name="qkqh1" localSheetId="0" hidden="1">{#N/A,#N/A,FALSE,"명세표"}</definedName>
    <definedName name="qkqh1" hidden="1">{#N/A,#N/A,FALSE,"명세표"}</definedName>
    <definedName name="qncjstkdehdwhrud" localSheetId="0" hidden="1">{#N/A,#N/A,TRUE,"1";#N/A,#N/A,TRUE,"2";#N/A,#N/A,TRUE,"3";#N/A,#N/A,TRUE,"4";#N/A,#N/A,TRUE,"5";#N/A,#N/A,TRUE,"6";#N/A,#N/A,TRUE,"7"}</definedName>
    <definedName name="qncjstkdehdwhrud" hidden="1">{#N/A,#N/A,TRUE,"1";#N/A,#N/A,TRUE,"2";#N/A,#N/A,TRUE,"3";#N/A,#N/A,TRUE,"4";#N/A,#N/A,TRUE,"5";#N/A,#N/A,TRUE,"6";#N/A,#N/A,TRUE,"7"}</definedName>
    <definedName name="qöeqwerqwereq" localSheetId="0" hidden="1">#REF!</definedName>
    <definedName name="qöeqwerqwereq" hidden="1">#REF!</definedName>
    <definedName name="qor" localSheetId="0" hidden="1">#REF!</definedName>
    <definedName name="qor" hidden="1">#REF!</definedName>
    <definedName name="QQE" localSheetId="0" hidden="1">#REF!</definedName>
    <definedName name="QQE" hidden="1">#REF!</definedName>
    <definedName name="qqq" hidden="1">#REF!</definedName>
    <definedName name="ｑｑｑ" localSheetId="0" hidden="1">{"'Sheet1'!$L$16"}</definedName>
    <definedName name="ｑｑｑ" hidden="1">{"'Sheet1'!$L$16"}</definedName>
    <definedName name="qqq_1" localSheetId="0" hidden="1">{#N/A,#N/A,TRUE,"Basic";#N/A,#N/A,TRUE,"EXT-TABLE";#N/A,#N/A,TRUE,"STEEL";#N/A,#N/A,TRUE,"INT-Table";#N/A,#N/A,TRUE,"STEEL";#N/A,#N/A,TRUE,"Door"}</definedName>
    <definedName name="qqq_1" hidden="1">{#N/A,#N/A,TRUE,"Basic";#N/A,#N/A,TRUE,"EXT-TABLE";#N/A,#N/A,TRUE,"STEEL";#N/A,#N/A,TRUE,"INT-Table";#N/A,#N/A,TRUE,"STEEL";#N/A,#N/A,TRUE,"Door"}</definedName>
    <definedName name="qqqq" localSheetId="0" hidden="1">{"'Sheet1'!$L$16"}</definedName>
    <definedName name="qqqq" hidden="1">{"'Sheet1'!$L$16"}</definedName>
    <definedName name="ｑｑｑｑ" localSheetId="0" hidden="1">{"'Sheet1'!$L$16"}</definedName>
    <definedName name="ｑｑｑｑ" hidden="1">{"'Sheet1'!$L$16"}</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qqq_1" localSheetId="0" hidden="1">{#N/A,#N/A,TRUE,"Basic";#N/A,#N/A,TRUE,"EXT-TABLE";#N/A,#N/A,TRUE,"STEEL";#N/A,#N/A,TRUE,"INT-Table";#N/A,#N/A,TRUE,"STEEL";#N/A,#N/A,TRUE,"Door"}</definedName>
    <definedName name="qqqqq_1" hidden="1">{#N/A,#N/A,TRUE,"Basic";#N/A,#N/A,TRUE,"EXT-TABLE";#N/A,#N/A,TRUE,"STEEL";#N/A,#N/A,TRUE,"INT-Table";#N/A,#N/A,TRUE,"STEEL";#N/A,#N/A,TRUE,"Door"}</definedName>
    <definedName name="qqqqqqq" localSheetId="0" hidden="1">{"'Sheet1'!$L$16"}</definedName>
    <definedName name="qqqqqqq" hidden="1">{"'Sheet1'!$L$16"}</definedName>
    <definedName name="qqqqqqqqqqqqqqqqqqqqqq" localSheetId="0" hidden="1">{"'Sheet1'!$L$16"}</definedName>
    <definedName name="qqqqqqqqqqqqqqqqqqqqqq" hidden="1">{"'Sheet1'!$L$16"}</definedName>
    <definedName name="qqssssss" localSheetId="0" hidden="1">{"'Sheet1'!$L$16"}</definedName>
    <definedName name="qqssssss" hidden="1">{"'Sheet1'!$L$16"}</definedName>
    <definedName name="QQW" localSheetId="0" hidden="1">{#N/A,#N/A,FALSE,"CCTV"}</definedName>
    <definedName name="QQW" hidden="1">{#N/A,#N/A,FALSE,"CCTV"}</definedName>
    <definedName name="qqwww" localSheetId="0" hidden="1">#REF!</definedName>
    <definedName name="qqwww" hidden="1">#REF!</definedName>
    <definedName name="qqwww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t" localSheetId="0" hidden="1">{"'Sheet1'!$L$16"}</definedName>
    <definedName name="qrt" hidden="1">{"'Sheet1'!$L$16"}</definedName>
    <definedName name="qrw" localSheetId="0" hidden="1">{#N/A,#N/A,FALSE,"Sheet2";#N/A,#N/A,FALSE,"Sheet4";#N/A,#N/A,FALSE,"Sheet6"}</definedName>
    <definedName name="qrw" hidden="1">{#N/A,#N/A,FALSE,"Sheet2";#N/A,#N/A,FALSE,"Sheet4";#N/A,#N/A,FALSE,"Sheet6"}</definedName>
    <definedName name="qưqq" localSheetId="0" hidden="1">{"'Sheet1'!$L$16"}</definedName>
    <definedName name="qưqq" hidden="1">{"'Sheet1'!$L$16"}</definedName>
    <definedName name="qvv" localSheetId="0" hidden="1">{"'Sheet1'!$L$16"}</definedName>
    <definedName name="qvv" hidden="1">{"'Sheet1'!$L$16"}</definedName>
    <definedName name="qw" localSheetId="0" hidden="1">{#N/A,#N/A,FALSE,"단가표지"}</definedName>
    <definedName name="qw" hidden="1">{#N/A,#N/A,FALSE,"단가표지"}</definedName>
    <definedName name="QWE" localSheetId="0" hidden="1">{"'Sheet1'!$L$16"}</definedName>
    <definedName name="QWE" hidden="1">{"'Sheet1'!$L$16"}</definedName>
    <definedName name="QWEQW" localSheetId="0" hidden="1">#REF!</definedName>
    <definedName name="QWEQW" hidden="1">#REF!</definedName>
    <definedName name="qwer" localSheetId="0" hidden="1">{"'Sheet1'!$L$16"}</definedName>
    <definedName name="qwer" hidden="1">{"'Sheet1'!$L$16"}</definedName>
    <definedName name="QWERCDFGV" localSheetId="0" hidden="1">#REF!</definedName>
    <definedName name="QWERCDFGV" hidden="1">#REF!</definedName>
    <definedName name="qwerqwe" localSheetId="0" hidden="1">#REF!</definedName>
    <definedName name="qwerqwe" hidden="1">#REF!</definedName>
    <definedName name="qwertet" localSheetId="0" hidden="1">{"'Sheet1'!$L$16"}</definedName>
    <definedName name="qwertet" hidden="1">{"'Sheet1'!$L$16"}</definedName>
    <definedName name="QWQ" localSheetId="0" hidden="1">{#N/A,#N/A,FALSE,"배수2"}</definedName>
    <definedName name="QWQ" hidden="1">{#N/A,#N/A,FALSE,"배수2"}</definedName>
    <definedName name="qws" localSheetId="0" hidden="1">#REF!</definedName>
    <definedName name="qws" hidden="1">#REF!</definedName>
    <definedName name="qwtjzxdc" localSheetId="0" hidden="1">#REF!</definedName>
    <definedName name="qwtjzxdc" hidden="1">#REF!</definedName>
    <definedName name="qwwqe" localSheetId="0" hidden="1">{"'Sheet1'!$L$16"}</definedName>
    <definedName name="qwwqe" hidden="1">{"'Sheet1'!$L$16"}</definedName>
    <definedName name="qwwwwwwwwww" localSheetId="0" hidden="1">{"'Sheet1'!$L$16"}</definedName>
    <definedName name="qwwwwwwwwww" hidden="1">{"'Sheet1'!$L$16"}</definedName>
    <definedName name="qyk" localSheetId="0" hidden="1">{"'용역비'!$A$4:$C$8"}</definedName>
    <definedName name="qyk" hidden="1">{"'용역비'!$A$4:$C$8"}</definedName>
    <definedName name="quang" localSheetId="0" hidden="1">#REF!</definedName>
    <definedName name="quang" hidden="1">#REF!</definedName>
    <definedName name="QUOC" localSheetId="0" hidden="1">#REF!</definedName>
    <definedName name="QUOC" hidden="1">#REF!</definedName>
    <definedName name="ｒｒｒｒ" localSheetId="0" hidden="1">{"'Sheet1'!$L$16"}</definedName>
    <definedName name="ｒｒｒｒ" hidden="1">{"'Sheet1'!$L$16"}</definedName>
    <definedName name="RAMDOC" localSheetId="0" hidden="1">#REF!</definedName>
    <definedName name="RAMDOC" hidden="1">#REF!</definedName>
    <definedName name="RANH" localSheetId="0" hidden="1">{"'Sheet1'!$L$16"}</definedName>
    <definedName name="RANH" hidden="1">{"'Sheet1'!$L$16"}</definedName>
    <definedName name="RANH2" localSheetId="0" hidden="1">{"'Sheet1'!$L$16"}</definedName>
    <definedName name="RANH2" hidden="1">{"'Sheet1'!$L$16"}</definedName>
    <definedName name="Ranhxay" localSheetId="0" hidden="1">{"'Sheet1'!$L$16"}</definedName>
    <definedName name="Ranhxay" hidden="1">{"'Sheet1'!$L$16"}</definedName>
    <definedName name="rarewt" localSheetId="0" hidden="1">{#N/A,#N/A,FALSE,"CCTV"}</definedName>
    <definedName name="rarewt" hidden="1">{#N/A,#N/A,FALSE,"CCTV"}</definedName>
    <definedName name="RCArea" localSheetId="10" hidden="1">#REF!</definedName>
    <definedName name="RCArea" hidden="1">#REF!</definedName>
    <definedName name="rddrer" localSheetId="0" hidden="1">#REF!</definedName>
    <definedName name="rddrer" hidden="1">#REF!</definedName>
    <definedName name="reay" localSheetId="0" hidden="1">{"'Sheet1'!$L$16"}</definedName>
    <definedName name="reay" hidden="1">{"'Sheet1'!$L$16"}</definedName>
    <definedName name="rebbb" localSheetId="0" hidden="1">#REF!</definedName>
    <definedName name="rebbb" hidden="1">#REF!</definedName>
    <definedName name="reere" localSheetId="0" hidden="1">#REF!</definedName>
    <definedName name="reere" hidden="1">#REF!</definedName>
    <definedName name="Ref" localSheetId="0" hidden="1">{"'Sheet1'!$L$16"}</definedName>
    <definedName name="Ref" hidden="1">{"'Sheet1'!$L$16"}</definedName>
    <definedName name="Regional" localSheetId="0" hidden="1">{#N/A,#N/A,FALSE,"mgtsum.XLS";#N/A,#N/A,FALSE,"CAPONE";#N/A,#N/A,FALSE,"CAPTWO";#N/A,#N/A,FALSE,"CAPTHREE"}</definedName>
    <definedName name="Regional" hidden="1">{#N/A,#N/A,FALSE,"mgtsum.XLS";#N/A,#N/A,FALSE,"CAPONE";#N/A,#N/A,FALSE,"CAPTWO";#N/A,#N/A,FALSE,"CAPTHREE"}</definedName>
    <definedName name="report1" localSheetId="10" hidden="1">{#N/A,#N/A,FALSE,"特殊室（ＢＱ表）"}</definedName>
    <definedName name="report1" localSheetId="0" hidden="1">{#N/A,#N/A,FALSE,"特殊室（ＢＱ表）"}</definedName>
    <definedName name="report1" hidden="1">{#N/A,#N/A,FALSE,"特殊室（ＢＱ表）"}</definedName>
    <definedName name="report2" localSheetId="10" hidden="1">{#N/A,#N/A,FALSE,"特殊室（ＢＱ表）"}</definedName>
    <definedName name="report2" localSheetId="0" hidden="1">{#N/A,#N/A,FALSE,"特殊室（ＢＱ表）"}</definedName>
    <definedName name="report2" hidden="1">{#N/A,#N/A,FALSE,"特殊室（ＢＱ表）"}</definedName>
    <definedName name="rereyry" localSheetId="0" hidden="1">#REF!</definedName>
    <definedName name="rereyry" hidden="1">#REF!</definedName>
    <definedName name="rergdf" localSheetId="0" hidden="1">#REF!</definedName>
    <definedName name="rergdf" hidden="1">#REF!</definedName>
    <definedName name="Result21" localSheetId="0" hidden="1">{"'Sheet1'!$L$16"}</definedName>
    <definedName name="Result21" hidden="1">{"'Sheet1'!$L$16"}</definedName>
    <definedName name="RET" localSheetId="0" hidden="1">{#N/A,#N/A,FALSE,"조골재"}</definedName>
    <definedName name="RET" hidden="1">{#N/A,#N/A,FALSE,"조골재"}</definedName>
    <definedName name="RETYRE" localSheetId="0" hidden="1">{#N/A,#N/A,FALSE,"골재소요량";#N/A,#N/A,FALSE,"골재소요량"}</definedName>
    <definedName name="RETYRE" hidden="1">{#N/A,#N/A,FALSE,"골재소요량";#N/A,#N/A,FALSE,"골재소요량"}</definedName>
    <definedName name="reuse" localSheetId="0" hidden="1">{#N/A,#N/A,FALSE,"mgtsum.XLS";#N/A,#N/A,FALSE,"CAPONE";#N/A,#N/A,FALSE,"CAPTWO";#N/A,#N/A,FALSE,"CAPTHREE"}</definedName>
    <definedName name="reuse" hidden="1">{#N/A,#N/A,FALSE,"mgtsum.XLS";#N/A,#N/A,FALSE,"CAPONE";#N/A,#N/A,FALSE,"CAPTWO";#N/A,#N/A,FALSE,"CAPTHREE"}</definedName>
    <definedName name="reûtht" localSheetId="0" hidden="1">{"'Sheet1'!$L$16"}</definedName>
    <definedName name="reûtht" hidden="1">{"'Sheet1'!$L$16"}</definedName>
    <definedName name="Revised" localSheetId="0" hidden="1">#REF!</definedName>
    <definedName name="Revised" hidden="1">#REF!</definedName>
    <definedName name="rewgwegn" localSheetId="0" hidden="1">{"'Sheet1'!$L$16"}</definedName>
    <definedName name="rewgwegn" hidden="1">{"'Sheet1'!$L$16"}</definedName>
    <definedName name="rewr" localSheetId="0" hidden="1">{"'Sheet1'!$L$16"}</definedName>
    <definedName name="rewr" hidden="1">{"'Sheet1'!$L$16"}</definedName>
    <definedName name="rferfg" localSheetId="0" hidden="1">{"'Sheet1'!$L$16"}</definedName>
    <definedName name="rferfg" hidden="1">{"'Sheet1'!$L$16"}</definedName>
    <definedName name="RFV" localSheetId="0" hidden="1">{#N/A,#N/A,FALSE,"CCTV"}</definedName>
    <definedName name="RFV" hidden="1">{#N/A,#N/A,FALSE,"CCTV"}</definedName>
    <definedName name="rfwetet" localSheetId="0" hidden="1">{"'Sheet1'!$L$16"}</definedName>
    <definedName name="rfwetet" hidden="1">{"'Sheet1'!$L$16"}</definedName>
    <definedName name="RGD" localSheetId="0" hidden="1">{#N/A,#N/A,FALSE,"CCTV"}</definedName>
    <definedName name="RGD" hidden="1">{#N/A,#N/A,FALSE,"CCTV"}</definedName>
    <definedName name="rgdf" localSheetId="0" hidden="1">{"'Sheet1'!$L$16"}</definedName>
    <definedName name="rgdf" hidden="1">{"'Sheet1'!$L$16"}</definedName>
    <definedName name="rgeger" localSheetId="0" hidden="1">#REF!</definedName>
    <definedName name="rgeger" hidden="1">#REF!</definedName>
    <definedName name="rger" localSheetId="0" hidden="1">#REF!</definedName>
    <definedName name="rger" hidden="1">#REF!</definedName>
    <definedName name="rggsg" localSheetId="0" hidden="1">{"'Sheet1'!$L$16"}</definedName>
    <definedName name="rggsg" hidden="1">{"'Sheet1'!$L$16"}</definedName>
    <definedName name="rgwerg" localSheetId="0" hidden="1">{#N/A,#N/A,FALSE,"Chi tiÆt"}</definedName>
    <definedName name="rgwerg" hidden="1">{#N/A,#N/A,FALSE,"Chi tiÆt"}</definedName>
    <definedName name="rgwergfwe" localSheetId="0" hidden="1">{"'Sheet1'!$L$16"}</definedName>
    <definedName name="rgwergfwe" hidden="1">{"'Sheet1'!$L$16"}</definedName>
    <definedName name="RH" localSheetId="0" hidden="1">{"'용역비'!$A$4:$C$8"}</definedName>
    <definedName name="RH" hidden="1">{"'용역비'!$A$4:$C$8"}</definedName>
    <definedName name="rhdhd" localSheetId="0" hidden="1">#REF!</definedName>
    <definedName name="rhdhd" hidden="1">#REF!</definedName>
    <definedName name="RHDK" localSheetId="0" hidden="1">{#N/A,#N/A,FALSE,"이태원철근"}</definedName>
    <definedName name="RHDK" hidden="1">{#N/A,#N/A,FALSE,"이태원철근"}</definedName>
    <definedName name="rhgrs" localSheetId="0" hidden="1">{"'Sheet1'!$L$16"}</definedName>
    <definedName name="rhgrs" hidden="1">{"'Sheet1'!$L$16"}</definedName>
    <definedName name="RHODIA" localSheetId="0" hidden="1">{"'DocTypeCode'!$A$142:$A$226"}</definedName>
    <definedName name="RHODIA" hidden="1">{"'DocTypeCode'!$A$142:$A$226"}</definedName>
    <definedName name="rhrdttdrr" localSheetId="0" hidden="1">#REF!</definedName>
    <definedName name="rhrdttdrr" hidden="1">#REF!</definedName>
    <definedName name="rid" localSheetId="0" hidden="1">{"'Sheet1'!$L$16"}</definedName>
    <definedName name="rid" hidden="1">{"'Sheet1'!$L$16"}</definedName>
    <definedName name="rjs" localSheetId="0" hidden="1">{#N/A,#N/A,FALSE,"포장2"}</definedName>
    <definedName name="rjs" hidden="1">{#N/A,#N/A,FALSE,"포장2"}</definedName>
    <definedName name="rkd" localSheetId="10" hidden="1">{#N/A,#N/A,FALSE,"CCTV"}</definedName>
    <definedName name="rkd" localSheetId="0" hidden="1">{#N/A,#N/A,FALSE,"CCTV"}</definedName>
    <definedName name="rkd" hidden="1">{#N/A,#N/A,FALSE,"CCTV"}</definedName>
    <definedName name="rkdkd" localSheetId="0" hidden="1">{#N/A,#N/A,FALSE,"2~8번"}</definedName>
    <definedName name="rkdkd" hidden="1">{#N/A,#N/A,FALSE,"2~8번"}</definedName>
    <definedName name="RKDLKS" localSheetId="0" hidden="1">{#N/A,#N/A,TRUE,"1";#N/A,#N/A,TRUE,"2";#N/A,#N/A,TRUE,"3";#N/A,#N/A,TRUE,"4";#N/A,#N/A,TRUE,"5";#N/A,#N/A,TRUE,"6";#N/A,#N/A,TRUE,"7"}</definedName>
    <definedName name="RKDLKS" hidden="1">{#N/A,#N/A,TRUE,"1";#N/A,#N/A,TRUE,"2";#N/A,#N/A,TRUE,"3";#N/A,#N/A,TRUE,"4";#N/A,#N/A,TRUE,"5";#N/A,#N/A,TRUE,"6";#N/A,#N/A,TRUE,"7"}</definedName>
    <definedName name="RNAO" localSheetId="0" hidden="1">{"'장비'!$A$3:$M$12"}</definedName>
    <definedName name="RNAO" hidden="1">{"'장비'!$A$3:$M$12"}</definedName>
    <definedName name="RNWH" localSheetId="0"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ad" localSheetId="0" hidden="1">{"'Sheet1'!$L$16"}</definedName>
    <definedName name="Road" hidden="1">{"'Sheet1'!$L$16"}</definedName>
    <definedName name="row" localSheetId="10" hidden="1">#REF!</definedName>
    <definedName name="row" hidden="1">#REF!</definedName>
    <definedName name="RPLA" localSheetId="0" hidden="1">{"'Sheet1'!$L$16"}</definedName>
    <definedName name="RPLA" hidden="1">{"'Sheet1'!$L$16"}</definedName>
    <definedName name="rqbbqng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localSheetId="0" hidden="1">{#N/A,#N/A,FALSE,"단가표지"}</definedName>
    <definedName name="rr" hidden="1">{#N/A,#N/A,FALSE,"단가표지"}</definedName>
    <definedName name="rr_1" localSheetId="0" hidden="1">{#N/A,#N/A,TRUE,"Basic";#N/A,#N/A,TRUE,"EXT-TABLE";#N/A,#N/A,TRUE,"STEEL";#N/A,#N/A,TRUE,"INT-Table";#N/A,#N/A,TRUE,"STEEL";#N/A,#N/A,TRUE,"Door"}</definedName>
    <definedName name="rr_1" hidden="1">{#N/A,#N/A,TRUE,"Basic";#N/A,#N/A,TRUE,"EXT-TABLE";#N/A,#N/A,TRUE,"STEEL";#N/A,#N/A,TRUE,"INT-Table";#N/A,#N/A,TRUE,"STEEL";#N/A,#N/A,TRUE,"Door"}</definedName>
    <definedName name="R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0" hidden="1">{#N/A,#N/A,FALSE,"CCTV"}</definedName>
    <definedName name="RRERW" hidden="1">{#N/A,#N/A,FALSE,"CCTV"}</definedName>
    <definedName name="rrg" localSheetId="0" hidden="1">#REF!</definedName>
    <definedName name="rrg" hidden="1">#REF!</definedName>
    <definedName name="rrhrerr" localSheetId="0" hidden="1">#REF!</definedName>
    <definedName name="rrhrerr" hidden="1">#REF!</definedName>
    <definedName name="rrr" localSheetId="0" hidden="1">{"'Sheet1'!$L$16"}</definedName>
    <definedName name="rrr" hidden="1">{"'Sheet1'!$L$16"}</definedName>
    <definedName name="rrrdg" localSheetId="0" hidden="1">#REF!</definedName>
    <definedName name="rrrdg" hidden="1">#REF!</definedName>
    <definedName name="rrrr" localSheetId="0" hidden="1">#REF!</definedName>
    <definedName name="rrrr" hidden="1">#REF!</definedName>
    <definedName name="rrrrf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brbrete" localSheetId="0" hidden="1">#REF!</definedName>
    <definedName name="rrrrrbrbrete" hidden="1">#REF!</definedName>
    <definedName name="rrrrrr" localSheetId="0" hidden="1">#REF!</definedName>
    <definedName name="rrrrrr" hidden="1">#REF!</definedName>
    <definedName name="rrrrrrt" localSheetId="0" hidden="1">#REF!</definedName>
    <definedName name="rrrrrrt" hidden="1">#REF!</definedName>
    <definedName name="rrrrrrturrrr" localSheetId="0" hidden="1">#REF!</definedName>
    <definedName name="rrrrrrturrrr" hidden="1">#REF!</definedName>
    <definedName name="rrt" localSheetId="0" hidden="1">{"'Sheet1'!$L$16"}</definedName>
    <definedName name="rrt" hidden="1">{"'Sheet1'!$L$16"}</definedName>
    <definedName name="rrttt" localSheetId="0" hidden="1">{#N/A,#N/A,FALSE,"Chi tiÆt"}</definedName>
    <definedName name="rrttt" hidden="1">{#N/A,#N/A,FALSE,"Chi tiÆt"}</definedName>
    <definedName name="rrtrtrt" localSheetId="0" hidden="1">#REF!</definedName>
    <definedName name="rrtrtrt" hidden="1">#REF!</definedName>
    <definedName name="R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ls" localSheetId="0" hidden="1">{"'Sheet1'!$L$16"}</definedName>
    <definedName name="rsls" hidden="1">{"'Sheet1'!$L$16"}</definedName>
    <definedName name="rss" localSheetId="0" hidden="1">#REF!</definedName>
    <definedName name="rss" hidden="1">#REF!</definedName>
    <definedName name="rt" localSheetId="0" hidden="1">#REF!</definedName>
    <definedName name="rt" hidden="1">#REF!</definedName>
    <definedName name="rtjhgjgh" localSheetId="0" hidden="1">#REF!</definedName>
    <definedName name="rtjhgjgh" hidden="1">#REF!</definedName>
    <definedName name="rty" localSheetId="0" hidden="1">{"'용역비'!$A$4:$C$8"}</definedName>
    <definedName name="rty" hidden="1">{"'용역비'!$A$4:$C$8"}</definedName>
    <definedName name="rtyreyey" localSheetId="0" hidden="1">{"'Sheet1'!$L$16"}</definedName>
    <definedName name="rtyreyey" hidden="1">{"'Sheet1'!$L$16"}</definedName>
    <definedName name="rtyrtyt" localSheetId="10" hidden="1">#REF!</definedName>
    <definedName name="rtyrtyt" hidden="1">#REF!</definedName>
    <definedName name="rtytry" localSheetId="10" hidden="1">#REF!</definedName>
    <definedName name="rtytry" hidden="1">#REF!</definedName>
    <definedName name="rth" localSheetId="0" hidden="1">{"'용역비'!$A$4:$C$8"}</definedName>
    <definedName name="rth" hidden="1">{"'용역비'!$A$4:$C$8"}</definedName>
    <definedName name="rtr" localSheetId="0" hidden="1">#REF!</definedName>
    <definedName name="rtr" hidden="1">#REF!</definedName>
    <definedName name="rtrđhjkl" localSheetId="0" hidden="1">{#N/A,#N/A,FALSE,"Chi tiÆt"}</definedName>
    <definedName name="rtrđhjkl" hidden="1">{#N/A,#N/A,FALSE,"Chi tiÆt"}</definedName>
    <definedName name="rtrtr" localSheetId="0" hidden="1">#REF!</definedName>
    <definedName name="rtrtr" hidden="1">#REF!</definedName>
    <definedName name="rtrtryryyy" localSheetId="0" hidden="1">#REF!</definedName>
    <definedName name="rtrtryryyy" hidden="1">#REF!</definedName>
    <definedName name="rvfgbh" localSheetId="0" hidden="1">{#VALUE!,#N/A,FALSE,0}</definedName>
    <definedName name="rvfgbh" hidden="1">{#VALUE!,#N/A,FALSE,0}</definedName>
    <definedName name="RVVRRRR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qrwe" localSheetId="0" hidden="1">{"'Sheet1'!$L$16"}</definedName>
    <definedName name="rweqrwe" hidden="1">{"'Sheet1'!$L$16"}</definedName>
    <definedName name="ryedfg" localSheetId="0" hidden="1">{#N/A,#N/A,FALSE,"CCTV"}</definedName>
    <definedName name="ryedfg" hidden="1">{#N/A,#N/A,FALSE,"CCTV"}</definedName>
    <definedName name="ryuk" localSheetId="0" hidden="1">{"'용역비'!$A$4:$C$8"}</definedName>
    <definedName name="ryuk" hidden="1">{"'용역비'!$A$4:$C$8"}</definedName>
    <definedName name="S" localSheetId="10" hidden="1">{#N/A,#N/A,FALSE,"CCTV"}</definedName>
    <definedName name="S" localSheetId="0" hidden="1">{#N/A,#N/A,FALSE,"CCTV"}</definedName>
    <definedName name="S" hidden="1">{#N/A,#N/A,FALSE,"CCTV"}</definedName>
    <definedName name="sa" localSheetId="0" hidden="1">{#N/A,#N/A,TRUE,"Str.";#N/A,#N/A,TRUE,"Steel &amp; Roof";#N/A,#N/A,TRUE,"Arc.";#N/A,#N/A,TRUE,"Preliminary";#N/A,#N/A,TRUE,"Sum_Prelim"}</definedName>
    <definedName name="sa" hidden="1">{#N/A,#N/A,TRUE,"Str.";#N/A,#N/A,TRUE,"Steel &amp; Roof";#N/A,#N/A,TRUE,"Arc.";#N/A,#N/A,TRUE,"Preliminary";#N/A,#N/A,TRUE,"Sum_Prelim"}</definedName>
    <definedName name="sà" localSheetId="0" hidden="1">#REF!</definedName>
    <definedName name="sà" hidden="1">#REF!</definedName>
    <definedName name="saa" localSheetId="0" hidden="1">{#N/A,#N/A,FALSE,"Sheet2";#N/A,#N/A,FALSE,"Sheet4";#N/A,#N/A,FALSE,"Sheet6"}</definedName>
    <definedName name="saa" hidden="1">{#N/A,#N/A,FALSE,"Sheet2";#N/A,#N/A,FALSE,"Sheet4";#N/A,#N/A,FALSE,"Sheet6"}</definedName>
    <definedName name="saada" localSheetId="0" hidden="1">{#N/A,#N/A,FALSE,"特殊室（ＢＱ表）"}</definedName>
    <definedName name="saada" hidden="1">{#N/A,#N/A,FALSE,"特殊室（ＢＱ表）"}</definedName>
    <definedName name="SAD" localSheetId="0" hidden="1">{#N/A,#N/A,FALSE,"조골재"}</definedName>
    <definedName name="SAD" hidden="1">{#N/A,#N/A,FALSE,"조골재"}</definedName>
    <definedName name="SADA" localSheetId="0" hidden="1">#REF!</definedName>
    <definedName name="SADA" hidden="1">#REF!</definedName>
    <definedName name="SADA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 localSheetId="0" hidden="1">#REF!</definedName>
    <definedName name="SADASD" hidden="1">#REF!</definedName>
    <definedName name="SADASDSA" localSheetId="0" hidden="1">#REF!</definedName>
    <definedName name="SADASDSA" hidden="1">#REF!</definedName>
    <definedName name="sadcs" localSheetId="0" hidden="1">{"'Sheet1'!$L$16"}</definedName>
    <definedName name="sadcs" hidden="1">{"'Sheet1'!$L$16"}</definedName>
    <definedName name="sadddad" localSheetId="0" hidden="1">#REF!</definedName>
    <definedName name="sadddad" hidden="1">#REF!</definedName>
    <definedName name="sadf¸a" localSheetId="0" hidden="1">{"'Sheet1'!$L$16"}</definedName>
    <definedName name="sadf¸a" hidden="1">{"'Sheet1'!$L$16"}</definedName>
    <definedName name="sadSa" localSheetId="0" hidden="1">{#N/A,#N/A,FALSE,"Chi tiÆt"}</definedName>
    <definedName name="sadSa" hidden="1">{#N/A,#N/A,FALSE,"Chi tiÆt"}</definedName>
    <definedName name="SADSAD" localSheetId="0" hidden="1">#REF!</definedName>
    <definedName name="SADSAD" hidden="1">#REF!</definedName>
    <definedName name="SADSADASD" localSheetId="0" hidden="1">#REF!</definedName>
    <definedName name="SADSADASD" hidden="1">#REF!</definedName>
    <definedName name="sadsads" localSheetId="0" hidden="1">#REF!</definedName>
    <definedName name="sadsads" hidden="1">#REF!</definedName>
    <definedName name="sadsgfjhkhluiluil" localSheetId="0" hidden="1">#REF!</definedName>
    <definedName name="sadsgfjhkhluiluil" hidden="1">#REF!</definedName>
    <definedName name="SAFCS" localSheetId="0" hidden="1">#REF!</definedName>
    <definedName name="SAFCS" hidden="1">#REF!</definedName>
    <definedName name="safdaf" localSheetId="0" hidden="1">#REF!</definedName>
    <definedName name="safdaf" hidden="1">#REF!</definedName>
    <definedName name="SAFSAFSAD" localSheetId="0" hidden="1">{#N/A,#N/A,FALSE,"속도"}</definedName>
    <definedName name="SAFSAFSAD" hidden="1">{#N/A,#N/A,FALSE,"속도"}</definedName>
    <definedName name="safsdg" localSheetId="0" hidden="1">#REF!</definedName>
    <definedName name="safsdg" hidden="1">#REF!</definedName>
    <definedName name="sagawa" localSheetId="0" hidden="1">#REF!</definedName>
    <definedName name="sagawa" hidden="1">#REF!</definedName>
    <definedName name="sahdfjdgjds" localSheetId="0" hidden="1">{"'Sheet1'!$L$16"}</definedName>
    <definedName name="sahdfjdgjds" hidden="1">{"'Sheet1'!$L$16"}</definedName>
    <definedName name="sailech" localSheetId="0" hidden="1">{"Offgrid",#N/A,FALSE,"OFFGRID";"Region",#N/A,FALSE,"REGION";"Offgrid -2",#N/A,FALSE,"OFFGRID";"WTP",#N/A,FALSE,"WTP";"WTP -2",#N/A,FALSE,"WTP";"Project",#N/A,FALSE,"PROJECT";"Summary -2",#N/A,FALSE,"SUMMARY"}</definedName>
    <definedName name="sailech" hidden="1">{"Offgrid",#N/A,FALSE,"OFFGRID";"Region",#N/A,FALSE,"REGION";"Offgrid -2",#N/A,FALSE,"OFFGRID";"WTP",#N/A,FALSE,"WTP";"WTP -2",#N/A,FALSE,"WTP";"Project",#N/A,FALSE,"PROJECT";"Summary -2",#N/A,FALSE,"SUMMARY"}</definedName>
    <definedName name="SAM_1" localSheetId="0" hidden="1">{#N/A,#N/A,TRUE,"Basic";#N/A,#N/A,TRUE,"EXT-TABLE";#N/A,#N/A,TRUE,"STEEL";#N/A,#N/A,TRUE,"INT-Table";#N/A,#N/A,TRUE,"STEEL";#N/A,#N/A,TRUE,"Door"}</definedName>
    <definedName name="SAM_1" hidden="1">{#N/A,#N/A,TRUE,"Basic";#N/A,#N/A,TRUE,"EXT-TABLE";#N/A,#N/A,TRUE,"STEEL";#N/A,#N/A,TRUE,"INT-Table";#N/A,#N/A,TRUE,"STEEL";#N/A,#N/A,TRUE,"Door"}</definedName>
    <definedName name="san" localSheetId="0" hidden="1">{"'Sheet1'!$L$16"}</definedName>
    <definedName name="san" hidden="1">{"'Sheet1'!$L$16"}</definedName>
    <definedName name="sanjay" localSheetId="0" hidden="1">{#N/A,#N/A,FALSE,"TABLE"}</definedName>
    <definedName name="sanjay" hidden="1">{#N/A,#N/A,FALSE,"TABLE"}</definedName>
    <definedName name="sang" localSheetId="0" hidden="1">{"'Sheet1'!$L$16"}</definedName>
    <definedName name="sang" hidden="1">{"'Sheet1'!$L$16"}</definedName>
    <definedName name="SAPBEXrevision" hidden="1">1</definedName>
    <definedName name="SAPBEXsysID" hidden="1">"TA2"</definedName>
    <definedName name="SAPBEXwbID" hidden="1">"E9Q3LCWW911VAJ39BASH84PBR"</definedName>
    <definedName name="sas" localSheetId="0" hidden="1">{"'Sheet1'!$L$16"}</definedName>
    <definedName name="sas" hidden="1">{"'Sheet1'!$L$16"}</definedName>
    <definedName name="sasa" localSheetId="0" hidden="1">{#N/A,#N/A,FALSE,"Sheet1";#N/A,#N/A,FALSE,"Sheet3";#N/A,#N/A,FALSE,"Sheet5"}</definedName>
    <definedName name="sasa" hidden="1">{#N/A,#N/A,FALSE,"Sheet1";#N/A,#N/A,FALSE,"Sheet3";#N/A,#N/A,FALSE,"Sheet5"}</definedName>
    <definedName name="SASAAAA" localSheetId="0" hidden="1">{#N/A,#N/A,FALSE,"전체집계표";#N/A,#N/A,FALSE,"안벽30000";#N/A,#N/A,FALSE,"안벽20000";#N/A,#N/A,FALSE,"내호안";#N/A,#N/A,FALSE,"외호안";#N/A,#N/A,FALSE,"준설토A";#N/A,#N/A,FALSE,"준설토B";#N/A,#N/A,FALSE,"적출장"}</definedName>
    <definedName name="SASAAAA" hidden="1">{#N/A,#N/A,FALSE,"전체집계표";#N/A,#N/A,FALSE,"안벽30000";#N/A,#N/A,FALSE,"안벽20000";#N/A,#N/A,FALSE,"내호안";#N/A,#N/A,FALSE,"외호안";#N/A,#N/A,FALSE,"준설토A";#N/A,#N/A,FALSE,"준설토B";#N/A,#N/A,FALSE,"적출장"}</definedName>
    <definedName name="sASSSAS" localSheetId="0" hidden="1">#REF!</definedName>
    <definedName name="sASSSAS" hidden="1">#REF!</definedName>
    <definedName name="sbcxdnn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localSheetId="0" hidden="1">#REF!</definedName>
    <definedName name="SC" hidden="1">#REF!</definedName>
    <definedName name="SCAAAAX"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localSheetId="0" hidden="1">#REF!</definedName>
    <definedName name="scdfrt" hidden="1">#REF!</definedName>
    <definedName name="sCol" localSheetId="0" hidden="1">zIsDgiaCTiet_Gia.VTu*2+3</definedName>
    <definedName name="sCol" hidden="1">zIsDgiaCTiet_Gia.VTu*2+3</definedName>
    <definedName name="SCTX" localSheetId="0" hidden="1">{"'Sheet1'!$L$16"}</definedName>
    <definedName name="SCTX" hidden="1">{"'Sheet1'!$L$16"}</definedName>
    <definedName name="SCURVE" localSheetId="0" hidden="1">#REF!</definedName>
    <definedName name="SCURVE" hidden="1">#REF!</definedName>
    <definedName name="schedule" localSheetId="0" hidden="1">{"'Sheet1'!$L$16"}</definedName>
    <definedName name="schedule" hidden="1">{"'Sheet1'!$L$16"}</definedName>
    <definedName name="sd" hidden="1">#REF!</definedName>
    <definedName name="sda" localSheetId="0" hidden="1">#REF!</definedName>
    <definedName name="sda" hidden="1">#REF!</definedName>
    <definedName name="sdad" localSheetId="0" hidden="1">{"'Sheet1'!$L$16"}</definedName>
    <definedName name="sdad" hidden="1">{"'Sheet1'!$L$16"}</definedName>
    <definedName name="sdaf" localSheetId="0" hidden="1">{"'Sheet1'!$L$16"}</definedName>
    <definedName name="sdaf" hidden="1">{"'Sheet1'!$L$16"}</definedName>
    <definedName name="sdbv" localSheetId="0" hidden="1">{"'Sheet1'!$L$16"}</definedName>
    <definedName name="sdbv" hidden="1">{"'Sheet1'!$L$16"}</definedName>
    <definedName name="SDCDFVQQ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0" hidden="1">{#N/A,#N/A,FALSE,"운반시간"}</definedName>
    <definedName name="SDCFG\" hidden="1">{#N/A,#N/A,FALSE,"운반시간"}</definedName>
    <definedName name="sdcfgggrt" localSheetId="0" hidden="1">#REF!</definedName>
    <definedName name="sdcfgggrt" hidden="1">#REF!</definedName>
    <definedName name="sdcsd" localSheetId="0" hidden="1">{"'Sheet1'!$L$16"}</definedName>
    <definedName name="sdcsd" hidden="1">{"'Sheet1'!$L$16"}</definedName>
    <definedName name="sdd" localSheetId="0" hidden="1">{"'Sheet1'!$L$16"}</definedName>
    <definedName name="sdd" hidden="1">{"'Sheet1'!$L$16"}</definedName>
    <definedName name="sddd" localSheetId="0" hidden="1">#REF!</definedName>
    <definedName name="sddd" hidden="1">#REF!</definedName>
    <definedName name="sddddds" localSheetId="0" hidden="1">#REF!</definedName>
    <definedName name="sddddds" hidden="1">#REF!</definedName>
    <definedName name="SDDFD" localSheetId="0" hidden="1">{#N/A,#N/A,FALSE,"배수1"}</definedName>
    <definedName name="SDDFD" hidden="1">{#N/A,#N/A,FALSE,"배수1"}</definedName>
    <definedName name="sderftg" localSheetId="0" hidden="1">#REF!</definedName>
    <definedName name="sderftg" hidden="1">#REF!</definedName>
    <definedName name="SDF" localSheetId="10" hidden="1">{#N/A,#N/A,FALSE,"전력간선"}</definedName>
    <definedName name="SDF" localSheetId="0" hidden="1">{#N/A,#N/A,FALSE,"전력간선"}</definedName>
    <definedName name="SDF" hidden="1">{#N/A,#N/A,FALSE,"전력간선"}</definedName>
    <definedName name="sdfas" localSheetId="0" hidden="1">#REF!</definedName>
    <definedName name="sdfas" hidden="1">#REF!</definedName>
    <definedName name="sdfastgawtwqetr" localSheetId="0" hidden="1">#REF!</definedName>
    <definedName name="sdfastgawtwqetr" hidden="1">#REF!</definedName>
    <definedName name="sdfda" localSheetId="0" hidden="1">{"'Sheet1'!$L$16"}</definedName>
    <definedName name="sdfda" hidden="1">{"'Sheet1'!$L$16"}</definedName>
    <definedName name="sdfdf" localSheetId="0" hidden="1">#REF!</definedName>
    <definedName name="sdfdf" hidden="1">#REF!</definedName>
    <definedName name="SDFDFD" localSheetId="0" hidden="1">{#N/A,#N/A,FALSE,"운반시간"}</definedName>
    <definedName name="SDFDFD" hidden="1">{#N/A,#N/A,FALSE,"운반시간"}</definedName>
    <definedName name="sdfdsfdsf" localSheetId="0" hidden="1">#REF!</definedName>
    <definedName name="sdfdsfdsf" hidden="1">#REF!</definedName>
    <definedName name="sdfg" localSheetId="0" hidden="1">{#N/A,#N/A,FALSE,"CCTV"}</definedName>
    <definedName name="sdfg" hidden="1">{#N/A,#N/A,FALSE,"CCTV"}</definedName>
    <definedName name="sdfgdfg" localSheetId="0" hidden="1">#REF!</definedName>
    <definedName name="sdfgdfg" hidden="1">#REF!</definedName>
    <definedName name="SDFGFH" localSheetId="0" hidden="1">{#N/A,#N/A,FALSE,"부대2"}</definedName>
    <definedName name="SDFGFH" hidden="1">{#N/A,#N/A,FALSE,"부대2"}</definedName>
    <definedName name="sdfgsdfg" localSheetId="0" hidden="1">#REF!</definedName>
    <definedName name="sdfgsdfg" hidden="1">#REF!</definedName>
    <definedName name="sdfgsdfrg" localSheetId="0" hidden="1">#REF!</definedName>
    <definedName name="sdfgsdfrg" hidden="1">#REF!</definedName>
    <definedName name="sdfhsf" localSheetId="0" hidden="1">#REF!</definedName>
    <definedName name="sdfhsf" hidden="1">#REF!</definedName>
    <definedName name="sdfs" localSheetId="0" hidden="1">#REF!</definedName>
    <definedName name="sdfs" hidden="1">#REF!</definedName>
    <definedName name="SDFSAFSADFS" localSheetId="0" hidden="1">{#N/A,#N/A,FALSE,"혼합골재"}</definedName>
    <definedName name="SDFSAFSADFS" hidden="1">{#N/A,#N/A,FALSE,"혼합골재"}</definedName>
    <definedName name="sdfsd" hidden="1">#REF!</definedName>
    <definedName name="sdfsdf" localSheetId="0" hidden="1">#REF!</definedName>
    <definedName name="sdfsdf" hidden="1">#REF!</definedName>
    <definedName name="SDFSDFS" localSheetId="0" hidden="1">{"'Sheet1'!$L$16"}</definedName>
    <definedName name="SDFSDFS" hidden="1">{"'Sheet1'!$L$16"}</definedName>
    <definedName name="sdfsdfsd" localSheetId="0" hidden="1">{"'Sheet1'!$L$16"}</definedName>
    <definedName name="sdfsdfsd" hidden="1">{"'Sheet1'!$L$16"}</definedName>
    <definedName name="sdfsdgfdg" localSheetId="0" hidden="1">#REF!</definedName>
    <definedName name="sdfsdgfdg" hidden="1">#REF!</definedName>
    <definedName name="sdfsfd" localSheetId="0" hidden="1">{"'Sheet1'!$L$16"}</definedName>
    <definedName name="sdfsfd" hidden="1">{"'Sheet1'!$L$16"}</definedName>
    <definedName name="sdfzsfzsf" localSheetId="0" hidden="1">#REF!</definedName>
    <definedName name="sdfzsfzsf" hidden="1">#REF!</definedName>
    <definedName name="sdg" localSheetId="0" hidden="1">#REF!</definedName>
    <definedName name="sdg" hidden="1">#REF!</definedName>
    <definedName name="SDGA" localSheetId="0" hidden="1">{#N/A,#N/A,FALSE,"조골재"}</definedName>
    <definedName name="SDGA" hidden="1">{#N/A,#N/A,FALSE,"조골재"}</definedName>
    <definedName name="sdgdsg" localSheetId="0" hidden="1">{"'Sheet1'!$L$16"}</definedName>
    <definedName name="sdgdsg" hidden="1">{"'Sheet1'!$L$16"}</definedName>
    <definedName name="SDGSDFHFDJDG" localSheetId="0" hidden="1">{#N/A,#N/A,FALSE,"속도"}</definedName>
    <definedName name="SDGSDFHFDJDG" hidden="1">{#N/A,#N/A,FALSE,"속도"}</definedName>
    <definedName name="SDGSDGDHDFHGF" localSheetId="0" hidden="1">{#N/A,#N/A,FALSE,"운반시간"}</definedName>
    <definedName name="SDGSDGDHDFHGF" hidden="1">{#N/A,#N/A,FALSE,"운반시간"}</definedName>
    <definedName name="sdjfngggn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ryhj" localSheetId="0" hidden="1">{"'용역비'!$A$4:$C$8"}</definedName>
    <definedName name="sdryhj" hidden="1">{"'용역비'!$A$4:$C$8"}</definedName>
    <definedName name="sds" localSheetId="0" hidden="1">{"'Sheet1'!$L$16"}</definedName>
    <definedName name="sds" hidden="1">{"'Sheet1'!$L$16"}</definedName>
    <definedName name="SDS_1" localSheetId="0" hidden="1">{#N/A,#N/A,FALSE,"2~8번"}</definedName>
    <definedName name="SDS_1" hidden="1">{#N/A,#N/A,FALSE,"2~8번"}</definedName>
    <definedName name="sd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sdddd" localSheetId="0" hidden="1">{#N/A,#N/A,FALSE,"토공2"}</definedName>
    <definedName name="sdsdddd" hidden="1">{#N/A,#N/A,FALSE,"토공2"}</definedName>
    <definedName name="SDSDSSDASDSA" localSheetId="0" hidden="1">#REF!</definedName>
    <definedName name="SDSDSSDASDSA" hidden="1">#REF!</definedName>
    <definedName name="sdsdwdwdd" localSheetId="0" hidden="1">#REF!</definedName>
    <definedName name="sdsdwdwdd" hidden="1">#REF!</definedName>
    <definedName name="sdz" localSheetId="0" hidden="1">{"'Sheet1'!$L$16"}</definedName>
    <definedName name="sdz" hidden="1">{"'Sheet1'!$L$16"}</definedName>
    <definedName name="sđsadsa" localSheetId="0" hidden="1">#REF!</definedName>
    <definedName name="sđsadsa" hidden="1">#REF!</definedName>
    <definedName name="SEC.C1" localSheetId="0" hidden="1">#REF!</definedName>
    <definedName name="SEC.C1" hidden="1">#REF!</definedName>
    <definedName name="sefse" localSheetId="0" hidden="1">{"'장비'!$A$3:$M$12"}</definedName>
    <definedName name="sefse" hidden="1">{"'장비'!$A$3:$M$12"}</definedName>
    <definedName name="Selection" localSheetId="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n" localSheetId="0" hidden="1">{"'Sheet1'!$L$16"}</definedName>
    <definedName name="sen" hidden="1">{"'Sheet1'!$L$16"}</definedName>
    <definedName name="sencount" hidden="1">1</definedName>
    <definedName name="SERVICE" localSheetId="0" hidden="1">{#N/A,#N/A,FALSE,"이태원철근"}</definedName>
    <definedName name="SERVICE" hidden="1">{#N/A,#N/A,FALSE,"이태원철근"}</definedName>
    <definedName name="sexeax" localSheetId="0" hidden="1">{#N/A,#N/A,FALSE,"TABLE"}</definedName>
    <definedName name="sexeax" hidden="1">{#N/A,#N/A,FALSE,"TABLE"}</definedName>
    <definedName name="SFA" localSheetId="0" hidden="1">#REF!</definedName>
    <definedName name="SFA" hidden="1">#REF!</definedName>
    <definedName name="SFADGFA" localSheetId="0" hidden="1">{#N/A,#N/A,TRUE,"Basic";#N/A,#N/A,TRUE,"EXT-TABLE";#N/A,#N/A,TRUE,"STEEL";#N/A,#N/A,TRUE,"INT-Table";#N/A,#N/A,TRUE,"STEEL";#N/A,#N/A,TRUE,"Door"}</definedName>
    <definedName name="SFADGFA" hidden="1">{#N/A,#N/A,TRUE,"Basic";#N/A,#N/A,TRUE,"EXT-TABLE";#N/A,#N/A,TRUE,"STEEL";#N/A,#N/A,TRUE,"INT-Table";#N/A,#N/A,TRUE,"STEEL";#N/A,#N/A,TRUE,"Door"}</definedName>
    <definedName name="sfd" localSheetId="0" hidden="1">#REF!</definedName>
    <definedName name="sfd" hidden="1">#REF!</definedName>
    <definedName name="sfdgdfgfhgjgjgjghj" localSheetId="0" hidden="1">#REF!</definedName>
    <definedName name="sfdgdfgfhgjgjgjghj" hidden="1">#REF!</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localSheetId="0" hidden="1">#REF!</definedName>
    <definedName name="sfdh" hidden="1">#REF!</definedName>
    <definedName name="SFE" localSheetId="0" hidden="1">{#N/A,#N/A,TRUE,"ERECTION";#N/A,#N/A,TRUE,"A";#N/A,#N/A,TRUE,"B";#N/A,#N/A,TRUE,"C";#N/A,#N/A,TRUE,"D";#N/A,#N/A,TRUE,"E";#N/A,#N/A,TRUE,"F";#N/A,#N/A,TRUE,"G";#N/A,#N/A,TRUE,"H";#N/A,#N/A,TRUE,"I";#N/A,#N/A,TRUE,"J";#N/A,#N/A,TRUE,"K";#N/A,#N/A,TRUE,"L";#N/A,#N/A,TRUE,"M";#N/A,#N/A,TRUE,"N"}</definedName>
    <definedName name="SFE" hidden="1">{#N/A,#N/A,TRUE,"ERECTION";#N/A,#N/A,TRUE,"A";#N/A,#N/A,TRUE,"B";#N/A,#N/A,TRUE,"C";#N/A,#N/A,TRUE,"D";#N/A,#N/A,TRUE,"E";#N/A,#N/A,TRUE,"F";#N/A,#N/A,TRUE,"G";#N/A,#N/A,TRUE,"H";#N/A,#N/A,TRUE,"I";#N/A,#N/A,TRUE,"J";#N/A,#N/A,TRUE,"K";#N/A,#N/A,TRUE,"L";#N/A,#N/A,TRUE,"M";#N/A,#N/A,TRUE,"N"}</definedName>
    <definedName name="sff" localSheetId="0" hidden="1">#REF!</definedName>
    <definedName name="sff" hidden="1">#REF!</definedName>
    <definedName name="sfggf" localSheetId="0" hidden="1">{#N/A,#N/A,FALSE,"배수1"}</definedName>
    <definedName name="sfggf" hidden="1">{#N/A,#N/A,FALSE,"배수1"}</definedName>
    <definedName name="sfgs" localSheetId="0" hidden="1">#REF!</definedName>
    <definedName name="sfgs" hidden="1">#REF!</definedName>
    <definedName name="sfs" localSheetId="0" hidden="1">#REF!</definedName>
    <definedName name="sfs" hidden="1">#REF!</definedName>
    <definedName name="sfsd" localSheetId="0" hidden="1">{"'Sheet1'!$L$16"}</definedName>
    <definedName name="sfsd" hidden="1">{"'Sheet1'!$L$16"}</definedName>
    <definedName name="SFSDFDS" localSheetId="0" hidden="1">#REF!</definedName>
    <definedName name="SFSDFDS" hidden="1">#REF!</definedName>
    <definedName name="SFSDFDSF" localSheetId="0" hidden="1">{#N/A,#N/A,FALSE,"운반시간"}</definedName>
    <definedName name="SFSDFDSF" hidden="1">{#N/A,#N/A,FALSE,"운반시간"}</definedName>
    <definedName name="sfsdg" localSheetId="0" hidden="1">{"'Sheet1'!$L$16"}</definedName>
    <definedName name="sfsdg" hidden="1">{"'Sheet1'!$L$16"}</definedName>
    <definedName name="sfse" localSheetId="0" hidden="1">#REF!</definedName>
    <definedName name="sfse" hidden="1">#REF!</definedName>
    <definedName name="sfsfsfas" localSheetId="0" hidden="1">{"'Sheet1'!$L$16"}</definedName>
    <definedName name="sfsfsfas" hidden="1">{"'Sheet1'!$L$16"}</definedName>
    <definedName name="sfsfsfsfd" localSheetId="0" hidden="1">#REF!</definedName>
    <definedName name="sfsfsfsfd" hidden="1">#REF!</definedName>
    <definedName name="sgasgreg" localSheetId="0" hidden="1">#REF!</definedName>
    <definedName name="sgasgreg" hidden="1">#REF!</definedName>
    <definedName name="sgawt4r4" localSheetId="0" hidden="1">#REF!</definedName>
    <definedName name="sgawt4r4" hidden="1">#REF!</definedName>
    <definedName name="SGBR1200" localSheetId="0" hidden="1">#REF!</definedName>
    <definedName name="SGBR1200" hidden="1">#REF!</definedName>
    <definedName name="sgfdgdf" localSheetId="0" hidden="1">{"'Sheet1'!$L$16"}</definedName>
    <definedName name="sgfdgdf" hidden="1">{"'Sheet1'!$L$16"}</definedName>
    <definedName name="sgfhsdhe" localSheetId="0" hidden="1">{"'Sheet1'!$L$16"}</definedName>
    <definedName name="sgfhsdhe" hidden="1">{"'Sheet1'!$L$16"}</definedName>
    <definedName name="SGG" localSheetId="0" hidden="1">{"'Sheet1'!$L$16"}</definedName>
    <definedName name="SGG" hidden="1">{"'Sheet1'!$L$16"}</definedName>
    <definedName name="sgjhk" localSheetId="0" hidden="1">{"'Sheet1'!$L$16"}</definedName>
    <definedName name="sgjhk" hidden="1">{"'Sheet1'!$L$16"}</definedName>
    <definedName name="sgjyti" localSheetId="0" hidden="1">{"'Sheet1'!$L$16"}</definedName>
    <definedName name="sgjyti" hidden="1">{"'Sheet1'!$L$16"}</definedName>
    <definedName name="sgs" localSheetId="0" hidden="1">{"'Sheet1'!$L$16"}</definedName>
    <definedName name="sgs" hidden="1">{"'Sheet1'!$L$16"}</definedName>
    <definedName name="sgsdg" localSheetId="0" hidden="1">{"'Sheet1'!$L$16"}</definedName>
    <definedName name="sgsdg" hidden="1">{"'Sheet1'!$L$16"}</definedName>
    <definedName name="sgsr" localSheetId="0" hidden="1">{"'Sheet1'!$L$16"}</definedName>
    <definedName name="sgsr" hidden="1">{"'Sheet1'!$L$16"}</definedName>
    <definedName name="shee12" localSheetId="0" hidden="1">{"'Sheet1'!$L$16"}</definedName>
    <definedName name="shee12" hidden="1">{"'Sheet1'!$L$16"}</definedName>
    <definedName name="sheet" localSheetId="0" hidden="1">{"'Sheet1'!$L$16"}</definedName>
    <definedName name="sheet" hidden="1">{"'Sheet1'!$L$16"}</definedName>
    <definedName name="sheet1" localSheetId="10" hidden="1">{#N/A,#N/A,FALSE,"CCTV"}</definedName>
    <definedName name="sheet1" localSheetId="0" hidden="1">{#N/A,#N/A,FALSE,"CCTV"}</definedName>
    <definedName name="sheet1" hidden="1">{#N/A,#N/A,FALSE,"CCTV"}</definedName>
    <definedName name="SHEET100" localSheetId="0" hidden="1">#REF!</definedName>
    <definedName name="SHEET100" hidden="1">#REF!</definedName>
    <definedName name="Sheet2" localSheetId="10" hidden="1">{#N/A,#N/A,FALSE,"Sheet1"}</definedName>
    <definedName name="Sheet2" localSheetId="0" hidden="1">{#N/A,#N/A,FALSE,"Sheet1"}</definedName>
    <definedName name="Sheet2" hidden="1">{#N/A,#N/A,FALSE,"Sheet1"}</definedName>
    <definedName name="sheet3" localSheetId="10" hidden="1">{#N/A,#N/A,FALSE,"Sheet1"}</definedName>
    <definedName name="sheet3" localSheetId="0" hidden="1">{#N/A,#N/A,FALSE,"Sheet1"}</definedName>
    <definedName name="sheet3" hidden="1">{#N/A,#N/A,FALSE,"Sheet1"}</definedName>
    <definedName name="sheet4" localSheetId="0" hidden="1">{"NGUYEN QUI THIEP - Personal View",#N/A,FALSE,"XDCB.HT.FUR."}</definedName>
    <definedName name="sheet4" hidden="1">{"NGUYEN QUI THIEP - Personal View",#N/A,FALSE,"XDCB.HT.FUR."}</definedName>
    <definedName name="sheet5" localSheetId="0" hidden="1">{"'Sheet1'!$L$16"}</definedName>
    <definedName name="sheet5" hidden="1">{"'Sheet1'!$L$16"}</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ELTER_1" localSheetId="0" hidden="1">{#N/A,#N/A,TRUE,"Basic";#N/A,#N/A,TRUE,"EXT-TABLE";#N/A,#N/A,TRUE,"STEEL";#N/A,#N/A,TRUE,"INT-Table";#N/A,#N/A,TRUE,"STEEL";#N/A,#N/A,TRUE,"Door"}</definedName>
    <definedName name="SHELTER_1" hidden="1">{#N/A,#N/A,TRUE,"Basic";#N/A,#N/A,TRUE,"EXT-TABLE";#N/A,#N/A,TRUE,"STEEL";#N/A,#N/A,TRUE,"INT-Table";#N/A,#N/A,TRUE,"STEEL";#N/A,#N/A,TRUE,"Door"}</definedName>
    <definedName name="shfgskfj" localSheetId="0" hidden="1">{"'Sheet1'!$L$16"}</definedName>
    <definedName name="shfgskfj" hidden="1">{"'Sheet1'!$L$16"}</definedName>
    <definedName name="shsrhtr" localSheetId="0" hidden="1">{"'Sheet1'!$L$16"}</definedName>
    <definedName name="shsrhtr" hidden="1">{"'Sheet1'!$L$16"}</definedName>
    <definedName name="sHsVlNcCm" localSheetId="0" hidden="1">VALUE(IF(LEFT(OFFSET(Acell,0,-4),1)="A",dTHKP_HsVl,IF(LEFT(OFFSET(Acell,0,-4),1)="B",dTHKP_HsNc,dTHKP_HsCm)))</definedName>
    <definedName name="sHsVlNcCm" hidden="1">VALUE(IF(LEFT(OFFSET(Acell,0,-4),1)="A",dTHKP_HsVl,IF(LEFT(OFFSET(Acell,0,-4),1)="B",dTHKP_HsNc,dTHKP_HsCm)))</definedName>
    <definedName name="silo4" localSheetId="0" hidden="1">{"'ELEC'!$A$2:$H$216","'ELEC'!$C$2:$D$2"}</definedName>
    <definedName name="silo4" hidden="1">{"'ELEC'!$A$2:$H$216","'ELEC'!$C$2:$D$2"}</definedName>
    <definedName name="si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i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ITE_EXPENSE" localSheetId="0" hidden="1">#REF!</definedName>
    <definedName name="SITE_EXPENSE" hidden="1">#REF!</definedName>
    <definedName name="sjdbhfrr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ab3" localSheetId="0" hidden="1">#REF!</definedName>
    <definedName name="slab3" hidden="1">#REF!</definedName>
    <definedName name="sMh" localSheetId="0" hidden="1">IF(LEFT(OFFSET(Acell,0,-6),1)="1",dVTu_Mh,IF(LEFT(OFFSET(Acell,0,-6),1)="2",dNCong_Mh,dCMay_Mh))</definedName>
    <definedName name="sMh" hidden="1">IF(LEFT(OFFSET(Acell,0,-6),1)="1",dVTu_Mh,IF(LEFT(OFFSET(Acell,0,-6),1)="2",dNCong_Mh,dCMay_Mh))</definedName>
    <definedName name="sName" localSheetId="0" hidden="1">IF(LEFT(OFFSET(Acell,0,-6),1)="1",dVTu_Name,IF(LEFT(OFFSET(Acell,0,-6),1)="2",dNCong_Name,dCMay_Name))</definedName>
    <definedName name="sName" hidden="1">IF(LEFT(OFFSET(Acell,0,-6),1)="1",dVTu_Name,IF(LEFT(OFFSET(Acell,0,-6),1)="2",dNCong_Name,dCMay_Name))</definedName>
    <definedName name="sodu" localSheetId="0" hidden="1">{"'Sheet1'!$L$16"}</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localSheetId="0" hidden="1">{#N/A,#N/A,FALSE,"CCTV"}</definedName>
    <definedName name="SON" hidden="1">{#N/A,#N/A,FALSE,"CCTV"}</definedName>
    <definedName name="sort2" localSheetId="0" hidden="1">#REF!</definedName>
    <definedName name="sort2" hidden="1">#REF!</definedName>
    <definedName name="Sosanh2" localSheetId="0" hidden="1">{"'Sheet1'!$L$16"}</definedName>
    <definedName name="Sosanh2" hidden="1">{"'Sheet1'!$L$16"}</definedName>
    <definedName name="Spample" localSheetId="0" hidden="1">{"'Sheet1'!$L$16"}</definedName>
    <definedName name="Spample" hidden="1">{"'Sheet1'!$L$16"}</definedName>
    <definedName name="SpecialPrice" localSheetId="10" hidden="1">#REF!</definedName>
    <definedName name="SpecialPrice" hidden="1">#REF!</definedName>
    <definedName name="SQDA" localSheetId="0" hidden="1">#REF!</definedName>
    <definedName name="SQDA" hidden="1">#REF!</definedName>
    <definedName name="sqw" localSheetId="0" hidden="1">#REF!</definedName>
    <definedName name="sqw" hidden="1">#REF!</definedName>
    <definedName name="sRng" localSheetId="0" hidden="1">IF(LEFT(OFFSET(Acell,0,-6),1)="1",dVTu_Rng,IF(LEFT(OFFSET(Acell,0,-6),1)="2",dNCong_Rng,dCMay_Rng))</definedName>
    <definedName name="sRng" hidden="1">IF(LEFT(OFFSET(Acell,0,-6),1)="1",dVTu_Rng,IF(LEFT(OFFSET(Acell,0,-6),1)="2",dNCong_Rng,dCMay_Rng))</definedName>
    <definedName name="srth" localSheetId="0" hidden="1">{"'용역비'!$A$4:$C$8"}</definedName>
    <definedName name="srth" hidden="1">{"'용역비'!$A$4:$C$8"}</definedName>
    <definedName name="sscsd" localSheetId="0" hidden="1">{"'Sheet1'!$L$16"}</definedName>
    <definedName name="sscsd" hidden="1">{"'Sheet1'!$L$16"}</definedName>
    <definedName name="sse" localSheetId="0" hidden="1">#REF!</definedName>
    <definedName name="sse" hidden="1">#REF!</definedName>
    <definedName name="sseese" localSheetId="0" hidden="1">#REF!</definedName>
    <definedName name="sseese" hidden="1">#REF!</definedName>
    <definedName name="sss" localSheetId="10" hidden="1">{#N/A,#N/A,FALSE,"전력간선"}</definedName>
    <definedName name="sss" localSheetId="0" hidden="1">{#N/A,#N/A,FALSE,"전력간선"}</definedName>
    <definedName name="sss" hidden="1">{#N/A,#N/A,FALSE,"전력간선"}</definedName>
    <definedName name="sss_1" localSheetId="0" hidden="1">{#N/A,#N/A,TRUE,"Basic";#N/A,#N/A,TRUE,"EXT-TABLE";#N/A,#N/A,TRUE,"STEEL";#N/A,#N/A,TRUE,"INT-Table";#N/A,#N/A,TRUE,"STEEL";#N/A,#N/A,TRUE,"Door"}</definedName>
    <definedName name="sss_1" hidden="1">{#N/A,#N/A,TRUE,"Basic";#N/A,#N/A,TRUE,"EXT-TABLE";#N/A,#N/A,TRUE,"STEEL";#N/A,#N/A,TRUE,"INT-Table";#N/A,#N/A,TRUE,"STEEL";#N/A,#N/A,TRUE,"Door"}</definedName>
    <definedName name="sssdfds" localSheetId="0" hidden="1">#REF!</definedName>
    <definedName name="sssdfds" hidden="1">#REF!</definedName>
    <definedName name="sssdsdsd" localSheetId="0" hidden="1">#REF!</definedName>
    <definedName name="sssdsdsd" hidden="1">#REF!</definedName>
    <definedName name="ssss" localSheetId="0" hidden="1">#REF!</definedName>
    <definedName name="ssss" hidden="1">#REF!</definedName>
    <definedName name="ssss_1" localSheetId="0" hidden="1">{#N/A,#N/A,TRUE,"Basic";#N/A,#N/A,TRUE,"EXT-TABLE";#N/A,#N/A,TRUE,"STEEL";#N/A,#N/A,TRUE,"INT-Table";#N/A,#N/A,TRUE,"STEEL";#N/A,#N/A,TRUE,"Door"}</definedName>
    <definedName name="ssss_1" hidden="1">{#N/A,#N/A,TRUE,"Basic";#N/A,#N/A,TRUE,"EXT-TABLE";#N/A,#N/A,TRUE,"STEEL";#N/A,#N/A,TRUE,"INT-Table";#N/A,#N/A,TRUE,"STEEL";#N/A,#N/A,TRUE,"Door"}</definedName>
    <definedName name="ssssc" localSheetId="0" hidden="1">#REF!</definedName>
    <definedName name="ssssc" hidden="1">#REF!</definedName>
    <definedName name="sssss" localSheetId="0" hidden="1">{#N/A,#N/A,FALSE,"운반시간"}</definedName>
    <definedName name="sssss" hidden="1">{#N/A,#N/A,FALSE,"운반시간"}</definedName>
    <definedName name="ssssss" localSheetId="0" hidden="1">{#N/A,#N/A,FALSE,"PROCUREMENT"}</definedName>
    <definedName name="ssssss" hidden="1">{#N/A,#N/A,FALSE,"PROCUREMENT"}</definedName>
    <definedName name="ssssssss" localSheetId="0"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ssssssss" localSheetId="0" hidden="1">{#N/A,#N/A,FALSE,"Chi tiÆt"}</definedName>
    <definedName name="sssssssss" hidden="1">{#N/A,#N/A,FALSE,"Chi tiÆt"}</definedName>
    <definedName name="STJST" localSheetId="0" hidden="1">{"'Sheet1'!$L$16"}</definedName>
    <definedName name="STJST" hidden="1">{"'Sheet1'!$L$16"}</definedName>
    <definedName name="STS" localSheetId="0" hidden="1">{"'용역비'!$A$4:$C$8"}</definedName>
    <definedName name="STS" hidden="1">{"'용역비'!$A$4:$C$8"}</definedName>
    <definedName name="sualoixm" localSheetId="0" hidden="1">{"Offgrid",#N/A,FALSE,"OFFGRID";"Region",#N/A,FALSE,"REGION";"Offgrid -2",#N/A,FALSE,"OFFGRID";"WTP",#N/A,FALSE,"WTP";"WTP -2",#N/A,FALSE,"WTP";"Project",#N/A,FALSE,"PROJECT";"Summary -2",#N/A,FALSE,"SUMMARY"}</definedName>
    <definedName name="sualoixm" hidden="1">{"Offgrid",#N/A,FALSE,"OFFGRID";"Region",#N/A,FALSE,"REGION";"Offgrid -2",#N/A,FALSE,"OFFGRID";"WTP",#N/A,FALSE,"WTP";"WTP -2",#N/A,FALSE,"WTP";"Project",#N/A,FALSE,"PROJECT";"Summary -2",#N/A,FALSE,"SUMMARY"}</definedName>
    <definedName name="sum_1" localSheetId="0" hidden="1">{#N/A,#N/A,TRUE,"Basic";#N/A,#N/A,TRUE,"EXT-TABLE";#N/A,#N/A,TRUE,"STEEL";#N/A,#N/A,TRUE,"INT-Table";#N/A,#N/A,TRUE,"STEEL";#N/A,#N/A,TRUE,"Door"}</definedName>
    <definedName name="sum_1" hidden="1">{#N/A,#N/A,TRUE,"Basic";#N/A,#N/A,TRUE,"EXT-TABLE";#N/A,#N/A,TRUE,"STEEL";#N/A,#N/A,TRUE,"INT-Table";#N/A,#N/A,TRUE,"STEEL";#N/A,#N/A,TRUE,"Door"}</definedName>
    <definedName name="Sum_Ins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imasenn" localSheetId="0" hidden="1">{"'Sheet1'!$L$16"}</definedName>
    <definedName name="sumimasenn" hidden="1">{"'Sheet1'!$L$16"}</definedName>
    <definedName name="summ" localSheetId="0" hidden="1">#REF!</definedName>
    <definedName name="summ" hidden="1">#REF!</definedName>
    <definedName name="summar" localSheetId="0" hidden="1">{#N/A,#N/A,TRUE,"SUM";#N/A,#N/A,TRUE,"EE";#N/A,#N/A,TRUE,"AC";#N/A,#N/A,TRUE,"SN"}</definedName>
    <definedName name="summar" hidden="1">{#N/A,#N/A,TRUE,"SUM";#N/A,#N/A,TRUE,"EE";#N/A,#N/A,TRUE,"AC";#N/A,#N/A,TRUE,"SN"}</definedName>
    <definedName name="svsd" localSheetId="0" hidden="1">#REF!</definedName>
    <definedName name="svsd" hidden="1">#REF!</definedName>
    <definedName name="svsdd" localSheetId="0" hidden="1">#REF!</definedName>
    <definedName name="svsdd" hidden="1">#REF!</definedName>
    <definedName name="SW" hidden="1">#N/A</definedName>
    <definedName name="sy" localSheetId="0" hidden="1">#REF!</definedName>
    <definedName name="sy" hidden="1">#REF!</definedName>
    <definedName name="szdasda" localSheetId="0" hidden="1">{#N/A,#N/A,FALSE,"Chi tiÆt"}</definedName>
    <definedName name="szdasda" hidden="1">{#N/A,#N/A,FALSE,"Chi tiÆt"}</definedName>
    <definedName name="T.3" localSheetId="0" hidden="1">{"'Sheet1'!$L$16"}</definedName>
    <definedName name="T.3" hidden="1">{"'Sheet1'!$L$16"}</definedName>
    <definedName name="T1PC" localSheetId="0" hidden="1">{"'Sheet1'!$L$16"}</definedName>
    <definedName name="T1PC" hidden="1">{"'Sheet1'!$L$16"}</definedName>
    <definedName name="T7Q3" localSheetId="0" hidden="1">{"'Sheet1'!$L$16"}</definedName>
    <definedName name="T7Q3" hidden="1">{"'Sheet1'!$L$16"}</definedName>
    <definedName name="TamdanTB" localSheetId="0" hidden="1">{"'Sheet1'!$L$16"}</definedName>
    <definedName name="TamdanTB" hidden="1">{"'Sheet1'!$L$16"}</definedName>
    <definedName name="tamm" localSheetId="0" hidden="1">{"'Sheet1'!$L$16"}</definedName>
    <definedName name="tamm" hidden="1">{"'Sheet1'!$L$16"}</definedName>
    <definedName name="tammm" localSheetId="0" hidden="1">{"'Sheet1'!$L$16"}</definedName>
    <definedName name="tammm" hidden="1">{"'Sheet1'!$L$16"}</definedName>
    <definedName name="tammmm" localSheetId="0" hidden="1">{#N/A,#N/A,FALSE,"Chi tiÆt"}</definedName>
    <definedName name="tammmm" hidden="1">{#N/A,#N/A,FALSE,"Chi tiÆt"}</definedName>
    <definedName name="tan" localSheetId="0" hidden="1">{"'Sheet1'!$L$16"}</definedName>
    <definedName name="tan" hidden="1">{"'Sheet1'!$L$16"}</definedName>
    <definedName name="tao" localSheetId="0" hidden="1">{"'Sheet1'!$L$16"}</definedName>
    <definedName name="tao" hidden="1">{"'Sheet1'!$L$16"}</definedName>
    <definedName name="tªtrt" localSheetId="0" hidden="1">{"'Sheet1'!$L$16"}</definedName>
    <definedName name="tªtrt" hidden="1">{"'Sheet1'!$L$16"}</definedName>
    <definedName name="taun" localSheetId="0" hidden="1">{"'Sheet1'!$L$16"}</definedName>
    <definedName name="taun" hidden="1">{"'Sheet1'!$L$16"}</definedName>
    <definedName name="tbao" localSheetId="0" hidden="1">{"'Sheet1'!$L$16"}</definedName>
    <definedName name="tbao" hidden="1">{"'Sheet1'!$L$16"}</definedName>
    <definedName name="tbl_ProdInfo" localSheetId="10" hidden="1">#REF!</definedName>
    <definedName name="tbl_ProdInfo" hidden="1">#REF!</definedName>
    <definedName name="tchi" localSheetId="0" hidden="1">{"'Sheet1'!$L$16"}</definedName>
    <definedName name="tchi" hidden="1">{"'Sheet1'!$L$16"}</definedName>
    <definedName name="TDTBA" localSheetId="0" hidden="1">{"'Sheet1'!$L$16"}</definedName>
    <definedName name="TDTBA" hidden="1">{"'Sheet1'!$L$16"}</definedName>
    <definedName name="tecco" localSheetId="0" hidden="1">{"'Sheet1'!$L$16"}</definedName>
    <definedName name="tecco" hidden="1">{"'Sheet1'!$L$16"}</definedName>
    <definedName name="technical" localSheetId="0" hidden="1">#REF!</definedName>
    <definedName name="technical" hidden="1">#REF!</definedName>
    <definedName name="tem" localSheetId="0" hidden="1">{"'Sheet1'!$L$16"}</definedName>
    <definedName name="tem" hidden="1">{"'Sheet1'!$L$16"}</definedName>
    <definedName name="tet" localSheetId="0" hidden="1">{0,#NULL!,0,FALSE;0,0,0,0;0,0,0,7.29290327383173E-304;0,0,0,0;0,0,0,0;0,0,0,0;0,0,0,0}</definedName>
    <definedName name="tet" hidden="1">{0,#NULL!,0,FALSE;0,0,0,0;0,0,0,7.29290327383173E-304;0,0,0,0;0,0,0,0;0,0,0,0;0,0,0,0}</definedName>
    <definedName name="TEWGDSGVDSFGVDSVGSD" localSheetId="0" hidden="1">{#N/A,#N/A,FALSE,"운반시간"}</definedName>
    <definedName name="TEWGDSGVDSFGVDSVGSD" hidden="1">{#N/A,#N/A,FALSE,"운반시간"}</definedName>
    <definedName name="TEWRE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11</definedName>
    <definedName name="tểt" localSheetId="0" hidden="1">{"'Sheet1'!$L$16"}</definedName>
    <definedName name="tểt" hidden="1">{"'Sheet1'!$L$16"}</definedName>
    <definedName name="TF" localSheetId="0" hidden="1">{#N/A,#N/A,FALSE,"운반시간"}</definedName>
    <definedName name="TF" hidden="1">{#N/A,#N/A,FALSE,"운반시간"}</definedName>
    <definedName name="tfrefefewfrefe" localSheetId="0" hidden="1">{#N/A,#N/A,FALSE,"Chi tiÆt"}</definedName>
    <definedName name="tfrefefewfrefe" hidden="1">{#N/A,#N/A,FALSE,"Chi tiÆt"}</definedName>
    <definedName name="TFUI" localSheetId="0" hidden="1">{"'용역비'!$A$4:$C$8"}</definedName>
    <definedName name="TFUI" hidden="1">{"'용역비'!$A$4:$C$8"}</definedName>
    <definedName name="TGNH" localSheetId="0" hidden="1">{"'Sheet1'!$L$16"}</definedName>
    <definedName name="TGNH" hidden="1">{"'Sheet1'!$L$16"}</definedName>
    <definedName name="tgưgz" localSheetId="0" hidden="1">{"'Sheet1'!$L$16"}</definedName>
    <definedName name="tgưgz" hidden="1">{"'Sheet1'!$L$16"}</definedName>
    <definedName name="tidf" localSheetId="0" hidden="1">{"'Sheet1'!$L$16"}</definedName>
    <definedName name="tidf" hidden="1">{"'Sheet1'!$L$16"}</definedName>
    <definedName name="TIM" localSheetId="0" hidden="1">{"'Sheet1'!$L$16"}</definedName>
    <definedName name="TIM" hidden="1">{"'Sheet1'!$L$16"}</definedName>
    <definedName name="TINH" localSheetId="0" hidden="1">{#N/A,#N/A,FALSE,"CCTV"}</definedName>
    <definedName name="TINH" hidden="1">{#N/A,#N/A,FALSE,"CCTV"}</definedName>
    <definedName name="tirirn" localSheetId="0" hidden="1">{"'Sheet1'!$L$16"}</definedName>
    <definedName name="tirirn" hidden="1">{"'Sheet1'!$L$16"}</definedName>
    <definedName name="titittttttt" localSheetId="0" hidden="1">#REF!</definedName>
    <definedName name="titittttttt" hidden="1">#REF!</definedName>
    <definedName name="tityiyiy" localSheetId="0" hidden="1">#REF!</definedName>
    <definedName name="tityiyiy" hidden="1">#REF!</definedName>
    <definedName name="tjhrfgth" localSheetId="0" hidden="1">#REF!</definedName>
    <definedName name="tjhrfgth" hidden="1">#REF!</definedName>
    <definedName name="tjhtrjntrsjnsr" localSheetId="0" hidden="1">{"'Sheet1'!$L$16"}</definedName>
    <definedName name="tjhtrjntrsjnsr" hidden="1">{"'Sheet1'!$L$16"}</definedName>
    <definedName name="TL" localSheetId="0" hidden="1">{#N/A,#N/A,FALSE,"Chi tiÆt"}</definedName>
    <definedName name="TL" hidden="1">{#N/A,#N/A,FALSE,"Chi tiÆt"}</definedName>
    <definedName name="TLPMG" localSheetId="0" hidden="1">{"'Sheet1'!$L$16"}</definedName>
    <definedName name="TLPMG" hidden="1">{"'Sheet1'!$L$16"}</definedName>
    <definedName name="TNNR" localSheetId="0" hidden="1">{#N/A,#N/A,FALSE,"이정표"}</definedName>
    <definedName name="TNNR" hidden="1">{#N/A,#N/A,FALSE,"이정표"}</definedName>
    <definedName name="tntn" localSheetId="0" hidden="1">{"'Sheet1'!$L$16"}</definedName>
    <definedName name="tntn" hidden="1">{"'Sheet1'!$L$16"}</definedName>
    <definedName name="toan" localSheetId="0" hidden="1">{"'Sheet1'!$L$16"}</definedName>
    <definedName name="toan" hidden="1">{"'Sheet1'!$L$16"}</definedName>
    <definedName name="TOK" localSheetId="0" hidden="1">#REF!</definedName>
    <definedName name="TOK" hidden="1">#REF!</definedName>
    <definedName name="tol" localSheetId="0" hidden="1">{"'Sheet1'!$L$16"}</definedName>
    <definedName name="tol" hidden="1">{"'Sheet1'!$L$16"}</definedName>
    <definedName name="TongMuc" localSheetId="0" hidden="1">#REF!</definedName>
    <definedName name="TongMuc" hidden="1">#REF!</definedName>
    <definedName name="tÓtrte" localSheetId="0" hidden="1">{"'Sheet1'!$L$16"}</definedName>
    <definedName name="tÓtrte" hidden="1">{"'Sheet1'!$L$16"}</definedName>
    <definedName name="TSUPPOT" localSheetId="0" hidden="1">{#N/A,#N/A,FALSE,"CCTV"}</definedName>
    <definedName name="TSUPPOT" hidden="1">{#N/A,#N/A,FALSE,"CCTV"}</definedName>
    <definedName name="TT_Key1" localSheetId="0" hidden="1">#REF!</definedName>
    <definedName name="TT_Key1" hidden="1">#REF!</definedName>
    <definedName name="TTlan2" localSheetId="0" hidden="1">{"'Sheet1'!$L$16"}</definedName>
    <definedName name="TTlan2" hidden="1">{"'Sheet1'!$L$16"}</definedName>
    <definedName name="ttoan" localSheetId="0" hidden="1">{"'Sheet1'!$L$16"}</definedName>
    <definedName name="ttoan" hidden="1">{"'Sheet1'!$L$16"}</definedName>
    <definedName name="TTSC" localSheetId="0" hidden="1">{"'Sheet1'!$L$16"}</definedName>
    <definedName name="TTSC" hidden="1">{"'Sheet1'!$L$16"}</definedName>
    <definedName name="tttt" localSheetId="10" hidden="1">{"'Sheet1'!$L$16"}</definedName>
    <definedName name="tttt" localSheetId="0" hidden="1">{"'Sheet1'!$L$16"}</definedName>
    <definedName name="tttt" hidden="1">{"'Sheet1'!$L$16"}</definedName>
    <definedName name="ttttt" localSheetId="0" hidden="1">{#N/A,#N/A,FALSE,"지침";#N/A,#N/A,FALSE,"환경분석";#N/A,#N/A,FALSE,"Sheet16"}</definedName>
    <definedName name="ttttt" hidden="1">{#N/A,#N/A,FALSE,"지침";#N/A,#N/A,FALSE,"환경분석";#N/A,#N/A,FALSE,"Sheet16"}</definedName>
    <definedName name="ｔｔｔｔｔ" localSheetId="0" hidden="1">{"'Sheet1'!$L$16"}</definedName>
    <definedName name="ｔｔｔｔｔ" hidden="1">{"'Sheet1'!$L$16"}</definedName>
    <definedName name="tttttt" localSheetId="0" hidden="1">{#N/A,#N/A,FALSE,"Chi tiÆt"}</definedName>
    <definedName name="tttttt" hidden="1">{#N/A,#N/A,FALSE,"Chi tiÆt"}</definedName>
    <definedName name="TTTTRFS" localSheetId="0" hidden="1">{#N/A,#N/A,FALSE,"운반시간"}</definedName>
    <definedName name="TTTTRFS" hidden="1">{#N/A,#N/A,FALSE,"운반시간"}</definedName>
    <definedName name="TTHU" localSheetId="0" hidden="1">{"'Sheet1'!$L$16"}</definedName>
    <definedName name="TTHU" hidden="1">{"'Sheet1'!$L$16"}</definedName>
    <definedName name="ttr" localSheetId="0" hidden="1">{"'Sheet1'!$L$16"}</definedName>
    <definedName name="ttr" hidden="1">{"'Sheet1'!$L$16"}</definedName>
    <definedName name="TU." localSheetId="0" hidden="1">#REF!</definedName>
    <definedName name="TU." hidden="1">#REF!</definedName>
    <definedName name="tuam" localSheetId="0" hidden="1">{"'Sheet1'!$L$16"}</definedName>
    <definedName name="tuam" hidden="1">{"'Sheet1'!$L$16"}</definedName>
    <definedName name="tuan" localSheetId="0" hidden="1">#REF!</definedName>
    <definedName name="tuan" hidden="1">#REF!</definedName>
    <definedName name="tuan03" localSheetId="0" hidden="1">{"'Sheet1'!$L$16"}</definedName>
    <definedName name="tuan03" hidden="1">{"'Sheet1'!$L$16"}</definedName>
    <definedName name="tuan1" localSheetId="0" hidden="1">#REF!</definedName>
    <definedName name="tuan1" hidden="1">#REF!</definedName>
    <definedName name="tuan123456" localSheetId="0" hidden="1">{"'Sheet1'!$L$16"}</definedName>
    <definedName name="tuan123456" hidden="1">{"'Sheet1'!$L$16"}</definedName>
    <definedName name="tuan2" localSheetId="0" hidden="1">{"'Sheet1'!$L$16"}</definedName>
    <definedName name="tuan2" hidden="1">{"'Sheet1'!$L$16"}</definedName>
    <definedName name="TUANKHANHTUYET45" localSheetId="0" hidden="1">{0}</definedName>
    <definedName name="TUANKHANHTUYET45" hidden="1">{0}</definedName>
    <definedName name="tuannn" localSheetId="0" hidden="1">{"'Sheet1'!$L$16"}</definedName>
    <definedName name="tuannn" hidden="1">{"'Sheet1'!$L$16"}</definedName>
    <definedName name="TUBE" localSheetId="0" hidden="1">{#N/A,#N/A,FALSE,"CCTV"}</definedName>
    <definedName name="TUBE" hidden="1">{#N/A,#N/A,FALSE,"CCTV"}</definedName>
    <definedName name="tuilol" localSheetId="0" hidden="1">{"'용역비'!$A$4:$C$8"}</definedName>
    <definedName name="tuilol" hidden="1">{"'용역비'!$A$4:$C$8"}</definedName>
    <definedName name="TUONG" localSheetId="0" hidden="1">#REF!</definedName>
    <definedName name="TUONG" hidden="1">#REF!</definedName>
    <definedName name="turtu" localSheetId="0" hidden="1">#REF!</definedName>
    <definedName name="turtu" hidden="1">#REF!</definedName>
    <definedName name="tuurtur" localSheetId="0" hidden="1">{"'Sheet1'!$L$16"}</definedName>
    <definedName name="tuurtur" hidden="1">{"'Sheet1'!$L$16"}</definedName>
    <definedName name="tuy" localSheetId="0" hidden="1">{"'Sheet1'!$L$16"}</definedName>
    <definedName name="tuy" hidden="1">{"'Sheet1'!$L$16"}</definedName>
    <definedName name="tuyennhanh" localSheetId="0" hidden="1">{"'Sheet1'!$L$16"}</definedName>
    <definedName name="tuyennhanh" hidden="1">{"'Sheet1'!$L$16"}</definedName>
    <definedName name="tuyet" localSheetId="0" hidden="1">{"'Sheet1'!$L$16"}</definedName>
    <definedName name="tuyet" hidden="1">{"'Sheet1'!$L$16"}</definedName>
    <definedName name="tuynen" localSheetId="0" hidden="1">{"'Sheet1'!$L$16"}</definedName>
    <definedName name="tuynen" hidden="1">{"'Sheet1'!$L$16"}</definedName>
    <definedName name="TY" localSheetId="0" hidden="1">#REF!</definedName>
    <definedName name="TY" hidden="1">#REF!</definedName>
    <definedName name="TYHFDGFD" localSheetId="0" hidden="1">{#N/A,#N/A,FALSE,"배수2"}</definedName>
    <definedName name="TYHFDGFD" hidden="1">{#N/A,#N/A,FALSE,"배수2"}</definedName>
    <definedName name="TYJ" localSheetId="0" hidden="1">{"'용역비'!$A$4:$C$8"}</definedName>
    <definedName name="TYJ" hidden="1">{"'용역비'!$A$4:$C$8"}</definedName>
    <definedName name="tyje" localSheetId="0" hidden="1">{"'용역비'!$A$4:$C$8"}</definedName>
    <definedName name="tyje" hidden="1">{"'용역비'!$A$4:$C$8"}</definedName>
    <definedName name="tyjet" localSheetId="0" hidden="1">{"'용역비'!$A$4:$C$8"}</definedName>
    <definedName name="tyjet" hidden="1">{"'용역비'!$A$4:$C$8"}</definedName>
    <definedName name="TYJTJMMHJM" localSheetId="0" hidden="1">{"'Sheet1'!$L$16"}</definedName>
    <definedName name="TYJTJMMHJM" hidden="1">{"'Sheet1'!$L$16"}</definedName>
    <definedName name="TYTYYTY" localSheetId="0" hidden="1">{"'Sheet1'!$L$16"}</definedName>
    <definedName name="TYTYYTY" hidden="1">{"'Sheet1'!$L$16"}</definedName>
    <definedName name="tytr" localSheetId="0" hidden="1">#REF!</definedName>
    <definedName name="tytr" hidden="1">#REF!</definedName>
    <definedName name="tytryrt" localSheetId="0" hidden="1">#REF!</definedName>
    <definedName name="tytryrt" hidden="1">#REF!</definedName>
    <definedName name="tyu" localSheetId="0" hidden="1">{"'용역비'!$A$4:$C$8"}</definedName>
    <definedName name="tyu" hidden="1">{"'용역비'!$A$4:$C$8"}</definedName>
    <definedName name="tyyuy" localSheetId="0" hidden="1">{"'장비'!$A$3:$M$12"}</definedName>
    <definedName name="tyyuy" hidden="1">{"'장비'!$A$3:$M$12"}</definedName>
    <definedName name="TH" localSheetId="0" hidden="1">{#N/A,#N/A,FALSE,"Chi tiÆt"}</definedName>
    <definedName name="TH" hidden="1">{#N/A,#N/A,FALSE,"Chi tiÆt"}</definedName>
    <definedName name="tha" localSheetId="10" hidden="1">{"'Sheet1'!$L$16"}</definedName>
    <definedName name="tha" localSheetId="0" hidden="1">{"'Sheet1'!$L$16"}</definedName>
    <definedName name="tha" hidden="1">{"'Sheet1'!$L$16"}</definedName>
    <definedName name="thai" localSheetId="0" hidden="1">{"'Sheet1'!$L$16"}</definedName>
    <definedName name="thai" hidden="1">{"'Sheet1'!$L$16"}</definedName>
    <definedName name="thang" localSheetId="0" hidden="1">{"'Sheet1'!$L$16"}</definedName>
    <definedName name="thang" hidden="1">{"'Sheet1'!$L$16"}</definedName>
    <definedName name="Thang1" localSheetId="0" hidden="1">{"'Sheet1'!$L$16"}</definedName>
    <definedName name="Thang1" hidden="1">{"'Sheet1'!$L$16"}</definedName>
    <definedName name="thang10" localSheetId="0" hidden="1">{"'Sheet1'!$L$16"}</definedName>
    <definedName name="thang10" hidden="1">{"'Sheet1'!$L$16"}</definedName>
    <definedName name="Thang12" localSheetId="0" hidden="1">{"'Sheet1'!$L$16"}</definedName>
    <definedName name="Thang12" hidden="1">{"'Sheet1'!$L$16"}</definedName>
    <definedName name="thang13" localSheetId="0" hidden="1">{"'Sheet1'!$L$16"}</definedName>
    <definedName name="thang13" hidden="1">{"'Sheet1'!$L$16"}</definedName>
    <definedName name="thang2" localSheetId="0" hidden="1">{"'Sheet1'!$L$16"}</definedName>
    <definedName name="thang2" hidden="1">{"'Sheet1'!$L$16"}</definedName>
    <definedName name="THANH" localSheetId="0" hidden="1">{"'Sheet1'!$L$16"}</definedName>
    <definedName name="THANH" hidden="1">{"'Sheet1'!$L$16"}</definedName>
    <definedName name="thanhluan" localSheetId="0" hidden="1">#REF!</definedName>
    <definedName name="thanhluan" hidden="1">#REF!</definedName>
    <definedName name="thanhtoankl" localSheetId="0" hidden="1">{"'Sheet1'!$L$16"}</definedName>
    <definedName name="thanhtoankl" hidden="1">{"'Sheet1'!$L$16"}</definedName>
    <definedName name="thao1" localSheetId="0" hidden="1">{"'Sheet1'!$L$16"}</definedName>
    <definedName name="thao1" hidden="1">{"'Sheet1'!$L$16"}</definedName>
    <definedName name="thao2" localSheetId="0" hidden="1">{"'Sheet1'!$L$16"}</definedName>
    <definedName name="thao2" hidden="1">{"'Sheet1'!$L$16"}</definedName>
    <definedName name="THC" localSheetId="0" hidden="1">{"'Sheet1'!$L$16"}</definedName>
    <definedName name="THC" hidden="1">{"'Sheet1'!$L$16"}</definedName>
    <definedName name="THCP2" localSheetId="0" hidden="1">{"'Sheet1'!$L$16"}</definedName>
    <definedName name="THCP2" hidden="1">{"'Sheet1'!$L$16"}</definedName>
    <definedName name="THCPCTD" localSheetId="0" hidden="1">{"'Sheet1'!$L$16"}</definedName>
    <definedName name="THCPCTD" hidden="1">{"'Sheet1'!$L$16"}</definedName>
    <definedName name="THDT" localSheetId="0" hidden="1">{"'Sheet1'!$L$16"}</definedName>
    <definedName name="THDT" hidden="1">{"'Sheet1'!$L$16"}</definedName>
    <definedName name="them01" localSheetId="0" hidden="1">#REF!</definedName>
    <definedName name="them01" hidden="1">#REF!</definedName>
    <definedName name="THEPB18T7" localSheetId="0" hidden="1">{"'Sheet1'!$L$16"}</definedName>
    <definedName name="THEPB18T7" hidden="1">{"'Sheet1'!$L$16"}</definedName>
    <definedName name="Thepsan" localSheetId="0" hidden="1">{"'Sheet1'!$L$16"}</definedName>
    <definedName name="Thepsan" hidden="1">{"'Sheet1'!$L$16"}</definedName>
    <definedName name="thepsan2" localSheetId="0" hidden="1">{"'Sheet1'!$L$16"}</definedName>
    <definedName name="thepsan2" hidden="1">{"'Sheet1'!$L$16"}</definedName>
    <definedName name="THG" localSheetId="0" hidden="1">{"'Sheet1'!$L$16"}</definedName>
    <definedName name="THG" hidden="1">{"'Sheet1'!$L$16"}</definedName>
    <definedName name="thgh" localSheetId="0" hidden="1">{"'Sheet1'!$L$16"}</definedName>
    <definedName name="thgh" hidden="1">{"'Sheet1'!$L$16"}</definedName>
    <definedName name="THGT" localSheetId="0" hidden="1">{"'Sheet1'!$L$16"}</definedName>
    <definedName name="THGT" hidden="1">{"'Sheet1'!$L$16"}</definedName>
    <definedName name="thgtr" localSheetId="0" hidden="1">#REF!</definedName>
    <definedName name="thgtr" hidden="1">#REF!</definedName>
    <definedName name="THHD" localSheetId="0" hidden="1">{"'Sheet1'!$L$16"}</definedName>
    <definedName name="THHD" hidden="1">{"'Sheet1'!$L$16"}</definedName>
    <definedName name="THHVT" localSheetId="0" hidden="1">{"'Sheet1'!$L$16"}</definedName>
    <definedName name="THHVT" hidden="1">{"'Sheet1'!$L$16"}</definedName>
    <definedName name="Thietbi" localSheetId="0" hidden="1">{"'Sheet1'!$L$16"}</definedName>
    <definedName name="Thietbi" hidden="1">{"'Sheet1'!$L$16"}</definedName>
    <definedName name="THKLDD" localSheetId="0" hidden="1">{"'Sheet1'!$L$16"}</definedName>
    <definedName name="THKLDD" hidden="1">{"'Sheet1'!$L$16"}</definedName>
    <definedName name="THKP7YT" localSheetId="0" hidden="1">{"'Sheet1'!$L$16"}</definedName>
    <definedName name="THKP7YT" hidden="1">{"'Sheet1'!$L$16"}</definedName>
    <definedName name="THKPBS" localSheetId="0" hidden="1">{"'Sheet1'!$L$16"}</definedName>
    <definedName name="THKPBS" hidden="1">{"'Sheet1'!$L$16"}</definedName>
    <definedName name="THKPM8" localSheetId="0" hidden="1">{"'Sheet1'!$L$16"}</definedName>
    <definedName name="THKPM8" hidden="1">{"'Sheet1'!$L$16"}</definedName>
    <definedName name="THLeloi" localSheetId="0" hidden="1">{"'Sheet1'!$L$16"}</definedName>
    <definedName name="THLeloi" hidden="1">{"'Sheet1'!$L$16"}</definedName>
    <definedName name="thng" localSheetId="0" hidden="1">{#N/A,#N/A,FALSE,"Chi tiÆt"}</definedName>
    <definedName name="thng" hidden="1">{#N/A,#N/A,FALSE,"Chi tiÆt"}</definedName>
    <definedName name="THNgHue" localSheetId="0" hidden="1">{"'Sheet1'!$L$16"}</definedName>
    <definedName name="THNgHue" hidden="1">{"'Sheet1'!$L$16"}</definedName>
    <definedName name="THNgThHoc" localSheetId="0" hidden="1">{"'Sheet1'!$L$16"}</definedName>
    <definedName name="THNgThHoc" hidden="1">{"'Sheet1'!$L$16"}</definedName>
    <definedName name="thopsohoc" localSheetId="0" hidden="1">{"Offgrid",#N/A,FALSE,"OFFGRID";"Region",#N/A,FALSE,"REGION";"Offgrid -2",#N/A,FALSE,"OFFGRID";"WTP",#N/A,FALSE,"WTP";"WTP -2",#N/A,FALSE,"WTP";"Project",#N/A,FALSE,"PROJECT";"Summary -2",#N/A,FALSE,"SUMMARY"}</definedName>
    <definedName name="thopsohoc" hidden="1">{"Offgrid",#N/A,FALSE,"OFFGRID";"Region",#N/A,FALSE,"REGION";"Offgrid -2",#N/A,FALSE,"OFFGRID";"WTP",#N/A,FALSE,"WTP";"WTP -2",#N/A,FALSE,"WTP";"Project",#N/A,FALSE,"PROJECT";"Summary -2",#N/A,FALSE,"SUMMARY"}</definedName>
    <definedName name="THQT" localSheetId="0" hidden="1">{#N/A,#N/A,FALSE,"Chi tiÆt"}</definedName>
    <definedName name="THQT" hidden="1">{#N/A,#N/A,FALSE,"Chi tiÆt"}</definedName>
    <definedName name="thqtpsg" localSheetId="0" hidden="1">{"'Sheet1'!$L$16"}</definedName>
    <definedName name="thqtpsg" hidden="1">{"'Sheet1'!$L$16"}</definedName>
    <definedName name="THQuiCapChan" localSheetId="0" hidden="1">{"'Sheet1'!$L$16"}</definedName>
    <definedName name="THQuiCapChan" hidden="1">{"'Sheet1'!$L$16"}</definedName>
    <definedName name="thQuicaple" localSheetId="0" hidden="1">{"'Sheet1'!$L$16"}</definedName>
    <definedName name="thQuicaple" hidden="1">{"'Sheet1'!$L$16"}</definedName>
    <definedName name="tht" localSheetId="0" hidden="1">{"'Sheet1'!$L$16"}</definedName>
    <definedName name="tht" hidden="1">{"'Sheet1'!$L$16"}</definedName>
    <definedName name="thtyhyjyjyjyjjjyujyj" localSheetId="0" hidden="1">#REF!</definedName>
    <definedName name="thtyhyjyjyjyjjjyujyj" hidden="1">#REF!</definedName>
    <definedName name="thtyr" localSheetId="0" hidden="1">#REF!</definedName>
    <definedName name="thtyr" hidden="1">#REF!</definedName>
    <definedName name="THTranPhu" localSheetId="0" hidden="1">{"'Sheet1'!$L$16"}</definedName>
    <definedName name="THTranPhu" hidden="1">{"'Sheet1'!$L$16"}</definedName>
    <definedName name="thu" localSheetId="0" hidden="1">{"'Sheet1'!$L$16"}</definedName>
    <definedName name="thu" hidden="1">{"'Sheet1'!$L$16"}</definedName>
    <definedName name="THUAN" localSheetId="0" hidden="1">{#N/A,#N/A,FALSE,"CCTV"}</definedName>
    <definedName name="THUAN" hidden="1">{#N/A,#N/A,FALSE,"CCTV"}</definedName>
    <definedName name="thuat" localSheetId="0" hidden="1">{"'Sheet1'!$L$16"}</definedName>
    <definedName name="thuat" hidden="1">{"'Sheet1'!$L$16"}</definedName>
    <definedName name="Thuong" localSheetId="0" hidden="1">{"'Sheet1'!$L$16"}</definedName>
    <definedName name="Thuong" hidden="1">{"'Sheet1'!$L$16"}</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HVT" localSheetId="0" hidden="1">{"'ELEC'!$A$2:$H$216","'ELEC'!$C$2:$D$2"}</definedName>
    <definedName name="THVT" hidden="1">{"'ELEC'!$A$2:$H$216","'ELEC'!$C$2:$D$2"}</definedName>
    <definedName name="THXD2" localSheetId="0" hidden="1">{"'Sheet1'!$L$16"}</definedName>
    <definedName name="THXD2" hidden="1">{"'Sheet1'!$L$16"}</definedName>
    <definedName name="Tram" localSheetId="0" hidden="1">{"'Sheet1'!$L$16"}</definedName>
    <definedName name="Tram" hidden="1">{"'Sheet1'!$L$16"}</definedName>
    <definedName name="trbrbb" localSheetId="0" hidden="1">#REF!</definedName>
    <definedName name="trbrbb" hidden="1">#REF!</definedName>
    <definedName name="tre" localSheetId="0" hidden="1">{#N/A,#N/A,FALSE,"Chi tiÆt"}</definedName>
    <definedName name="tre" hidden="1">{#N/A,#N/A,FALSE,"Chi tiÆt"}</definedName>
    <definedName name="treerrt" localSheetId="0" hidden="1">#REF!</definedName>
    <definedName name="treerrt" hidden="1">#REF!</definedName>
    <definedName name="trieu" localSheetId="0" hidden="1">{"'Sheet1'!$L$16"}</definedName>
    <definedName name="trieu" hidden="1">{"'Sheet1'!$L$16"}</definedName>
    <definedName name="trprrprp" localSheetId="0" hidden="1">#REF!</definedName>
    <definedName name="trprrprp" hidden="1">#REF!</definedName>
    <definedName name="trr" localSheetId="0" hidden="1">#REF!</definedName>
    <definedName name="trr" hidden="1">#REF!</definedName>
    <definedName name="trrh" localSheetId="0" hidden="1">{"'Sheet1'!$L$16"}</definedName>
    <definedName name="trrh" hidden="1">{"'Sheet1'!$L$16"}</definedName>
    <definedName name="TRRR" localSheetId="0" hidden="1">{#N/A,#N/A,FALSE,"속도"}</definedName>
    <definedName name="TRRR" hidden="1">{#N/A,#N/A,FALSE,"속도"}</definedName>
    <definedName name="trunggiang" localSheetId="0" hidden="1">#REF!</definedName>
    <definedName name="trunggiang" hidden="1">#REF!</definedName>
    <definedName name="TRUNGNGUYEN" localSheetId="10" hidden="1">{#N/A,#N/A,FALSE,"Chi tiÆt"}</definedName>
    <definedName name="TRUNGNGUYEN" localSheetId="0" hidden="1">{#N/A,#N/A,FALSE,"Chi tiÆt"}</definedName>
    <definedName name="TRUNGNGUYEN" hidden="1">{#N/A,#N/A,FALSE,"Chi tiÆt"}</definedName>
    <definedName name="trurt" localSheetId="0" hidden="1">#REF!</definedName>
    <definedName name="trurt" hidden="1">#REF!</definedName>
    <definedName name="tryre" localSheetId="0" hidden="1">#REF!</definedName>
    <definedName name="tryre" hidden="1">#REF!</definedName>
    <definedName name="u5u6" localSheetId="0" hidden="1">{"'Sheet1'!$L$16"}</definedName>
    <definedName name="u5u6" hidden="1">{"'Sheet1'!$L$16"}</definedName>
    <definedName name="uassw_sh" localSheetId="0" hidden="1">{"'Sheet1'!$L$16"}</definedName>
    <definedName name="uassw_sh" hidden="1">{"'Sheet1'!$L$16"}</definedName>
    <definedName name="UB" localSheetId="0" hidden="1">{#N/A,#N/A,FALSE,"CCTV"}</definedName>
    <definedName name="UB" hidden="1">{#N/A,#N/A,FALSE,"CCTV"}</definedName>
    <definedName name="Ud" localSheetId="0" hidden="1">#REF!</definedName>
    <definedName name="Ud" hidden="1">#REF!</definedName>
    <definedName name="úh" localSheetId="0" hidden="1">#REF!</definedName>
    <definedName name="úh" hidden="1">#REF!</definedName>
    <definedName name="uhiuhj" localSheetId="0" hidden="1">{"'Sheet1'!$L$16"}</definedName>
    <definedName name="uhiuhj" hidden="1">{"'Sheet1'!$L$16"}</definedName>
    <definedName name="ui" localSheetId="0" hidden="1">#REF!</definedName>
    <definedName name="ui" hidden="1">#REF!</definedName>
    <definedName name="uip" localSheetId="0" hidden="1">{"'Sheet1'!$L$16"}</definedName>
    <definedName name="uip" hidden="1">{"'Sheet1'!$L$16"}</definedName>
    <definedName name="uiu" localSheetId="0" hidden="1">#REF!</definedName>
    <definedName name="uiu" hidden="1">#REF!</definedName>
    <definedName name="ujdffdf" localSheetId="0" hidden="1">{#N/A,#N/A,FALSE,"단가표지"}</definedName>
    <definedName name="ujdffdf" hidden="1">{#N/A,#N/A,FALSE,"단가표지"}</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localSheetId="0" hidden="1">{"'Sheet1'!$L$16"}</definedName>
    <definedName name="ukluy" hidden="1">{"'Sheet1'!$L$16"}</definedName>
    <definedName name="UKUY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localSheetId="0" hidden="1">{"'Sheet1'!$L$16"}</definedName>
    <definedName name="UL" hidden="1">{"'Sheet1'!$L$16"}</definedName>
    <definedName name="ulo" localSheetId="0" hidden="1">{"'용역비'!$A$4:$C$8"}</definedName>
    <definedName name="ulo" hidden="1">{"'용역비'!$A$4:$C$8"}</definedName>
    <definedName name="underslab" localSheetId="0" hidden="1">#REF!</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0" hidden="1">#REF!</definedName>
    <definedName name="UNIT" hidden="1">#REF!</definedName>
    <definedName name="ủnt" localSheetId="0" hidden="1">{"'Sheet1'!$L$16"}</definedName>
    <definedName name="ủnt" hidden="1">{"'Sheet1'!$L$16"}</definedName>
    <definedName name="uturutn" localSheetId="0" hidden="1">#REF!</definedName>
    <definedName name="uturutn" hidden="1">#REF!</definedName>
    <definedName name="ututr" localSheetId="0" hidden="1">#REF!</definedName>
    <definedName name="ututr" hidden="1">#REF!</definedName>
    <definedName name="utymitim" localSheetId="0" hidden="1">#REF!</definedName>
    <definedName name="utymitim" hidden="1">#REF!</definedName>
    <definedName name="utrurt" localSheetId="0" hidden="1">#REF!</definedName>
    <definedName name="utrurt" hidden="1">#REF!</definedName>
    <definedName name="utrurtru" localSheetId="0" hidden="1">#REF!</definedName>
    <definedName name="utrurtru" hidden="1">#REF!</definedName>
    <definedName name="uu" localSheetId="0" hidden="1">{"'용역비'!$A$4:$C$8"}</definedName>
    <definedName name="uu" hidden="1">{"'용역비'!$A$4:$C$8"}</definedName>
    <definedName name="uuoyui" localSheetId="0" hidden="1">#REF!</definedName>
    <definedName name="uuoyui" hidden="1">#REF!</definedName>
    <definedName name="uururtt" localSheetId="0" hidden="1">#REF!</definedName>
    <definedName name="uururtt" hidden="1">#REF!</definedName>
    <definedName name="UUU" localSheetId="0" hidden="1">#REF!</definedName>
    <definedName name="UUU" hidden="1">#REF!</definedName>
    <definedName name="uuuii" localSheetId="0" hidden="1">#REF!</definedName>
    <definedName name="uuuii" hidden="1">#REF!</definedName>
    <definedName name="uuuuuu" localSheetId="0" hidden="1">{"'장비'!$A$3:$M$12"}</definedName>
    <definedName name="uuuuuu" hidden="1">{"'장비'!$A$3:$M$12"}</definedName>
    <definedName name="Uy" localSheetId="0" hidden="1">#REF!</definedName>
    <definedName name="Uy" hidden="1">#REF!</definedName>
    <definedName name="uy89ihbn" localSheetId="0" hidden="1">{#N/A,#N/A,FALSE,"2~8번"}</definedName>
    <definedName name="uy89ihbn" hidden="1">{#N/A,#N/A,FALSE,"2~8번"}</definedName>
    <definedName name="uyedgnhgdf" localSheetId="0" hidden="1">#REF!</definedName>
    <definedName name="uyedgnhgdf" hidden="1">#REF!</definedName>
    <definedName name="uyi" localSheetId="0" hidden="1">{"'Sheet1'!$L$16"}</definedName>
    <definedName name="uyi" hidden="1">{"'Sheet1'!$L$16"}</definedName>
    <definedName name="UYT" localSheetId="0" hidden="1">{#N/A,#N/A,FALSE,"CCTV"}</definedName>
    <definedName name="UYT" hidden="1">{#N/A,#N/A,FALSE,"CCTV"}</definedName>
    <definedName name="ủytỉt" localSheetId="0" hidden="1">{"'Sheet1'!$L$16"}</definedName>
    <definedName name="ủytỉt" hidden="1">{"'Sheet1'!$L$16"}</definedName>
    <definedName name="uytjhtdjtj" localSheetId="0" hidden="1">{"'Sheet1'!$L$16"}</definedName>
    <definedName name="uytjhtdjtj" hidden="1">{"'Sheet1'!$L$16"}</definedName>
    <definedName name="ƯDDSD" localSheetId="0" hidden="1">#REF!</definedName>
    <definedName name="ƯDDSD" hidden="1">#REF!</definedName>
    <definedName name="ưdwd" localSheetId="0" hidden="1">#REF!</definedName>
    <definedName name="ưdwd" hidden="1">#REF!</definedName>
    <definedName name="ưe" localSheetId="0" hidden="1">#REF!</definedName>
    <definedName name="ưe" hidden="1">#REF!</definedName>
    <definedName name="ƯEADASD" localSheetId="0" hidden="1">#REF!</definedName>
    <definedName name="ƯEADASD" hidden="1">#REF!</definedName>
    <definedName name="ưeawegw" localSheetId="0" hidden="1">#REF!</definedName>
    <definedName name="ưeawegw" hidden="1">#REF!</definedName>
    <definedName name="ưegweg" localSheetId="0" hidden="1">{"'Sheet1'!$L$16"}</definedName>
    <definedName name="ưegweg" hidden="1">{"'Sheet1'!$L$16"}</definedName>
    <definedName name="ưergasd" localSheetId="0" hidden="1">#REF!</definedName>
    <definedName name="ưergasd" hidden="1">#REF!</definedName>
    <definedName name="ưergwrgn" localSheetId="0" hidden="1">{"'Sheet1'!$L$16"}</definedName>
    <definedName name="ưergwrgn" hidden="1">{"'Sheet1'!$L$16"}</definedName>
    <definedName name="ưgawegw" localSheetId="0" hidden="1">#REF!</definedName>
    <definedName name="ưgawegw" hidden="1">#REF!</definedName>
    <definedName name="ưvwbv" localSheetId="0" hidden="1">#REF!</definedName>
    <definedName name="ưvwbv" hidden="1">#REF!</definedName>
    <definedName name="v"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8.Refresh" localSheetId="0" hidden="1">{"NGUYEN QUI THIEP - Personal View",#N/A,FALSE,"XDCB.HT.FUR."}</definedName>
    <definedName name="V8.Refresh" hidden="1">{"NGUYEN QUI THIEP - Personal View",#N/A,FALSE,"XDCB.HT.FUR."}</definedName>
    <definedName name="vaaaaa" localSheetId="0" hidden="1">#REF!</definedName>
    <definedName name="vaaaaa" hidden="1">#REF!</definedName>
    <definedName name="VÁCH" localSheetId="0" hidden="1">#REF!</definedName>
    <definedName name="VÁCH" hidden="1">#REF!</definedName>
    <definedName name="VATM" localSheetId="0" hidden="1">{"'Sheet1'!$L$16"}</definedName>
    <definedName name="VATM" hidden="1">{"'Sheet1'!$L$16"}</definedName>
    <definedName name="vavdsd" localSheetId="0" hidden="1">#REF!</definedName>
    <definedName name="vavdsd" hidden="1">#REF!</definedName>
    <definedName name="vb" localSheetId="0" hidden="1">{"'Sheet1'!$L$16"}</definedName>
    <definedName name="vb" hidden="1">{"'Sheet1'!$L$16"}</definedName>
    <definedName name="vbbbnbb" localSheetId="0" hidden="1">#REF!</definedName>
    <definedName name="vbbbnbb" hidden="1">#REF!</definedName>
    <definedName name="vbbnbngfg" localSheetId="0" hidden="1">#REF!</definedName>
    <definedName name="vbbnbngfg" hidden="1">#REF!</definedName>
    <definedName name="vbc" localSheetId="0" hidden="1">{"'Sheet1'!$L$16"}</definedName>
    <definedName name="vbc" hidden="1">{"'Sheet1'!$L$16"}</definedName>
    <definedName name="VBN" localSheetId="0" hidden="1">{#N/A,#N/A,FALSE,"이태원철근"}</definedName>
    <definedName name="VBN" hidden="1">{#N/A,#N/A,FALSE,"이태원철근"}</definedName>
    <definedName name="vbvb" localSheetId="0" hidden="1">#REF!</definedName>
    <definedName name="vbvb" hidden="1">#REF!</definedName>
    <definedName name="vbvnbvnvc" localSheetId="0" hidden="1">#REF!</definedName>
    <definedName name="vbvnbvnvc" hidden="1">#REF!</definedName>
    <definedName name="vbvnv" localSheetId="0" hidden="1">#REF!</definedName>
    <definedName name="vbvnv" hidden="1">#REF!</definedName>
    <definedName name="vbxxxxvxx" localSheetId="0" hidden="1">#REF!</definedName>
    <definedName name="vbxxxxvxx" hidden="1">#REF!</definedName>
    <definedName name="vcbo1" localSheetId="0" hidden="1">{"'Sheet1'!$L$16"}</definedName>
    <definedName name="vcbo1" hidden="1">{"'Sheet1'!$L$16"}</definedName>
    <definedName name="vccvcbbcb" localSheetId="0" hidden="1">#REF!</definedName>
    <definedName name="vccvcbbcb" hidden="1">#REF!</definedName>
    <definedName name="vcoto" localSheetId="0" hidden="1">{"'Sheet1'!$L$16"}</definedName>
    <definedName name="vcoto" hidden="1">{"'Sheet1'!$L$16"}</definedName>
    <definedName name="vdbdb" localSheetId="0" hidden="1">{"'Sheet1'!$L$16"}</definedName>
    <definedName name="vdbdb" hidden="1">{"'Sheet1'!$L$16"}</definedName>
    <definedName name="VEN" localSheetId="0" hidden="1">{#N/A,#N/A,TRUE,"SUM";#N/A,#N/A,TRUE,"EE";#N/A,#N/A,TRUE,"AC";#N/A,#N/A,TRUE,"SN"}</definedName>
    <definedName name="VEN" hidden="1">{#N/A,#N/A,TRUE,"SUM";#N/A,#N/A,TRUE,"EE";#N/A,#N/A,TRUE,"AC";#N/A,#N/A,TRUE,"SN"}</definedName>
    <definedName name="vetbun" localSheetId="0" hidden="1">{"'Sheet1'!$L$16"}</definedName>
    <definedName name="vetbun" hidden="1">{"'Sheet1'!$L$16"}</definedName>
    <definedName name="VF" localSheetId="0" hidden="1">{#N/A,#N/A,FALSE,"Sheet2";#N/A,#N/A,FALSE,"Sheet4";#N/A,#N/A,FALSE,"Sheet6"}</definedName>
    <definedName name="VF" hidden="1">{#N/A,#N/A,FALSE,"Sheet2";#N/A,#N/A,FALSE,"Sheet4";#N/A,#N/A,FALSE,"Sheet6"}</definedName>
    <definedName name="vfdg" localSheetId="0" hidden="1">#REF!</definedName>
    <definedName name="vfdg" hidden="1">#REF!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fsfs_1" localSheetId="0" hidden="1">{#N/A,#N/A,TRUE,"Basic";#N/A,#N/A,TRUE,"EXT-TABLE";#N/A,#N/A,TRUE,"STEEL";#N/A,#N/A,TRUE,"INT-Table";#N/A,#N/A,TRUE,"STEEL";#N/A,#N/A,TRUE,"Door"}</definedName>
    <definedName name="vffsfs_1" hidden="1">{#N/A,#N/A,TRUE,"Basic";#N/A,#N/A,TRUE,"EXT-TABLE";#N/A,#N/A,TRUE,"STEEL";#N/A,#N/A,TRUE,"INT-Table";#N/A,#N/A,TRUE,"STEEL";#N/A,#N/A,TRUE,"Door"}</definedName>
    <definedName name="vgb" localSheetId="0" hidden="1">{"'Sheet1'!$L$16"}</definedName>
    <definedName name="vgb" hidden="1">{"'Sheet1'!$L$16"}</definedName>
    <definedName name="vghn" localSheetId="0" hidden="1">{"'Sheet1'!$L$16"}</definedName>
    <definedName name="vghn" hidden="1">{"'Sheet1'!$L$16"}</definedName>
    <definedName name="vgho" localSheetId="0" hidden="1">{"'Sheet1'!$L$16"}</definedName>
    <definedName name="vgho" hidden="1">{"'Sheet1'!$L$16"}</definedName>
    <definedName name="vgjh" localSheetId="0" hidden="1">{#N/A,#N/A,FALSE,"特殊室（ＢＱ表）"}</definedName>
    <definedName name="vgjh" hidden="1">{#N/A,#N/A,FALSE,"特殊室（ＢＱ表）"}</definedName>
    <definedName name="vhjh" localSheetId="0" hidden="1">{#N/A,#N/A,FALSE,"CCTV"}</definedName>
    <definedName name="vhjh" hidden="1">{#N/A,#N/A,FALSE,"CCTV"}</definedName>
    <definedName name="vi" localSheetId="0" hidden="1">{"'Sheet1'!$L$16"}</definedName>
    <definedName name="vi" hidden="1">{"'Sheet1'!$L$16"}</definedName>
    <definedName name="vien" localSheetId="0" hidden="1">#REF!</definedName>
    <definedName name="vien" hidden="1">#REF!</definedName>
    <definedName name="Viet" localSheetId="0" hidden="1">{"'Sheet1'!$L$16"}</definedName>
    <definedName name="Viet" hidden="1">{"'Sheet1'!$L$16"}</definedName>
    <definedName name="VISION" localSheetId="0"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ct" localSheetId="0" hidden="1">{"'Sheet1'!$L$16"}</definedName>
    <definedName name="vlct" hidden="1">{"'Sheet1'!$L$16"}</definedName>
    <definedName name="VLPhu" localSheetId="0" hidden="1">#REF!</definedName>
    <definedName name="VLPhu" hidden="1">#REF!</definedName>
    <definedName name="vn" localSheetId="0" hidden="1">{"'Sheet1'!$L$16"}</definedName>
    <definedName name="vn" hidden="1">{"'Sheet1'!$L$16"}</definedName>
    <definedName name="vnd_list" localSheetId="0" hidden="1">{"một";"hai";"ba";"bốn";"năm";"sáu";"bảy";"tám";"chín";"mười";"mươi";"mốt";"lăm";"trăm";"nghìn";"triệu";"tỷ";"lẻ";"không trăm";"Bằng chử : "}</definedName>
    <definedName name="vnd_list" hidden="1">{"một";"hai";"ba";"bốn";"năm";"sáu";"bảy";"tám";"chín";"mười";"mươi";"mốt";"lăm";"trăm";"nghìn";"triệu";"tỷ";"lẻ";"không trăm";"Bằng chử : "}</definedName>
    <definedName name="vnvnvn" localSheetId="0" hidden="1">{"'Sheet1'!$L$16"}</definedName>
    <definedName name="vnvnvn" hidden="1">{"'Sheet1'!$L$16"}</definedName>
    <definedName name="VOLTAGE" localSheetId="0" hidden="1">{#N/A,#N/A,FALSE,"Sheet1";#N/A,#N/A,FALSE,"Sheet3";#N/A,#N/A,FALSE,"Sheet5"}</definedName>
    <definedName name="VOLTAGE" hidden="1">{#N/A,#N/A,FALSE,"Sheet1";#N/A,#N/A,FALSE,"Sheet3";#N/A,#N/A,FALSE,"Sheet5"}</definedName>
    <definedName name="VOschedule" localSheetId="0" hidden="1">{#N/A,#N/A,TRUE,"ERECTION";#N/A,#N/A,TRUE,"A";#N/A,#N/A,TRUE,"B";#N/A,#N/A,TRUE,"C";#N/A,#N/A,TRUE,"D";#N/A,#N/A,TRUE,"E";#N/A,#N/A,TRUE,"F";#N/A,#N/A,TRUE,"G";#N/A,#N/A,TRUE,"H";#N/A,#N/A,TRUE,"I";#N/A,#N/A,TRUE,"J";#N/A,#N/A,TRUE,"K";#N/A,#N/A,TRUE,"L";#N/A,#N/A,TRUE,"M";#N/A,#N/A,TRUE,"N"}</definedName>
    <definedName name="VOschedule" hidden="1">{#N/A,#N/A,TRUE,"ERECTION";#N/A,#N/A,TRUE,"A";#N/A,#N/A,TRUE,"B";#N/A,#N/A,TRUE,"C";#N/A,#N/A,TRUE,"D";#N/A,#N/A,TRUE,"E";#N/A,#N/A,TRUE,"F";#N/A,#N/A,TRUE,"G";#N/A,#N/A,TRUE,"H";#N/A,#N/A,TRUE,"I";#N/A,#N/A,TRUE,"J";#N/A,#N/A,TRUE,"K";#N/A,#N/A,TRUE,"L";#N/A,#N/A,TRUE,"M";#N/A,#N/A,TRUE,"N"}</definedName>
    <definedName name="vsvs" localSheetId="0" hidden="1">{"'Sheet1'!$L$16"}</definedName>
    <definedName name="vsvs" hidden="1">{"'Sheet1'!$L$16"}</definedName>
    <definedName name="VTuphu" localSheetId="0" hidden="1">{"'Sheet1'!$L$16"}</definedName>
    <definedName name="VTuphu" hidden="1">{"'Sheet1'!$L$16"}</definedName>
    <definedName name="VU" localSheetId="0" hidden="1">{"'Sheet1'!$L$16"}</definedName>
    <definedName name="VU" hidden="1">{"'Sheet1'!$L$16"}</definedName>
    <definedName name="VUNGTB" localSheetId="0" hidden="1">{"'Sheet1'!$L$16"}</definedName>
    <definedName name="VUNGTB" hidden="1">{"'Sheet1'!$L$16"}</definedName>
    <definedName name="vut" localSheetId="0" hidden="1">{#N/A,#N/A,FALSE,"Chi tiÆt"}</definedName>
    <definedName name="vut" hidden="1">{#N/A,#N/A,FALSE,"Chi tiÆt"}</definedName>
    <definedName name="vv" localSheetId="0" hidden="1">{"'Sheet1'!$L$16"}</definedName>
    <definedName name="vv" hidden="1">{"'Sheet1'!$L$16"}</definedName>
    <definedName name="vvv" localSheetId="0" hidden="1">{"'Sheet1'!$L$16"}</definedName>
    <definedName name="vvv" hidden="1">{"'Sheet1'!$L$16"}</definedName>
    <definedName name="ｖｖｖ" localSheetId="0" hidden="1">{"'Sheet1'!$L$16"}</definedName>
    <definedName name="ｖｖｖ" hidden="1">{"'Sheet1'!$L$16"}</definedName>
    <definedName name="ｖｖｖｖｖ" localSheetId="0" hidden="1">{"'Sheet1'!$L$16"}</definedName>
    <definedName name="ｖｖｖｖｖ" hidden="1">{"'Sheet1'!$L$16"}</definedName>
    <definedName name="vvvvvffb" localSheetId="0" hidden="1">#REF!</definedName>
    <definedName name="vvvvvffb" hidden="1">#REF!</definedName>
    <definedName name="vvvvvvv" localSheetId="0" hidden="1">{#N/A,#N/A,FALSE,"Chi tiÆt"}</definedName>
    <definedName name="vvvvvvv" hidden="1">{#N/A,#N/A,FALSE,"Chi tiÆt"}</definedName>
    <definedName name="vvvxcvx" localSheetId="0" hidden="1">#REF!</definedName>
    <definedName name="vvvxcvx" hidden="1">#REF!</definedName>
    <definedName name="VX" localSheetId="0" hidden="1">#REF!</definedName>
    <definedName name="VX" hidden="1">#REF!</definedName>
    <definedName name="vxcgs" localSheetId="0" hidden="1">{"'Sheet1'!$L$16"}</definedName>
    <definedName name="vxcgs" hidden="1">{"'Sheet1'!$L$16"}</definedName>
    <definedName name="VXCVXVXC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u" localSheetId="0" hidden="1">{"'Sheet1'!$L$16"}</definedName>
    <definedName name="vyu" hidden="1">{"'Sheet1'!$L$16"}</definedName>
    <definedName name="waa" localSheetId="0" hidden="1">{#N/A,#N/A,FALSE,"Chi tiÆt"}</definedName>
    <definedName name="waa" hidden="1">{#N/A,#N/A,FALSE,"Chi tiÆt"}</definedName>
    <definedName name="wafef" localSheetId="0" hidden="1">{"'Sheet1'!$L$16"}</definedName>
    <definedName name="wafef" hidden="1">{"'Sheet1'!$L$16"}</definedName>
    <definedName name="walkway" localSheetId="0" hidden="1">{"'Sheet1'!$L$16"}</definedName>
    <definedName name="walkway" hidden="1">{"'Sheet1'!$L$16"}</definedName>
    <definedName name="wall" localSheetId="0" hidden="1">#REF!</definedName>
    <definedName name="wall" hidden="1">#REF!</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aste_1" localSheetId="0" hidden="1">{#N/A,#N/A,TRUE,"Basic";#N/A,#N/A,TRUE,"EXT-TABLE";#N/A,#N/A,TRUE,"STEEL";#N/A,#N/A,TRUE,"INT-Table";#N/A,#N/A,TRUE,"STEEL";#N/A,#N/A,TRUE,"Door"}</definedName>
    <definedName name="Waste_1" hidden="1">{#N/A,#N/A,TRUE,"Basic";#N/A,#N/A,TRUE,"EXT-TABLE";#N/A,#N/A,TRUE,"STEEL";#N/A,#N/A,TRUE,"INT-Table";#N/A,#N/A,TRUE,"STEEL";#N/A,#N/A,TRUE,"Door"}</definedName>
    <definedName name="WasteWaterTeratmentHouse" localSheetId="0" hidden="1">{#N/A,#N/A,FALSE,"Sheet1"}</definedName>
    <definedName name="WasteWaterTeratmentHouse" hidden="1">{#N/A,#N/A,FALSE,"Sheet1"}</definedName>
    <definedName name="wd" localSheetId="0" hidden="1">#REF!</definedName>
    <definedName name="wd" hidden="1">#REF!</definedName>
    <definedName name="wdcndco" localSheetId="0" hidden="1">#REF!</definedName>
    <definedName name="wdcndco" hidden="1">#REF!</definedName>
    <definedName name="wdd" localSheetId="0" hidden="1">{"'Sheet1'!$L$16"}</definedName>
    <definedName name="wdd" hidden="1">{"'Sheet1'!$L$16"}</definedName>
    <definedName name="wedus" localSheetId="0" hidden="1">#REF!</definedName>
    <definedName name="wedus" hidden="1">#REF!</definedName>
    <definedName name="W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wgfwegf" localSheetId="0" hidden="1">{"'Sheet1'!$L$16"}</definedName>
    <definedName name="wefwgfwegf" hidden="1">{"'Sheet1'!$L$16"}</definedName>
    <definedName name="weqew" localSheetId="0" hidden="1">#REF!</definedName>
    <definedName name="weqew" hidden="1">#REF!</definedName>
    <definedName name="WEQ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localSheetId="0" hidden="1">#REF!</definedName>
    <definedName name="wer" hidden="1">#REF!</definedName>
    <definedName name="wer_1" localSheetId="0" hidden="1">{#N/A,#N/A,FALSE,"골재소요량";#N/A,#N/A,FALSE,"골재소요량"}</definedName>
    <definedName name="wer_1" hidden="1">{#N/A,#N/A,FALSE,"골재소요량";#N/A,#N/A,FALSE,"골재소요량"}</definedName>
    <definedName name="wererr" localSheetId="0" hidden="1">{#N/A,#N/A,FALSE,"운반시간"}</definedName>
    <definedName name="wererr" hidden="1">{#N/A,#N/A,FALSE,"운반시간"}</definedName>
    <definedName name="werewr" localSheetId="0" hidden="1">{#N/A,#N/A,FALSE,"골재소요량";#N/A,#N/A,FALSE,"골재소요량"}</definedName>
    <definedName name="werewr" hidden="1">{#N/A,#N/A,FALSE,"골재소요량";#N/A,#N/A,FALSE,"골재소요량"}</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localSheetId="0" hidden="1">#REF!</definedName>
    <definedName name="wew" hidden="1">#REF!</definedName>
    <definedName name="wewfdhy" localSheetId="0" hidden="1">#REF!</definedName>
    <definedName name="wewfdhy" hidden="1">#REF!</definedName>
    <definedName name="wfsfsdf" localSheetId="0" hidden="1">#REF!</definedName>
    <definedName name="wfsfsdf" hidden="1">#REF!</definedName>
    <definedName name="wgyw" localSheetId="0" hidden="1">{"'Sheet1'!$L$16"}</definedName>
    <definedName name="wgyw" hidden="1">{"'Sheet1'!$L$16"}</definedName>
    <definedName name="who_are" localSheetId="0" hidden="1">#REF!</definedName>
    <definedName name="who_are" hidden="1">#REF!</definedName>
    <definedName name="who_are2" localSheetId="0" hidden="1">#REF!</definedName>
    <definedName name="who_are2" hidden="1">#REF!</definedName>
    <definedName name="whoo1" localSheetId="0" hidden="1">#REF!</definedName>
    <definedName name="whoo1" hidden="1">#REF!</definedName>
    <definedName name="whoo2" localSheetId="0" hidden="1">#REF!</definedName>
    <definedName name="whoo2" hidden="1">#REF!</definedName>
    <definedName name="whoo3" localSheetId="0" hidden="1">#REF!</definedName>
    <definedName name="whoo3" hidden="1">#REF!</definedName>
    <definedName name="whooo1" localSheetId="0" hidden="1">#REF!</definedName>
    <definedName name="whooo1" hidden="1">#REF!</definedName>
    <definedName name="whooo2" localSheetId="0" hidden="1">#REF!</definedName>
    <definedName name="whooo2" hidden="1">#REF!</definedName>
    <definedName name="whooo3" localSheetId="0" hidden="1">#REF!</definedName>
    <definedName name="whooo3" hidden="1">#REF!</definedName>
    <definedName name="window" localSheetId="0"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s" localSheetId="0" hidden="1">#REF!</definedName>
    <definedName name="wis" hidden="1">#REF!</definedName>
    <definedName name="wjs" localSheetId="0" hidden="1">{"'장비'!$A$3:$M$12"}</definedName>
    <definedName name="wjs" hidden="1">{"'장비'!$A$3:$M$12"}</definedName>
    <definedName name="wjsr" localSheetId="10" hidden="1">#REF!</definedName>
    <definedName name="wjsr" hidden="1">#REF!</definedName>
    <definedName name="WK" localSheetId="0" hidden="1">{#N/A,#N/A,FALSE,"견적대비-2"}</definedName>
    <definedName name="WK" hidden="1">{#N/A,#N/A,FALSE,"견적대비-2"}</definedName>
    <definedName name="WLQ" localSheetId="0" hidden="1">{#N/A,#N/A,FALSE,"명세표"}</definedName>
    <definedName name="WLQ" hidden="1">{#N/A,#N/A,FALSE,"명세표"}</definedName>
    <definedName name="wlqrp" hidden="1">0</definedName>
    <definedName name="wm.조골재1" localSheetId="0" hidden="1">{#N/A,#N/A,FALSE,"조골재"}</definedName>
    <definedName name="wm.조골재1" hidden="1">{#N/A,#N/A,FALSE,"조골재"}</definedName>
    <definedName name="woogi" localSheetId="0" hidden="1">#REF!</definedName>
    <definedName name="woogi" hidden="1">#REF!</definedName>
    <definedName name="woogi2" localSheetId="0" hidden="1">#REF!</definedName>
    <definedName name="woogi2" hidden="1">#REF!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ORKSHOP_1" localSheetId="0" hidden="1">{#N/A,#N/A,TRUE,"Basic";#N/A,#N/A,TRUE,"EXT-TABLE";#N/A,#N/A,TRUE,"STEEL";#N/A,#N/A,TRUE,"INT-Table";#N/A,#N/A,TRUE,"STEEL";#N/A,#N/A,TRUE,"Door"}</definedName>
    <definedName name="WORKSHOP_1" hidden="1">{#N/A,#N/A,TRUE,"Basic";#N/A,#N/A,TRUE,"EXT-TABLE";#N/A,#N/A,TRUE,"STEEL";#N/A,#N/A,TRUE,"INT-Table";#N/A,#N/A,TRUE,"STEEL";#N/A,#N/A,TRUE,"Door"}</definedName>
    <definedName name="WP2CAL" localSheetId="0" hidden="1">#REF!</definedName>
    <definedName name="WP2CAL" hidden="1">#REF!</definedName>
    <definedName name="wqe" localSheetId="0" hidden="1">{"'ELEC'!$A$2:$H$216","'ELEC'!$C$2:$D$2"}</definedName>
    <definedName name="wqe" hidden="1">{"'ELEC'!$A$2:$H$216","'ELEC'!$C$2:$D$2"}</definedName>
    <definedName name="wqw" localSheetId="0" hidden="1">#REF!</definedName>
    <definedName name="wqw" hidden="1">#REF!</definedName>
    <definedName name="wqweqr" localSheetId="0" hidden="1">{"'Sheet1'!$L$16"}</definedName>
    <definedName name="wqweqr" hidden="1">{"'Sheet1'!$L$16"}</definedName>
    <definedName name="wqwqwq" localSheetId="0" hidden="1">#REF!</definedName>
    <definedName name="wqwqwq" hidden="1">#REF!</definedName>
    <definedName name="wre" localSheetId="0" hidden="1">{"'Sheet1'!$L$16"}</definedName>
    <definedName name="wre" hidden="1">{"'Sheet1'!$L$16"}</definedName>
    <definedName name="WRITE" localSheetId="10" hidden="1">{#N/A,#N/A,FALSE,"CCTV"}</definedName>
    <definedName name="WRITE" localSheetId="0" hidden="1">{#N/A,#N/A,FALSE,"CCTV"}</definedName>
    <definedName name="WRITE" hidden="1">{#N/A,#N/A,FALSE,"CCTV"}</definedName>
    <definedName name="WRN" localSheetId="10" hidden="1">{#N/A,#N/A,FALSE,"CCTV"}</definedName>
    <definedName name="WRN" localSheetId="0" hidden="1">{#N/A,#N/A,FALSE,"CCTV"}</definedName>
    <definedName name="WRN" hidden="1">{#N/A,#N/A,FALSE,"CCTV"}</definedName>
    <definedName name="WRN." localSheetId="0" hidden="1">{#N/A,#N/A,FALSE,"전체집계표";#N/A,#N/A,FALSE,"안벽30000";#N/A,#N/A,FALSE,"안벽20000";#N/A,#N/A,FALSE,"내호안";#N/A,#N/A,FALSE,"외호안";#N/A,#N/A,FALSE,"준설토A";#N/A,#N/A,FALSE,"준설토B";#N/A,#N/A,FALSE,"적출장"}</definedName>
    <definedName name="WRN." hidden="1">{#N/A,#N/A,FALSE,"전체집계표";#N/A,#N/A,FALSE,"안벽30000";#N/A,#N/A,FALSE,"안벽20000";#N/A,#N/A,FALSE,"내호안";#N/A,#N/A,FALSE,"외호안";#N/A,#N/A,FALSE,"준설토A";#N/A,#N/A,FALSE,"준설토B";#N/A,#N/A,FALSE,"적출장"}</definedName>
    <definedName name="wrn.0._.TOTAL._.SUMMARY._.SHEET." localSheetId="0" hidden="1">{#N/A,#N/A,FALSE,"TOTAL"}</definedName>
    <definedName name="wrn.0._.TOTAL._.SUMMARY._.SHEET." hidden="1">{#N/A,#N/A,FALSE,"TOTAL"}</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_.SITE._.INSTALLATIONS." localSheetId="0" hidden="1">{#N/A,#N/A,FALSE,"SITE INSTALLATIONS"}</definedName>
    <definedName name="wrn.1._.SITE._.INSTALLATIONS." hidden="1">{#N/A,#N/A,FALSE,"SITE INSTALLATIONS"}</definedName>
    <definedName name="wrn.2._.PROCUREMENT." localSheetId="0" hidden="1">{#N/A,#N/A,FALSE,"PROCUREMENT"}</definedName>
    <definedName name="wrn.2._.PROCUREMENT." hidden="1">{#N/A,#N/A,FALSE,"PROCUREMENT"}</definedName>
    <definedName name="wrn.2번." localSheetId="0" hidden="1">{#N/A,#N/A,FALSE,"2~8번"}</definedName>
    <definedName name="wrn.2번." hidden="1">{#N/A,#N/A,FALSE,"2~8번"}</definedName>
    <definedName name="wrn.2번._1" localSheetId="0" hidden="1">{#N/A,#N/A,FALSE,"2~8번"}</definedName>
    <definedName name="wrn.2번._1" hidden="1">{#N/A,#N/A,FALSE,"2~8번"}</definedName>
    <definedName name="wrn.3._.ERECTION." localSheetId="0" hidden="1">{#N/A,#N/A,TRUE,"ERECTION";#N/A,#N/A,TRUE,"A";#N/A,#N/A,TRUE,"B";#N/A,#N/A,TRUE,"C";#N/A,#N/A,TRUE,"D";#N/A,#N/A,TRUE,"E";#N/A,#N/A,TRUE,"F";#N/A,#N/A,TRUE,"G";#N/A,#N/A,TRUE,"H";#N/A,#N/A,TRUE,"I";#N/A,#N/A,TRUE,"J";#N/A,#N/A,TRUE,"K";#N/A,#N/A,TRUE,"L";#N/A,#N/A,TRUE,"M";#N/A,#N/A,TRUE,"N"}</definedName>
    <definedName name="wrn.3._.ERECTION." hidden="1">{#N/A,#N/A,TRUE,"ERECTION";#N/A,#N/A,TRUE,"A";#N/A,#N/A,TRUE,"B";#N/A,#N/A,TRUE,"C";#N/A,#N/A,TRUE,"D";#N/A,#N/A,TRUE,"E";#N/A,#N/A,TRUE,"F";#N/A,#N/A,TRUE,"G";#N/A,#N/A,TRUE,"H";#N/A,#N/A,TRUE,"I";#N/A,#N/A,TRUE,"J";#N/A,#N/A,TRUE,"K";#N/A,#N/A,TRUE,"L";#N/A,#N/A,TRUE,"M";#N/A,#N/A,TRUE,"N"}</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번." localSheetId="0" hidden="1">{#N/A,#N/A,FALSE,"2~8번"}</definedName>
    <definedName name="wrn.3번." hidden="1">{#N/A,#N/A,FALSE,"2~8번"}</definedName>
    <definedName name="wrn.97." localSheetId="0" hidden="1">{#N/A,#N/A,FALSE,"지침";#N/A,#N/A,FALSE,"환경분석";#N/A,#N/A,FALSE,"Sheet16"}</definedName>
    <definedName name="wrn.97." hidden="1">{#N/A,#N/A,FALSE,"지침";#N/A,#N/A,FALSE,"환경분석";#N/A,#N/A,FALSE,"Sheet16"}</definedName>
    <definedName name="wrn.97년._.사업계획._.및._.예산지침." localSheetId="10" hidden="1">{#N/A,#N/A,TRUE,"1";#N/A,#N/A,TRUE,"2";#N/A,#N/A,TRUE,"3";#N/A,#N/A,TRUE,"4";#N/A,#N/A,TRUE,"5";#N/A,#N/A,TRUE,"6";#N/A,#N/A,TRUE,"7"}</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8." localSheetId="0" hidden="1">{#N/A,#N/A,FALSE,"지침";#N/A,#N/A,FALSE,"환경분석";#N/A,#N/A,FALSE,"Sheet16"}</definedName>
    <definedName name="WRN.98." hidden="1">{#N/A,#N/A,FALSE,"지침";#N/A,#N/A,FALSE,"환경분석";#N/A,#N/A,FALSE,"Sheet16"}</definedName>
    <definedName name="wrn.A." localSheetId="0" hidden="1">{#N/A,#N/A,TRUE,"SUM";#N/A,#N/A,TRUE,"EE";#N/A,#N/A,TRUE,"AC";#N/A,#N/A,TRUE,"SN"}</definedName>
    <definedName name="wrn.A." hidden="1">{#N/A,#N/A,TRUE,"SUM";#N/A,#N/A,TRUE,"EE";#N/A,#N/A,TRUE,"AC";#N/A,#N/A,TRUE,"SN"}</definedName>
    <definedName name="wrn.aaa." localSheetId="10" hidden="1">{#N/A,#N/A,FALSE,"Sheet1";#N/A,#N/A,FALSE,"Sheet1";#N/A,#N/A,FALSE,"Sheet1"}</definedName>
    <definedName name="wrn.aaa." localSheetId="0" hidden="1">{#N/A,#N/A,FALSE,"Sheet1";#N/A,#N/A,FALSE,"Sheet1";#N/A,#N/A,FALSE,"Sheet1"}</definedName>
    <definedName name="wrn.aaa." hidden="1">{#N/A,#N/A,FALSE,"Sheet1";#N/A,#N/A,FALSE,"Sheet1";#N/A,#N/A,FALSE,"Sheet1"}</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LL." localSheetId="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bbb." localSheetId="0" hidden="1">{#N/A,#N/A,FALSE,"Sheet1";#N/A,#N/A,FALSE,"Sheet1";#N/A,#N/A,FALSE,"Sheet1"}</definedName>
    <definedName name="wrn.bbb." hidden="1">{#N/A,#N/A,FALSE,"Sheet1";#N/A,#N/A,FALSE,"Sheet1";#N/A,#N/A,FALSE,"Sheet1"}</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hidden="1">{#N/A,#N/A,FALSE,"CCTV"}</definedName>
    <definedName name="wrn.BM." localSheetId="10" hidden="1">{#N/A,#N/A,FALSE,"CCTV"}</definedName>
    <definedName name="wrn.BM." localSheetId="0" hidden="1">{#N/A,#N/A,FALSE,"CCTV"}</definedName>
    <definedName name="wrn.BM." hidden="1">{#N/A,#N/A,FALSE,"CCTV"}</definedName>
    <definedName name="wrn.BM._1" localSheetId="0" hidden="1">{#N/A,#N/A,TRUE,"Basic";#N/A,#N/A,TRUE,"EXT-TABLE";#N/A,#N/A,TRUE,"STEEL";#N/A,#N/A,TRUE,"INT-Table";#N/A,#N/A,TRUE,"STEEL";#N/A,#N/A,TRUE,"Door"}</definedName>
    <definedName name="wrn.BM._1" hidden="1">{#N/A,#N/A,TRUE,"Basic";#N/A,#N/A,TRUE,"EXT-TABLE";#N/A,#N/A,TRUE,"STEEL";#N/A,#N/A,TRUE,"INT-Table";#N/A,#N/A,TRUE,"STEEL";#N/A,#N/A,TRUE,"Door"}</definedName>
    <definedName name="wrn.Boq_summary." localSheetId="0" hidden="1">{#N/A,#N/A,FALSE,"Sum_BOQ";#N/A,#N/A,FALSE,"Preliminary";#N/A,#N/A,FALSE,"Sum_Prelim";#N/A,#N/A,FALSE,"Prime Cost&amp;Prov_sum"}</definedName>
    <definedName name="wrn.Boq_summary." hidden="1">{#N/A,#N/A,FALSE,"Sum_BOQ";#N/A,#N/A,FALSE,"Preliminary";#N/A,#N/A,FALSE,"Sum_Prelim";#N/A,#N/A,FALSE,"Prime Cost&amp;Prov_sum"}</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IAS._.FS." localSheetId="0" hidden="1">{"IASTrail",#N/A,FALSE,"IAS"}</definedName>
    <definedName name="wrn.Coded._.IAS._.FS." hidden="1">{"IASTrail",#N/A,FALSE,"IAS"}</definedName>
    <definedName name="wrn.cong." localSheetId="10" hidden="1">{#N/A,#N/A,FALSE,"Sheet1"}</definedName>
    <definedName name="wrn.cong." localSheetId="0" hidden="1">{#N/A,#N/A,FALSE,"Sheet1"}</definedName>
    <definedName name="wrn.cong." hidden="1">{#N/A,#N/A,FALSE,"Sheet1"}</definedName>
    <definedName name="wrn.Charts." localSheetId="0" hidden="1">{"Chart 1",#N/A,TRUE,"Charts";"Chart 2",#N/A,TRUE,"Charts"}</definedName>
    <definedName name="wrn.Charts." hidden="1">{"Chart 1",#N/A,TRUE,"Charts";"Chart 2",#N/A,TRUE,"Charts"}</definedName>
    <definedName name="wrn.Che._.do._.duoc._.huong." localSheetId="0" hidden="1">{#N/A,#N/A,FALSE,"BN (2)"}</definedName>
    <definedName name="wrn.Che._.do._.duoc._.huong." hidden="1">{#N/A,#N/A,FALSE,"BN (2)"}</definedName>
    <definedName name="wrn.chi._.tiÆt." localSheetId="10" hidden="1">{#N/A,#N/A,FALSE,"Chi tiÆt"}</definedName>
    <definedName name="wrn.chi._.tiÆt." localSheetId="0" hidden="1">{#N/A,#N/A,FALSE,"Chi tiÆt"}</definedName>
    <definedName name="wrn.chi._.tiÆt." hidden="1">{#N/A,#N/A,FALSE,"Chi tiÆt"}</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ixed._.Assets._.Note._.and._.Depreciation." localSheetId="0" hidden="1">{#N/A,#N/A,FALSE,"FA_1";#N/A,#N/A,FALSE,"Dep'n SE";#N/A,#N/A,FALSE,"Dep'n FC"}</definedName>
    <definedName name="wrn.Fixed._.Assets._.Note._.and._.Depreciation." hidden="1">{#N/A,#N/A,FALSE,"FA_1";#N/A,#N/A,FALSE,"Dep'n SE";#N/A,#N/A,FALSE,"Dep'n FC"}</definedName>
    <definedName name="wrn.Full._.IAS._.STATEMENTS." localSheetId="0"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GENSERV." localSheetId="0" hidden="1">{#N/A,#N/A,FALSE,"VISTAF"}</definedName>
    <definedName name="wrn.GENSERV."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Giáy._.bao._.no." hidden="1">{#N/A,#N/A,FALSE,"BN"}</definedName>
    <definedName name="wrn.Help." localSheetId="0" hidden="1">{#N/A,#N/A,TRUE,"MAP";#N/A,#N/A,TRUE,"STEPS";#N/A,#N/A,TRUE,"RULES"}</definedName>
    <definedName name="wrn.Help." hidden="1">{#N/A,#N/A,TRUE,"MAP";#N/A,#N/A,TRUE,"STEPS";#N/A,#N/A,TRUE,"RULES"}</definedName>
    <definedName name="wrn.IAS._.BS._.PL._.CF._.and._.Notes." localSheetId="0" hidden="1">{"IASBS",#N/A,TRUE,"IAS";"IASPL",#N/A,TRUE,"IAS";"IASNotes",#N/A,TRUE,"IAS";"CFDir - expanded",#N/A,TRUE,"CF DIR"}</definedName>
    <definedName name="wrn.IAS._.BS._.PL._.CF._.and._.Notes."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AS._.Mapping." hidden="1">{"IAS Mapping",#N/A,TRUE,"RSA_FS"}</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0" hidden="1">{#N/A,#N/A,FALSE,"Infl_fact"}</definedName>
    <definedName name="wrn.Inflation._.factors._.used." hidden="1">{#N/A,#N/A,FALSE,"Infl_fact"}</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LOADLIST." localSheetId="0" hidden="1">{#N/A,#N/A,TRUE,"LDLST";#N/A,#N/A,TRUE,"LDLST (2)"}</definedName>
    <definedName name="wrn.LOADLIST." hidden="1">{#N/A,#N/A,TRUE,"LDLST";#N/A,#N/A,TRUE,"LDLST (2)"}</definedName>
    <definedName name="wrn.mai._.khanh." localSheetId="0" hidden="1">{"NGUYEN QUI THIEP - Personal View",#N/A,FALSE,"XDCB.HT.FUR."}</definedName>
    <definedName name="wrn.mai._.khanh." hidden="1">{"NGUYEN QUI THIEP - Personal View",#N/A,FALSE,"XDCB.HT.FUR."}</definedName>
    <definedName name="wrn.MARGIN." localSheetId="0" hidden="1">{#N/A,#N/A,FALSE,"VISTAF"}</definedName>
    <definedName name="wrn.MARGIN." hidden="1">{#N/A,#N/A,FALSE,"VISTAF"}</definedName>
    <definedName name="wrn.MCC._.LOADS." localSheetId="0" hidden="1">{#N/A,#N/A,FALSE,"MCC-12-1";#N/A,#N/A,FALSE,"MCC-12-2";#N/A,#N/A,FALSE,"SUM"}</definedName>
    <definedName name="wrn.MCC._.LOADS." hidden="1">{#N/A,#N/A,FALSE,"MCC-12-1";#N/A,#N/A,FALSE,"MCC-12-2";#N/A,#N/A,FALSE,"SUM"}</definedName>
    <definedName name="wrn.mhrfcst." localSheetId="0" hidden="1">{#N/A,#N/A,FALSE,"MANHR FCST-BASE"}</definedName>
    <definedName name="wrn.mhrfcst." hidden="1">{#N/A,#N/A,FALSE,"MANHR FCST-BASE"}</definedName>
    <definedName name="wrn.Monthly._.Statement." localSheetId="0" hidden="1">{#N/A,#N/A,FALSE,"Tabelle2";#N/A,#N/A,FALSE,"Tabelle1"}</definedName>
    <definedName name="wrn.Monthly._.Statement." hidden="1">{#N/A,#N/A,FALSE,"Tabelle2";#N/A,#N/A,FALSE,"Tabelle1"}</definedName>
    <definedName name="wrn.MTD1." localSheetId="0" hidden="1">{#N/A,#N/A,FALSE,"Sheet1";#N/A,#N/A,FALSE,"Sheet3";#N/A,#N/A,FALSE,"Sheet5"}</definedName>
    <definedName name="wrn.MTD1." hidden="1">{#N/A,#N/A,FALSE,"Sheet1";#N/A,#N/A,FALSE,"Sheet3";#N/A,#N/A,FALSE,"Sheet5"}</definedName>
    <definedName name="wrn.MTD2." localSheetId="0" hidden="1">{#N/A,#N/A,FALSE,"Sheet2";#N/A,#N/A,FALSE,"Sheet4";#N/A,#N/A,FALSE,"Sheet6"}</definedName>
    <definedName name="wrn.MTD2." hidden="1">{#N/A,#N/A,FALSE,"Sheet2";#N/A,#N/A,FALSE,"Sheet4";#N/A,#N/A,FALSE,"Sheet6"}</definedName>
    <definedName name="wrn.Nha._.3._.tang." localSheetId="0" hidden="1">{#N/A,#N/A,FALSE,"Cai tao mai 3 tang"}</definedName>
    <definedName name="wrn.Nha._.3._.tang." hidden="1">{#N/A,#N/A,FALSE,"Cai tao mai 3 tang"}</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L._.Analysis." localSheetId="0" hidden="1">{"AnalRSA",#N/A,TRUE,"PL-Anal";"AnalIAS",#N/A,TRUE,"PL-Anal"}</definedName>
    <definedName name="wrn.PL._.Analysis." hidden="1">{"AnalRSA",#N/A,TRUE,"PL-Anal";"AnalIAS",#N/A,TRUE,"PL-Anal"}</definedName>
    <definedName name="wrn.Present." localSheetId="0" hidden="1">{"Present",#N/A,FALSE,"Assump";"Present",#N/A,FALSE,"Calc";"Present",#N/A,FALSE,"Cover"}</definedName>
    <definedName name="wrn.Present."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10" hidden="1">{#N/A,#N/A,FALSE,"OUTPUT SHEET "}</definedName>
    <definedName name="wrn.Print._.Output." localSheetId="0" hidden="1">{#N/A,#N/A,FALSE,"OUTPUT SHEET "}</definedName>
    <definedName name="wrn.Print._.Output." hidden="1">{#N/A,#N/A,FALSE,"OUTPUT SHEET "}</definedName>
    <definedName name="wrn.Print_Report." localSheetId="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ofile." localSheetId="0" hidden="1">{"View 1",#N/A,FALSE,"Profile";"View 2",#N/A,FALSE,"Profile";"View 3",#N/A,FALSE,"Profile"}</definedName>
    <definedName name="wrn.Profile."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10" hidden="1">{#N/A,#N/A,FALSE,"特殊室（ＢＱ表）"}</definedName>
    <definedName name="wrn.report1." localSheetId="0"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SA._.BS._.and._.PL." localSheetId="0" hidden="1">{"BS1",#N/A,TRUE,"RSA_FS";"BS2",#N/A,TRUE,"RSA_FS";"BS3",#N/A,TRUE,"RSA_FS"}</definedName>
    <definedName name="wrn.RSA._.BS._.and._.PL." hidden="1">{"BS1",#N/A,TRUE,"RSA_FS";"BS2",#N/A,TRUE,"RSA_FS";"BS3",#N/A,TRUE,"RSA_FS"}</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ite._.expenses." localSheetId="0" hidden="1">{#N/A,#N/A,FALSE,"Expenses";#N/A,#N/A,FALSE,"Expenses"}</definedName>
    <definedName name="wrn.Site._.expenses." hidden="1">{#N/A,#N/A,FALSE,"Expenses";#N/A,#N/A,FALSE,"Expenses"}</definedName>
    <definedName name="wrn.STAFFS." localSheetId="0" hidden="1">{#N/A,#N/A,FALSE,"TABLE"}</definedName>
    <definedName name="wrn.STAFFS." hidden="1">{#N/A,#N/A,FALSE,"TABLE"}</definedName>
    <definedName name="wrn.test." localSheetId="0" hidden="1">{#N/A,#N/A,FALSE,"Tower &amp; Car Park"}</definedName>
    <definedName name="wrn.test." hidden="1">{#N/A,#N/A,FALSE,"Tower &amp; Car Park"}</definedName>
    <definedName name="wrn.test1." localSheetId="0" hidden="1">{#N/A,#N/A,FALSE,"명세표"}</definedName>
    <definedName name="wrn.test1." hidden="1">{#N/A,#N/A,FALSE,"명세표"}</definedName>
    <definedName name="wrn.TOTALE." localSheetId="0"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tou구매." hidden="1">{#N/A,#N/A,FALSE,"견적대비-2"}</definedName>
    <definedName name="wrn.vd." localSheetId="10" hidden="1">{#N/A,#N/A,TRUE,"BT M200 da 10x20"}</definedName>
    <definedName name="wrn.vd." localSheetId="0" hidden="1">{#N/A,#N/A,TRUE,"BT M200 da 10x20"}</definedName>
    <definedName name="wrn.vd." hidden="1">{#N/A,#N/A,TRUE,"BT M200 da 10x20"}</definedName>
    <definedName name="WRN.VOLTAGE." localSheetId="0" hidden="1">{#N/A,#N/A,FALSE,"Sheet2";#N/A,#N/A,FALSE,"Sheet4";#N/A,#N/A,FALSE,"Sheet6"}</definedName>
    <definedName name="WRN.VOLTAGE." hidden="1">{#N/A,#N/A,FALSE,"Sheet2";#N/A,#N/A,FALSE,"Sheet4";#N/A,#N/A,FALSE,"Sheet6"}</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0" hidden="1">{#N/A,#N/A,FALSE,"사업총괄";#N/A,#N/A,FALSE,"장비사업";#N/A,#N/A,FALSE,"철구사업";#N/A,#N/A,FALSE,"준설사업"}</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0" hidden="1">{#N/A,#N/A,FALSE,"Sheet1";#N/A,#N/A,FALSE,"Sheet2";#N/A,#N/A,FALSE,"TAB96-1"}</definedName>
    <definedName name="wrn.견적." hidden="1">{#N/A,#N/A,FALSE,"Sheet1";#N/A,#N/A,FALSE,"Sheet2";#N/A,#N/A,FALSE,"TAB96-1"}</definedName>
    <definedName name="wrn.경비인쇄." localSheetId="0" hidden="1">{#N/A,#N/A,FALSE,"경비"}</definedName>
    <definedName name="wrn.경비인쇄." hidden="1">{#N/A,#N/A,FALSE,"경비"}</definedName>
    <definedName name="wrn.고희석." localSheetId="0" hidden="1">{#N/A,#N/A,FALSE,"교리2"}</definedName>
    <definedName name="wrn.고희석." hidden="1">{#N/A,#N/A,FALSE,"교리2"}</definedName>
    <definedName name="wrn.골재소요량." localSheetId="0" hidden="1">{#N/A,#N/A,FALSE,"골재소요량";#N/A,#N/A,FALSE,"골재소요량"}</definedName>
    <definedName name="wrn.골재소요량."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10" hidden="1">{#N/A,#N/A,FALSE,"전력간선"}</definedName>
    <definedName name="wrn.교육청." localSheetId="0" hidden="1">{#N/A,#N/A,FALSE,"전력간선"}</definedName>
    <definedName name="wrn.교육청." hidden="1">{#N/A,#N/A,FALSE,"전력간선"}</definedName>
    <definedName name="wrn.교육청.1" localSheetId="10" hidden="1">{#N/A,#N/A,FALSE,"전력간선"}</definedName>
    <definedName name="wrn.교육청.1" localSheetId="0" hidden="1">{#N/A,#N/A,FALSE,"전력간선"}</definedName>
    <definedName name="wrn.교육청.1" hidden="1">{#N/A,#N/A,FALSE,"전력간선"}</definedName>
    <definedName name="wrn.구조2." localSheetId="10" hidden="1">{#N/A,#N/A,FALSE,"구조2"}</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0" hidden="1">{#N/A,#N/A,FALSE,"기타"}</definedName>
    <definedName name="wrn.기타인쇄." hidden="1">{#N/A,#N/A,FALSE,"기타"}</definedName>
    <definedName name="wrn.노무비인쇄." localSheetId="0" hidden="1">{#N/A,#N/A,FALSE,"노무비"}</definedName>
    <definedName name="wrn.노무비인쇄." hidden="1">{#N/A,#N/A,FALSE,"노무비"}</definedName>
    <definedName name="wrn.단가표지." localSheetId="0" hidden="1">{#N/A,#N/A,FALSE,"단가표지"}</definedName>
    <definedName name="wrn.단가표지." hidden="1">{#N/A,#N/A,FALSE,"단가표지"}</definedName>
    <definedName name="wrn.단가표지._1" localSheetId="0" hidden="1">{#N/A,#N/A,FALSE,"단가표지"}</definedName>
    <definedName name="wrn.단가표지._1"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localSheetId="10" hidden="1">{#N/A,#N/A,FALSE,"배수1"}</definedName>
    <definedName name="wrn.배수1." localSheetId="0" hidden="1">{#N/A,#N/A,FALSE,"배수1"}</definedName>
    <definedName name="wrn.배수1." hidden="1">{#N/A,#N/A,FALSE,"배수1"}</definedName>
    <definedName name="wrn.배수2." localSheetId="10" hidden="1">{#N/A,#N/A,FALSE,"배수2"}</definedName>
    <definedName name="wrn.배수2." localSheetId="0" hidden="1">{#N/A,#N/A,FALSE,"배수2"}</definedName>
    <definedName name="wrn.배수2." hidden="1">{#N/A,#N/A,FALSE,"배수2"}</definedName>
    <definedName name="wrn.변경예산." localSheetId="10" hidden="1">{#N/A,#N/A,FALSE,"변경관리예산";#N/A,#N/A,FALSE,"변경장비예산";#N/A,#N/A,FALSE,"변경준설예산";#N/A,#N/A,FALSE,"변경철구예산"}</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10" hidden="1">{#N/A,#N/A,FALSE,"부대1"}</definedName>
    <definedName name="wrn.부대1." localSheetId="0" hidden="1">{#N/A,#N/A,FALSE,"부대1"}</definedName>
    <definedName name="wrn.부대1." hidden="1">{#N/A,#N/A,FALSE,"부대1"}</definedName>
    <definedName name="wrn.부대2." localSheetId="10" hidden="1">{#N/A,#N/A,FALSE,"부대2"}</definedName>
    <definedName name="wrn.부대2." localSheetId="0" hidden="1">{#N/A,#N/A,FALSE,"부대2"}</definedName>
    <definedName name="wrn.부대2."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localSheetId="1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0" hidden="1">{#N/A,#N/A,FALSE,"산출근거목록"}</definedName>
    <definedName name="wrn.산출근거목록인쇄." hidden="1">{#N/A,#N/A,FALSE,"산출근거목록"}</definedName>
    <definedName name="wrn.산출근거인쇄." localSheetId="0" hidden="1">{#N/A,#N/A,FALSE,"산출근거"}</definedName>
    <definedName name="wrn.산출근거인쇄." hidden="1">{#N/A,#N/A,FALSE,"산출근거"}</definedName>
    <definedName name="wrn.산출근거인쇄._.토개공변환." localSheetId="0" hidden="1">{#N/A,#N/A,FALSE,"산출근거변환"}</definedName>
    <definedName name="wrn.산출근거인쇄._.토개공변환." hidden="1">{#N/A,#N/A,FALSE,"산출근거변환"}</definedName>
    <definedName name="wrn.설계내역서인쇄." localSheetId="0" hidden="1">{#N/A,#N/A,FALSE,"설계내역서"}</definedName>
    <definedName name="wrn.설계내역서인쇄." hidden="1">{#N/A,#N/A,FALSE,"설계내역서"}</definedName>
    <definedName name="wrn.속도." localSheetId="10" hidden="1">{#N/A,#N/A,FALSE,"속도"}</definedName>
    <definedName name="wrn.속도." localSheetId="0" hidden="1">{#N/A,#N/A,FALSE,"속도"}</definedName>
    <definedName name="wrn.속도."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0" hidden="1">{#N/A,#N/A,FALSE,"증감대비표";#N/A,#N/A,FALSE,"결의서";#N/A,#N/A,FALSE,"내역서";#N/A,#N/A,FALSE,"도급예상"}</definedName>
    <definedName name="wrn.시행결의." hidden="1">{#N/A,#N/A,FALSE,"증감대비표";#N/A,#N/A,FALSE,"결의서";#N/A,#N/A,FALSE,"내역서";#N/A,#N/A,FALSE,"도급예상"}</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업체별._.견적공사명." localSheetId="0" hidden="1">{"SJ - 기본 보기",#N/A,FALSE,"공사별 외주견적"}</definedName>
    <definedName name="wrn.업체별._.견적공사명." hidden="1">{"SJ - 기본 보기",#N/A,FALSE,"공사별 외주견적"}</definedName>
    <definedName name="wrn.예상손익." localSheetId="10" hidden="1">{#N/A,#N/A,FALSE,"예상손익";#N/A,#N/A,FALSE,"관리분석";#N/A,#N/A,FALSE,"장비분석";#N/A,#N/A,FALSE,"준설분석";#N/A,#N/A,FALSE,"철구분석"}</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운반시간._1" localSheetId="0" hidden="1">{#N/A,#N/A,FALSE,"운반시간"}</definedName>
    <definedName name="wrn.운반시간._1" hidden="1">{#N/A,#N/A,FALSE,"운반시간"}</definedName>
    <definedName name="wrn.원가계산서인쇄." localSheetId="0" hidden="1">{#N/A,#N/A,FALSE,"원가계산서"}</definedName>
    <definedName name="wrn.원가계산서인쇄." hidden="1">{#N/A,#N/A,FALSE,"원가계산서"}</definedName>
    <definedName name="wrn.이정표." localSheetId="10" hidden="1">{#N/A,#N/A,FALSE,"이정표"}</definedName>
    <definedName name="wrn.이정표." localSheetId="0" hidden="1">{#N/A,#N/A,FALSE,"이정표"}</definedName>
    <definedName name="wrn.이정표." hidden="1">{#N/A,#N/A,FALSE,"이정표"}</definedName>
    <definedName name="wrn.이태원._.철근." localSheetId="0" hidden="1">{#N/A,#N/A,FALSE,"이태원철근"}</definedName>
    <definedName name="wrn.이태원._.철근." hidden="1">{#N/A,#N/A,FALSE,"이태원철근"}</definedName>
    <definedName name="wrn.일위대가목록인쇄." localSheetId="0" hidden="1">{#N/A,#N/A,FALSE,"일위대가목록"}</definedName>
    <definedName name="wrn.일위대가목록인쇄." hidden="1">{#N/A,#N/A,FALSE,"일위대가목록"}</definedName>
    <definedName name="wrn.일위대가인쇄." localSheetId="0" hidden="1">{#N/A,#N/A,FALSE,"일위대가"}</definedName>
    <definedName name="wrn.일위대가인쇄." hidden="1">{#N/A,#N/A,FALSE,"일위대가"}</definedName>
    <definedName name="wrn.일위대가인쇄._.수자원변환." localSheetId="0" hidden="1">{#N/A,#N/A,FALSE,"일위대가변환"}</definedName>
    <definedName name="wrn.일위대가인쇄._.수자원변환." hidden="1">{#N/A,#N/A,FALSE,"일위대가변환"}</definedName>
    <definedName name="wrn.입적표." localSheetId="0" hidden="1">{#N/A,#N/A,FALSE,"전체집계표";#N/A,#N/A,FALSE,"안벽30000";#N/A,#N/A,FALSE,"안벽20000";#N/A,#N/A,FALSE,"내호안";#N/A,#N/A,FALSE,"외호안";#N/A,#N/A,FALSE,"준설토A";#N/A,#N/A,FALSE,"준설토B";#N/A,#N/A,FALSE,"적출장"}</definedName>
    <definedName name="wrn.입적표." hidden="1">{#N/A,#N/A,FALSE,"전체집계표";#N/A,#N/A,FALSE,"안벽30000";#N/A,#N/A,FALSE,"안벽20000";#N/A,#N/A,FALSE,"내호안";#N/A,#N/A,FALSE,"외호안";#N/A,#N/A,FALSE,"준설토A";#N/A,#N/A,FALSE,"준설토B";#N/A,#N/A,FALSE,"적출장"}</definedName>
    <definedName name="wrn.재료비인쇄." localSheetId="0" hidden="1">{#N/A,#N/A,FALSE,"재료비"}</definedName>
    <definedName name="wrn.재료비인쇄." hidden="1">{#N/A,#N/A,FALSE,"재료비"}</definedName>
    <definedName name="wrn.조골재." localSheetId="0" hidden="1">{#N/A,#N/A,FALSE,"조골재"}</definedName>
    <definedName name="wrn.조골재." hidden="1">{#N/A,#N/A,FALSE,"조골재"}</definedName>
    <definedName name="wrn.조골재._1" localSheetId="0" hidden="1">{#N/A,#N/A,FALSE,"조골재"}</definedName>
    <definedName name="wrn.조골재._1" hidden="1">{#N/A,#N/A,FALSE,"조골재"}</definedName>
    <definedName name="wrn.중기목록인쇄." localSheetId="0" hidden="1">{#N/A,#N/A,FALSE,"중기목록"}</definedName>
    <definedName name="wrn.중기목록인쇄." hidden="1">{#N/A,#N/A,FALSE,"중기목록"}</definedName>
    <definedName name="wrn.중기산출기초인쇄." localSheetId="0" hidden="1">{#N/A,#N/A,FALSE,"중기산출기초"}</definedName>
    <definedName name="wrn.중기산출기초인쇄." hidden="1">{#N/A,#N/A,FALSE,"중기산출기초"}</definedName>
    <definedName name="wrn.중기인쇄." localSheetId="0" hidden="1">{#N/A,#N/A,FALSE,"중기"}</definedName>
    <definedName name="wrn.중기인쇄." hidden="1">{#N/A,#N/A,FALSE,"중기"}</definedName>
    <definedName name="wrn.중기인쇄._.일반형변환." localSheetId="0" hidden="1">{#N/A,#N/A,FALSE,"중기변환"}</definedName>
    <definedName name="wrn.중기인쇄._.일반형변환." hidden="1">{#N/A,#N/A,FALSE,"중기변환"}</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철골집계표._.5칸." localSheetId="10" hidden="1">{#N/A,#N/A,FALSE,"Sheet1"}</definedName>
    <definedName name="wrn.철골집계표._.5칸." localSheetId="0" hidden="1">{#N/A,#N/A,FALSE,"Sheet1"}</definedName>
    <definedName name="wrn.철골집계표._.5칸." hidden="1">{#N/A,#N/A,FALSE,"Sheet1"}</definedName>
    <definedName name="wrn.토공1." localSheetId="10" hidden="1">{#N/A,#N/A,FALSE,"구조1"}</definedName>
    <definedName name="wrn.토공1." localSheetId="0" hidden="1">{#N/A,#N/A,FALSE,"구조1"}</definedName>
    <definedName name="wrn.토공1." hidden="1">{#N/A,#N/A,FALSE,"구조1"}</definedName>
    <definedName name="wrn.토공2." localSheetId="10" hidden="1">{#N/A,#N/A,FALSE,"토공2"}</definedName>
    <definedName name="wrn.토공2." localSheetId="0" hidden="1">{#N/A,#N/A,FALSE,"토공2"}</definedName>
    <definedName name="wrn.토공2." hidden="1">{#N/A,#N/A,FALSE,"토공2"}</definedName>
    <definedName name="wrn.통신지." localSheetId="0" hidden="1">{#N/A,#N/A,FALSE,"기안지";#N/A,#N/A,FALSE,"통신지"}</definedName>
    <definedName name="wrn.통신지." hidden="1">{#N/A,#N/A,FALSE,"기안지";#N/A,#N/A,FALSE,"통신지"}</definedName>
    <definedName name="wrn.포장1." localSheetId="10" hidden="1">{#N/A,#N/A,FALSE,"포장1";#N/A,#N/A,FALSE,"포장1"}</definedName>
    <definedName name="wrn.포장1." localSheetId="0" hidden="1">{#N/A,#N/A,FALSE,"포장1";#N/A,#N/A,FALSE,"포장1"}</definedName>
    <definedName name="wrn.포장1." hidden="1">{#N/A,#N/A,FALSE,"포장1";#N/A,#N/A,FALSE,"포장1"}</definedName>
    <definedName name="wrn.포장2." localSheetId="10" hidden="1">{#N/A,#N/A,FALSE,"포장2"}</definedName>
    <definedName name="wrn.포장2." localSheetId="0" hidden="1">{#N/A,#N/A,FALSE,"포장2"}</definedName>
    <definedName name="wrn.포장2." hidden="1">{#N/A,#N/A,FALSE,"포장2"}</definedName>
    <definedName name="wrn.표지." localSheetId="10" hidden="1">{#N/A,#N/A,FALSE,"표지"}</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표지목차._1" localSheetId="0" hidden="1">{#N/A,#N/A,FALSE,"표지목차"}</definedName>
    <definedName name="wrn.표지목차._1" hidden="1">{#N/A,#N/A,FALSE,"표지목차"}</definedName>
    <definedName name="wrn.현장._.IDEA._.공모." localSheetId="0" hidden="1">{#N/A,#N/A,FALSE,"현장IDEA공모"}</definedName>
    <definedName name="wrn.현장._.IDEA._.공모." hidden="1">{#N/A,#N/A,FALSE,"현장IDEA공모"}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0" hidden="1">{#N/A,#N/A,FALSE,"혼합골재"}</definedName>
    <definedName name="wrn.혼합골재." hidden="1">{#N/A,#N/A,FALSE,"혼합골재"}</definedName>
    <definedName name="wrn.혼합골재._1" localSheetId="0" hidden="1">{#N/A,#N/A,FALSE,"혼합골재"}</definedName>
    <definedName name="wrn.혼합골재._1" hidden="1">{#N/A,#N/A,FALSE,"혼합골재"}</definedName>
    <definedName name="wrn_xoa2" localSheetId="0" hidden="1">{#N/A,#N/A,FALSE,"Chi tiÆt"}</definedName>
    <definedName name="wrn_xoa2" hidden="1">{#N/A,#N/A,FALSE,"Chi tiÆt"}</definedName>
    <definedName name="WRNE.CHARTS" localSheetId="0" hidden="1">{"Chart 1",#N/A,TRUE,"Charts";"Chart 2",#N/A,TRUE,"Charts"}</definedName>
    <definedName name="WRNE.CHARTS" hidden="1">{"Chart 1",#N/A,TRUE,"Charts";"Chart 2",#N/A,TRUE,"Charts"}</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y" localSheetId="0" hidden="1">{"'용역비'!$A$4:$C$8"}</definedName>
    <definedName name="wrty" hidden="1">{"'용역비'!$A$4:$C$8"}</definedName>
    <definedName name="wrtyrtyrt" localSheetId="0" hidden="1">{"'용역비'!$A$4:$C$8"}</definedName>
    <definedName name="wrtyrtyrt" hidden="1">{"'용역비'!$A$4:$C$8"}</definedName>
    <definedName name="wrtywrtywr" localSheetId="0" hidden="1">{"'용역비'!$A$4:$C$8"}</definedName>
    <definedName name="wrtywrtywr" hidden="1">{"'용역비'!$A$4:$C$8"}</definedName>
    <definedName name="wsq" localSheetId="0" hidden="1">#REF!</definedName>
    <definedName name="wsq" hidden="1">#REF!</definedName>
    <definedName name="wtwtwtew" localSheetId="0" hidden="1">#REF!</definedName>
    <definedName name="wtwtwtew" hidden="1">#REF!</definedName>
    <definedName name="wuy" localSheetId="0" hidden="1">{"'용역비'!$A$4:$C$8"}</definedName>
    <definedName name="wuy"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 hidden="1">{"'Sheet1'!$L$16"}</definedName>
    <definedName name="ｗｗ" localSheetId="0" hidden="1">{"'Sheet1'!$L$16"}</definedName>
    <definedName name="ｗｗ" hidden="1">{"'Sheet1'!$L$16"}</definedName>
    <definedName name="wwhwhwrh" localSheetId="0" hidden="1">{"'Sheet1'!$L$16"}</definedName>
    <definedName name="wwhwhwrh" hidden="1">{"'Sheet1'!$L$16"}</definedName>
    <definedName name="wwq" localSheetId="0" hidden="1">#REF!</definedName>
    <definedName name="wwq" hidden="1">#REF!</definedName>
    <definedName name="www" localSheetId="0" hidden="1">{#N/A,#N/A,TRUE,"SUM";#N/A,#N/A,TRUE,"EE";#N/A,#N/A,TRUE,"AC";#N/A,#N/A,TRUE,"SN"}</definedName>
    <definedName name="www" hidden="1">{#N/A,#N/A,TRUE,"SUM";#N/A,#N/A,TRUE,"EE";#N/A,#N/A,TRUE,"AC";#N/A,#N/A,TRUE,"SN"}</definedName>
    <definedName name="wwww" localSheetId="0"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ｗｗｗｗ" localSheetId="0" hidden="1">{"'Sheet1'!$L$16"}</definedName>
    <definedName name="ｗｗｗｗ" hidden="1">{"'Sheet1'!$L$16"}</definedName>
    <definedName name="wwwww" localSheetId="0" hidden="1">#REF!</definedName>
    <definedName name="wwwww" hidden="1">#REF!</definedName>
    <definedName name="wwwwwww" localSheetId="0"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 localSheetId="0" hidden="1">#REF!</definedName>
    <definedName name="WWWWWWWWWW" hidden="1">#REF!</definedName>
    <definedName name="WZ" localSheetId="0" hidden="1">{#N/A,#N/A,FALSE,"CCTV"}</definedName>
    <definedName name="WZ" hidden="1">{#N/A,#N/A,FALSE,"CCTV"}</definedName>
    <definedName name="xbmvxxmx" localSheetId="0" hidden="1">#REF!</definedName>
    <definedName name="xbmvxxmx" hidden="1">#REF!</definedName>
    <definedName name="XC" localSheetId="0" hidden="1">{#N/A,#N/A,FALSE,"CCTV"}</definedName>
    <definedName name="XC" hidden="1">{#N/A,#N/A,FALSE,"CCTV"}</definedName>
    <definedName name="XCB" localSheetId="0" hidden="1">#REF!</definedName>
    <definedName name="XCB" hidden="1">#REF!</definedName>
    <definedName name="XCVBGGHN"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x" localSheetId="0" hidden="1">#REF!</definedName>
    <definedName name="xcx" hidden="1">#REF!</definedName>
    <definedName name="XCZCZ"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KT" localSheetId="0" hidden="1">{"NGUYEN QUI THIEP - Personal View",#N/A,FALSE,"XDCB.HT.FUR."}</definedName>
    <definedName name="XDKT" hidden="1">{"NGUYEN QUI THIEP - Personal View",#N/A,FALSE,"XDCB.HT.FUR."}</definedName>
    <definedName name="xlttbninh" localSheetId="0" hidden="1">{"'Sheet1'!$L$16"}</definedName>
    <definedName name="xlttbninh" hidden="1">{"'Sheet1'!$L$16"}</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mxbxbv" localSheetId="0" hidden="1">#REF!</definedName>
    <definedName name="xmxbxbv" hidden="1">#REF!</definedName>
    <definedName name="XN908nam2003" localSheetId="0" hidden="1">{"'Sheet1'!$L$16"}</definedName>
    <definedName name="XN908nam2003" hidden="1">{"'Sheet1'!$L$16"}</definedName>
    <definedName name="xoa1" localSheetId="0" hidden="1">{"'Sheet1'!$L$16"}</definedName>
    <definedName name="xoa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u" localSheetId="0" hidden="1">{#N/A,#N/A,FALSE,"Chi tiÆt"}</definedName>
    <definedName name="xu" hidden="1">{#N/A,#N/A,FALSE,"Chi tiÆt"}</definedName>
    <definedName name="XuÊt8" localSheetId="0" hidden="1">{"'Sheet1'!$L$16"}</definedName>
    <definedName name="XuÊt8" hidden="1">{"'Sheet1'!$L$16"}</definedName>
    <definedName name="xvxcvx" localSheetId="0" hidden="1">#REF!</definedName>
    <definedName name="xvxcvx" hidden="1">#REF!</definedName>
    <definedName name="xvxcvxc" localSheetId="0" hidden="1">{"'Sheet1'!$L$16"}</definedName>
    <definedName name="xvxcvxc" hidden="1">{"'Sheet1'!$L$16"}</definedName>
    <definedName name="xx" localSheetId="0" hidden="1">#REF!</definedName>
    <definedName name="xx" hidden="1">#REF!</definedName>
    <definedName name="xxa" localSheetId="0"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ccxc" localSheetId="0" hidden="1">#REF!</definedName>
    <definedName name="xxcccxc" hidden="1">#REF!</definedName>
    <definedName name="xxx" localSheetId="0" hidden="1">{"'Sheet1'!$L$16"}</definedName>
    <definedName name="xxx" hidden="1">{"'Sheet1'!$L$16"}</definedName>
    <definedName name="ｘｘｘ" localSheetId="0" hidden="1">{"'Sheet1'!$L$16"}</definedName>
    <definedName name="ｘｘｘ" hidden="1">{"'Sheet1'!$L$16"}</definedName>
    <definedName name="XXXAAAA" localSheetId="0" hidden="1">{"'Sheet1'!$L$16"}</definedName>
    <definedName name="XXXAAAA" hidden="1">{"'Sheet1'!$L$16"}</definedName>
    <definedName name="xxxczzxxcz" localSheetId="0" hidden="1">#REF!</definedName>
    <definedName name="xxxczzxxcz" hidden="1">#REF!</definedName>
    <definedName name="ｘｘｘｘ" localSheetId="0" hidden="1">{"'Sheet1'!$L$16"}</definedName>
    <definedName name="ｘｘｘｘ" hidden="1">{"'Sheet1'!$L$16"}</definedName>
    <definedName name="ｘｘｘｘｘ" localSheetId="0" hidden="1">{"'Sheet1'!$L$16"}</definedName>
    <definedName name="ｘｘｘｘｘ" hidden="1">{"'Sheet1'!$L$16"}</definedName>
    <definedName name="xxxxxx" localSheetId="0" hidden="1">#REF!</definedName>
    <definedName name="xxxxxx" hidden="1">#REF!</definedName>
    <definedName name="xxxxxxxxxxx" localSheetId="0" hidden="1">{"'Sheet1'!$L$16"}</definedName>
    <definedName name="xxxxxxxxxxx" hidden="1">{"'Sheet1'!$L$16"}</definedName>
    <definedName name="xxxxxxxxxxxxxxxx" localSheetId="0" hidden="1">#REF!</definedName>
    <definedName name="xxxxxxxxxxxxxxxx" hidden="1">#REF!</definedName>
    <definedName name="xxz" localSheetId="0" hidden="1">#REF!</definedName>
    <definedName name="xxz" hidden="1">#REF!</definedName>
    <definedName name="y" localSheetId="0" hidden="1">{"'Liquid'!$A$1:$U$57"}</definedName>
    <definedName name="y" hidden="1">{"'Liquid'!$A$1:$U$57"}</definedName>
    <definedName name="ỵ" localSheetId="0" hidden="1">{"'Sheet1'!$L$16"}</definedName>
    <definedName name="ỵ" hidden="1">{"'Sheet1'!$L$16"}</definedName>
    <definedName name="y6ytyjtyjytjtyj" localSheetId="0" hidden="1">#REF!</definedName>
    <definedName name="y6ytyjtyjytjtyj" hidden="1">#REF!</definedName>
    <definedName name="yans" localSheetId="0" hidden="1">#REF!</definedName>
    <definedName name="yans" hidden="1">#REF!</definedName>
    <definedName name="yc" localSheetId="0" hidden="1">{#N/A,#N/A,FALSE,"CCTV"}</definedName>
    <definedName name="yc" hidden="1">{#N/A,#N/A,FALSE,"CCTV"}</definedName>
    <definedName name="Yd" localSheetId="0" hidden="1">#REF!</definedName>
    <definedName name="Yd" hidden="1">#REF!</definedName>
    <definedName name="ỳdhgg" localSheetId="0" hidden="1">{"'Sheet1'!$L$16"}</definedName>
    <definedName name="ỳdhgg" hidden="1">{"'Sheet1'!$L$16"}</definedName>
    <definedName name="ýenda" localSheetId="0" hidden="1">{"'Sheet1'!$L$16"}</definedName>
    <definedName name="ýenda" hidden="1">{"'Sheet1'!$L$16"}</definedName>
    <definedName name="yet" localSheetId="0" hidden="1">{#N/A,#N/A,TRUE,"ERECTION";#N/A,#N/A,TRUE,"A";#N/A,#N/A,TRUE,"B";#N/A,#N/A,TRUE,"C";#N/A,#N/A,TRUE,"D";#N/A,#N/A,TRUE,"E";#N/A,#N/A,TRUE,"F";#N/A,#N/A,TRUE,"G";#N/A,#N/A,TRUE,"H";#N/A,#N/A,TRUE,"I";#N/A,#N/A,TRUE,"J";#N/A,#N/A,TRUE,"K";#N/A,#N/A,TRUE,"L";#N/A,#N/A,TRUE,"M";#N/A,#N/A,TRUE,"N"}</definedName>
    <definedName name="yet" hidden="1">{#N/A,#N/A,TRUE,"ERECTION";#N/A,#N/A,TRUE,"A";#N/A,#N/A,TRUE,"B";#N/A,#N/A,TRUE,"C";#N/A,#N/A,TRUE,"D";#N/A,#N/A,TRUE,"E";#N/A,#N/A,TRUE,"F";#N/A,#N/A,TRUE,"G";#N/A,#N/A,TRUE,"H";#N/A,#N/A,TRUE,"I";#N/A,#N/A,TRUE,"J";#N/A,#N/A,TRUE,"K";#N/A,#N/A,TRUE,"L";#N/A,#N/A,TRUE,"M";#N/A,#N/A,TRUE,"N"}</definedName>
    <definedName name="yeyegf" localSheetId="0" hidden="1">#REF!</definedName>
    <definedName name="yeyegf" hidden="1">#REF!</definedName>
    <definedName name="YFU" localSheetId="0" hidden="1">{"'용역비'!$A$4:$C$8"}</definedName>
    <definedName name="YFU" hidden="1">{"'용역비'!$A$4:$C$8"}</definedName>
    <definedName name="yheryey" localSheetId="0" hidden="1">#REF!</definedName>
    <definedName name="yheryey" hidden="1">#REF!</definedName>
    <definedName name="yidti" localSheetId="0" hidden="1">{"'Sheet1'!$L$16"}</definedName>
    <definedName name="yidti" hidden="1">{"'Sheet1'!$L$16"}</definedName>
    <definedName name="yjyjy" localSheetId="0" hidden="1">#REF!</definedName>
    <definedName name="yjyjy" hidden="1">#REF!</definedName>
    <definedName name="ylylly" localSheetId="0" hidden="1">#REF!</definedName>
    <definedName name="ylylly" hidden="1">#REF!</definedName>
    <definedName name="ylyulluy" localSheetId="0" hidden="1">#REF!</definedName>
    <definedName name="ylyulluy" hidden="1">#REF!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rddd" localSheetId="0" hidden="1">#REF!</definedName>
    <definedName name="yrddd" hidden="1">#REF!</definedName>
    <definedName name="yrdtytyt" localSheetId="0" hidden="1">{#N/A,#N/A,FALSE,"CCTV"}</definedName>
    <definedName name="yrdtytyt" hidden="1">{#N/A,#N/A,FALSE,"CCTV"}</definedName>
    <definedName name="yrttnnnnnnnnnnnnnnnnn" localSheetId="0" hidden="1">#REF!</definedName>
    <definedName name="yrttnnnnnnnnnnnnnnnnn" hidden="1">#REF!</definedName>
    <definedName name="yrtyrttttyy" localSheetId="0" hidden="1">#REF!</definedName>
    <definedName name="yrtyrttttyy" hidden="1">#REF!</definedName>
    <definedName name="yrtytyrrt" localSheetId="0" hidden="1">#REF!</definedName>
    <definedName name="yrtytyrrt" hidden="1">#REF!</definedName>
    <definedName name="YSJSJS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localSheetId="0" hidden="1">{#N/A,#N/A,FALSE,"Sheet2";#N/A,#N/A,FALSE,"Sheet4";#N/A,#N/A,FALSE,"Sheet6"}</definedName>
    <definedName name="YSY" hidden="1">{#N/A,#N/A,FALSE,"Sheet2";#N/A,#N/A,FALSE,"Sheet4";#N/A,#N/A,FALSE,"Sheet6"}</definedName>
    <definedName name="yteye5y" localSheetId="0" hidden="1">{"'Sheet1'!$L$16"}</definedName>
    <definedName name="yteye5y" hidden="1">{"'Sheet1'!$L$16"}</definedName>
    <definedName name="ytyityity" localSheetId="0" hidden="1">#REF!</definedName>
    <definedName name="ytyityity" hidden="1">#REF!</definedName>
    <definedName name="YTYT" localSheetId="0" hidden="1">{"'Sheet1'!$L$16"}</definedName>
    <definedName name="YTYT" hidden="1">{"'Sheet1'!$L$16"}</definedName>
    <definedName name="ytr" localSheetId="0" hidden="1">#REF!</definedName>
    <definedName name="ytr" hidden="1">#REF!</definedName>
    <definedName name="ytruru" localSheetId="0" hidden="1">#REF!</definedName>
    <definedName name="ytruru" hidden="1">#REF!</definedName>
    <definedName name="ytrutur" localSheetId="0" hidden="1">#REF!</definedName>
    <definedName name="ytrutur" hidden="1">#REF!</definedName>
    <definedName name="yu" localSheetId="0" hidden="1">{"'Sheet1'!$L$16"}</definedName>
    <definedName name="yu" hidden="1">{"'Sheet1'!$L$16"}</definedName>
    <definedName name="ỵu" localSheetId="0" hidden="1">{"'Sheet1'!$L$16"}</definedName>
    <definedName name="ỵu" hidden="1">{"'Sheet1'!$L$16"}</definedName>
    <definedName name="YUK" localSheetId="0" hidden="1">{"'용역비'!$A$4:$C$8"}</definedName>
    <definedName name="YUK" hidden="1">{"'용역비'!$A$4:$C$8"}</definedName>
    <definedName name="yukyuluy" localSheetId="0" hidden="1">#REF!</definedName>
    <definedName name="yukyuluy" hidden="1">#REF!</definedName>
    <definedName name="yulyi" localSheetId="0" hidden="1">#REF!</definedName>
    <definedName name="yulyi" hidden="1">#REF!</definedName>
    <definedName name="yuo" localSheetId="0" hidden="1">#REF!</definedName>
    <definedName name="yuo" hidden="1">#REF!</definedName>
    <definedName name="yuyu" localSheetId="0" hidden="1">{"'장비'!$A$3:$M$12"}</definedName>
    <definedName name="yuyu" hidden="1">{"'장비'!$A$3:$M$12"}</definedName>
    <definedName name="YUYUY" localSheetId="0" hidden="1">{#N/A,#N/A,FALSE,"혼합골재"}</definedName>
    <definedName name="YUYUY" hidden="1">{#N/A,#N/A,FALSE,"혼합골재"}</definedName>
    <definedName name="yuyuyu" localSheetId="0" hidden="1">{"'장비'!$A$3:$M$12"}</definedName>
    <definedName name="yuyuyu" hidden="1">{"'장비'!$A$3:$M$12"}</definedName>
    <definedName name="yuyy" localSheetId="0" hidden="1">#REF!</definedName>
    <definedName name="yuyy" hidden="1">#REF!</definedName>
    <definedName name="yy" localSheetId="0" hidden="1">{"'Sheet1'!$L$16"}</definedName>
    <definedName name="yy" hidden="1">{"'Sheet1'!$L$16"}</definedName>
    <definedName name="yyiiyff" localSheetId="0" hidden="1">{#N/A,#N/A,FALSE,"Chi tiÆt"}</definedName>
    <definedName name="yyiiyff" hidden="1">{#N/A,#N/A,FALSE,"Chi tiÆt"}</definedName>
    <definedName name="yyjy_ukyu" localSheetId="0" hidden="1">{"'Sheet1'!$L$16"}</definedName>
    <definedName name="yyjy_ukyu" hidden="1">{"'Sheet1'!$L$16"}</definedName>
    <definedName name="ｙｙｙ" localSheetId="0" hidden="1">{"'Sheet1'!$L$16"}</definedName>
    <definedName name="ｙｙｙ" hidden="1">{"'Sheet1'!$L$16"}</definedName>
    <definedName name="yyyyy" localSheetId="0" hidden="1">{"'장비'!$A$3:$M$12"}</definedName>
    <definedName name="yyyyy" hidden="1">{"'장비'!$A$3:$M$12"}</definedName>
    <definedName name="Z_2A223C64_F323_11D6_AACE_00C026619578_.wvu.PrintArea" localSheetId="0" hidden="1">#REF!</definedName>
    <definedName name="Z_2A223C64_F323_11D6_AACE_00C026619578_.wvu.PrintArea" hidden="1">#REF!</definedName>
    <definedName name="Z_2BD578FA_E2CB_4B2F_9A88_B148DA6298A5_.wvu.Cols" localSheetId="0" hidden="1">#REF!</definedName>
    <definedName name="Z_2BD578FA_E2CB_4B2F_9A88_B148DA6298A5_.wvu.Cols" hidden="1">#REF!</definedName>
    <definedName name="Z_2BD578FA_E2CB_4B2F_9A88_B148DA6298A5_.wvu.PrintArea" localSheetId="0" hidden="1">#REF!</definedName>
    <definedName name="Z_2BD578FA_E2CB_4B2F_9A88_B148DA6298A5_.wvu.PrintArea" hidden="1">#REF!</definedName>
    <definedName name="Z_B3255642_8A6B_11D5_916F_005004920FCB_.wvu.PrintTitles" localSheetId="0" hidden="1">#REF!</definedName>
    <definedName name="Z_B3255642_8A6B_11D5_916F_005004920FCB_.wvu.PrintTitles" hidden="1">#REF!</definedName>
    <definedName name="Z_B6D82DE0_6701_11DA_9820_00304F1E4471_.wvu.Cols" localSheetId="0" hidden="1">#REF!</definedName>
    <definedName name="Z_B6D82DE0_6701_11DA_9820_00304F1E4471_.wvu.Cols" hidden="1">#REF!</definedName>
    <definedName name="Z_BF5D2B28_2DCF_11D2_BAF0_00E02914DDEE_.wvu.Cols" localSheetId="0" hidden="1">#REF!</definedName>
    <definedName name="Z_BF5D2B28_2DCF_11D2_BAF0_00E02914DDEE_.wvu.Cols" hidden="1">#REF!</definedName>
    <definedName name="za" localSheetId="0" hidden="1">#REF!</definedName>
    <definedName name="za" hidden="1">#REF!</definedName>
    <definedName name="zdf" localSheetId="0" hidden="1">#REF!</definedName>
    <definedName name="zdf" hidden="1">#REF!</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HsCpcNc" hidden="1">FALSE</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0" hidden="1">{"'Sheet1'!$L$16"}</definedName>
    <definedName name="zKm2" hidden="1">{"'Sheet1'!$L$16"}</definedName>
    <definedName name="zvgsd" localSheetId="0" hidden="1">#REF!</definedName>
    <definedName name="zvgsd" hidden="1">#REF!</definedName>
    <definedName name="zx" localSheetId="10" hidden="1">#REF!</definedName>
    <definedName name="zx" hidden="1">#REF!</definedName>
    <definedName name="ZXC" localSheetId="0" hidden="1">{#N/A,#N/A,FALSE,"이태원철근"}</definedName>
    <definedName name="ZXC" hidden="1">{#N/A,#N/A,FALSE,"이태원철근"}</definedName>
    <definedName name="ZXzX" localSheetId="0" hidden="1">{"'Sheet1'!$L$16"}</definedName>
    <definedName name="ZXzX" hidden="1">{"'Sheet1'!$L$16"}</definedName>
    <definedName name="zxzxasasas" localSheetId="0" hidden="1">{#N/A,#N/A,FALSE,"Chi tiÆt"}</definedName>
    <definedName name="zxzxasasas" hidden="1">{#N/A,#N/A,FALSE,"Chi tiÆt"}</definedName>
    <definedName name="ZXZxZ" localSheetId="0" hidden="1">#REF!</definedName>
    <definedName name="ZXZxZ" hidden="1">#REF!</definedName>
    <definedName name="zzx" localSheetId="0" hidden="1">#REF!</definedName>
    <definedName name="zzx" hidden="1">#REF!</definedName>
    <definedName name="zzxxxczz" localSheetId="0" hidden="1">#REF!</definedName>
    <definedName name="zzxxxczz" hidden="1">#REF!</definedName>
    <definedName name="zzzz" localSheetId="0" hidden="1">#REF!</definedName>
    <definedName name="zzzz" hidden="1">#REF!</definedName>
    <definedName name="ｚｚｚｚｚ" localSheetId="0" hidden="1">{"'Sheet1'!$L$16"}</definedName>
    <definedName name="ｚｚｚｚｚ" hidden="1">{"'Sheet1'!$L$16"}</definedName>
    <definedName name="ｚｚｚｚｚｚ" localSheetId="0" hidden="1">{"'Sheet1'!$L$16"}</definedName>
    <definedName name="ｚｚｚｚｚｚ"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あ" localSheetId="0" hidden="1">{"'Sheet1'!$L$16"}</definedName>
    <definedName name="あ" hidden="1">{"'Sheet1'!$L$16"}</definedName>
    <definedName name="ああ" localSheetId="0" hidden="1">{"'Sheet1'!$L$16"}</definedName>
    <definedName name="ああ" hidden="1">{"'Sheet1'!$L$16"}</definedName>
    <definedName name="あああ" localSheetId="0" hidden="1">{"'Sheet1'!$L$16"}</definedName>
    <definedName name="あああ" hidden="1">{"'Sheet1'!$L$16"}</definedName>
    <definedName name="ああああ" localSheetId="0" hidden="1">{"'Sheet1'!$L$16"}</definedName>
    <definedName name="ああああ" hidden="1">{"'Sheet1'!$L$16"}</definedName>
    <definedName name="あああああ" localSheetId="0" hidden="1">{"'Sheet1'!$L$16"}</definedName>
    <definedName name="あああああ" hidden="1">{"'Sheet1'!$L$16"}</definedName>
    <definedName name="ううう" localSheetId="0" hidden="1">{"'Sheet1'!$L$16"}</definedName>
    <definedName name="ううう" hidden="1">{"'Sheet1'!$L$16"}</definedName>
    <definedName name="えええ" localSheetId="0" hidden="1">{"'Sheet1'!$L$16"}</definedName>
    <definedName name="えええ" hidden="1">{"'Sheet1'!$L$16"}</definedName>
    <definedName name="っｋ" localSheetId="0" hidden="1">#REF!</definedName>
    <definedName name="っｋ" hidden="1">#REF!</definedName>
    <definedName name="んｎ" localSheetId="0" hidden="1">{"'Sheet1'!$L$16"}</definedName>
    <definedName name="んｎ" hidden="1">{"'Sheet1'!$L$16"}</definedName>
    <definedName name="んんｎ" localSheetId="0" hidden="1">{"'Sheet1'!$L$16"}</definedName>
    <definedName name="んんｎ" hidden="1">{"'Sheet1'!$L$16"}</definedName>
    <definedName name="ㄱ" localSheetId="0" hidden="1">{#N/A,#N/A,FALSE,"현장 NCR 분석";#N/A,#N/A,FALSE,"현장품질감사";#N/A,#N/A,FALSE,"현장품질감사"}</definedName>
    <definedName name="ㄱ" hidden="1">{#N/A,#N/A,FALSE,"현장 NCR 분석";#N/A,#N/A,FALSE,"현장품질감사";#N/A,#N/A,FALSE,"현장품질감사"}</definedName>
    <definedName name="ㄱㄱ" localSheetId="0" hidden="1">{#N/A,#N/A,FALSE,"운반시간"}</definedName>
    <definedName name="ㄱㄱ" hidden="1">{#N/A,#N/A,FALSE,"운반시간"}</definedName>
    <definedName name="ㄱㄱㄱㄱ" localSheetId="0" hidden="1">{#N/A,#N/A,FALSE,"지침";#N/A,#N/A,FALSE,"환경분석";#N/A,#N/A,FALSE,"Sheet16"}</definedName>
    <definedName name="ㄱㄱㄱㄱ" hidden="1">{#N/A,#N/A,FALSE,"지침";#N/A,#N/A,FALSE,"환경분석";#N/A,#N/A,FALSE,"Sheet16"}</definedName>
    <definedName name="ㄱㄱㄱㄱㄱ" localSheetId="0" hidden="1">{#N/A,#N/A,FALSE,"2~8번"}</definedName>
    <definedName name="ㄱㄱㄱㄱㄱ" hidden="1">{#N/A,#N/A,FALSE,"2~8번"}</definedName>
    <definedName name="ㄱㄱㄱㄱㄱㄱㄱ" localSheetId="0" hidden="1">{#N/A,#N/A,FALSE,"CCTV"}</definedName>
    <definedName name="ㄱㄱㄱㄱㄱㄱㄱ" hidden="1">{#N/A,#N/A,FALSE,"CCTV"}</definedName>
    <definedName name="ㄱㄷㄱㄷ" localSheetId="0" hidden="1">{#N/A,#N/A,FALSE,"2~8번"}</definedName>
    <definedName name="ㄱㄷㄱㄷ" hidden="1">{#N/A,#N/A,FALSE,"2~8번"}</definedName>
    <definedName name="ㄱㄹㅇㄷ" localSheetId="0" hidden="1">#REF!</definedName>
    <definedName name="ㄱㄹㅇㄷ" hidden="1">#REF!</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미_1" localSheetId="0" hidden="1">{#N/A,#N/A,TRUE,"Basic";#N/A,#N/A,TRUE,"EXT-TABLE";#N/A,#N/A,TRUE,"STEEL";#N/A,#N/A,TRUE,"INT-Table";#N/A,#N/A,TRUE,"STEEL";#N/A,#N/A,TRUE,"Door"}</definedName>
    <definedName name="ㄱ미_1" hidden="1">{#N/A,#N/A,TRUE,"Basic";#N/A,#N/A,TRUE,"EXT-TABLE";#N/A,#N/A,TRUE,"STEEL";#N/A,#N/A,TRUE,"INT-Table";#N/A,#N/A,TRUE,"STEEL";#N/A,#N/A,TRUE,"Door"}</definedName>
    <definedName name="ㄱㅈㅎ" localSheetId="0" hidden="1">#REF!</definedName>
    <definedName name="ㄱㅈㅎ" hidden="1">#REF!</definedName>
    <definedName name="ㄱㅎ" localSheetId="0" hidden="1">{#N/A,#N/A,FALSE,"CCTV"}</definedName>
    <definedName name="ㄱㅎ" hidden="1">{#N/A,#N/A,FALSE,"CCTV"}</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가" localSheetId="0" hidden="1">#REF!</definedName>
    <definedName name="가" hidden="1">#REF!</definedName>
    <definedName name="가나" localSheetId="0" hidden="1">{#N/A,#N/A,FALSE,"지침";#N/A,#N/A,FALSE,"환경분석";#N/A,#N/A,FALSE,"Sheet16"}</definedName>
    <definedName name="가나" hidden="1">{#N/A,#N/A,FALSE,"지침";#N/A,#N/A,FALSE,"환경분석";#N/A,#N/A,FALSE,"Sheet16"}</definedName>
    <definedName name="간접비" localSheetId="0"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8" localSheetId="0" hidden="1">{#N/A,#N/A,FALSE,"조골재"}</definedName>
    <definedName name="간지8" hidden="1">{#N/A,#N/A,FALSE,"조골재"}</definedName>
    <definedName name="감" localSheetId="0" hidden="1">{#N/A,#N/A,TRUE,"Basic";#N/A,#N/A,TRUE,"EXT-TABLE";#N/A,#N/A,TRUE,"STEEL";#N/A,#N/A,TRUE,"INT-Table";#N/A,#N/A,TRUE,"STEEL";#N/A,#N/A,TRUE,"Door"}</definedName>
    <definedName name="감" hidden="1">{#N/A,#N/A,TRUE,"Basic";#N/A,#N/A,TRUE,"EXT-TABLE";#N/A,#N/A,TRUE,"STEEL";#N/A,#N/A,TRUE,"INT-Table";#N/A,#N/A,TRUE,"STEEL";#N/A,#N/A,TRUE,"Door"}</definedName>
    <definedName name="감_1" localSheetId="0" hidden="1">{#N/A,#N/A,TRUE,"Basic";#N/A,#N/A,TRUE,"EXT-TABLE";#N/A,#N/A,TRUE,"STEEL";#N/A,#N/A,TRUE,"INT-Table";#N/A,#N/A,TRUE,"STEEL";#N/A,#N/A,TRUE,"Door"}</definedName>
    <definedName name="감_1" hidden="1">{#N/A,#N/A,TRUE,"Basic";#N/A,#N/A,TRUE,"EXT-TABLE";#N/A,#N/A,TRUE,"STEEL";#N/A,#N/A,TRUE,"INT-Table";#N/A,#N/A,TRUE,"STEEL";#N/A,#N/A,TRUE,"Door"}</definedName>
    <definedName name="감리상주" localSheetId="0" hidden="1">{#N/A,#N/A,FALSE,"지침";#N/A,#N/A,FALSE,"환경분석";#N/A,#N/A,FALSE,"Sheet16"}</definedName>
    <definedName name="감리상주" hidden="1">{#N/A,#N/A,FALSE,"지침";#N/A,#N/A,FALSE,"환경분석";#N/A,#N/A,FALSE,"Sheet16"}</definedName>
    <definedName name="갑지2" localSheetId="0" hidden="1">{#N/A,#N/A,FALSE,"CCTV"}</definedName>
    <definedName name="갑지2" hidden="1">{#N/A,#N/A,FALSE,"CCTV"}</definedName>
    <definedName name="갑지3" localSheetId="0" hidden="1">{#N/A,#N/A,FALSE,"CCTV"}</definedName>
    <definedName name="갑지3" hidden="1">{#N/A,#N/A,FALSE,"CCTV"}</definedName>
    <definedName name="갑지지" localSheetId="0" hidden="1">#REF!</definedName>
    <definedName name="갑지지" hidden="1">#REF!</definedName>
    <definedName name="강교" localSheetId="0" hidden="1">{#N/A,#N/A,FALSE,"포장2"}</definedName>
    <definedName name="강교" hidden="1">{#N/A,#N/A,FALSE,"포장2"}</definedName>
    <definedName name="강구조물" localSheetId="0" hidden="1">{#N/A,#N/A,FALSE,"포장1";#N/A,#N/A,FALSE,"포장1"}</definedName>
    <definedName name="강구조물" hidden="1">{#N/A,#N/A,FALSE,"포장1";#N/A,#N/A,FALSE,"포장1"}</definedName>
    <definedName name="강릉교동" localSheetId="0" hidden="1">#REF!</definedName>
    <definedName name="강릉교동" hidden="1">#REF!</definedName>
    <definedName name="강릉교동터파기" localSheetId="0" hidden="1">#REF!</definedName>
    <definedName name="강릉교동터파기" hidden="1">#REF!</definedName>
    <definedName name="강릉교동토목" localSheetId="0" hidden="1">#REF!</definedName>
    <definedName name="강릉교동토목" hidden="1">#REF!</definedName>
    <definedName name="강릉교동흙막이" localSheetId="0" hidden="1">#REF!</definedName>
    <definedName name="강릉교동흙막이" hidden="1">#REF!</definedName>
    <definedName name="강릉토공사" localSheetId="0" hidden="1">#REF!</definedName>
    <definedName name="강릉토공사" hidden="1">#REF!</definedName>
    <definedName name="강릉토목공사" localSheetId="0" hidden="1">#REF!</definedName>
    <definedName name="강릉토목공사" hidden="1">#REF!</definedName>
    <definedName name="강릉토목임" localSheetId="0" hidden="1">#REF!</definedName>
    <definedName name="강릉토목임" hidden="1">#REF!</definedName>
    <definedName name="강재" localSheetId="0" hidden="1">{#N/A,#N/A,FALSE,"혼합골재"}</definedName>
    <definedName name="강재" hidden="1">{#N/A,#N/A,FALSE,"혼합골재"}</definedName>
    <definedName name="개요" localSheetId="10" hidden="1">#REF!</definedName>
    <definedName name="개요" hidden="1">#REF!</definedName>
    <definedName name="개요1" localSheetId="10" hidden="1">#REF!</definedName>
    <definedName name="개요1" hidden="1">#REF!</definedName>
    <definedName name="개요2" localSheetId="10" hidden="1">#REF!</definedName>
    <definedName name="개요2" hidden="1">#REF!</definedName>
    <definedName name="거제" localSheetId="0" hidden="1">{#N/A,#N/A,FALSE,"이태원철근"}</definedName>
    <definedName name="거제" hidden="1">{#N/A,#N/A,FALSE,"이태원철근"}</definedName>
    <definedName name="거제2" localSheetId="0" hidden="1">{#N/A,#N/A,FALSE,"이태원철근"}</definedName>
    <definedName name="거제2" hidden="1">{#N/A,#N/A,FALSE,"이태원철근"}</definedName>
    <definedName name="거제현장" localSheetId="0" hidden="1">{#N/A,#N/A,FALSE,"이태원철근"}</definedName>
    <definedName name="거제현장" hidden="1">{#N/A,#N/A,FALSE,"이태원철근"}</definedName>
    <definedName name="건걱" localSheetId="0" hidden="1">{"'Sheet1'!$A$4:$M$21","'Sheet1'!$J$17:$K$19"}</definedName>
    <definedName name="건걱" hidden="1">{"'Sheet1'!$A$4:$M$21","'Sheet1'!$J$17:$K$19"}</definedName>
    <definedName name="건적" localSheetId="0" hidden="1">{"'Sheet1'!$A$4:$M$21","'Sheet1'!$J$17:$K$19"}</definedName>
    <definedName name="건적" hidden="1">{"'Sheet1'!$A$4:$M$21","'Sheet1'!$J$17:$K$19"}</definedName>
    <definedName name="건축비목집계" localSheetId="0" hidden="1">{#N/A,#N/A,FALSE,"표지"}</definedName>
    <definedName name="건축비목집계" hidden="1">{#N/A,#N/A,FALSE,"표지"}</definedName>
    <definedName name="건축원가" localSheetId="10" hidden="1">#REF!</definedName>
    <definedName name="건축원가" hidden="1">#REF!</definedName>
    <definedName name="건축토공" localSheetId="0" hidden="1">{#N/A,#N/A,FALSE,"기안지";#N/A,#N/A,FALSE,"통신지"}</definedName>
    <definedName name="건축토공" hidden="1">{#N/A,#N/A,FALSE,"기안지";#N/A,#N/A,FALSE,"통신지"}</definedName>
    <definedName name="건축팀별" localSheetId="0" hidden="1">{#N/A,#N/A,FALSE,"지침";#N/A,#N/A,FALSE,"환경분석";#N/A,#N/A,FALSE,"Sheet16"}</definedName>
    <definedName name="건축팀별" hidden="1">{#N/A,#N/A,FALSE,"지침";#N/A,#N/A,FALSE,"환경분석";#N/A,#N/A,FALSE,"Sheet16"}</definedName>
    <definedName name="검ㄴ" localSheetId="0" hidden="1">{#N/A,#N/A,FALSE,"이정표"}</definedName>
    <definedName name="검ㄴ" hidden="1">{#N/A,#N/A,FALSE,"이정표"}</definedName>
    <definedName name="것" localSheetId="0" hidden="1">{#N/A,#N/A,FALSE,"골재소요량";#N/A,#N/A,FALSE,"골재소요량"}</definedName>
    <definedName name="것" hidden="1">{#N/A,#N/A,FALSE,"골재소요량";#N/A,#N/A,FALSE,"골재소요량"}</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겉표지_1" localSheetId="0" hidden="1">{#N/A,#N/A,TRUE,"Basic";#N/A,#N/A,TRUE,"EXT-TABLE";#N/A,#N/A,TRUE,"STEEL";#N/A,#N/A,TRUE,"INT-Table";#N/A,#N/A,TRUE,"STEEL";#N/A,#N/A,TRUE,"Door"}</definedName>
    <definedName name="겉표지_1" hidden="1">{#N/A,#N/A,TRUE,"Basic";#N/A,#N/A,TRUE,"EXT-TABLE";#N/A,#N/A,TRUE,"STEEL";#N/A,#N/A,TRUE,"INT-Table";#N/A,#N/A,TRUE,"STEEL";#N/A,#N/A,TRUE,"Door"}</definedName>
    <definedName name="겡오" localSheetId="0" hidden="1">{#N/A,#N/A,FALSE,"CCTV"}</definedName>
    <definedName name="겡오" hidden="1">{#N/A,#N/A,FALSE,"CCTV"}</definedName>
    <definedName name="견대" localSheetId="0" hidden="1">#REF!</definedName>
    <definedName name="견대" hidden="1">#REF!</definedName>
    <definedName name="견적" localSheetId="10" hidden="1">{#N/A,#N/A,FALSE,"CCTV"}</definedName>
    <definedName name="견적" localSheetId="0" hidden="1">{#N/A,#N/A,FALSE,"CCTV"}</definedName>
    <definedName name="견적" hidden="1">{#N/A,#N/A,FALSE,"CCTV"}</definedName>
    <definedName name="견적2" localSheetId="10" hidden="1">{#N/A,#N/A,FALSE,"CCTV"}</definedName>
    <definedName name="견적2" localSheetId="0" hidden="1">{#N/A,#N/A,FALSE,"CCTV"}</definedName>
    <definedName name="견적2" hidden="1">{#N/A,#N/A,FALSE,"CCTV"}</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0" hidden="1">{#N/A,#N/A,FALSE,"CCTV"}</definedName>
    <definedName name="견적SHEET" localSheetId="0" hidden="1">{#N/A,#N/A,FALSE,"CCTV"}</definedName>
    <definedName name="견적SHEET" hidden="1">{#N/A,#N/A,FALSE,"CCTV"}</definedName>
    <definedName name="견적대비" localSheetId="0" hidden="1">{#N/A,#N/A,FALSE,"포장2"}</definedName>
    <definedName name="견적대비" hidden="1">{#N/A,#N/A,FALSE,"포장2"}</definedName>
    <definedName name="견적조건" localSheetId="0" hidden="1">{#N/A,#N/A,FALSE,"CCTV"}</definedName>
    <definedName name="견적조건" hidden="1">{#N/A,#N/A,FALSE,"CCTV"}</definedName>
    <definedName name="견적조건8" localSheetId="0" hidden="1">{#N/A,#N/A,FALSE,"CCTV"}</definedName>
    <definedName name="견적조건8" hidden="1">{#N/A,#N/A,FALSE,"CCTV"}</definedName>
    <definedName name="견적품의서" localSheetId="0" hidden="1">{"'장비'!$A$3:$M$12"}</definedName>
    <definedName name="견적품의서" hidden="1">{"'장비'!$A$3:$M$12"}</definedName>
    <definedName name="견적품의서1" localSheetId="0" hidden="1">{"'장비'!$A$3:$M$12"}</definedName>
    <definedName name="견적품의서1" hidden="1">{"'장비'!$A$3:$M$12"}</definedName>
    <definedName name="결" localSheetId="0" hidden="1">{#N/A,#N/A,FALSE,"포장2"}</definedName>
    <definedName name="결" hidden="1">{#N/A,#N/A,FALSE,"포장2"}</definedName>
    <definedName name="결과" localSheetId="0" hidden="1">{#N/A,#N/A,FALSE,"포장2"}</definedName>
    <definedName name="결과" hidden="1">{#N/A,#N/A,FALSE,"포장2"}</definedName>
    <definedName name="경" localSheetId="0" hidden="1">{#N/A,#N/A,FALSE,"지침";#N/A,#N/A,FALSE,"환경분석";#N/A,#N/A,FALSE,"Sheet16"}</definedName>
    <definedName name="경" hidden="1">{#N/A,#N/A,FALSE,"지침";#N/A,#N/A,FALSE,"환경분석";#N/A,#N/A,FALSE,"Sheet16"}</definedName>
    <definedName name="경계블럭연장" localSheetId="0" hidden="1">#REF!</definedName>
    <definedName name="경계블럭연장" hidden="1">#REF!</definedName>
    <definedName name="경비2차분" localSheetId="0" hidden="1">{"'장비'!$A$3:$M$12"}</definedName>
    <definedName name="경비2차분" hidden="1">{"'장비'!$A$3:$M$12"}</definedName>
    <definedName name="계수" localSheetId="0" hidden="1">{#N/A,#N/A,FALSE,"지침";#N/A,#N/A,FALSE,"환경분석";#N/A,#N/A,FALSE,"Sheet16"}</definedName>
    <definedName name="계수" hidden="1">{#N/A,#N/A,FALSE,"지침";#N/A,#N/A,FALSE,"환경분석";#N/A,#N/A,FALSE,"Sheet16"}</definedName>
    <definedName name="계수자료" localSheetId="0" hidden="1">{#N/A,#N/A,FALSE,"지침";#N/A,#N/A,FALSE,"환경분석";#N/A,#N/A,FALSE,"Sheet16"}</definedName>
    <definedName name="계수자료" hidden="1">{#N/A,#N/A,FALSE,"지침";#N/A,#N/A,FALSE,"환경분석";#N/A,#N/A,FALSE,"Sheet16"}</definedName>
    <definedName name="계약고햔황2" localSheetId="0" hidden="1">#REF!</definedName>
    <definedName name="계약고햔황2" hidden="1">#REF!</definedName>
    <definedName name="계약고현황2" localSheetId="0" hidden="1">#REF!</definedName>
    <definedName name="계약고현황2" hidden="1">#REF!</definedName>
    <definedName name="계전2" localSheetId="0" hidden="1">#REF!</definedName>
    <definedName name="계전2" hidden="1">#REF!</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 localSheetId="0"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고" localSheetId="0" hidden="1">{#N/A,#N/A,FALSE,"현장 NCR 분석";#N/A,#N/A,FALSE,"현장품질감사";#N/A,#N/A,FALSE,"현장품질감사"}</definedName>
    <definedName name="고" hidden="1">{#N/A,#N/A,FALSE,"현장 NCR 분석";#N/A,#N/A,FALSE,"현장품질감사";#N/A,#N/A,FALSE,"현장품질감사"}</definedName>
    <definedName name="곤ㅇ" localSheetId="0" hidden="1">{#N/A,#N/A,FALSE,"전력간선"}</definedName>
    <definedName name="곤ㅇ" hidden="1">{#N/A,#N/A,FALSE,"전력간선"}</definedName>
    <definedName name="곰" localSheetId="0" hidden="1">{#N/A,#N/A,FALSE,"구조1"}</definedName>
    <definedName name="곰" hidden="1">{#N/A,#N/A,FALSE,"구조1"}</definedName>
    <definedName name="공" localSheetId="10" hidden="1">{#N/A,#N/A,FALSE,"Sheet1"}</definedName>
    <definedName name="공" localSheetId="0" hidden="1">{#N/A,#N/A,FALSE,"Sheet1"}</definedName>
    <definedName name="공"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localSheetId="0" hidden="1">#REF!</definedName>
    <definedName name="공기1" hidden="1">#REF!</definedName>
    <definedName name="공기구3" localSheetId="0"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동구토공" localSheetId="0" hidden="1">{#N/A,#N/A,FALSE,"기안지";#N/A,#N/A,FALSE,"통신지"}</definedName>
    <definedName name="공동구토공" hidden="1">{#N/A,#N/A,FALSE,"기안지";#N/A,#N/A,FALSE,"통신지"}</definedName>
    <definedName name="공사비" localSheetId="10" hidden="1">{#N/A,#N/A,FALSE,"전력간선"}</definedName>
    <definedName name="공사비" localSheetId="0" hidden="1">{#N/A,#N/A,FALSE,"전력간선"}</definedName>
    <definedName name="공사비" hidden="1">{#N/A,#N/A,FALSE,"전력간선"}</definedName>
    <definedName name="공사비분석" localSheetId="0" hidden="1">#REF!</definedName>
    <definedName name="공사비분석" hidden="1">#REF!</definedName>
    <definedName name="공장동" localSheetId="0" hidden="1">#REF!</definedName>
    <definedName name="공장동" hidden="1">#REF!</definedName>
    <definedName name="공정계획" localSheetId="0" hidden="1">{#N/A,#N/A,FALSE,"이태원철근"}</definedName>
    <definedName name="공정계획" hidden="1">{#N/A,#N/A,FALSE,"이태원철근"}</definedName>
    <definedName name="공제" localSheetId="0" hidden="1">#REF!</definedName>
    <definedName name="공제" hidden="1">#REF!</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비" localSheetId="0" hidden="1">#REF!</definedName>
    <definedName name="공통비" hidden="1">#REF!</definedName>
    <definedName name="공통비코아" localSheetId="0" hidden="1">#REF!</definedName>
    <definedName name="공통비코아" hidden="1">#REF!</definedName>
    <definedName name="관리비2" localSheetId="0"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집계" localSheetId="0" hidden="1">{#N/A,#N/A,FALSE,"배수1"}</definedName>
    <definedName name="교대집계" hidden="1">{#N/A,#N/A,FALSE,"배수1"}</definedName>
    <definedName name="교대펄근집계" localSheetId="0" hidden="1">{#N/A,#N/A,FALSE,"배수1"}</definedName>
    <definedName name="교대펄근집계" hidden="1">{#N/A,#N/A,FALSE,"배수1"}</definedName>
    <definedName name="교동토" localSheetId="0" hidden="1">#REF!</definedName>
    <definedName name="교동토" hidden="1">#REF!</definedName>
    <definedName name="교동토목공사" localSheetId="0" hidden="1">{#N/A,#N/A,FALSE,"이태원철근"}</definedName>
    <definedName name="교동토목공사" hidden="1">{#N/A,#N/A,FALSE,"이태원철근"}</definedName>
    <definedName name="교좌" localSheetId="0" hidden="1">{#N/A,#N/A,FALSE,"포장2"}</definedName>
    <definedName name="교좌" hidden="1">{#N/A,#N/A,FALSE,"포장2"}</definedName>
    <definedName name="구3조" localSheetId="0"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산갑지" localSheetId="0" hidden="1">#REF!</definedName>
    <definedName name="구산갑지" hidden="1">#REF!</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3" localSheetId="0"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권대협" localSheetId="0" hidden="1">{#N/A,#N/A,FALSE,"CCTV"}</definedName>
    <definedName name="권대협" hidden="1">{#N/A,#N/A,FALSE,"CCTV"}</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TRUE,"LOADCOVE";#N/A,#N/A,TRUE,"PAGE001";#N/A,#N/A,TRUE,"PAGE002";#N/A,#N/A,TRUE,"PAGE003";#N/A,#N/A,TRUE,"PAGE004";#N/A,#N/A,TRUE,"PAGE005";#N/A,#N/A,TRUE,"PAGE006";#N/A,#N/A,TRUE,"PAGE007";#N/A,#N/A,TRUE,"PAGE008";#N/A,#N/A,TRUE,"PAGE009";#N/A,#N/A,TRUE,"PAGE010";#N/A,#N/A,TRUE,"PAGE011";#N/A,#N/A,TRUE,"PAGE012";#N/A,#N/A,TRUE,"PAGE013"}</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계주차" localSheetId="10" hidden="1">{#N/A,#N/A,FALSE,"CCTV"}</definedName>
    <definedName name="기계주차" localSheetId="0" hidden="1">{#N/A,#N/A,FALSE,"CCTV"}</definedName>
    <definedName name="기계주차" hidden="1">{#N/A,#N/A,FALSE,"CCTV"}</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3" localSheetId="0" hidden="1">{#N/A,#N/A,FALSE,"CCTV"}</definedName>
    <definedName name="기성3" hidden="1">{#N/A,#N/A,FALSE,"CCTV"}</definedName>
    <definedName name="기성갑" localSheetId="0" hidden="1">#REF!</definedName>
    <definedName name="기성갑" hidden="1">#REF!</definedName>
    <definedName name="기성투입" localSheetId="0" hidden="1">{#N/A,#N/A,FALSE,"지침";#N/A,#N/A,FALSE,"환경분석";#N/A,#N/A,FALSE,"Sheet16"}</definedName>
    <definedName name="기성투입" hidden="1">{#N/A,#N/A,FALSE,"지침";#N/A,#N/A,FALSE,"환경분석";#N/A,#N/A,FALSE,"Sheet16"}</definedName>
    <definedName name="기술" localSheetId="0" hidden="1">{#N/A,#N/A,FALSE,"부대1"}</definedName>
    <definedName name="기술" hidden="1">{#N/A,#N/A,FALSE,"부대1"}</definedName>
    <definedName name="김" localSheetId="10" hidden="1">#REF!</definedName>
    <definedName name="김" hidden="1">#REF!</definedName>
    <definedName name="김_1" localSheetId="0" hidden="1">{#N/A,#N/A,TRUE,"Basic";#N/A,#N/A,TRUE,"EXT-TABLE";#N/A,#N/A,TRUE,"STEEL";#N/A,#N/A,TRUE,"INT-Table";#N/A,#N/A,TRUE,"STEEL";#N/A,#N/A,TRUE,"Door"}</definedName>
    <definedName name="김_1"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1_1" localSheetId="0" hidden="1">{#N/A,#N/A,TRUE,"Basic";#N/A,#N/A,TRUE,"EXT-TABLE";#N/A,#N/A,TRUE,"STEEL";#N/A,#N/A,TRUE,"INT-Table";#N/A,#N/A,TRUE,"STEEL";#N/A,#N/A,TRUE,"Door"}</definedName>
    <definedName name="김1_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3_1" localSheetId="0" hidden="1">{#N/A,#N/A,TRUE,"Basic";#N/A,#N/A,TRUE,"EXT-TABLE";#N/A,#N/A,TRUE,"STEEL";#N/A,#N/A,TRUE,"INT-Table";#N/A,#N/A,TRUE,"STEEL";#N/A,#N/A,TRUE,"Door"}</definedName>
    <definedName name="김3_1" hidden="1">{#N/A,#N/A,TRUE,"Basic";#N/A,#N/A,TRUE,"EXT-TABLE";#N/A,#N/A,TRUE,"STEEL";#N/A,#N/A,TRUE,"INT-Table";#N/A,#N/A,TRUE,"STEEL";#N/A,#N/A,TRUE,"Door"}</definedName>
    <definedName name="김봉만" localSheetId="0" hidden="1">{#N/A,#N/A,FALSE,"교리2"}</definedName>
    <definedName name="김봉만" hidden="1">{#N/A,#N/A,FALSE,"교리2"}</definedName>
    <definedName name="김성룡" localSheetId="0" hidden="1">#REF!</definedName>
    <definedName name="김성룡" hidden="1">#REF!</definedName>
    <definedName name="ㄳ" localSheetId="0" hidden="1">{#N/A,#N/A,FALSE,"단가표지"}</definedName>
    <definedName name="ㄳ" hidden="1">{#N/A,#N/A,FALSE,"단가표지"}</definedName>
    <definedName name="ㄴㄱㄹ" localSheetId="0" hidden="1">#REF!</definedName>
    <definedName name="ㄴㄱㄹ" hidden="1">#REF!</definedName>
    <definedName name="ㄴㄴ" localSheetId="0" hidden="1">{#N/A,#N/A,FALSE,"CCTV"}</definedName>
    <definedName name="ㄴㄴ" hidden="1">{#N/A,#N/A,FALSE,"CCTV"}</definedName>
    <definedName name="ㄴㄴㄴ" localSheetId="0" hidden="1">{#N/A,#N/A,FALSE,"골재소요량";#N/A,#N/A,FALSE,"골재소요량"}</definedName>
    <definedName name="ㄴㄴㄴ" hidden="1">{#N/A,#N/A,FALSE,"골재소요량";#N/A,#N/A,FALSE,"골재소요량"}</definedName>
    <definedName name="ㄴㄴㄴ_1" localSheetId="0" hidden="1">{#N/A,#N/A,FALSE,"골재소요량";#N/A,#N/A,FALSE,"골재소요량"}</definedName>
    <definedName name="ㄴㄴㄴ_1" hidden="1">{#N/A,#N/A,FALSE,"골재소요량";#N/A,#N/A,FALSE,"골재소요량"}</definedName>
    <definedName name="ㄴㄴㄴㄴ" localSheetId="0" hidden="1">#REF!</definedName>
    <definedName name="ㄴㄴㄴㄴ" hidden="1">#REF!</definedName>
    <definedName name="ㄴㄴㄴㄴㄴ" localSheetId="0" hidden="1">#REF!</definedName>
    <definedName name="ㄴㄴㄴㄴㄴ" hidden="1">#REF!</definedName>
    <definedName name="ㄴㄷㄹ" localSheetId="10" hidden="1">{#N/A,#N/A,FALSE,"Sheet1"}</definedName>
    <definedName name="ㄴㄷㄹ" localSheetId="0" hidden="1">{#N/A,#N/A,FALSE,"Sheet1"}</definedName>
    <definedName name="ㄴㄷㄹ" hidden="1">{#N/A,#N/A,FALSE,"Sheet1"}</definedName>
    <definedName name="ㄴㄹ" localSheetId="0" hidden="1">{#N/A,#N/A,FALSE,"2~8번"}</definedName>
    <definedName name="ㄴㄹ" hidden="1">{#N/A,#N/A,FALSE,"2~8번"}</definedName>
    <definedName name="ㄴㄹㄴㄹ" localSheetId="0" hidden="1">{#N/A,#N/A,FALSE,"혼합골재"}</definedName>
    <definedName name="ㄴㄹㄴㄹ" hidden="1">{#N/A,#N/A,FALSE,"혼합골재"}</definedName>
    <definedName name="ㄴㄹㅇㄹㅇ" localSheetId="0" hidden="1">{#N/A,#N/A,FALSE,"2~8번"}</definedName>
    <definedName name="ㄴㄹㅇㄹㅇ" hidden="1">{#N/A,#N/A,FALSE,"2~8번"}</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ㄻㄴㅇ" localSheetId="0" hidden="1">{#N/A,#N/A,FALSE,"조골재"}</definedName>
    <definedName name="ㄴㄻㄴㅇ" hidden="1">{#N/A,#N/A,FALSE,"조골재"}</definedName>
    <definedName name="ㄴㅁ" localSheetId="0" hidden="1">#REF!</definedName>
    <definedName name="ㄴㅁ" hidden="1">#REF!</definedName>
    <definedName name="ㄴㅁㄹㄴㅁㅇㄴㅇㅁㄹㄴ" localSheetId="0" hidden="1">{#N/A,#N/A,FALSE,"단가표지"}</definedName>
    <definedName name="ㄴㅁㄹㄴㅁㅇㄴㅇㅁㄹㄴ" hidden="1">{#N/A,#N/A,FALSE,"단가표지"}</definedName>
    <definedName name="ㄴㅁㄹㅈㄹ" localSheetId="0" hidden="1">#REF!</definedName>
    <definedName name="ㄴㅁㄹㅈㄹ" hidden="1">#REF!</definedName>
    <definedName name="ㄴㅇㄹ" localSheetId="0" hidden="1">{#N/A,#N/A,FALSE,"전력간선"}</definedName>
    <definedName name="ㄴㅇㄹ" hidden="1">{#N/A,#N/A,FALSE,"전력간선"}</definedName>
    <definedName name="ㄴㅇㅀ" localSheetId="0" hidden="1">{#N/A,#N/A,FALSE,"토공2"}</definedName>
    <definedName name="ㄴㅇㅀ" hidden="1">{#N/A,#N/A,FALSE,"토공2"}</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나" localSheetId="0" hidden="1">{"'Sheet1'!$A$22:$G$23","'Sheet1'!$A$6","'Sheet1'!$E$10","'Sheet1'!$A$1:$F$23","'Sheet1'!$B$10","'Sheet1'!$A$1:$G$22","'Sheet1'!$A$1:$G$51"}</definedName>
    <definedName name="나" hidden="1">{"'Sheet1'!$A$22:$G$23","'Sheet1'!$A$6","'Sheet1'!$E$10","'Sheet1'!$A$1:$F$23","'Sheet1'!$B$10","'Sheet1'!$A$1:$G$22","'Sheet1'!$A$1:$G$51"}</definedName>
    <definedName name="나나" localSheetId="0" hidden="1">{#N/A,#N/A,FALSE,"2~8번"}</definedName>
    <definedName name="나나" hidden="1">{#N/A,#N/A,FALSE,"2~8번"}</definedName>
    <definedName name="나나나" localSheetId="0" hidden="1">{#N/A,#N/A,FALSE,"속도"}</definedName>
    <definedName name="나나나" hidden="1">{#N/A,#N/A,FALSE,"속도"}</definedName>
    <definedName name="나나나나나" localSheetId="0" hidden="1">{#N/A,#N/A,FALSE,"2~8번"}</definedName>
    <definedName name="나나나나나" hidden="1">{#N/A,#N/A,FALSE,"2~8번"}</definedName>
    <definedName name="나나나나나나나나" localSheetId="0" hidden="1">{#N/A,#N/A,FALSE,"혼합골재"}</definedName>
    <definedName name="나나나나나나나나" hidden="1">{#N/A,#N/A,FALSE,"혼합골재"}</definedName>
    <definedName name="나나나나나나나나난" localSheetId="0" hidden="1">{#N/A,#N/A,FALSE,"표지목차"}</definedName>
    <definedName name="나나나나나나나나난" hidden="1">{#N/A,#N/A,FALSE,"표지목차"}</definedName>
    <definedName name="나나아" localSheetId="0" hidden="1">{#N/A,#N/A,FALSE,"2~8번"}</definedName>
    <definedName name="나나아" hidden="1">{#N/A,#N/A,FALSE,"2~8번"}</definedName>
    <definedName name="나이로" localSheetId="0" hidden="1">{#N/A,#N/A,FALSE,"속도"}</definedName>
    <definedName name="나이로" hidden="1">{#N/A,#N/A,FALSE,"속도"}</definedName>
    <definedName name="낙차공" localSheetId="0" hidden="1">{#N/A,#N/A,FALSE,"2~8번"}</definedName>
    <definedName name="낙차공" hidden="1">{#N/A,#N/A,FALSE,"2~8번"}</definedName>
    <definedName name="날개벽단면검토" localSheetId="0" hidden="1">#REF!</definedName>
    <definedName name="날개벽단면검토" hidden="1">#REF!</definedName>
    <definedName name="내역산출근거" localSheetId="0" hidden="1">{#N/A,#N/A,TRUE,"1";#N/A,#N/A,TRUE,"2";#N/A,#N/A,TRUE,"3";#N/A,#N/A,TRUE,"4";#N/A,#N/A,TRUE,"5";#N/A,#N/A,TRUE,"6";#N/A,#N/A,TRUE,"7"}</definedName>
    <definedName name="내역산출근거" hidden="1">{#N/A,#N/A,TRUE,"1";#N/A,#N/A,TRUE,"2";#N/A,#N/A,TRUE,"3";#N/A,#N/A,TRUE,"4";#N/A,#N/A,TRUE,"5";#N/A,#N/A,TRUE,"6";#N/A,#N/A,TRUE,"7"}</definedName>
    <definedName name="내역서1" localSheetId="0" hidden="1">{"'단계별시설공사비'!$A$3:$K$51"}</definedName>
    <definedName name="내역서1" hidden="1">{"'단계별시설공사비'!$A$3:$K$51"}</definedName>
    <definedName name="내역서2" localSheetId="0" hidden="1">{"'단계별시설공사비'!$A$3:$K$51"}</definedName>
    <definedName name="내역서2" hidden="1">{"'단계별시설공사비'!$A$3:$K$51"}</definedName>
    <definedName name="냐" localSheetId="0" hidden="1">{#N/A,#N/A,FALSE,"혼합골재"}</definedName>
    <definedName name="냐" hidden="1">{#N/A,#N/A,FALSE,"혼합골재"}</definedName>
    <definedName name="넣러" localSheetId="0" hidden="1">{#N/A,#N/A,FALSE,"표지목차"}</definedName>
    <definedName name="넣러" hidden="1">{#N/A,#N/A,FALSE,"표지목차"}</definedName>
    <definedName name="노무비단가산출서" localSheetId="0" hidden="1">#REF!</definedName>
    <definedName name="노무비단가산출서" hidden="1">#REF!</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놓ㄹ노" localSheetId="0" hidden="1">{#N/A,#N/A,FALSE,"골재소요량";#N/A,#N/A,FALSE,"골재소요량"}</definedName>
    <definedName name="놓ㄹ노" hidden="1">{#N/A,#N/A,FALSE,"골재소요량";#N/A,#N/A,FALSE,"골재소요량"}</definedName>
    <definedName name="ㄶ뫃ㄴㅁㄹㄴㅁㄹㄴㅇ" localSheetId="0" hidden="1">{#N/A,#N/A,FALSE,"부대2"}</definedName>
    <definedName name="ㄶ뫃ㄴㅁㄹㄴㅁㄹㄴㅇ" hidden="1">{#N/A,#N/A,FALSE,"부대2"}</definedName>
    <definedName name="ㄶㅇㅀㄴㅇ" localSheetId="0" hidden="1">{#N/A,#N/A,FALSE,"표지목차"}</definedName>
    <definedName name="ㄶㅇㅀㄴㅇ" hidden="1">{#N/A,#N/A,FALSE,"표지목차"}</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1" localSheetId="0" hidden="1">{#N/A,#N/A,FALSE,"2~8번"}</definedName>
    <definedName name="ㄷ_1" hidden="1">{#N/A,#N/A,FALSE,"2~8번"}</definedName>
    <definedName name="ㄷㄱ" localSheetId="0" hidden="1">{#N/A,#N/A,FALSE,"포장2"}</definedName>
    <definedName name="ㄷㄱ" hidden="1">{#N/A,#N/A,FALSE,"포장2"}</definedName>
    <definedName name="ㄷㄳ" localSheetId="10" hidden="1">{#N/A,#N/A,FALSE,"Sheet1"}</definedName>
    <definedName name="ㄷㄳ" localSheetId="0" hidden="1">{#N/A,#N/A,FALSE,"Sheet1"}</definedName>
    <definedName name="ㄷㄳ" hidden="1">{#N/A,#N/A,FALSE,"Sheet1"}</definedName>
    <definedName name="ㄷㅎㄹㅇ" localSheetId="0" hidden="1">#REF!</definedName>
    <definedName name="ㄷㅎㄹㅇ" hidden="1">#REF!</definedName>
    <definedName name="다" localSheetId="0" hidden="1">{#N/A,#N/A,FALSE,"지침";#N/A,#N/A,FALSE,"환경분석";#N/A,#N/A,FALSE,"Sheet16"}</definedName>
    <definedName name="다" hidden="1">{#N/A,#N/A,FALSE,"지침";#N/A,#N/A,FALSE,"환경분석";#N/A,#N/A,FALSE,"Sheet16"}</definedName>
    <definedName name="단ㄱ" localSheetId="10" hidden="1">{#N/A,#N/A,FALSE,"전력간선"}</definedName>
    <definedName name="단ㄱ" localSheetId="0" hidden="1">{#N/A,#N/A,FALSE,"전력간선"}</definedName>
    <definedName name="단ㄱ" hidden="1">{#N/A,#N/A,FALSE,"전력간선"}</definedName>
    <definedName name="단가대" localSheetId="0" hidden="1">#REF!</definedName>
    <definedName name="단가대" hidden="1">#REF!</definedName>
    <definedName name="당초계획" localSheetId="0" hidden="1">#REF!</definedName>
    <definedName name="당초계획" hidden="1">#REF!</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덕" localSheetId="0" hidden="1">{#N/A,#N/A,FALSE,"CCTV"}</definedName>
    <definedName name="대덕" hidden="1">{#N/A,#N/A,FALSE,"CCTV"}</definedName>
    <definedName name="대비" localSheetId="0" hidden="1">{#N/A,#N/A,FALSE,"CCTV"}</definedName>
    <definedName name="대비" hidden="1">{#N/A,#N/A,FALSE,"CCTV"}</definedName>
    <definedName name="대비표" localSheetId="0" hidden="1">#REF!</definedName>
    <definedName name="대비표" hidden="1">#REF!</definedName>
    <definedName name="대안작성" localSheetId="0" hidden="1">{#N/A,#N/A,FALSE,"현장 NCR 분석";#N/A,#N/A,FALSE,"현장품질감사";#N/A,#N/A,FALSE,"현장품질감사"}</definedName>
    <definedName name="대안작성" hidden="1">{#N/A,#N/A,FALSE,"현장 NCR 분석";#N/A,#N/A,FALSE,"현장품질감사";#N/A,#N/A,FALSE,"현장품질감사"}</definedName>
    <definedName name="대전" localSheetId="0"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localSheetId="0"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책1" localSheetId="0"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덕" localSheetId="0" hidden="1">{#N/A,#N/A,FALSE,"포장2"}</definedName>
    <definedName name="덕" hidden="1">{#N/A,#N/A,FALSE,"포장2"}</definedName>
    <definedName name="덕진" localSheetId="0" hidden="1">{#N/A,#N/A,FALSE,"포장2"}</definedName>
    <definedName name="덕진" hidden="1">{#N/A,#N/A,FALSE,"포장2"}</definedName>
    <definedName name="덕호" localSheetId="0" hidden="1">{#N/A,#N/A,FALSE,"포장2"}</definedName>
    <definedName name="덕호" hidden="1">{#N/A,#N/A,FALSE,"포장2"}</definedName>
    <definedName name="도면외주" localSheetId="0" hidden="1">#REF!</definedName>
    <definedName name="도면외주" hidden="1">#REF!</definedName>
    <definedName name="도면용역비" localSheetId="0" hidden="1">#REF!</definedName>
    <definedName name="도면용역비" hidden="1">#REF!</definedName>
    <definedName name="독립기초" localSheetId="0" hidden="1">{#N/A,#N/A,FALSE,"기안지";#N/A,#N/A,FALSE,"통신지"}</definedName>
    <definedName name="독립기초"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동구연숩" localSheetId="0" hidden="1">{#N/A,#N/A,FALSE,"전력간선"}</definedName>
    <definedName name="동구연숩" hidden="1">{#N/A,#N/A,FALSE,"전력간선"}</definedName>
    <definedName name="동력" localSheetId="0" hidden="1">{#N/A,#N/A,FALSE,"CCTV"}</definedName>
    <definedName name="동력"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 hidden="1">{"'Sheet1'!$A$4:$M$21","'Sheet1'!$J$17:$K$19"}</definedName>
    <definedName name="동별내역" localSheetId="0" hidden="1">{"'Sheet1'!$A$4:$M$21","'Sheet1'!$J$17:$K$19"}</definedName>
    <definedName name="동별내역" hidden="1">{"'Sheet1'!$A$4:$M$21","'Sheet1'!$J$17:$K$19"}</definedName>
    <definedName name="동영" localSheetId="0" hidden="1">{#N/A,#N/A,FALSE,"CCTV"}</definedName>
    <definedName name="동영" hidden="1">{#N/A,#N/A,FALSE,"CCTV"}</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되" localSheetId="0" hidden="1">{#N/A,#N/A,FALSE,"운반시간"}</definedName>
    <definedName name="되" hidden="1">{#N/A,#N/A,FALSE,"운반시간"}</definedName>
    <definedName name="두호" localSheetId="0" hidden="1">{#N/A,#N/A,FALSE,"2~8번"}</definedName>
    <definedName name="두호" hidden="1">{#N/A,#N/A,FALSE,"2~8번"}</definedName>
    <definedName name="디디" localSheetId="0" hidden="1">{#N/A,#N/A,FALSE,"지침";#N/A,#N/A,FALSE,"환경분석";#N/A,#N/A,FALSE,"Sheet16"}</definedName>
    <definedName name="디디" hidden="1">{#N/A,#N/A,FALSE,"지침";#N/A,#N/A,FALSE,"환경분석";#N/A,#N/A,FALSE,"Sheet16"}</definedName>
    <definedName name="ㄹ" localSheetId="0" hidden="1">{#N/A,#N/A,FALSE,"운반시간"}</definedName>
    <definedName name="ㄹ" hidden="1">{#N/A,#N/A,FALSE,"운반시간"}</definedName>
    <definedName name="ㄹㄴㄹ" localSheetId="0" hidden="1">#REF!</definedName>
    <definedName name="ㄹㄴㄹ" hidden="1">#REF!</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ㄻㄴ" localSheetId="0" hidden="1">{#N/A,#N/A,FALSE,"단가표지"}</definedName>
    <definedName name="ㄹㄴㅇㄻㄴ" hidden="1">{#N/A,#N/A,FALSE,"단가표지"}</definedName>
    <definedName name="ㄹㄴ웋" localSheetId="0" hidden="1">{#N/A,#N/A,FALSE,"운반시간"}</definedName>
    <definedName name="ㄹㄴ웋" hidden="1">{#N/A,#N/A,FALSE,"운반시간"}</definedName>
    <definedName name="ㄹㄹ" localSheetId="0" hidden="1">{#N/A,#N/A,FALSE,"CCTV"}</definedName>
    <definedName name="ㄹㄹ" hidden="1">{#N/A,#N/A,FALSE,"CCTV"}</definedName>
    <definedName name="ㄹㄹㄹ" hidden="1">#REF!</definedName>
    <definedName name="ㄹㅇㄴ" localSheetId="0" hidden="1">{"'Sheet1'!$L$16"}</definedName>
    <definedName name="ㄹㅇㄴ" hidden="1">{"'Sheet1'!$L$16"}</definedName>
    <definedName name="ㄹㅇㄹ" localSheetId="0" hidden="1">{#N/A,#N/A,FALSE,"골재소요량";#N/A,#N/A,FALSE,"골재소요량"}</definedName>
    <definedName name="ㄹㅇㄹ" hidden="1">{#N/A,#N/A,FALSE,"골재소요량";#N/A,#N/A,FALSE,"골재소요량"}</definedName>
    <definedName name="ㄹㅇㅁㄴㄹ" localSheetId="0" hidden="1">{#N/A,#N/A,FALSE,"혼합골재"}</definedName>
    <definedName name="ㄹㅇㅁㄴㄹ" hidden="1">{#N/A,#N/A,FALSE,"혼합골재"}</definedName>
    <definedName name="ㄹㅇㅌㅇㄴㄱㄷ" localSheetId="0" hidden="1">{#N/A,#N/A,FALSE,"포장2"}</definedName>
    <definedName name="ㄹㅇㅌㅇㄴㄱㄷ" hidden="1">{#N/A,#N/A,FALSE,"포장2"}</definedName>
    <definedName name="ㄹㅇ퓨ㅓㅜㅏㅗㅜㅠㅅ퐇휴ㅗㅎ" localSheetId="0" hidden="1">{#N/A,#N/A,FALSE,"조골재"}</definedName>
    <definedName name="ㄹㅇ퓨ㅓㅜㅏㅗㅜㅠㅅ퐇휴ㅗㅎ" hidden="1">{#N/A,#N/A,FALSE,"조골재"}</definedName>
    <definedName name="ㄹㅇㅎㄴㅇ" localSheetId="0" hidden="1">{#N/A,#N/A,FALSE,"조골재"}</definedName>
    <definedName name="ㄹㅇㅎㄴㅇ" hidden="1">{#N/A,#N/A,FALSE,"조골재"}</definedName>
    <definedName name="ㄹㅇㅎㄹ" localSheetId="0" hidden="1">{#N/A,#N/A,FALSE,"현장 NCR 분석";#N/A,#N/A,FALSE,"현장품질감사";#N/A,#N/A,FALSE,"현장품질감사"}</definedName>
    <definedName name="ㄹㅇㅎㄹ" hidden="1">{#N/A,#N/A,FALSE,"현장 NCR 분석";#N/A,#N/A,FALSE,"현장품질감사";#N/A,#N/A,FALSE,"현장품질감사"}</definedName>
    <definedName name="ㄹ호" localSheetId="0" hidden="1">#REF!</definedName>
    <definedName name="ㄹ호" hidden="1">#REF!</definedName>
    <definedName name="라" localSheetId="0" hidden="1">{"'Sheet1'!$A$22:$G$23","'Sheet1'!$A$6","'Sheet1'!$E$10","'Sheet1'!$A$1:$F$23","'Sheet1'!$B$10","'Sheet1'!$A$1:$G$22","'Sheet1'!$A$1:$G$51"}</definedName>
    <definedName name="라" hidden="1">{"'Sheet1'!$A$22:$G$23","'Sheet1'!$A$6","'Sheet1'!$E$10","'Sheet1'!$A$1:$F$23","'Sheet1'!$B$10","'Sheet1'!$A$1:$G$22","'Sheet1'!$A$1:$G$51"}</definedName>
    <definedName name="래그" localSheetId="10" hidden="1">{#N/A,#N/A,FALSE,"CCTV"}</definedName>
    <definedName name="래그" localSheetId="0" hidden="1">{#N/A,#N/A,FALSE,"CCTV"}</definedName>
    <definedName name="래그" hidden="1">{#N/A,#N/A,FALSE,"CCTV"}</definedName>
    <definedName name="러" localSheetId="0" hidden="1">{#N/A,#N/A,FALSE,"지침";#N/A,#N/A,FALSE,"환경분석";#N/A,#N/A,FALSE,"Sheet16"}</definedName>
    <definedName name="러" hidden="1">{#N/A,#N/A,FALSE,"지침";#N/A,#N/A,FALSE,"환경분석";#N/A,#N/A,FALSE,"Sheet16"}</definedName>
    <definedName name="러러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localSheetId="0" hidden="1">{#N/A,#N/A,FALSE,"지침";#N/A,#N/A,FALSE,"환경분석";#N/A,#N/A,FALSE,"Sheet16"}</definedName>
    <definedName name="로" hidden="1">{#N/A,#N/A,FALSE,"지침";#N/A,#N/A,FALSE,"환경분석";#N/A,#N/A,FALSE,"Sheet16"}</definedName>
    <definedName name="ㄻㄴㄹㅇㄴㅁ" localSheetId="0" hidden="1">{#N/A,#N/A,FALSE,"운반시간"}</definedName>
    <definedName name="ㄻㄴㄹㅇㄴㅁ" hidden="1">{#N/A,#N/A,FALSE,"운반시간"}</definedName>
    <definedName name="ㄻㄴㅇㄻㄴ" localSheetId="0" hidden="1">{#N/A,#N/A,FALSE,"단가표지"}</definedName>
    <definedName name="ㄻㄴㅇㄻㄴ" hidden="1">{#N/A,#N/A,FALSE,"단가표지"}</definedName>
    <definedName name="ㄻㄴㅇㄻㄴㄹ" localSheetId="0" hidden="1">{#N/A,#N/A,FALSE,"2~8번"}</definedName>
    <definedName name="ㄻㄴㅇㄻㄴㄹ" hidden="1">{#N/A,#N/A,FALSE,"2~8번"}</definedName>
    <definedName name="ㄻㄴㅇㄻㄴㄻㄴㅁㄴ" localSheetId="0" hidden="1">{#N/A,#N/A,FALSE,"단가표지"}</definedName>
    <definedName name="ㄻㄴㅇㄻㄴㄻㄴㅁㄴ" hidden="1">{#N/A,#N/A,FALSE,"단가표지"}</definedName>
    <definedName name="ㄻㄴㅇㄻㄴㅁ" localSheetId="0" hidden="1">{#N/A,#N/A,FALSE,"운반시간"}</definedName>
    <definedName name="ㄻㄴㅇㄻㄴㅁ" hidden="1">{#N/A,#N/A,FALSE,"운반시간"}</definedName>
    <definedName name="ㄻㄴㅇㄻㄴㅇ" localSheetId="0" hidden="1">{#N/A,#N/A,FALSE,"단가표지"}</definedName>
    <definedName name="ㄻㄴㅇㄻㄴㅇ" hidden="1">{#N/A,#N/A,FALSE,"단가표지"}</definedName>
    <definedName name="ㄻㄴㅇㄻㄴㅇㄻ" localSheetId="0" hidden="1">{#N/A,#N/A,FALSE,"표지목차"}</definedName>
    <definedName name="ㄻㄴㅇㄻㄴㅇㄻ" hidden="1">{#N/A,#N/A,FALSE,"표지목차"}</definedName>
    <definedName name="ㄻㄴㅇㅁㄴㅇ" localSheetId="0" hidden="1">{#N/A,#N/A,FALSE,"단가표지"}</definedName>
    <definedName name="ㄻㄴㅇㅁㄴㅇ" hidden="1">{#N/A,#N/A,FALSE,"단가표지"}</definedName>
    <definedName name="ㄻㅁ" localSheetId="0" hidden="1">{#N/A,#N/A,FALSE,"조골재"}</definedName>
    <definedName name="ㄻㅁ" hidden="1">{#N/A,#N/A,FALSE,"조골재"}</definedName>
    <definedName name="ㅀ" localSheetId="0" hidden="1">#REF!</definedName>
    <definedName name="ㅀ" hidden="1">#REF!</definedName>
    <definedName name="ㅀㅀㄴ" localSheetId="0" hidden="1">{#N/A,#N/A,FALSE,"조골재"}</definedName>
    <definedName name="ㅀㅀㄴ" hidden="1">{#N/A,#N/A,FALSE,"조골재"}</definedName>
    <definedName name="ㅀㅇㅁ" localSheetId="0" hidden="1">{#N/A,#N/A,FALSE,"골재소요량";#N/A,#N/A,FALSE,"골재소요량"}</definedName>
    <definedName name="ㅀㅇㅁ" hidden="1">{#N/A,#N/A,FALSE,"골재소요량";#N/A,#N/A,FALSE,"골재소요량"}</definedName>
    <definedName name="ㅀㅎ" localSheetId="0" hidden="1">{#N/A,#N/A,FALSE,"2~8번"}</definedName>
    <definedName name="ㅀㅎ" hidden="1">{#N/A,#N/A,FALSE,"2~8번"}</definedName>
    <definedName name="ㅀ허" localSheetId="0" hidden="1">{#N/A,#N/A,FALSE,"CCTV"}</definedName>
    <definedName name="ㅀ허"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localSheetId="0" hidden="1">{#N/A,#N/A,FALSE,"조골재"}</definedName>
    <definedName name="ㅁ_1" hidden="1">{#N/A,#N/A,FALSE,"조골재"}</definedName>
    <definedName name="ㅁㄴ" localSheetId="0" hidden="1">#REF!</definedName>
    <definedName name="ㅁㄴ" hidden="1">#REF!</definedName>
    <definedName name="ㅁㄴ_1" localSheetId="0" hidden="1">{#N/A,#N/A,FALSE,"2~8번"}</definedName>
    <definedName name="ㅁㄴ_1" hidden="1">{#N/A,#N/A,FALSE,"2~8번"}</definedName>
    <definedName name="ㅁㄴㄴㅇ" localSheetId="0" hidden="1">{#N/A,#N/A,FALSE,"조골재"}</definedName>
    <definedName name="ㅁㄴㄴㅇ" hidden="1">{#N/A,#N/A,FALSE,"조골재"}</definedName>
    <definedName name="ㅁㄴㄹ" localSheetId="10" hidden="1">{#N/A,#N/A,FALSE,"전력간선"}</definedName>
    <definedName name="ㅁㄴㄹ" localSheetId="0" hidden="1">{#N/A,#N/A,FALSE,"전력간선"}</definedName>
    <definedName name="ㅁㄴㄹ" hidden="1">{#N/A,#N/A,FALSE,"전력간선"}</definedName>
    <definedName name="ㅁㄴㄹㄴ" localSheetId="0" hidden="1">{#N/A,#N/A,FALSE,"운반시간"}</definedName>
    <definedName name="ㅁㄴㄹㄴ" hidden="1">{#N/A,#N/A,FALSE,"운반시간"}</definedName>
    <definedName name="ㅁㄴㄹㄴㅁㄹㄴㅁㄻㄻㅁㅁㅁㅁ" localSheetId="0" hidden="1">{#N/A,#N/A,FALSE,"혼합골재"}</definedName>
    <definedName name="ㅁㄴㄹㄴㅁㄹㄴㅁㄻㄻㅁㅁㅁㅁ" hidden="1">{#N/A,#N/A,FALSE,"혼합골재"}</definedName>
    <definedName name="ㅁㄴㄹㅇㅁ" localSheetId="0" hidden="1">{#N/A,#N/A,FALSE,"단가표지"}</definedName>
    <definedName name="ㅁㄴㄹㅇㅁ" hidden="1">{#N/A,#N/A,FALSE,"단가표지"}</definedName>
    <definedName name="ㅁㄴㅁㅇ" localSheetId="0" hidden="1">#REF!</definedName>
    <definedName name="ㅁㄴㅁㅇ" hidden="1">#REF!</definedName>
    <definedName name="ㅁㄴㅁㅇㄴㅁㄴㅇ" localSheetId="0" hidden="1">{#N/A,#N/A,FALSE,"조골재"}</definedName>
    <definedName name="ㅁㄴㅁㅇㄴㅁㄴㅇ" hidden="1">{#N/A,#N/A,FALSE,"조골재"}</definedName>
    <definedName name="ㅁㄴㅇ" localSheetId="0" hidden="1">{#N/A,#N/A,FALSE,"운반시간"}</definedName>
    <definedName name="ㅁㄴㅇ" hidden="1">{#N/A,#N/A,FALSE,"운반시간"}</definedName>
    <definedName name="ㅁㄴㅇ_1" localSheetId="0" hidden="1">{#N/A,#N/A,FALSE,"운반시간"}</definedName>
    <definedName name="ㅁㄴㅇ_1" hidden="1">{#N/A,#N/A,FALSE,"운반시간"}</definedName>
    <definedName name="ㅁㄴㅇㄹㅇㄴㄹ" localSheetId="0" hidden="1">{#N/A,#N/A,FALSE,"명세표"}</definedName>
    <definedName name="ㅁㄴㅇㄹㅇㄴㄹ" hidden="1">{#N/A,#N/A,FALSE,"명세표"}</definedName>
    <definedName name="ㅁㄴㅇㅁㄴㅇ" localSheetId="0" hidden="1">{#N/A,#N/A,FALSE,"2~8번"}</definedName>
    <definedName name="ㅁㄴㅇㅁㄴㅇ" hidden="1">{#N/A,#N/A,FALSE,"2~8번"}</definedName>
    <definedName name="ㅁㄴㅇㅁㄴㅇㅁㅇ" localSheetId="0" hidden="1">{#N/A,#N/A,FALSE,"2~8번"}</definedName>
    <definedName name="ㅁㄴㅇㅁㄴㅇㅁㅇ" hidden="1">{#N/A,#N/A,FALSE,"2~8번"}</definedName>
    <definedName name="ㅁㄶㄷㅎㄴㄹㅇㄴ" localSheetId="0" hidden="1">{#N/A,#N/A,FALSE,"배수1"}</definedName>
    <definedName name="ㅁㄶㄷㅎㄴㄹㅇㄴ" hidden="1">{#N/A,#N/A,FALSE,"배수1"}</definedName>
    <definedName name="ㅁㄹ" localSheetId="0" hidden="1">{#N/A,#N/A,FALSE,"속도"}</definedName>
    <definedName name="ㅁㄹ" hidden="1">{#N/A,#N/A,FALSE,"속도"}</definedName>
    <definedName name="ㅁㄹㄴㄻㄴㄹㄴㅁㄹㄴㅇㄹㄴㅇㄹ" localSheetId="0" hidden="1">{#N/A,#N/A,FALSE,"포장2"}</definedName>
    <definedName name="ㅁㄹㄴㄻㄴㄹㄴㅁㄹㄴㅇㄹㄴㅇㄹ" hidden="1">{#N/A,#N/A,FALSE,"포장2"}</definedName>
    <definedName name="ㅁㄹㄴㅇ" localSheetId="0" hidden="1">{#N/A,#N/A,FALSE,"단가표지"}</definedName>
    <definedName name="ㅁㄹㄴㅇ" hidden="1">{#N/A,#N/A,FALSE,"단가표지"}</definedName>
    <definedName name="ㅁㄹㄴㅇㄹㄴㅁㄹ" localSheetId="0" hidden="1">{#N/A,#N/A,FALSE,"포장1";#N/A,#N/A,FALSE,"포장1"}</definedName>
    <definedName name="ㅁㄹㄴㅇㄹㄴㅁㄹ" hidden="1">{#N/A,#N/A,FALSE,"포장1";#N/A,#N/A,FALSE,"포장1"}</definedName>
    <definedName name="ㅁㄹㄴㅇㄻㄴㄹ" localSheetId="0" hidden="1">{#N/A,#N/A,FALSE,"골재소요량";#N/A,#N/A,FALSE,"골재소요량"}</definedName>
    <definedName name="ㅁㄹㄴㅇㄻㄴㄹ" hidden="1">{#N/A,#N/A,FALSE,"골재소요량";#N/A,#N/A,FALSE,"골재소요량"}</definedName>
    <definedName name="ㅁㄹㄴㅇㅁ" localSheetId="0" hidden="1">{#N/A,#N/A,FALSE,"표지목차"}</definedName>
    <definedName name="ㅁㄹㄴㅇㅁ" hidden="1">{#N/A,#N/A,FALSE,"표지목차"}</definedName>
    <definedName name="ㅁㄹㄴㅇㅁㄻㄹㄴㅁㄹ" localSheetId="0" hidden="1">{#N/A,#N/A,FALSE,"조골재"}</definedName>
    <definedName name="ㅁㄹㄴㅇㅁㄻㄹㄴㅁㄹ" hidden="1">{#N/A,#N/A,FALSE,"조골재"}</definedName>
    <definedName name="ㅁㄹㄴㅇㅎㄴㄻㄴㄹㄴㅇ" localSheetId="0" hidden="1">{#N/A,#N/A,FALSE,"부대1"}</definedName>
    <definedName name="ㅁㄹㄴㅇㅎㄴㄻㄴㄹㄴㅇ" hidden="1">{#N/A,#N/A,FALSE,"부대1"}</definedName>
    <definedName name="ㅁㄹㅇㄴ" localSheetId="0" hidden="1">{#N/A,#N/A,FALSE,"단가표지"}</definedName>
    <definedName name="ㅁㄹㅇㄴ" hidden="1">{#N/A,#N/A,FALSE,"단가표지"}</definedName>
    <definedName name="ㅁㄹㅇㄴㅇㅁㄹㄴㄻㄴ" localSheetId="0" hidden="1">{#N/A,#N/A,FALSE,"이정표"}</definedName>
    <definedName name="ㅁㄹㅇㄴㅇㅁㄹㄴㄻㄴ" hidden="1">{#N/A,#N/A,FALSE,"이정표"}</definedName>
    <definedName name="ㅁㄹㅇㄹㅇㄴㄹㅇㄹㅇ" localSheetId="0" hidden="1">{#N/A,#N/A,FALSE,"표지목차"}</definedName>
    <definedName name="ㅁㄹㅇㄹㅇㄴㄹㅇㄹㅇ" hidden="1">{#N/A,#N/A,FALSE,"표지목차"}</definedName>
    <definedName name="ㅁㄹㅇㅁㄴ" localSheetId="0" hidden="1">{#N/A,#N/A,FALSE,"골재소요량";#N/A,#N/A,FALSE,"골재소요량"}</definedName>
    <definedName name="ㅁㄹㅇㅁㄴ" hidden="1">{#N/A,#N/A,FALSE,"골재소요량";#N/A,#N/A,FALSE,"골재소요량"}</definedName>
    <definedName name="ㅁㄻ" localSheetId="10" hidden="1">{#N/A,#N/A,FALSE,"Sheet1"}</definedName>
    <definedName name="ㅁㄻ" localSheetId="0" hidden="1">{#N/A,#N/A,FALSE,"Sheet1"}</definedName>
    <definedName name="ㅁㄻ" hidden="1">{#N/A,#N/A,FALSE,"Sheet1"}</definedName>
    <definedName name="ㅁㄻㄴㄹ" localSheetId="0" hidden="1">{#N/A,#N/A,FALSE,"골재소요량";#N/A,#N/A,FALSE,"골재소요량"}</definedName>
    <definedName name="ㅁㄻㄴㄹ" hidden="1">{#N/A,#N/A,FALSE,"골재소요량";#N/A,#N/A,FALSE,"골재소요량"}</definedName>
    <definedName name="ㅁㄻㅁㅁㅁㄹㄴㅇㄹㅇㄴㄹㅈㄹㄴㅇ" localSheetId="0" hidden="1">{#N/A,#N/A,FALSE,"운반시간"}</definedName>
    <definedName name="ㅁㄻㅁㅁㅁㄹㄴㅇㄹㅇㄴㄹㅈㄹㄴㅇ" hidden="1">{#N/A,#N/A,FALSE,"운반시간"}</definedName>
    <definedName name="ㅁㅁ" localSheetId="0" hidden="1">{#N/A,#N/A,FALSE,"현장 NCR 분석";#N/A,#N/A,FALSE,"현장품질감사";#N/A,#N/A,FALSE,"현장품질감사"}</definedName>
    <definedName name="ㅁㅁ" hidden="1">{#N/A,#N/A,FALSE,"현장 NCR 분석";#N/A,#N/A,FALSE,"현장품질감사";#N/A,#N/A,FALSE,"현장품질감사"}</definedName>
    <definedName name="ㅁㅁ_1" localSheetId="0" hidden="1">{#N/A,#N/A,FALSE,"조골재"}</definedName>
    <definedName name="ㅁㅁ_1" hidden="1">{#N/A,#N/A,FALSE,"조골재"}</definedName>
    <definedName name="ㅁㅁㅁㅁ" localSheetId="0" hidden="1">{#N/A,#N/A,FALSE,"혼합골재"}</definedName>
    <definedName name="ㅁㅁㅁㅁ" hidden="1">{#N/A,#N/A,FALSE,"혼합골재"}</definedName>
    <definedName name="ㅁㅁㅁㅁㅁㅁ" localSheetId="10" hidden="1">#REF!</definedName>
    <definedName name="ㅁㅁㅁㅁㅁㅁ" hidden="1">#REF!</definedName>
    <definedName name="ㅁㅇㄹ" localSheetId="0" hidden="1">{#N/A,#N/A,FALSE,"전력간선"}</definedName>
    <definedName name="ㅁㅇㄹ" hidden="1">{#N/A,#N/A,FALSE,"전력간선"}</definedName>
    <definedName name="ㅁㅇㄹㄴㅇㅁㄹ" localSheetId="0" hidden="1">{#N/A,#N/A,FALSE,"운반시간"}</definedName>
    <definedName name="ㅁㅇㄹㄴㅇㅁㄹ" hidden="1">{#N/A,#N/A,FALSE,"운반시간"}</definedName>
    <definedName name="ㅁㅇㄻ" localSheetId="0" hidden="1">{#N/A,#N/A,FALSE,"조골재"}</definedName>
    <definedName name="ㅁㅇㄻ" hidden="1">{#N/A,#N/A,FALSE,"조골재"}</definedName>
    <definedName name="ㅁㅇㄻㄴㄹ" localSheetId="0" hidden="1">{#N/A,#N/A,FALSE,"혼합골재"}</definedName>
    <definedName name="ㅁㅇㄻㄴㄹ" hidden="1">{#N/A,#N/A,FALSE,"혼합골재"}</definedName>
    <definedName name="ㅁㅇㄻㅇㅎ" localSheetId="0" hidden="1">{#N/A,#N/A,FALSE,"조골재"}</definedName>
    <definedName name="ㅁㅇㄻㅇㅎ" hidden="1">{#N/A,#N/A,FALSE,"조골재"}</definedName>
    <definedName name="ㅁㅇㅀㅁㅇ" localSheetId="0" hidden="1">{#N/A,#N/A,FALSE,"단가표지"}</definedName>
    <definedName name="ㅁㅇㅀㅁㅇ" hidden="1">{#N/A,#N/A,FALSE,"단가표지"}</definedName>
    <definedName name="ㅁㅈㄷ" localSheetId="0" hidden="1">{#N/A,#N/A,FALSE,"배수1"}</definedName>
    <definedName name="ㅁㅈㄷ" hidden="1">{#N/A,#N/A,FALSE,"배수1"}</definedName>
    <definedName name="ㅁㅋㄹㄴㅁㄻㄻㄴㄻ" localSheetId="0" hidden="1">{#N/A,#N/A,FALSE,"구조1"}</definedName>
    <definedName name="ㅁㅋㄹㄴㅁㄻㄻㄴㄻ" hidden="1">{#N/A,#N/A,FALSE,"구조1"}</definedName>
    <definedName name="ㅁㅎㄻㅇㄻ" localSheetId="0" hidden="1">{#N/A,#N/A,FALSE,"운반시간"}</definedName>
    <definedName name="ㅁㅎㄻㅇㄻ" hidden="1">{#N/A,#N/A,FALSE,"운반시간"}</definedName>
    <definedName name="ㅁㅎㅁ" localSheetId="10" hidden="1">{#N/A,#N/A,FALSE,"Sheet1"}</definedName>
    <definedName name="ㅁㅎㅁ" localSheetId="0" hidden="1">{#N/A,#N/A,FALSE,"Sheet1"}</definedName>
    <definedName name="ㅁㅎㅁ" hidden="1">{#N/A,#N/A,FALSE,"Sheet1"}</definedName>
    <definedName name="ㅁㅎㅇㅀㅁㅇ" localSheetId="0" hidden="1">{#N/A,#N/A,FALSE,"2~8번"}</definedName>
    <definedName name="ㅁㅎㅇㅀㅁㅇ" hidden="1">{#N/A,#N/A,FALSE,"2~8번"}</definedName>
    <definedName name="ㅁㅎㅇㅀㅁㅎ" localSheetId="0" hidden="1">{#N/A,#N/A,FALSE,"단가표지"}</definedName>
    <definedName name="ㅁㅎㅇㅀㅁㅎ" hidden="1">{#N/A,#N/A,FALSE,"단가표지"}</definedName>
    <definedName name="ㅁㅎㅎㄴㅁㄹㅈ" localSheetId="0" hidden="1">{#N/A,#N/A,FALSE,"배수2"}</definedName>
    <definedName name="ㅁㅎㅎㄴㅁㄹㅈ" hidden="1">{#N/A,#N/A,FALSE,"배수2"}</definedName>
    <definedName name="마감공사비A3" localSheetId="0" hidden="1">#REF!</definedName>
    <definedName name="마감공사비A3" hidden="1">#REF!</definedName>
    <definedName name="만득이" localSheetId="0" hidden="1">{#N/A,#N/A,FALSE,"2~8번"}</definedName>
    <definedName name="만득이" hidden="1">{#N/A,#N/A,FALSE,"2~8번"}</definedName>
    <definedName name="만회대책" localSheetId="0"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머" localSheetId="0" hidden="1">{#N/A,#N/A,FALSE,"명세표"}</definedName>
    <definedName name="머" hidden="1">{#N/A,#N/A,FALSE,"명세표"}</definedName>
    <definedName name="명일" localSheetId="0" hidden="1">{#N/A,#N/A,FALSE,"속도"}</definedName>
    <definedName name="명일" hidden="1">{#N/A,#N/A,FALSE,"속도"}</definedName>
    <definedName name="모" localSheetId="0"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몰라" hidden="1">0</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뭉" localSheetId="0" hidden="1">{"'장비'!$A$3:$M$12"}</definedName>
    <definedName name="뭉" hidden="1">{"'장비'!$A$3:$M$12"}</definedName>
    <definedName name="뭐" localSheetId="0" hidden="1">{#N/A,#N/A,FALSE,"단가표지"}</definedName>
    <definedName name="뭐" hidden="1">{#N/A,#N/A,FALSE,"단가표지"}</definedName>
    <definedName name="뭐가이태원이야" localSheetId="0" hidden="1">{#N/A,#N/A,FALSE,"이태원철근"}</definedName>
    <definedName name="뭐가이태원이야" hidden="1">{#N/A,#N/A,FALSE,"이태원철근"}</definedName>
    <definedName name="뭐라고" localSheetId="0" hidden="1">{#N/A,#N/A,TRUE,"Basic";#N/A,#N/A,TRUE,"EXT-TABLE";#N/A,#N/A,TRUE,"STEEL";#N/A,#N/A,TRUE,"INT-Table";#N/A,#N/A,TRUE,"STEEL";#N/A,#N/A,TRUE,"Door"}</definedName>
    <definedName name="뭐라고" hidden="1">{#N/A,#N/A,TRUE,"Basic";#N/A,#N/A,TRUE,"EXT-TABLE";#N/A,#N/A,TRUE,"STEEL";#N/A,#N/A,TRUE,"INT-Table";#N/A,#N/A,TRUE,"STEEL";#N/A,#N/A,TRUE,"Door"}</definedName>
    <definedName name="뭐야" localSheetId="0" hidden="1">{#N/A,#N/A,FALSE,"속도"}</definedName>
    <definedName name="뭐야" hidden="1">{#N/A,#N/A,FALSE,"속도"}</definedName>
    <definedName name="미정" localSheetId="0" hidden="1">{#N/A,#N/A,FALSE,"2~8번"}</definedName>
    <definedName name="미정" hidden="1">{#N/A,#N/A,FALSE,"2~8번"}</definedName>
    <definedName name="미희" localSheetId="0" hidden="1">#REF!</definedName>
    <definedName name="미희" hidden="1">#REF!</definedName>
    <definedName name="ㅂ" localSheetId="0" hidden="1">{#N/A,#N/A,FALSE,"현장 NCR 분석";#N/A,#N/A,FALSE,"현장품질감사";#N/A,#N/A,FALSE,"현장품질감사"}</definedName>
    <definedName name="ㅂ" hidden="1">{#N/A,#N/A,FALSE,"현장 NCR 분석";#N/A,#N/A,FALSE,"현장품질감사";#N/A,#N/A,FALSE,"현장품질감사"}</definedName>
    <definedName name="ㅂㅂ" localSheetId="10" hidden="1">{#N/A,#N/A,FALSE,"표지"}</definedName>
    <definedName name="ㅂㅂ" localSheetId="0" hidden="1">{#N/A,#N/A,FALSE,"표지"}</definedName>
    <definedName name="ㅂㅂ" hidden="1">{#N/A,#N/A,FALSE,"표지"}</definedName>
    <definedName name="ㅂㅂㅂ" localSheetId="0" hidden="1">{#N/A,#N/A,FALSE,"2~8번"}</definedName>
    <definedName name="ㅂㅂㅂ" hidden="1">{#N/A,#N/A,FALSE,"2~8번"}</definedName>
    <definedName name="ㅂㅂㅂㅂ" localSheetId="0" hidden="1">{#N/A,#N/A,FALSE,"조골재"}</definedName>
    <definedName name="ㅂㅂㅂㅂ" hidden="1">{#N/A,#N/A,FALSE,"조골재"}</definedName>
    <definedName name="ㅂㅂㅂㅂㅂ" localSheetId="0" hidden="1">{"'별표'!$N$220"}</definedName>
    <definedName name="ㅂㅂㅂㅂㅂ" hidden="1">{"'별표'!$N$220"}</definedName>
    <definedName name="ㅂㅂㅂㅂㅂㅂ" localSheetId="0" hidden="1">{"'용역비'!$A$4:$C$8"}</definedName>
    <definedName name="ㅂㅂㅂㅂㅂㅂ" hidden="1">{"'용역비'!$A$4:$C$8"}</definedName>
    <definedName name="ㅂㅂㅂㅂㅂㅂㅂ" localSheetId="0" hidden="1">{#N/A,#N/A,FALSE,"명세표"}</definedName>
    <definedName name="ㅂㅂㅂㅂㅂㅂㅂ" hidden="1">{#N/A,#N/A,FALSE,"명세표"}</definedName>
    <definedName name="ㅂㅈ" localSheetId="10" hidden="1">{#N/A,#N/A,TRUE,"1";#N/A,#N/A,TRUE,"2";#N/A,#N/A,TRUE,"3";#N/A,#N/A,TRUE,"4";#N/A,#N/A,TRUE,"5";#N/A,#N/A,TRUE,"6";#N/A,#N/A,TRUE,"7"}</definedName>
    <definedName name="ㅂㅈ" localSheetId="0" hidden="1">{#N/A,#N/A,TRUE,"1";#N/A,#N/A,TRUE,"2";#N/A,#N/A,TRUE,"3";#N/A,#N/A,TRUE,"4";#N/A,#N/A,TRUE,"5";#N/A,#N/A,TRUE,"6";#N/A,#N/A,TRUE,"7"}</definedName>
    <definedName name="ㅂㅈ" hidden="1">{#N/A,#N/A,TRUE,"1";#N/A,#N/A,TRUE,"2";#N/A,#N/A,TRUE,"3";#N/A,#N/A,TRUE,"4";#N/A,#N/A,TRUE,"5";#N/A,#N/A,TRUE,"6";#N/A,#N/A,TRUE,"7"}</definedName>
    <definedName name="ㅂㅈ_1" localSheetId="0" hidden="1">{#N/A,#N/A,FALSE,"2~8번"}</definedName>
    <definedName name="ㅂㅈ_1" hidden="1">{#N/A,#N/A,FALSE,"2~8번"}</definedName>
    <definedName name="ㅂㅈㄷㄱ" localSheetId="0" hidden="1">{#N/A,#N/A,FALSE,"현장 NCR 분석";#N/A,#N/A,FALSE,"현장품질감사";#N/A,#N/A,FALSE,"현장품질감사"}</definedName>
    <definedName name="ㅂㅈㄷㄱ" hidden="1">{#N/A,#N/A,FALSE,"현장 NCR 분석";#N/A,#N/A,FALSE,"현장품질감사";#N/A,#N/A,FALSE,"현장품질감사"}</definedName>
    <definedName name="바" localSheetId="0" hidden="1">{#N/A,#N/A,FALSE,"지침";#N/A,#N/A,FALSE,"환경분석";#N/A,#N/A,FALSE,"Sheet16"}</definedName>
    <definedName name="바" hidden="1">{#N/A,#N/A,FALSE,"지침";#N/A,#N/A,FALSE,"환경분석";#N/A,#N/A,FALSE,"Sheet16"}</definedName>
    <definedName name="바붕" localSheetId="10" hidden="1">{#N/A,#N/A,FALSE,"전력간선"}</definedName>
    <definedName name="바붕" localSheetId="0" hidden="1">{#N/A,#N/A,FALSE,"전력간선"}</definedName>
    <definedName name="바붕" hidden="1">{#N/A,#N/A,FALSE,"전력간선"}</definedName>
    <definedName name="바쓔ㅜㅇ" localSheetId="0" hidden="1">{#N/A,#N/A,FALSE,"명세표"}</definedName>
    <definedName name="바쓔ㅜㅇ" hidden="1">{#N/A,#N/A,FALSE,"명세표"}</definedName>
    <definedName name="박성민" localSheetId="0"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반지" localSheetId="0" hidden="1">{#N/A,#N/A,FALSE,"지침";#N/A,#N/A,FALSE,"환경분석";#N/A,#N/A,FALSE,"Sheet16"}</definedName>
    <definedName name="반지" hidden="1">{#N/A,#N/A,FALSE,"지침";#N/A,#N/A,FALSE,"환경분석";#N/A,#N/A,FALSE,"Sheet16"}</definedName>
    <definedName name="방음벽" localSheetId="0" hidden="1">{#N/A,#N/A,FALSE,"2~8번"}</definedName>
    <definedName name="방음벽" hidden="1">{#N/A,#N/A,FALSE,"2~8번"}</definedName>
    <definedName name="방음벽1" localSheetId="0" hidden="1">{#N/A,#N/A,FALSE,"운반시간"}</definedName>
    <definedName name="방음벽1" hidden="1">{#N/A,#N/A,FALSE,"운반시간"}</definedName>
    <definedName name="배기덕트공사" localSheetId="10" hidden="1">{#N/A,#N/A,FALSE,"CCTV"}</definedName>
    <definedName name="배기덕트공사" localSheetId="0" hidden="1">{#N/A,#N/A,FALSE,"CCTV"}</definedName>
    <definedName name="배기덕트공사" hidden="1">{#N/A,#N/A,FALSE,"CCTV"}</definedName>
    <definedName name="배수" localSheetId="0" hidden="1">#REF!</definedName>
    <definedName name="배수" hidden="1">#REF!</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0" hidden="1">{#N/A,#N/A,FALSE,"혼합골재"}</definedName>
    <definedName name="벽체" hidden="1">{#N/A,#N/A,FALSE,"혼합골재"}</definedName>
    <definedName name="변경개요" localSheetId="10" hidden="1">#REF!</definedName>
    <definedName name="변경개요" hidden="1">#REF!</definedName>
    <definedName name="변경개요2" localSheetId="10" hidden="1">#REF!</definedName>
    <definedName name="변경개요2" hidden="1">#REF!</definedName>
    <definedName name="변경후개요" localSheetId="10" hidden="1">#REF!</definedName>
    <definedName name="변경후개요" hidden="1">#REF!</definedName>
    <definedName name="변형" localSheetId="0"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보" localSheetId="0" hidden="1">{#N/A,#N/A,FALSE,"지침";#N/A,#N/A,FALSE,"환경분석";#N/A,#N/A,FALSE,"Sheet16"}</definedName>
    <definedName name="보" hidden="1">{#N/A,#N/A,FALSE,"지침";#N/A,#N/A,FALSE,"환경분석";#N/A,#N/A,FALSE,"Sheet16"}</definedName>
    <definedName name="보링" localSheetId="0" hidden="1">{#N/A,#N/A,FALSE,"포장2"}</definedName>
    <definedName name="보링"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 localSheetId="0" hidden="1">{"'장비'!$A$3:$M$12"}</definedName>
    <definedName name="보조기층" hidden="1">{"'장비'!$A$3:$M$12"}</definedName>
    <definedName name="보충" localSheetId="0" hidden="1">#REF!</definedName>
    <definedName name="보충" hidden="1">#REF!</definedName>
    <definedName name="보활공정" localSheetId="0" hidden="1">{#N/A,#N/A,FALSE,"이태원철근"}</definedName>
    <definedName name="보활공정" hidden="1">{#N/A,#N/A,FALSE,"이태원철근"}</definedName>
    <definedName name="복ㅇ" localSheetId="0" hidden="1">{#N/A,#N/A,FALSE,"부대2"}</definedName>
    <definedName name="복ㅇ" hidden="1">{#N/A,#N/A,FALSE,"부대2"}</definedName>
    <definedName name="복지" localSheetId="0" hidden="1">#REF!</definedName>
    <definedName name="복지" hidden="1">#REF!</definedName>
    <definedName name="부대" localSheetId="0" hidden="1">{#N/A,#N/A,FALSE,"골재소요량";#N/A,#N/A,FALSE,"골재소요량"}</definedName>
    <definedName name="부대" hidden="1">{#N/A,#N/A,FALSE,"골재소요량";#N/A,#N/A,FALSE,"골재소요량"}</definedName>
    <definedName name="부대1" localSheetId="0" hidden="1">{#N/A,#N/A,FALSE,"운반시간"}</definedName>
    <definedName name="부대1" hidden="1">{#N/A,#N/A,FALSE,"운반시간"}</definedName>
    <definedName name="부대건축2" localSheetId="0" hidden="1">#REF!</definedName>
    <definedName name="부대건축2" hidden="1">#REF!</definedName>
    <definedName name="부대공사" localSheetId="0" hidden="1">#REF!</definedName>
    <definedName name="부대공사" hidden="1">#REF!</definedName>
    <definedName name="부대원가" localSheetId="0" hidden="1">{#N/A,#N/A,FALSE,"배수2"}</definedName>
    <definedName name="부대원가" hidden="1">{#N/A,#N/A,FALSE,"배수2"}</definedName>
    <definedName name="부대원본" localSheetId="10" hidden="1">{#N/A,#N/A,FALSE,"토공2"}</definedName>
    <definedName name="부대원본" localSheetId="0" hidden="1">{#N/A,#N/A,FALSE,"토공2"}</definedName>
    <definedName name="부대원본" hidden="1">{#N/A,#N/A,FALSE,"토공2"}</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천상동조경" localSheetId="0" hidden="1">{#N/A,#N/A,FALSE,"표지"}</definedName>
    <definedName name="부천상동조경" hidden="1">{#N/A,#N/A,FALSE,"표지"}</definedName>
    <definedName name="분" localSheetId="0" hidden="1">{#N/A,#N/A,FALSE,"이태원철근"}</definedName>
    <definedName name="분" hidden="1">{#N/A,#N/A,FALSE,"이태원철근"}</definedName>
    <definedName name="분당공" localSheetId="0" hidden="1">#REF!</definedName>
    <definedName name="분당공" hidden="1">#REF!</definedName>
    <definedName name="분당물가" localSheetId="0" hidden="1">#REF!</definedName>
    <definedName name="분당물가" hidden="1">#REF!</definedName>
    <definedName name="분당코아" localSheetId="0" hidden="1">#REF!</definedName>
    <definedName name="분당코아" hidden="1">#REF!</definedName>
    <definedName name="분당협조" localSheetId="0" hidden="1">{#N/A,#N/A,FALSE,"이태원철근"}</definedName>
    <definedName name="분당협조" hidden="1">{#N/A,#N/A,FALSE,"이태원철근"}</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뷰" localSheetId="0" hidden="1">{#N/A,#N/A,FALSE,"단가표지"}</definedName>
    <definedName name="뷰" hidden="1">{#N/A,#N/A,FALSE,"단가표지"}</definedName>
    <definedName name="블록c" localSheetId="0" hidden="1">{#N/A,#N/A,FALSE,"전체집계표";#N/A,#N/A,FALSE,"안벽30000";#N/A,#N/A,FALSE,"안벽20000";#N/A,#N/A,FALSE,"내호안";#N/A,#N/A,FALSE,"외호안";#N/A,#N/A,FALSE,"준설토A";#N/A,#N/A,FALSE,"준설토B";#N/A,#N/A,FALSE,"적출장"}</definedName>
    <definedName name="블록c" hidden="1">{#N/A,#N/A,FALSE,"전체집계표";#N/A,#N/A,FALSE,"안벽30000";#N/A,#N/A,FALSE,"안벽20000";#N/A,#N/A,FALSE,"내호안";#N/A,#N/A,FALSE,"외호안";#N/A,#N/A,FALSE,"준설토A";#N/A,#N/A,FALSE,"준설토B";#N/A,#N/A,FALSE,"적출장"}</definedName>
    <definedName name="블록k" localSheetId="0"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비과세" localSheetId="0" hidden="1">#REF!</definedName>
    <definedName name="비과세" hidden="1">#REF!</definedName>
    <definedName name="비교본" localSheetId="0" hidden="1">{#N/A,#N/A,FALSE,"CCTV"}</definedName>
    <definedName name="비교본" hidden="1">{#N/A,#N/A,FALSE,"CCTV"}</definedName>
    <definedName name="빌딩" localSheetId="0" hidden="1">{#N/A,#N/A,FALSE,"CCTV"}</definedName>
    <definedName name="빌딩" hidden="1">{#N/A,#N/A,FALSE,"CCTV"}</definedName>
    <definedName name="ㅅ" localSheetId="0" hidden="1">#REF!</definedName>
    <definedName name="ㅅ" hidden="1">#REF!</definedName>
    <definedName name="ㅅ굲유" localSheetId="0" hidden="1">{#N/A,#N/A,FALSE,"조골재"}</definedName>
    <definedName name="ㅅ굲유" hidden="1">{#N/A,#N/A,FALSE,"조골재"}</definedName>
    <definedName name="ㅅㄷ" localSheetId="0" hidden="1">{"'Sheet1'!$L$16"}</definedName>
    <definedName name="ㅅㄷ" hidden="1">{"'Sheet1'!$L$16"}</definedName>
    <definedName name="ㅅㅅ" localSheetId="0" hidden="1">#REF!</definedName>
    <definedName name="ㅅㅅ" hidden="1">#REF!</definedName>
    <definedName name="사" localSheetId="0" hidden="1">#REF!</definedName>
    <definedName name="사" hidden="1">#REF!</definedName>
    <definedName name="사1" localSheetId="0" hidden="1">{#N/A,#N/A,FALSE,"지침";#N/A,#N/A,FALSE,"환경분석";#N/A,#N/A,FALSE,"Sheet16"}</definedName>
    <definedName name="사1" hidden="1">{#N/A,#N/A,FALSE,"지침";#N/A,#N/A,FALSE,"환경분석";#N/A,#N/A,FALSE,"Sheet16"}</definedName>
    <definedName name="사급" localSheetId="0" hidden="1">{#N/A,#N/A,FALSE,"배수2"}</definedName>
    <definedName name="사급" hidden="1">{#N/A,#N/A,FALSE,"배수2"}</definedName>
    <definedName name="사랑" localSheetId="0" hidden="1">#REF!</definedName>
    <definedName name="사랑" hidden="1">#REF!</definedName>
    <definedName name="사업계획수정" localSheetId="0" hidden="1">#REF!</definedName>
    <definedName name="사업계획수정" hidden="1">#REF!</definedName>
    <definedName name="사업부양식2" localSheetId="0" hidden="1">#REF!</definedName>
    <definedName name="사업부양식2" hidden="1">#REF!</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localSheetId="0" hidden="1">#REF!</definedName>
    <definedName name="산출" hidden="1">#REF!</definedName>
    <definedName name="삼호" localSheetId="0" hidden="1">{#N/A,#N/A,FALSE,"배수2"}</definedName>
    <definedName name="삼호" hidden="1">{#N/A,#N/A,FALSE,"배수2"}</definedName>
    <definedName name="상주" localSheetId="0" hidden="1">{#N/A,#N/A,FALSE,"지침";#N/A,#N/A,FALSE,"환경분석";#N/A,#N/A,FALSE,"Sheet16"}</definedName>
    <definedName name="상주"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새공통" localSheetId="0" hidden="1">{#N/A,#N/A,FALSE,"이태원철근"}</definedName>
    <definedName name="새공통" hidden="1">{#N/A,#N/A,FALSE,"이태원철근"}</definedName>
    <definedName name="새안" localSheetId="0" hidden="1">{#N/A,#N/A,FALSE,"TABLE"}</definedName>
    <definedName name="새안" hidden="1">{#N/A,#N/A,FALSE,"TABLE"}</definedName>
    <definedName name="샘풀카피" localSheetId="10" hidden="1">{#N/A,#N/A,FALSE,"CCTV"}</definedName>
    <definedName name="샘풀카피" localSheetId="0" hidden="1">{#N/A,#N/A,FALSE,"CCTV"}</definedName>
    <definedName name="샘풀카피" hidden="1">{#N/A,#N/A,FALSE,"CCTV"}</definedName>
    <definedName name="샘플카피2" localSheetId="10" hidden="1">{#N/A,#N/A,FALSE,"CCTV"}</definedName>
    <definedName name="샘플카피2" localSheetId="0" hidden="1">{#N/A,#N/A,FALSE,"CCTV"}</definedName>
    <definedName name="샘플카피2" hidden="1">{#N/A,#N/A,FALSE,"CCTV"}</definedName>
    <definedName name="샘플카피3" localSheetId="10" hidden="1">{#N/A,#N/A,FALSE,"CCTV"}</definedName>
    <definedName name="샘플카피3" localSheetId="0" hidden="1">{#N/A,#N/A,FALSE,"CCTV"}</definedName>
    <definedName name="샘플카피3" hidden="1">{#N/A,#N/A,FALSE,"CCTV"}</definedName>
    <definedName name="석" localSheetId="0" hidden="1">{#N/A,#N/A,FALSE,"지침";#N/A,#N/A,FALSE,"환경분석";#N/A,#N/A,FALSE,"Sheet16"}</definedName>
    <definedName name="석" hidden="1">{#N/A,#N/A,FALSE,"지침";#N/A,#N/A,FALSE,"환경분석";#N/A,#N/A,FALSE,"Sheet16"}</definedName>
    <definedName name="석재받은의뢰업체" hidden="1">255</definedName>
    <definedName name="석항" localSheetId="0" hidden="1">{#N/A,#N/A,FALSE,"명세표"}</definedName>
    <definedName name="석항" hidden="1">{#N/A,#N/A,FALSE,"명세표"}</definedName>
    <definedName name="설계내역서" localSheetId="0" hidden="1">{"'별표'!$N$220"}</definedName>
    <definedName name="설계내역서" hidden="1">{"'별표'!$N$220"}</definedName>
    <definedName name="설계설명" localSheetId="0" hidden="1">#REF!</definedName>
    <definedName name="설계설명" hidden="1">#REF!</definedName>
    <definedName name="설명서" localSheetId="0" hidden="1">{#N/A,#N/A,FALSE,"포장1";#N/A,#N/A,FALSE,"포장1"}</definedName>
    <definedName name="설명서" hidden="1">{#N/A,#N/A,FALSE,"포장1";#N/A,#N/A,FALSE,"포장1"}</definedName>
    <definedName name="설비" localSheetId="0" hidden="1">{#N/A,#N/A,FALSE,"이태원철근"}</definedName>
    <definedName name="설비" hidden="1">{#N/A,#N/A,FALSE,"이태원철근"}</definedName>
    <definedName name="성토과재" localSheetId="0" hidden="1">{#N/A,#N/A,FALSE,"조골재"}</definedName>
    <definedName name="성토과재" hidden="1">{#N/A,#N/A,FALSE,"조골재"}</definedName>
    <definedName name="세륜세차" localSheetId="0" hidden="1">#REF!</definedName>
    <definedName name="세륜세차" hidden="1">#REF!</definedName>
    <definedName name="세전익익" localSheetId="0" hidden="1">{#N/A,#N/A,FALSE,"지침";#N/A,#N/A,FALSE,"환경분석";#N/A,#N/A,FALSE,"Sheet16"}</definedName>
    <definedName name="세전익익" hidden="1">{#N/A,#N/A,FALSE,"지침";#N/A,#N/A,FALSE,"환경분석";#N/A,#N/A,FALSE,"Sheet16"}</definedName>
    <definedName name="셔ㅛ" localSheetId="0" hidden="1">{#N/A,#N/A,FALSE,"운반시간"}</definedName>
    <definedName name="셔ㅛ" hidden="1">{#N/A,#N/A,FALSE,"운반시간"}</definedName>
    <definedName name="소화갑지" localSheetId="0" hidden="1">{#N/A,#N/A,FALSE,"CCTV"}</definedName>
    <definedName name="소화갑지" hidden="1">{#N/A,#N/A,FALSE,"CCTV"}</definedName>
    <definedName name="소ㅑ104" localSheetId="10" hidden="1">#REF!</definedName>
    <definedName name="소ㅑ104" hidden="1">#REF!</definedName>
    <definedName name="손영주" localSheetId="0" hidden="1">{#N/A,#N/A,FALSE,"조골재"}</definedName>
    <definedName name="손영주" hidden="1">{#N/A,#N/A,FALSE,"조골재"}</definedName>
    <definedName name="손익계산서" localSheetId="0" hidden="1">#REF!</definedName>
    <definedName name="손익계산서" hidden="1">#REF!</definedName>
    <definedName name="손익변경" localSheetId="0" hidden="1">{#N/A,#N/A,FALSE,"지침";#N/A,#N/A,FALSE,"환경분석";#N/A,#N/A,FALSE,"Sheet16"}</definedName>
    <definedName name="손익변경" hidden="1">{#N/A,#N/A,FALSE,"지침";#N/A,#N/A,FALSE,"환경분석";#N/A,#N/A,FALSE,"Sheet16"}</definedName>
    <definedName name="쇼" localSheetId="0" hidden="1">{#N/A,#N/A,FALSE,"포장1";#N/A,#N/A,FALSE,"포장1"}</definedName>
    <definedName name="쇼" hidden="1">{#N/A,#N/A,FALSE,"포장1";#N/A,#N/A,FALSE,"포장1"}</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수_1" localSheetId="0" hidden="1">{#N/A,#N/A,TRUE,"Basic";#N/A,#N/A,TRUE,"EXT-TABLE";#N/A,#N/A,TRUE,"STEEL";#N/A,#N/A,TRUE,"INT-Table";#N/A,#N/A,TRUE,"STEEL";#N/A,#N/A,TRUE,"Door"}</definedName>
    <definedName name="수_1" hidden="1">{#N/A,#N/A,TRUE,"Basic";#N/A,#N/A,TRUE,"EXT-TABLE";#N/A,#N/A,TRUE,"STEEL";#N/A,#N/A,TRUE,"INT-Table";#N/A,#N/A,TRUE,"STEEL";#N/A,#N/A,TRUE,"Door"}</definedName>
    <definedName name="수2" localSheetId="0"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당" hidden="1">#N/A</definedName>
    <definedName name="수량산출근거" localSheetId="0" hidden="1">{#N/A,#N/A,FALSE,"표지"}</definedName>
    <definedName name="수량산출근거" hidden="1">{#N/A,#N/A,FALSE,"표지"}</definedName>
    <definedName name="수익" localSheetId="0"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승" localSheetId="0" hidden="1">{#N/A,#N/A,FALSE,"지침";#N/A,#N/A,FALSE,"환경분석";#N/A,#N/A,FALSE,"Sheet16"}</definedName>
    <definedName name="승" hidden="1">{#N/A,#N/A,FALSE,"지침";#N/A,#N/A,FALSE,"환경분석";#N/A,#N/A,FALSE,"Sheet16"}</definedName>
    <definedName name="승용교" localSheetId="0" hidden="1">{#N/A,#N/A,FALSE,"2~8번"}</definedName>
    <definedName name="승용교" hidden="1">{#N/A,#N/A,FALSE,"2~8번"}</definedName>
    <definedName name="시설실적" localSheetId="0"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중단가" localSheetId="0" hidden="1">{"'단계별시설공사비'!$A$3:$K$51"}</definedName>
    <definedName name="시중단가" hidden="1">{"'단계별시설공사비'!$A$3:$K$51"}</definedName>
    <definedName name="시행" localSheetId="0" hidden="1">{#N/A,#N/A,FALSE,"이태원철근"}</definedName>
    <definedName name="시행" hidden="1">{#N/A,#N/A,FALSE,"이태원철근"}</definedName>
    <definedName name="신규일위대가2" localSheetId="0" hidden="1">{#N/A,#N/A,FALSE,"신청통보";#N/A,#N/A,FALSE,"기성확인서";#N/A,#N/A,FALSE,"기성내역서"}</definedName>
    <definedName name="신규일위대가2" hidden="1">{#N/A,#N/A,FALSE,"신청통보";#N/A,#N/A,FALSE,"기성확인서";#N/A,#N/A,FALSE,"기성내역서"}</definedName>
    <definedName name="신설" localSheetId="0" hidden="1">{#N/A,#N/A,FALSE,"명세표"}</definedName>
    <definedName name="신설" hidden="1">{#N/A,#N/A,FALSE,"명세표"}</definedName>
    <definedName name="실적2" localSheetId="0"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자료" localSheetId="0" hidden="1">{#N/A,#N/A,FALSE,"지침";#N/A,#N/A,FALSE,"환경분석";#N/A,#N/A,FALSE,"Sheet16"}</definedName>
    <definedName name="실적자료" hidden="1">{#N/A,#N/A,FALSE,"지침";#N/A,#N/A,FALSE,"환경분석";#N/A,#N/A,FALSE,"Sheet16"}</definedName>
    <definedName name="실적자료1" localSheetId="0" hidden="1">{#N/A,#N/A,FALSE,"지침";#N/A,#N/A,FALSE,"환경분석";#N/A,#N/A,FALSE,"Sheet16"}</definedName>
    <definedName name="실적자료1" hidden="1">{#N/A,#N/A,FALSE,"지침";#N/A,#N/A,FALSE,"환경분석";#N/A,#N/A,FALSE,"Sheet16"}</definedName>
    <definedName name="실적총괄1" localSheetId="0" hidden="1">#REF!</definedName>
    <definedName name="실적총괄1" hidden="1">#REF!</definedName>
    <definedName name="실총" localSheetId="0" hidden="1">#REF!</definedName>
    <definedName name="실총" hidden="1">#REF!</definedName>
    <definedName name="ㅇㄴㄹ" localSheetId="10" hidden="1">{#N/A,#N/A,FALSE,"Sheet1"}</definedName>
    <definedName name="ㅇㄴㄹ" localSheetId="0" hidden="1">{#N/A,#N/A,FALSE,"Sheet1"}</definedName>
    <definedName name="ㅇㄴㄹ" hidden="1">{#N/A,#N/A,FALSE,"Sheet1"}</definedName>
    <definedName name="ㅇㄴㄹㄹㄴㄹㄹ" localSheetId="0" hidden="1">{#N/A,#N/A,FALSE,"운반시간"}</definedName>
    <definedName name="ㅇㄴㄹㄹㄴㄹㄹ" hidden="1">{#N/A,#N/A,FALSE,"운반시간"}</definedName>
    <definedName name="ㅇㄴㄻ" localSheetId="0" hidden="1">{#N/A,#N/A,FALSE,"표지목차"}</definedName>
    <definedName name="ㅇㄴㄻ" hidden="1">{#N/A,#N/A,FALSE,"표지목차"}</definedName>
    <definedName name="ㅇㄴㄻㄴㅇ" localSheetId="0" hidden="1">{#N/A,#N/A,FALSE,"표지목차"}</definedName>
    <definedName name="ㅇㄴㄻㄴㅇ" hidden="1">{#N/A,#N/A,FALSE,"표지목차"}</definedName>
    <definedName name="ㅇㄴㄿ" localSheetId="10" hidden="1">{#N/A,#N/A,FALSE,"CCTV"}</definedName>
    <definedName name="ㅇㄴㄿ" localSheetId="0" hidden="1">{#N/A,#N/A,FALSE,"CCTV"}</definedName>
    <definedName name="ㅇㄴㄿ" hidden="1">{#N/A,#N/A,FALSE,"CCTV"}</definedName>
    <definedName name="ㅇㄴㅁ" localSheetId="0" hidden="1">#REF!</definedName>
    <definedName name="ㅇㄴㅁ" hidden="1">#REF!</definedName>
    <definedName name="ㅇㄴㅇㄴ" localSheetId="0" hidden="1">{#N/A,#N/A,FALSE,"포장2"}</definedName>
    <definedName name="ㅇㄴㅇㄴ" hidden="1">{#N/A,#N/A,FALSE,"포장2"}</definedName>
    <definedName name="ㅇㄷㄴㄶㅎ" localSheetId="0" hidden="1">{#N/A,#N/A,FALSE,"골재소요량";#N/A,#N/A,FALSE,"골재소요량"}</definedName>
    <definedName name="ㅇㄷㄴㄶㅎ" hidden="1">{#N/A,#N/A,FALSE,"골재소요량";#N/A,#N/A,FALSE,"골재소요량"}</definedName>
    <definedName name="ㅇㄹ" localSheetId="0" hidden="1">{#N/A,#N/A,FALSE,"현장 NCR 분석";#N/A,#N/A,FALSE,"현장품질감사";#N/A,#N/A,FALSE,"현장품질감사"}</definedName>
    <definedName name="ㅇㄹ" hidden="1">{#N/A,#N/A,FALSE,"현장 NCR 분석";#N/A,#N/A,FALSE,"현장품질감사";#N/A,#N/A,FALSE,"현장품질감사"}</definedName>
    <definedName name="ㅇㄹㄴㄹ" localSheetId="0" hidden="1">{#N/A,#N/A,FALSE,"CCTV"}</definedName>
    <definedName name="ㅇㄹㄴㄹ" hidden="1">{#N/A,#N/A,FALSE,"CCTV"}</definedName>
    <definedName name="ㅇㄹㄹ" hidden="1">#REF!</definedName>
    <definedName name="ㅇㄹㄹㄴㅇㄹㅇㄹㄴㅇ" localSheetId="0" hidden="1">#REF!</definedName>
    <definedName name="ㅇㄹㄹㄴㅇㄹㅇㄹㄴㅇ" hidden="1">#REF!</definedName>
    <definedName name="ㅇㄹㄹㅇ" localSheetId="0" hidden="1">{#N/A,#N/A,FALSE,"2~8번"}</definedName>
    <definedName name="ㅇㄹㄹㅇ" hidden="1">{#N/A,#N/A,FALSE,"2~8번"}</definedName>
    <definedName name="ㅇㄹㅇ" localSheetId="0" hidden="1">#REF!</definedName>
    <definedName name="ㅇㄹㅇ" hidden="1">#REF!</definedName>
    <definedName name="ㅇ러알ㅇㄹㅇㄹ" localSheetId="0" hidden="1">#REF!</definedName>
    <definedName name="ㅇ러알ㅇㄹㅇㄹ" hidden="1">#REF!</definedName>
    <definedName name="ㅇ롤옹롤ㅇ" localSheetId="0" hidden="1">{#N/A,#N/A,FALSE,"운반시간"}</definedName>
    <definedName name="ㅇ롤옹롤ㅇ" hidden="1">{#N/A,#N/A,FALSE,"운반시간"}</definedName>
    <definedName name="ㅇㄻㅇㄻㄴㄹ" localSheetId="0" hidden="1">{#N/A,#N/A,FALSE,"단가표지"}</definedName>
    <definedName name="ㅇㄻㅇㄻㄴㄹ" hidden="1">{#N/A,#N/A,FALSE,"단가표지"}</definedName>
    <definedName name="ㅇㅀㅁㅇㅁㅇ" localSheetId="0" hidden="1">{#N/A,#N/A,FALSE,"단가표지"}</definedName>
    <definedName name="ㅇㅀㅁㅇㅁㅇ" hidden="1">{#N/A,#N/A,FALSE,"단가표지"}</definedName>
    <definedName name="ㅇㅁㄴㅇ" localSheetId="0" hidden="1">{#N/A,#N/A,FALSE,"2~8번"}</definedName>
    <definedName name="ㅇㅁㄴㅇ" hidden="1">{#N/A,#N/A,FALSE,"2~8번"}</definedName>
    <definedName name="ㅇㅇㅇ" localSheetId="0" hidden="1">#REF!</definedName>
    <definedName name="ㅇㅇㅇ" hidden="1">#REF!</definedName>
    <definedName name="ㅇㅇㅇㅇㅇㅇ" localSheetId="0" hidden="1">{#N/A,#N/A,FALSE,"조골재"}</definedName>
    <definedName name="ㅇㅇㅇㅇㅇㅇ" hidden="1">{#N/A,#N/A,FALSE,"조골재"}</definedName>
    <definedName name="ㅇㅊㅍㅍㅊㅌㅍㅊㅌㅍㅌ" localSheetId="0" hidden="1">#REF!</definedName>
    <definedName name="ㅇㅊㅍㅍㅊㅌㅍㅊㅌㅍㅌ" hidden="1">#REF!</definedName>
    <definedName name="ㅇㅎ" localSheetId="0" hidden="1">{#N/A,#N/A,FALSE,"부대1"}</definedName>
    <definedName name="ㅇㅎ" hidden="1">{#N/A,#N/A,FALSE,"부대1"}</definedName>
    <definedName name="ㅇ헝" localSheetId="0" hidden="1">{#N/A,#N/A,TRUE,"Basic";#N/A,#N/A,TRUE,"EXT-TABLE";#N/A,#N/A,TRUE,"STEEL";#N/A,#N/A,TRUE,"INT-Table";#N/A,#N/A,TRUE,"STEEL";#N/A,#N/A,TRUE,"Door"}</definedName>
    <definedName name="ㅇ헝" hidden="1">{#N/A,#N/A,TRUE,"Basic";#N/A,#N/A,TRUE,"EXT-TABLE";#N/A,#N/A,TRUE,"STEEL";#N/A,#N/A,TRUE,"INT-Table";#N/A,#N/A,TRUE,"STEEL";#N/A,#N/A,TRUE,"Door"}</definedName>
    <definedName name="ㅇ호" localSheetId="0" hidden="1">{#N/A,#N/A,FALSE,"혼합골재"}</definedName>
    <definedName name="ㅇ호" hidden="1">{#N/A,#N/A,FALSE,"혼합골재"}</definedName>
    <definedName name="아" localSheetId="0" hidden="1">{#N/A,#N/A,FALSE,"배수2"}</definedName>
    <definedName name="아" hidden="1">{#N/A,#N/A,FALSE,"배수2"}</definedName>
    <definedName name="아니" localSheetId="0" hidden="1">{"'Sheet1'!$A$4:$M$21","'Sheet1'!$J$17:$K$19"}</definedName>
    <definedName name="아니" hidden="1">{"'Sheet1'!$A$4:$M$21","'Sheet1'!$J$17:$K$19"}</definedName>
    <definedName name="아무" localSheetId="0" hidden="1">{#N/A,#N/A,FALSE,"배수2"}</definedName>
    <definedName name="아무" hidden="1">{#N/A,#N/A,FALSE,"배수2"}</definedName>
    <definedName name="아무거나" localSheetId="0" hidden="1">{#N/A,#N/A,FALSE,"배수2"}</definedName>
    <definedName name="아무거나" hidden="1">{#N/A,#N/A,FALSE,"배수2"}</definedName>
    <definedName name="아스콘2" localSheetId="0" hidden="1">#REF!</definedName>
    <definedName name="아스콘2" hidden="1">#REF!</definedName>
    <definedName name="아스콘깨기" localSheetId="0" hidden="1">{#N/A,#N/A,FALSE,"골재소요량";#N/A,#N/A,FALSE,"골재소요량"}</definedName>
    <definedName name="아스콘깨기" hidden="1">{#N/A,#N/A,FALSE,"골재소요량";#N/A,#N/A,FALSE,"골재소요량"}</definedName>
    <definedName name="아싸" localSheetId="10" hidden="1">{#N/A,#N/A,FALSE,"CCTV"}</definedName>
    <definedName name="아싸" localSheetId="0" hidden="1">{#N/A,#N/A,FALSE,"CCTV"}</definedName>
    <definedName name="아싸" hidden="1">{#N/A,#N/A,FALSE,"CCTV"}</definedName>
    <definedName name="아파트" localSheetId="0" hidden="1">{"'Sheet1'!$A$4:$M$21","'Sheet1'!$J$17:$K$19"}</definedName>
    <definedName name="아파트" hidden="1">{"'Sheet1'!$A$4:$M$21","'Sheet1'!$J$17:$K$19"}</definedName>
    <definedName name="아ㅓ림" localSheetId="0" hidden="1">{#N/A,#N/A,FALSE,"포장1";#N/A,#N/A,FALSE,"포장1"}</definedName>
    <definedName name="아ㅓ림" hidden="1">{#N/A,#N/A,FALSE,"포장1";#N/A,#N/A,FALSE,"포장1"}</definedName>
    <definedName name="안" localSheetId="0" hidden="1">{#N/A,#N/A,FALSE,"포장2"}</definedName>
    <definedName name="안" hidden="1">{#N/A,#N/A,FALSE,"포장2"}</definedName>
    <definedName name="안양현대" localSheetId="0" hidden="1">{#N/A,#N/A,FALSE,"이태원철근"}</definedName>
    <definedName name="안양현대" hidden="1">{#N/A,#N/A,FALSE,"이태원철근"}</definedName>
    <definedName name="알파" localSheetId="0" hidden="1">{#N/A,#N/A,FALSE,"이태원철근"}</definedName>
    <definedName name="알파" hidden="1">{#N/A,#N/A,FALSE,"이태원철근"}</definedName>
    <definedName name="암거공" localSheetId="0" hidden="1">#REF!</definedName>
    <definedName name="암거공" hidden="1">#REF!</definedName>
    <definedName name="앙" localSheetId="0" hidden="1">{#N/A,#N/A,FALSE,"지침";#N/A,#N/A,FALSE,"환경분석";#N/A,#N/A,FALSE,"Sheet16"}</definedName>
    <definedName name="앙" hidden="1">{#N/A,#N/A,FALSE,"지침";#N/A,#N/A,FALSE,"환경분석";#N/A,#N/A,FALSE,"Sheet16"}</definedName>
    <definedName name="야" localSheetId="0" hidden="1">{#N/A,#N/A,FALSE,"배수1"}</definedName>
    <definedName name="야" hidden="1">{#N/A,#N/A,FALSE,"배수1"}</definedName>
    <definedName name="야간" localSheetId="0" hidden="1">{#N/A,#N/A,FALSE,"지침";#N/A,#N/A,FALSE,"환경분석";#N/A,#N/A,FALSE,"Sheet16"}</definedName>
    <definedName name="야간" hidden="1">{#N/A,#N/A,FALSE,"지침";#N/A,#N/A,FALSE,"환경분석";#N/A,#N/A,FALSE,"Sheet16"}</definedName>
    <definedName name="양식3" localSheetId="0"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0"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재승2222222" localSheetId="0" hidden="1">#REF!</definedName>
    <definedName name="양재승2222222" hidden="1">#REF!</definedName>
    <definedName name="억이상" localSheetId="0" hidden="1">{#N/A,#N/A,FALSE,"2~8번"}</definedName>
    <definedName name="억이상" hidden="1">{#N/A,#N/A,FALSE,"2~8번"}</definedName>
    <definedName name="업" localSheetId="0" hidden="1">{#N/A,#N/A,FALSE,"포장2"}</definedName>
    <definedName name="업" hidden="1">{#N/A,#N/A,FALSE,"포장2"}</definedName>
    <definedName name="업무" localSheetId="0" hidden="1">{#N/A,#N/A,FALSE,"이태원철근"}</definedName>
    <definedName name="업무" hidden="1">{#N/A,#N/A,FALSE,"이태원철근"}</definedName>
    <definedName name="업종" localSheetId="0" hidden="1">{#N/A,#N/A,FALSE,"포장2"}</definedName>
    <definedName name="업종" hidden="1">{#N/A,#N/A,FALSE,"포장2"}</definedName>
    <definedName name="업체" localSheetId="10" hidden="1">#REF!</definedName>
    <definedName name="업체" hidden="1">#REF!</definedName>
    <definedName name="업체순위" localSheetId="0" hidden="1">{#N/A,#N/A,FALSE,"배수2"}</definedName>
    <definedName name="업체순위" hidden="1">{#N/A,#N/A,FALSE,"배수2"}</definedName>
    <definedName name="연습" localSheetId="0" hidden="1">#REF!</definedName>
    <definedName name="연습" hidden="1">#REF!</definedName>
    <definedName name="연습2" localSheetId="0" hidden="1">#REF!</definedName>
    <definedName name="연습2" hidden="1">#REF!</definedName>
    <definedName name="영암실행" localSheetId="0" hidden="1">{#N/A,#N/A,FALSE,"전력간선"}</definedName>
    <definedName name="영암실행" hidden="1">{#N/A,#N/A,FALSE,"전력간선"}</definedName>
    <definedName name="영어" localSheetId="0"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localSheetId="0" hidden="1">{#N/A,#N/A,FALSE,"지침";#N/A,#N/A,FALSE,"환경분석";#N/A,#N/A,FALSE,"Sheet16"}</definedName>
    <definedName name="영업" hidden="1">{#N/A,#N/A,FALSE,"지침";#N/A,#N/A,FALSE,"환경분석";#N/A,#N/A,FALSE,"Sheet16"}</definedName>
    <definedName name="영업현금" localSheetId="0" hidden="1">{#N/A,#N/A,FALSE,"지침";#N/A,#N/A,FALSE,"환경분석";#N/A,#N/A,FALSE,"Sheet16"}</definedName>
    <definedName name="영업현금" hidden="1">{#N/A,#N/A,FALSE,"지침";#N/A,#N/A,FALSE,"환경분석";#N/A,#N/A,FALSE,"Sheet16"}</definedName>
    <definedName name="예정가" localSheetId="0" hidden="1">{#N/A,#N/A,FALSE,"포장2"}</definedName>
    <definedName name="예정가" hidden="1">{#N/A,#N/A,FALSE,"포장2"}</definedName>
    <definedName name="오" localSheetId="0" hidden="1">#REF!</definedName>
    <definedName name="오" hidden="1">#REF!</definedName>
    <definedName name="오수토공" localSheetId="0" hidden="1">{#N/A,#N/A,FALSE,"기안지";#N/A,#N/A,FALSE,"통신지"}</definedName>
    <definedName name="오수토공" hidden="1">{#N/A,#N/A,FALSE,"기안지";#N/A,#N/A,FALSE,"통신지"}</definedName>
    <definedName name="옥외공사" localSheetId="0" hidden="1">{#N/A,#N/A,FALSE,"이태원철근"}</definedName>
    <definedName name="옥외공사" hidden="1">{#N/A,#N/A,FALSE,"이태원철근"}</definedName>
    <definedName name="옥외대비" localSheetId="0" hidden="1">{#N/A,#N/A,FALSE,"이태원철근"}</definedName>
    <definedName name="옥외대비" hidden="1">{#N/A,#N/A,FALSE,"이태원철근"}</definedName>
    <definedName name="옹" localSheetId="0" hidden="1">{#N/A,#N/A,FALSE,"골재소요량";#N/A,#N/A,FALSE,"골재소요량"}</definedName>
    <definedName name="옹" hidden="1">{#N/A,#N/A,FALSE,"골재소요량";#N/A,#N/A,FALSE,"골재소요량"}</definedName>
    <definedName name="옹벽" localSheetId="0" hidden="1">{#N/A,#N/A,FALSE,"혼합골재"}</definedName>
    <definedName name="옹벽" hidden="1">{#N/A,#N/A,FALSE,"혼합골재"}</definedName>
    <definedName name="옹벽단위" localSheetId="0" hidden="1">#REF!</definedName>
    <definedName name="옹벽단위" hidden="1">#REF!</definedName>
    <definedName name="옹벽수량집계표" localSheetId="0" hidden="1">{#N/A,#N/A,FALSE,"2~8번"}</definedName>
    <definedName name="옹벽수량집계표" hidden="1">{#N/A,#N/A,FALSE,"2~8번"}</definedName>
    <definedName name="옹벽수량집계표총괄" localSheetId="0" hidden="1">{#N/A,#N/A,FALSE,"혼합골재"}</definedName>
    <definedName name="옹벽수량집계표총괄" hidden="1">{#N/A,#N/A,FALSE,"혼합골재"}</definedName>
    <definedName name="완도" localSheetId="0" hidden="1">{#N/A,#N/A,FALSE,"포장2"}</definedName>
    <definedName name="완도" hidden="1">{#N/A,#N/A,FALSE,"포장2"}</definedName>
    <definedName name="왜" localSheetId="0" hidden="1">{#N/A,#N/A,FALSE,"배수2"}</definedName>
    <definedName name="왜" hidden="1">{#N/A,#N/A,FALSE,"배수2"}</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용용" localSheetId="0" hidden="1">{#N/A,#N/A,FALSE,"포장2"}</definedName>
    <definedName name="용용" hidden="1">{#N/A,#N/A,FALSE,"포장2"}</definedName>
    <definedName name="우후" localSheetId="0" hidden="1">{"'별표'!$N$220"}</definedName>
    <definedName name="우후" hidden="1">{"'별표'!$N$220"}</definedName>
    <definedName name="우ㅗ홓ㅇ" localSheetId="0" hidden="1">{#N/A,#N/A,FALSE,"조골재"}</definedName>
    <definedName name="우ㅗ홓ㅇ" hidden="1">{#N/A,#N/A,FALSE,"조골재"}</definedName>
    <definedName name="원가" localSheetId="0" hidden="1">{#N/A,#N/A,FALSE,"운반시간"}</definedName>
    <definedName name="원가" hidden="1">{#N/A,#N/A,FALSE,"운반시간"}</definedName>
    <definedName name="원남내역" localSheetId="10" hidden="1">#REF!</definedName>
    <definedName name="원남내역" hidden="1">#REF!</definedName>
    <definedName name="월드건설" localSheetId="0" hidden="1">{#N/A,#N/A,FALSE,"이태원철근"}</definedName>
    <definedName name="월드건설" hidden="1">{#N/A,#N/A,FALSE,"이태원철근"}</definedName>
    <definedName name="월별투입" localSheetId="0" hidden="1">{#N/A,#N/A,FALSE,"지침";#N/A,#N/A,FALSE,"환경분석";#N/A,#N/A,FALSE,"Sheet16"}</definedName>
    <definedName name="월별투입" hidden="1">{#N/A,#N/A,FALSE,"지침";#N/A,#N/A,FALSE,"환경분석";#N/A,#N/A,FALSE,"Sheet16"}</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은" localSheetId="0" hidden="1">{#N/A,#N/A,FALSE,"구조2"}</definedName>
    <definedName name="은" hidden="1">{#N/A,#N/A,FALSE,"구조2"}</definedName>
    <definedName name="의" localSheetId="0" hidden="1">{#N/A,#N/A,FALSE,"운반시간"}</definedName>
    <definedName name="의" hidden="1">{#N/A,#N/A,FALSE,"운반시간"}</definedName>
    <definedName name="이" localSheetId="0" hidden="1">{#N/A,#N/A,FALSE,"명세표"}</definedName>
    <definedName name="이" hidden="1">{#N/A,#N/A,FALSE,"명세표"}</definedName>
    <definedName name="이동" localSheetId="0" hidden="1">{#N/A,#N/A,FALSE,"조골재"}</definedName>
    <definedName name="이동" hidden="1">{#N/A,#N/A,FALSE,"조골재"}</definedName>
    <definedName name="이론" localSheetId="0" hidden="1">{#N/A,#N/A,FALSE,"속도"}</definedName>
    <definedName name="이론" hidden="1">{#N/A,#N/A,FALSE,"속도"}</definedName>
    <definedName name="이름" localSheetId="0" hidden="1">{#N/A,#N/A,FALSE,"지침";#N/A,#N/A,FALSE,"환경분석";#N/A,#N/A,FALSE,"Sheet16"}</definedName>
    <definedName name="이름" hidden="1">{#N/A,#N/A,FALSE,"지침";#N/A,#N/A,FALSE,"환경분석";#N/A,#N/A,FALSE,"Sheet16"}</definedName>
    <definedName name="이릉" localSheetId="10" hidden="1">#REF!</definedName>
    <definedName name="이릉" hidden="1">#REF!</definedName>
    <definedName name="이성" localSheetId="0" hidden="1">{#N/A,#N/A,FALSE,"골재소요량";#N/A,#N/A,FALSE,"골재소요량"}</definedName>
    <definedName name="이성" hidden="1">{#N/A,#N/A,FALSE,"골재소요량";#N/A,#N/A,FALSE,"골재소요량"}</definedName>
    <definedName name="이성진" localSheetId="0" hidden="1">{#N/A,#N/A,FALSE,"조골재"}</definedName>
    <definedName name="이성진" hidden="1">{#N/A,#N/A,FALSE,"조골재"}</definedName>
    <definedName name="이슈" localSheetId="0" hidden="1">{#N/A,#N/A,FALSE,"지침";#N/A,#N/A,FALSE,"환경분석";#N/A,#N/A,FALSE,"Sheet16"}</definedName>
    <definedName name="이슈" hidden="1">{#N/A,#N/A,FALSE,"지침";#N/A,#N/A,FALSE,"환경분석";#N/A,#N/A,FALSE,"Sheet16"}</definedName>
    <definedName name="이승연" localSheetId="0" hidden="1">{#N/A,#N/A,FALSE,"부대1"}</definedName>
    <definedName name="이승연" hidden="1">{#N/A,#N/A,FALSE,"부대1"}</definedName>
    <definedName name="이월" localSheetId="0" hidden="1">#REF!</definedName>
    <definedName name="이월" hidden="1">#REF!</definedName>
    <definedName name="이이" localSheetId="0" hidden="1">{#N/A,#N/A,FALSE,"지침";#N/A,#N/A,FALSE,"환경분석";#N/A,#N/A,FALSE,"Sheet16"}</definedName>
    <definedName name="이이" hidden="1">{#N/A,#N/A,FALSE,"지침";#N/A,#N/A,FALSE,"환경분석";#N/A,#N/A,FALSE,"Sheet16"}</definedName>
    <definedName name="이정" localSheetId="0" hidden="1">{#N/A,#N/A,FALSE,"2~8번"}</definedName>
    <definedName name="이정" hidden="1">{#N/A,#N/A,FALSE,"2~8번"}</definedName>
    <definedName name="이종훈" localSheetId="10" hidden="1">#REF!</definedName>
    <definedName name="이종훈" hidden="1">#REF!</definedName>
    <definedName name="이지" localSheetId="0" hidden="1">{#N/A,#N/A,FALSE,"지침";#N/A,#N/A,FALSE,"환경분석";#N/A,#N/A,FALSE,"Sheet16"}</definedName>
    <definedName name="이지" hidden="1">{#N/A,#N/A,FALSE,"지침";#N/A,#N/A,FALSE,"환경분석";#N/A,#N/A,FALSE,"Sheet16"}</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구" localSheetId="0" hidden="1">#REF!</definedName>
    <definedName name="인구" hidden="1">#REF!</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 hidden="1">#REF!</definedName>
    <definedName name="일" hidden="1">#REF!</definedName>
    <definedName name="일반부" localSheetId="0" hidden="1">{#N/A,#N/A,FALSE,"조골재"}</definedName>
    <definedName name="일반부" hidden="1">{#N/A,#N/A,FALSE,"조골재"}</definedName>
    <definedName name="일반부_1" localSheetId="0" hidden="1">{#N/A,#N/A,FALSE,"조골재"}</definedName>
    <definedName name="일반부_1" hidden="1">{#N/A,#N/A,FALSE,"조골재"}</definedName>
    <definedName name="임형" localSheetId="0" hidden="1">{#N/A,#N/A,FALSE,"포장2"}</definedName>
    <definedName name="임형" hidden="1">{#N/A,#N/A,FALSE,"포장2"}</definedName>
    <definedName name="입" localSheetId="0" hidden="1">{#N/A,#N/A,FALSE,"전체집계표";#N/A,#N/A,FALSE,"안벽30000";#N/A,#N/A,FALSE,"안벽20000";#N/A,#N/A,FALSE,"내호안";#N/A,#N/A,FALSE,"외호안";#N/A,#N/A,FALSE,"준설토A";#N/A,#N/A,FALSE,"준설토B";#N/A,#N/A,FALSE,"적출장"}</definedName>
    <definedName name="입" hidden="1">{#N/A,#N/A,FALSE,"전체집계표";#N/A,#N/A,FALSE,"안벽30000";#N/A,#N/A,FALSE,"안벽20000";#N/A,#N/A,FALSE,"내호안";#N/A,#N/A,FALSE,"외호안";#N/A,#N/A,FALSE,"준설토A";#N/A,#N/A,FALSE,"준설토B";#N/A,#N/A,FALSE,"적출장"}</definedName>
    <definedName name="입적표" localSheetId="0"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찰금액안" localSheetId="0" hidden="1">#REF!</definedName>
    <definedName name="입찰금액안" hidden="1">#REF!</definedName>
    <definedName name="잉" localSheetId="0" hidden="1">{#N/A,#N/A,FALSE,"지침";#N/A,#N/A,FALSE,"환경분석";#N/A,#N/A,FALSE,"Sheet16"}</definedName>
    <definedName name="잉" hidden="1">{#N/A,#N/A,FALSE,"지침";#N/A,#N/A,FALSE,"환경분석";#N/A,#N/A,FALSE,"Sheet16"}</definedName>
    <definedName name="ㅈ" localSheetId="0" hidden="1">{#N/A,#N/A,FALSE,"전력간선"}</definedName>
    <definedName name="ㅈ" hidden="1">{#N/A,#N/A,FALSE,"전력간선"}</definedName>
    <definedName name="ㅈㄱ" localSheetId="0" hidden="1">{#N/A,#N/A,FALSE,"조골재"}</definedName>
    <definedName name="ㅈㄱ" hidden="1">{#N/A,#N/A,FALSE,"조골재"}</definedName>
    <definedName name="ㅈㄱ_1" localSheetId="0" hidden="1">{#N/A,#N/A,FALSE,"조골재"}</definedName>
    <definedName name="ㅈㄱ_1" hidden="1">{#N/A,#N/A,FALSE,"조골재"}</definedName>
    <definedName name="ㅈㅈ" localSheetId="0" hidden="1">{#N/A,#N/A,FALSE,"지침";#N/A,#N/A,FALSE,"환경분석";#N/A,#N/A,FALSE,"Sheet16"}</definedName>
    <definedName name="ㅈㅈ" hidden="1">{#N/A,#N/A,FALSE,"지침";#N/A,#N/A,FALSE,"환경분석";#N/A,#N/A,FALSE,"Sheet16"}</definedName>
    <definedName name="ㅈㅈㅈ" localSheetId="0" hidden="1">{#N/A,#N/A,FALSE,"골재소요량";#N/A,#N/A,FALSE,"골재소요량"}</definedName>
    <definedName name="ㅈㅈㅈ" hidden="1">{#N/A,#N/A,FALSE,"골재소요량";#N/A,#N/A,FALSE,"골재소요량"}</definedName>
    <definedName name="ㅈㅈㅈㅈㅈ" localSheetId="0" hidden="1">{"'장비'!$A$3:$M$12"}</definedName>
    <definedName name="ㅈㅈㅈㅈㅈ" hidden="1">{"'장비'!$A$3:$M$12"}</definedName>
    <definedName name="ㅈ자" localSheetId="0" hidden="1">{#N/A,#N/A,FALSE,"CCTV"}</definedName>
    <definedName name="ㅈ자" hidden="1">{#N/A,#N/A,FALSE,"CCTV"}</definedName>
    <definedName name="자" localSheetId="0" hidden="1">{"'Sheet1'!$A$4:$M$21","'Sheet1'!$J$17:$K$19"}</definedName>
    <definedName name="자" hidden="1">{"'Sheet1'!$A$4:$M$21","'Sheet1'!$J$17:$K$19"}</definedName>
    <definedName name="자디" localSheetId="0" hidden="1">{#N/A,#N/A,FALSE,"지침";#N/A,#N/A,FALSE,"환경분석";#N/A,#N/A,FALSE,"Sheet16"}</definedName>
    <definedName name="자디" hidden="1">{#N/A,#N/A,FALSE,"지침";#N/A,#N/A,FALSE,"환경분석";#N/A,#N/A,FALSE,"Sheet16"}</definedName>
    <definedName name="자미" localSheetId="0" hidden="1">{#N/A,#N/A,FALSE,"명세표"}</definedName>
    <definedName name="자미" hidden="1">{#N/A,#N/A,FALSE,"명세표"}</definedName>
    <definedName name="자산" localSheetId="0"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0"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운" localSheetId="0" hidden="1">#REF!</definedName>
    <definedName name="자운" hidden="1">#REF!</definedName>
    <definedName name="자재1" localSheetId="0" hidden="1">{#N/A,#N/A,FALSE,"포장2"}</definedName>
    <definedName name="자재1" hidden="1">{#N/A,#N/A,FALSE,"포장2"}</definedName>
    <definedName name="자재2" localSheetId="0" hidden="1">{#N/A,#N/A,FALSE,"구조2"}</definedName>
    <definedName name="자재2" hidden="1">{#N/A,#N/A,FALSE,"구조2"}</definedName>
    <definedName name="자재단가근거" localSheetId="10" hidden="1">#REF!</definedName>
    <definedName name="자재단가근거" hidden="1">#REF!</definedName>
    <definedName name="장" localSheetId="0" hidden="1">{#N/A,#N/A,FALSE,"CCTV"}</definedName>
    <definedName name="장" hidden="1">{#N/A,#N/A,FALSE,"CCTV"}</definedName>
    <definedName name="장기" localSheetId="0" hidden="1">{#N/A,#N/A,FALSE,"지침";#N/A,#N/A,FALSE,"환경분석";#N/A,#N/A,FALSE,"Sheet16"}</definedName>
    <definedName name="장기" hidden="1">{#N/A,#N/A,FALSE,"지침";#N/A,#N/A,FALSE,"환경분석";#N/A,#N/A,FALSE,"Sheet16"}</definedName>
    <definedName name="적표" localSheetId="0" hidden="1">{#N/A,#N/A,FALSE,"전체집계표";#N/A,#N/A,FALSE,"안벽30000";#N/A,#N/A,FALSE,"안벽20000";#N/A,#N/A,FALSE,"내호안";#N/A,#N/A,FALSE,"외호안";#N/A,#N/A,FALSE,"준설토A";#N/A,#N/A,FALSE,"준설토B";#N/A,#N/A,FALSE,"적출장"}</definedName>
    <definedName name="적표" hidden="1">{#N/A,#N/A,FALSE,"전체집계표";#N/A,#N/A,FALSE,"안벽30000";#N/A,#N/A,FALSE,"안벽20000";#N/A,#N/A,FALSE,"내호안";#N/A,#N/A,FALSE,"외호안";#N/A,#N/A,FALSE,"준설토A";#N/A,#N/A,FALSE,"준설토B";#N/A,#N/A,FALSE,"적출장"}</definedName>
    <definedName name="전계장금액" localSheetId="0" hidden="1">#REF!</definedName>
    <definedName name="전계장금액" hidden="1">#REF!</definedName>
    <definedName name="전기1" localSheetId="0" hidden="1">#REF!</definedName>
    <definedName name="전기1" hidden="1">#REF!</definedName>
    <definedName name="전기공사비교" localSheetId="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localSheetId="0" hidden="1">{"'장비'!$A$3:$M$12"}</definedName>
    <definedName name="전기구" hidden="1">{"'장비'!$A$3:$M$12"}</definedName>
    <definedName name="전기기" localSheetId="0" hidden="1">#REF!</definedName>
    <definedName name="전기기" hidden="1">#REF!</definedName>
    <definedName name="전기기기" localSheetId="0" hidden="1">{"'장비'!$A$3:$M$12"}</definedName>
    <definedName name="전기기기" hidden="1">{"'장비'!$A$3:$M$12"}</definedName>
    <definedName name="전기내역" localSheetId="0" hidden="1">{#N/A,#N/A,FALSE,"CCTV"}</definedName>
    <definedName name="전기내역" hidden="1">{#N/A,#N/A,FALSE,"CCTV"}</definedName>
    <definedName name="전기마감" localSheetId="0" hidden="1">#REF!</definedName>
    <definedName name="전기마감" hidden="1">#REF!</definedName>
    <definedName name="전기산출" localSheetId="10" hidden="1">#REF!</definedName>
    <definedName name="전기산출" hidden="1">#REF!</definedName>
    <definedName name="전기산출내역" localSheetId="10" hidden="1">#REF!</definedName>
    <definedName name="전기산출내역" hidden="1">#REF!</definedName>
    <definedName name="전열" localSheetId="0" hidden="1">{#N/A,#N/A,FALSE,"CCTV"}</definedName>
    <definedName name="전열" hidden="1">{#N/A,#N/A,FALSE,"CCTV"}</definedName>
    <definedName name="전자CF" localSheetId="0" hidden="1">{#N/A,#N/A,FALSE,"지침";#N/A,#N/A,FALSE,"환경분석";#N/A,#N/A,FALSE,"Sheet16"}</definedName>
    <definedName name="전자CF" hidden="1">{#N/A,#N/A,FALSE,"지침";#N/A,#N/A,FALSE,"환경분석";#N/A,#N/A,FALSE,"Sheet16"}</definedName>
    <definedName name="절" localSheetId="0" hidden="1">#REF!</definedName>
    <definedName name="절" hidden="1">#REF!</definedName>
    <definedName name="접속부" localSheetId="0" hidden="1">{#N/A,#N/A,FALSE,"2~8번"}</definedName>
    <definedName name="접속부" hidden="1">{#N/A,#N/A,FALSE,"2~8번"}</definedName>
    <definedName name="정리용" localSheetId="0" hidden="1">{#N/A,#N/A,FALSE,"Tower &amp; Car Park"}</definedName>
    <definedName name="정리용" hidden="1">{#N/A,#N/A,FALSE,"Tower &amp; Car Park"}</definedName>
    <definedName name="정리용2" localSheetId="0" hidden="1">{#N/A,#N/A,FALSE,"Tower &amp; Car Park"}</definedName>
    <definedName name="정리용2" hidden="1">{#N/A,#N/A,FALSE,"Tower &amp; Car Park"}</definedName>
    <definedName name="정하명" localSheetId="0" hidden="1">{#N/A,#N/A,TRUE,"Basic";#N/A,#N/A,TRUE,"EXT-TABLE";#N/A,#N/A,TRUE,"STEEL";#N/A,#N/A,TRUE,"INT-Table";#N/A,#N/A,TRUE,"STEEL";#N/A,#N/A,TRUE,"Door"}</definedName>
    <definedName name="정하명" hidden="1">{#N/A,#N/A,TRUE,"Basic";#N/A,#N/A,TRUE,"EXT-TABLE";#N/A,#N/A,TRUE,"STEEL";#N/A,#N/A,TRUE,"INT-Table";#N/A,#N/A,TRUE,"STEEL";#N/A,#N/A,TRUE,"Door"}</definedName>
    <definedName name="제" localSheetId="0" hidden="1">#REF!</definedName>
    <definedName name="제" hidden="1">#REF!</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건2" localSheetId="0" hidden="1">{#N/A,#N/A,FALSE,"CCTV"}</definedName>
    <definedName name="조건2" hidden="1">{#N/A,#N/A,FALSE,"CCTV"}</definedName>
    <definedName name="조경공사" localSheetId="0" hidden="1">{#N/A,#N/A,FALSE,"표지"}</definedName>
    <definedName name="조경공사" hidden="1">{#N/A,#N/A,FALSE,"표지"}</definedName>
    <definedName name="조경사본" localSheetId="0" hidden="1">{#N/A,#N/A,FALSE,"표지"}</definedName>
    <definedName name="조경사본" hidden="1">{#N/A,#N/A,FALSE,"표지"}</definedName>
    <definedName name="조사가" localSheetId="10" hidden="1">#REF!</definedName>
    <definedName name="조사가" hidden="1">#REF!</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0" hidden="1">{#N/A,#N/A,FALSE,"지침";#N/A,#N/A,FALSE,"환경분석";#N/A,#N/A,FALSE,"Sheet16"}</definedName>
    <definedName name="주" hidden="1">{#N/A,#N/A,FALSE,"지침";#N/A,#N/A,FALSE,"환경분석";#N/A,#N/A,FALSE,"Sheet16"}</definedName>
    <definedName name="주복" localSheetId="0" hidden="1">{#N/A,#N/A,FALSE,"지침";#N/A,#N/A,FALSE,"환경분석";#N/A,#N/A,FALSE,"Sheet16"}</definedName>
    <definedName name="주복" hidden="1">{#N/A,#N/A,FALSE,"지침";#N/A,#N/A,FALSE,"환경분석";#N/A,#N/A,FALSE,"Sheet16"}</definedName>
    <definedName name="주복2공구" localSheetId="0" hidden="1">{#N/A,#N/A,FALSE,"지침";#N/A,#N/A,FALSE,"환경분석";#N/A,#N/A,FALSE,"Sheet16"}</definedName>
    <definedName name="주복2공구" hidden="1">{#N/A,#N/A,FALSE,"지침";#N/A,#N/A,FALSE,"환경분석";#N/A,#N/A,FALSE,"Sheet16"}</definedName>
    <definedName name="주상" localSheetId="0" hidden="1">{#N/A,#N/A,FALSE,"지침";#N/A,#N/A,FALSE,"환경분석";#N/A,#N/A,FALSE,"Sheet16"}</definedName>
    <definedName name="주상" hidden="1">{#N/A,#N/A,FALSE,"지침";#N/A,#N/A,FALSE,"환경분석";#N/A,#N/A,FALSE,"Sheet16"}</definedName>
    <definedName name="죽전5차" localSheetId="0" hidden="1">{#N/A,#N/A,FALSE,"이태원철근"}</definedName>
    <definedName name="죽전5차" hidden="1">{#N/A,#N/A,FALSE,"이태원철근"}</definedName>
    <definedName name="중점추진" localSheetId="0"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지역업체" localSheetId="0" hidden="1">{#N/A,#N/A,FALSE,"배수2"}</definedName>
    <definedName name="지역업체" hidden="1">{#N/A,#N/A,FALSE,"배수2"}</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직원조직" localSheetId="0" hidden="1">{#N/A,#N/A,FALSE,"이태원철근"}</definedName>
    <definedName name="직원조직" hidden="1">{#N/A,#N/A,FALSE,"이태원철근"}</definedName>
    <definedName name="직원조직표" localSheetId="0" hidden="1">{#N/A,#N/A,FALSE,"이태원철근"}</definedName>
    <definedName name="직원조직표" hidden="1">{#N/A,#N/A,FALSE,"이태원철근"}</definedName>
    <definedName name="진" localSheetId="0" hidden="1">{#N/A,#N/A,FALSE,"2~8번"}</definedName>
    <definedName name="진" hidden="1">{#N/A,#N/A,FALSE,"2~8번"}</definedName>
    <definedName name="집계" localSheetId="0" hidden="1">{#N/A,#N/A,FALSE,"명세표"}</definedName>
    <definedName name="집계" hidden="1">{#N/A,#N/A,FALSE,"명세표"}</definedName>
    <definedName name="집계표" localSheetId="0" hidden="1">{#N/A,#N/A,FALSE,"이태원철근"}</definedName>
    <definedName name="집계표" hidden="1">{#N/A,#N/A,FALSE,"이태원철근"}</definedName>
    <definedName name="집수정" localSheetId="0" hidden="1">#REF!</definedName>
    <definedName name="집수정" hidden="1">#REF!</definedName>
    <definedName name="ㅉㅉㅉㅉㅉ" localSheetId="0" hidden="1">{#N/A,#N/A,FALSE,"지침";#N/A,#N/A,FALSE,"환경분석";#N/A,#N/A,FALSE,"Sheet16"}</definedName>
    <definedName name="ㅉㅉㅉㅉㅉ" hidden="1">{#N/A,#N/A,FALSE,"지침";#N/A,#N/A,FALSE,"환경분석";#N/A,#N/A,FALSE,"Sheet16"}</definedName>
    <definedName name="ㅊㅇ" localSheetId="0" hidden="1">{#N/A,#N/A,FALSE,"현장 NCR 분석";#N/A,#N/A,FALSE,"현장품질감사";#N/A,#N/A,FALSE,"현장품질감사"}</definedName>
    <definedName name="ㅊㅇ" hidden="1">{#N/A,#N/A,FALSE,"현장 NCR 분석";#N/A,#N/A,FALSE,"현장품질감사";#N/A,#N/A,FALSE,"현장품질감사"}</definedName>
    <definedName name="ㅊㅌㅊ" localSheetId="0" hidden="1">{#N/A,#N/A,FALSE,"현장 NCR 분석";#N/A,#N/A,FALSE,"현장품질감사";#N/A,#N/A,FALSE,"현장품질감사"}</definedName>
    <definedName name="ㅊㅌㅊ" hidden="1">{#N/A,#N/A,FALSE,"현장 NCR 분석";#N/A,#N/A,FALSE,"현장품질감사";#N/A,#N/A,FALSE,"현장품질감사"}</definedName>
    <definedName name="ㅊㅍㅋㅌㅊㅋ" localSheetId="0" hidden="1">{#N/A,#N/A,FALSE,"운반시간"}</definedName>
    <definedName name="ㅊㅍㅋㅌㅊㅋ" hidden="1">{#N/A,#N/A,FALSE,"운반시간"}</definedName>
    <definedName name="ㅊㅍㅋㅌㅍㅌ" localSheetId="0" hidden="1">{#N/A,#N/A,FALSE,"혼합골재"}</definedName>
    <definedName name="ㅊㅍㅋㅌㅍㅌ" hidden="1">{#N/A,#N/A,FALSE,"혼합골재"}</definedName>
    <definedName name="차수벽2.5수정" localSheetId="0" hidden="1">{#N/A,#N/A,FALSE,"배수1"}</definedName>
    <definedName name="차수벽2.5수정" hidden="1">{#N/A,#N/A,FALSE,"배수1"}</definedName>
    <definedName name="차차" localSheetId="0" hidden="1">#REF!</definedName>
    <definedName name="차차" hidden="1">#REF!</definedName>
    <definedName name="찰샇기" localSheetId="0" hidden="1">#REF!</definedName>
    <definedName name="찰샇기" hidden="1">#REF!</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철근량" localSheetId="10" hidden="1">{#N/A,#N/A,FALSE,"전력간선"}</definedName>
    <definedName name="철근량" localSheetId="0" hidden="1">{#N/A,#N/A,FALSE,"전력간선"}</definedName>
    <definedName name="철근량" hidden="1">{#N/A,#N/A,FALSE,"전력간선"}</definedName>
    <definedName name="철근수정본" localSheetId="0" hidden="1">{"'Sheet1'!$A$4:$M$21","'Sheet1'!$J$17:$K$19"}</definedName>
    <definedName name="철근수정본" hidden="1">{"'Sheet1'!$A$4:$M$21","'Sheet1'!$J$17:$K$19"}</definedName>
    <definedName name="철근집계" localSheetId="0" hidden="1">{#N/A,#N/A,FALSE,"단가표지"}</definedName>
    <definedName name="철근집계" hidden="1">{#N/A,#N/A,FALSE,"단가표지"}</definedName>
    <definedName name="철콘" localSheetId="0" hidden="1">{#N/A,#N/A,FALSE,"전력간선"}</definedName>
    <definedName name="철콘" hidden="1">{#N/A,#N/A,FALSE,"전력간선"}</definedName>
    <definedName name="철콘부대외" localSheetId="0" hidden="1">{#N/A,#N/A,FALSE,"Sheet1"}</definedName>
    <definedName name="철콘부대외" hidden="1">{#N/A,#N/A,FALSE,"Sheet1"}</definedName>
    <definedName name="첨부5" localSheetId="0"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구량2" localSheetId="0" hidden="1">{#N/A,#N/A,FALSE,"CCTV"}</definedName>
    <definedName name="청구량2" hidden="1">{#N/A,#N/A,FALSE,"CCTV"}</definedName>
    <definedName name="초기예산서보고" localSheetId="0" hidden="1">{#N/A,#N/A,FALSE,"이태원철근"}</definedName>
    <definedName name="초기예산서보고" hidden="1">{#N/A,#N/A,FALSE,"이태원철근"}</definedName>
    <definedName name="총" localSheetId="0" hidden="1">{#N/A,#N/A,FALSE,"부대1"}</definedName>
    <definedName name="총" hidden="1">{#N/A,#N/A,FALSE,"부대1"}</definedName>
    <definedName name="총공사비2" localSheetId="10" hidden="1">{#N/A,#N/A,FALSE,"전력간선"}</definedName>
    <definedName name="총공사비2" localSheetId="0" hidden="1">{#N/A,#N/A,FALSE,"전력간선"}</definedName>
    <definedName name="총공사비2" hidden="1">{#N/A,#N/A,FALSE,"전력간선"}</definedName>
    <definedName name="총괄" localSheetId="0" hidden="1">#REF!</definedName>
    <definedName name="총괄" hidden="1">#REF!</definedName>
    <definedName name="총괄제출2차" localSheetId="0" hidden="1">#REF!</definedName>
    <definedName name="총괄제출2차" hidden="1">#REF!</definedName>
    <definedName name="추" localSheetId="0" hidden="1">{"'Sheet1'!$L$16"}</definedName>
    <definedName name="추" hidden="1">{"'Sheet1'!$L$16"}</definedName>
    <definedName name="추가분" localSheetId="0" hidden="1">{"'장비'!$A$3:$M$12"}</definedName>
    <definedName name="추가분" hidden="1">{"'장비'!$A$3:$M$12"}</definedName>
    <definedName name="추가옵션01" localSheetId="0" hidden="1">#REF!</definedName>
    <definedName name="추가옵션01" hidden="1">#REF!</definedName>
    <definedName name="추정" localSheetId="0" hidden="1">{#N/A,#N/A,FALSE,"포장2"}</definedName>
    <definedName name="추정" hidden="1">{#N/A,#N/A,FALSE,"포장2"}</definedName>
    <definedName name="출판" localSheetId="0" hidden="1">{#N/A,#N/A,FALSE,"지침";#N/A,#N/A,FALSE,"환경분석";#N/A,#N/A,FALSE,"Sheet16"}</definedName>
    <definedName name="출판" hidden="1">{#N/A,#N/A,FALSE,"지침";#N/A,#N/A,FALSE,"환경분석";#N/A,#N/A,FALSE,"Sheet16"}</definedName>
    <definedName name="ㅋ" localSheetId="0" hidden="1">{#N/A,#N/A,FALSE,"조골재"}</definedName>
    <definedName name="ㅋ" hidden="1">{#N/A,#N/A,FALSE,"조골재"}</definedName>
    <definedName name="ㅋ_1" localSheetId="0" hidden="1">{#N/A,#N/A,FALSE,"조골재"}</definedName>
    <definedName name="ㅋ_1" hidden="1">{#N/A,#N/A,FALSE,"조골재"}</definedName>
    <definedName name="ㅋㅁ" localSheetId="0" hidden="1">{#N/A,#N/A,FALSE,"명세표"}</definedName>
    <definedName name="ㅋㅁ" hidden="1">{#N/A,#N/A,FALSE,"명세표"}</definedName>
    <definedName name="ㅋㅋ" localSheetId="0" hidden="1">{#N/A,#N/A,FALSE,"운반시간"}</definedName>
    <definedName name="ㅋㅋ" hidden="1">{#N/A,#N/A,FALSE,"운반시간"}</definedName>
    <definedName name="ㅋㅋㅋ" localSheetId="0" hidden="1">{#N/A,#N/A,FALSE,"명세표"}</definedName>
    <definedName name="ㅋㅋㅋ" hidden="1">{#N/A,#N/A,FALSE,"명세표"}</definedName>
    <definedName name="ㅋㅌ" localSheetId="0" hidden="1">{#N/A,#N/A,FALSE,"구조1"}</definedName>
    <definedName name="ㅋㅌ" hidden="1">{#N/A,#N/A,FALSE,"구조1"}</definedName>
    <definedName name="캐쉬" localSheetId="0" hidden="1">{#N/A,#N/A,FALSE,"지침";#N/A,#N/A,FALSE,"환경분석";#N/A,#N/A,FALSE,"Sheet16"}</definedName>
    <definedName name="캐쉬" hidden="1">{#N/A,#N/A,FALSE,"지침";#N/A,#N/A,FALSE,"환경분석";#N/A,#N/A,FALSE,"Sheet16"}</definedName>
    <definedName name="케러" localSheetId="0" hidden="1">{#N/A,#N/A,FALSE,"2~8번"}</definedName>
    <definedName name="케러" hidden="1">{#N/A,#N/A,FALSE,"2~8번"}</definedName>
    <definedName name="케이슨3" localSheetId="0" hidden="1">{#N/A,#N/A,FALSE,"전체집계표";#N/A,#N/A,FALSE,"안벽30000";#N/A,#N/A,FALSE,"안벽20000";#N/A,#N/A,FALSE,"내호안";#N/A,#N/A,FALSE,"외호안";#N/A,#N/A,FALSE,"준설토A";#N/A,#N/A,FALSE,"준설토B";#N/A,#N/A,FALSE,"적출장"}</definedName>
    <definedName name="케이슨3" hidden="1">{#N/A,#N/A,FALSE,"전체집계표";#N/A,#N/A,FALSE,"안벽30000";#N/A,#N/A,FALSE,"안벽20000";#N/A,#N/A,FALSE,"내호안";#N/A,#N/A,FALSE,"외호안";#N/A,#N/A,FALSE,"준설토A";#N/A,#N/A,FALSE,"준설토B";#N/A,#N/A,FALSE,"적출장"}</definedName>
    <definedName name="케이슨33" localSheetId="0"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켐온건축" localSheetId="10" hidden="1">{#N/A,#N/A,FALSE,"CCTV"}</definedName>
    <definedName name="켐온건축" localSheetId="0" hidden="1">{#N/A,#N/A,FALSE,"CCTV"}</definedName>
    <definedName name="켐온건축" hidden="1">{#N/A,#N/A,FALSE,"CCTV"}</definedName>
    <definedName name="콘크리트2" localSheetId="0" hidden="1">#REF!</definedName>
    <definedName name="콘크리트2" hidden="1">#REF!</definedName>
    <definedName name="콩" localSheetId="0" hidden="1">{#N/A,#N/A,FALSE,"구조1"}</definedName>
    <definedName name="콩" hidden="1">{#N/A,#N/A,FALSE,"구조1"}</definedName>
    <definedName name="ㅌ" localSheetId="0" hidden="1">{#N/A,#N/A,FALSE,"2~8번"}</definedName>
    <definedName name="ㅌ" hidden="1">{#N/A,#N/A,FALSE,"2~8번"}</definedName>
    <definedName name="ㅌ_1" localSheetId="0" hidden="1">{#N/A,#N/A,FALSE,"2~8번"}</definedName>
    <definedName name="ㅌ_1" hidden="1">{#N/A,#N/A,FALSE,"2~8번"}</definedName>
    <definedName name="ㅌㅌ" localSheetId="0" hidden="1">{#N/A,#N/A,FALSE,"명세표"}</definedName>
    <definedName name="ㅌㅌ" hidden="1">{#N/A,#N/A,FALSE,"명세표"}</definedName>
    <definedName name="ㅌㅍ" localSheetId="0" hidden="1">{#N/A,#N/A,FALSE,"부대2"}</definedName>
    <definedName name="ㅌㅍ" hidden="1">{#N/A,#N/A,FALSE,"부대2"}</definedName>
    <definedName name="ㅌㅍ츛ㅌ" localSheetId="0" hidden="1">{#N/A,#N/A,FALSE,"운반시간"}</definedName>
    <definedName name="ㅌㅍ츛ㅌ" hidden="1">{#N/A,#N/A,FALSE,"운반시간"}</definedName>
    <definedName name="탈" localSheetId="0" hidden="1">{#N/A,#N/A,FALSE,"CCTV"}</definedName>
    <definedName name="탈" hidden="1">{#N/A,#N/A,FALSE,"CCTV"}</definedName>
    <definedName name="태영지급" localSheetId="0" hidden="1">{#N/A,#N/A,FALSE,"부대1"}</definedName>
    <definedName name="태영지급" hidden="1">{#N/A,#N/A,FALSE,"부대1"}</definedName>
    <definedName name="테스크" localSheetId="0" hidden="1">{#N/A,#N/A,FALSE,"단가표지"}</definedName>
    <definedName name="테스크" hidden="1">{#N/A,#N/A,FALSE,"단가표지"}</definedName>
    <definedName name="토건" localSheetId="0" hidden="1">{"'장비'!$A$3:$M$12"}</definedName>
    <definedName name="토건" hidden="1">{"'장비'!$A$3:$M$12"}</definedName>
    <definedName name="토건공사비대비r" localSheetId="0" hidden="1">{"'장비'!$A$3:$M$12"}</definedName>
    <definedName name="토건공사비대비r" hidden="1">{"'장비'!$A$3:$M$12"}</definedName>
    <definedName name="토건업체" localSheetId="0" hidden="1">{"'장비'!$A$3:$M$12"}</definedName>
    <definedName name="토건업체" hidden="1">{"'장비'!$A$3:$M$12"}</definedName>
    <definedName name="토건집계표r" localSheetId="0" hidden="1">{"'장비'!$A$3:$M$12"}</definedName>
    <definedName name="토건집계표r" hidden="1">{"'장비'!$A$3:$M$12"}</definedName>
    <definedName name="토공" localSheetId="0" hidden="1">{#N/A,#N/A,FALSE,"포장2"}</definedName>
    <definedName name="토공" hidden="1">{#N/A,#N/A,FALSE,"포장2"}</definedName>
    <definedName name="토공11" localSheetId="0" hidden="1">{#N/A,#N/A,FALSE,"포장2"}</definedName>
    <definedName name="토공11" hidden="1">{#N/A,#N/A,FALSE,"포장2"}</definedName>
    <definedName name="토공사" localSheetId="0" hidden="1">#REF!</definedName>
    <definedName name="토공사" hidden="1">#REF!</definedName>
    <definedName name="토공사2" localSheetId="0" hidden="1">#REF!</definedName>
    <definedName name="토공사2" hidden="1">#REF!</definedName>
    <definedName name="토공이수" localSheetId="0" hidden="1">#REF!</definedName>
    <definedName name="토공이수" hidden="1">#REF!</definedName>
    <definedName name="토목" localSheetId="10" hidden="1">{#N/A,#N/A,FALSE,"CCTV"}</definedName>
    <definedName name="토목" localSheetId="0" hidden="1">{#N/A,#N/A,FALSE,"CCTV"}</definedName>
    <definedName name="토목" hidden="1">{#N/A,#N/A,FALSE,"CCTV"}</definedName>
    <definedName name="토목견적" localSheetId="0" hidden="1">{#N/A,#N/A,FALSE,"골재소요량";#N/A,#N/A,FALSE,"골재소요량"}</definedName>
    <definedName name="토목견적" hidden="1">{#N/A,#N/A,FALSE,"골재소요량";#N/A,#N/A,FALSE,"골재소요량"}</definedName>
    <definedName name="토목공사" localSheetId="0" hidden="1">{#N/A,#N/A,FALSE,"이태원철근"}</definedName>
    <definedName name="토목공사" hidden="1">{#N/A,#N/A,FALSE,"이태원철근"}</definedName>
    <definedName name="토목공사강릉" localSheetId="0" hidden="1">#REF!</definedName>
    <definedName name="토목공사강릉" hidden="1">#REF!</definedName>
    <definedName name="토목변경" localSheetId="0" hidden="1">{"'장비'!$A$3:$M$12"}</definedName>
    <definedName name="토목변경" hidden="1">{"'장비'!$A$3:$M$12"}</definedName>
    <definedName name="토목설계" localSheetId="0" hidden="1">{#N/A,#N/A,FALSE,"골재소요량";#N/A,#N/A,FALSE,"골재소요량"}</definedName>
    <definedName name="토목설계" hidden="1">{#N/A,#N/A,FALSE,"골재소요량";#N/A,#N/A,FALSE,"골재소요량"}</definedName>
    <definedName name="토목실견적" localSheetId="0" hidden="1">{#N/A,#N/A,FALSE,"이태원철근"}</definedName>
    <definedName name="토목실견적" hidden="1">{#N/A,#N/A,FALSE,"이태원철근"}</definedName>
    <definedName name="토목실행" localSheetId="0" hidden="1">{#N/A,#N/A,FALSE,"골재소요량";#N/A,#N/A,FALSE,"골재소요량"}</definedName>
    <definedName name="토목실행" hidden="1">{#N/A,#N/A,FALSE,"골재소요량";#N/A,#N/A,FALSE,"골재소요량"}</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투3" localSheetId="0" hidden="1">{#N/A,#N/A,FALSE,"배수2"}</definedName>
    <definedName name="투3" hidden="1">{#N/A,#N/A,FALSE,"배수2"}</definedName>
    <definedName name="투자1" localSheetId="0"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0"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0"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localSheetId="0"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예정가50" localSheetId="0" hidden="1">{"'장비'!$A$3:$M$12"}</definedName>
    <definedName name="투찰예정가50" hidden="1">{"'장비'!$A$3:$M$12"}</definedName>
    <definedName name="투찰예정본부장" localSheetId="0" hidden="1">{"'장비'!$A$3:$M$12"}</definedName>
    <definedName name="투찰예정본부장" hidden="1">{"'장비'!$A$3:$M$12"}</definedName>
    <definedName name="투찰표" localSheetId="0" hidden="1">{#N/A,#N/A,FALSE,"부대1"}</definedName>
    <definedName name="투찰표" hidden="1">{#N/A,#N/A,FALSE,"부대1"}</definedName>
    <definedName name="특수견적" localSheetId="0" hidden="1">{#N/A,#N/A,FALSE,"지침";#N/A,#N/A,FALSE,"환경분석";#N/A,#N/A,FALSE,"Sheet16"}</definedName>
    <definedName name="특수견적" hidden="1">{#N/A,#N/A,FALSE,"지침";#N/A,#N/A,FALSE,"환경분석";#N/A,#N/A,FALSE,"Sheet16"}</definedName>
    <definedName name="팀별" localSheetId="0"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localSheetId="0" hidden="1">{#N/A,#N/A,FALSE,"2~8번"}</definedName>
    <definedName name="ㅍ" hidden="1">{#N/A,#N/A,FALSE,"2~8번"}</definedName>
    <definedName name="ㅍ_1" localSheetId="0" hidden="1">{#N/A,#N/A,FALSE,"2~8번"}</definedName>
    <definedName name="ㅍ_1" hidden="1">{#N/A,#N/A,FALSE,"2~8번"}</definedName>
    <definedName name="ㅍ춫" localSheetId="0" hidden="1">{#N/A,#N/A,FALSE,"골재소요량";#N/A,#N/A,FALSE,"골재소요량"}</definedName>
    <definedName name="ㅍ춫" hidden="1">{#N/A,#N/A,FALSE,"골재소요량";#N/A,#N/A,FALSE,"골재소요량"}</definedName>
    <definedName name="ㅍ츝" localSheetId="0" hidden="1">{#N/A,#N/A,FALSE,"표지목차"}</definedName>
    <definedName name="ㅍ츝" hidden="1">{#N/A,#N/A,FALSE,"표지목차"}</definedName>
    <definedName name="파일" localSheetId="0" hidden="1">#REF!</definedName>
    <definedName name="파일" hidden="1">#REF!</definedName>
    <definedName name="파주보고최종4.26" localSheetId="0" hidden="1">{#N/A,#N/A,FALSE,"현장 NCR 분석";#N/A,#N/A,FALSE,"현장품질감사";#N/A,#N/A,FALSE,"현장품질감사"}</definedName>
    <definedName name="파주보고최종4.26" hidden="1">{#N/A,#N/A,FALSE,"현장 NCR 분석";#N/A,#N/A,FALSE,"현장품질감사";#N/A,#N/A,FALSE,"현장품질감사"}</definedName>
    <definedName name="팔" localSheetId="0" hidden="1">#REF!</definedName>
    <definedName name="팔" hidden="1">#REF!</definedName>
    <definedName name="페기갑지" localSheetId="0" hidden="1">#REF!</definedName>
    <definedName name="페기갑지" hidden="1">#REF!</definedName>
    <definedName name="평당견적" localSheetId="0" hidden="1">#REF!</definedName>
    <definedName name="평당견적" hidden="1">#REF!</definedName>
    <definedName name="폐기" localSheetId="0" hidden="1">#REF!</definedName>
    <definedName name="폐기" hidden="1">#REF!</definedName>
    <definedName name="포장2월ocf" localSheetId="0" hidden="1">{#N/A,#N/A,FALSE,"지침";#N/A,#N/A,FALSE,"환경분석";#N/A,#N/A,FALSE,"Sheet16"}</definedName>
    <definedName name="포장2월ocf"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_1" localSheetId="0" hidden="1">{#N/A,#N/A,TRUE,"Basic";#N/A,#N/A,TRUE,"EXT-TABLE";#N/A,#N/A,TRUE,"STEEL";#N/A,#N/A,TRUE,"INT-Table";#N/A,#N/A,TRUE,"STEEL";#N/A,#N/A,TRUE,"Door"}</definedName>
    <definedName name="표지_1" hidden="1">{#N/A,#N/A,TRUE,"Basic";#N/A,#N/A,TRUE,"EXT-TABLE";#N/A,#N/A,TRUE,"STEEL";#N/A,#N/A,TRUE,"INT-Table";#N/A,#N/A,TRUE,"STEEL";#N/A,#N/A,TRUE,"Door"}</definedName>
    <definedName name="표지1" localSheetId="0" hidden="1">{#N/A,#N/A,FALSE,"속도"}</definedName>
    <definedName name="표지1"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localSheetId="0" hidden="1">{#N/A,#N/A,FALSE,"이정표"}</definedName>
    <definedName name="표지3" hidden="1">{#N/A,#N/A,FALSE,"이정표"}</definedName>
    <definedName name="풍납동" localSheetId="0" hidden="1">#REF!</definedName>
    <definedName name="풍납동" hidden="1">#REF!</definedName>
    <definedName name="풍납동아파트" localSheetId="0" hidden="1">#REF!</definedName>
    <definedName name="풍납동아파트" hidden="1">#REF!</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피복" localSheetId="0" hidden="1">{#N/A,#N/A,FALSE,"전체집계표";#N/A,#N/A,FALSE,"안벽30000";#N/A,#N/A,FALSE,"안벽20000";#N/A,#N/A,FALSE,"내호안";#N/A,#N/A,FALSE,"외호안";#N/A,#N/A,FALSE,"준설토A";#N/A,#N/A,FALSE,"준설토B";#N/A,#N/A,FALSE,"적출장"}</definedName>
    <definedName name="피복" hidden="1">{#N/A,#N/A,FALSE,"전체집계표";#N/A,#N/A,FALSE,"안벽30000";#N/A,#N/A,FALSE,"안벽20000";#N/A,#N/A,FALSE,"내호안";#N/A,#N/A,FALSE,"외호안";#N/A,#N/A,FALSE,"준설토A";#N/A,#N/A,FALSE,"준설토B";#N/A,#N/A,FALSE,"적출장"}</definedName>
    <definedName name="피복석" localSheetId="0"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ㅎ5" localSheetId="0" hidden="1">{#N/A,#N/A,FALSE,"골재소요량";#N/A,#N/A,FALSE,"골재소요량"}</definedName>
    <definedName name="ㅎ5" hidden="1">{#N/A,#N/A,FALSE,"골재소요량";#N/A,#N/A,FALSE,"골재소요량"}</definedName>
    <definedName name="ㅎ5_1" localSheetId="0" hidden="1">{#N/A,#N/A,FALSE,"골재소요량";#N/A,#N/A,FALSE,"골재소요량"}</definedName>
    <definedName name="ㅎ5_1" hidden="1">{#N/A,#N/A,FALSE,"골재소요량";#N/A,#N/A,FALSE,"골재소요량"}</definedName>
    <definedName name="ㅎㄴ" localSheetId="0" hidden="1">{#N/A,#N/A,FALSE,"단가표지"}</definedName>
    <definedName name="ㅎㄴ" hidden="1">{#N/A,#N/A,FALSE,"단가표지"}</definedName>
    <definedName name="ㅎㄴㄹㄴㄹㄴㅇ" localSheetId="0" hidden="1">{#N/A,#N/A,FALSE,"토공2"}</definedName>
    <definedName name="ㅎㄴㄹㄴㄹㄴㅇ" hidden="1">{#N/A,#N/A,FALSE,"토공2"}</definedName>
    <definedName name="ㅎㄴㅁㄴㅇㄹㄴㅇ" localSheetId="0" hidden="1">{#N/A,#N/A,FALSE,"운반시간"}</definedName>
    <definedName name="ㅎㄴㅁㄴㅇㄹㄴㅇ" hidden="1">{#N/A,#N/A,FALSE,"운반시간"}</definedName>
    <definedName name="ㅎㄴㅁㄹㄴㅁㄹㄴㅁㄹㄷㄹㄶㄴ" localSheetId="0" hidden="1">{#N/A,#N/A,FALSE,"속도"}</definedName>
    <definedName name="ㅎㄴㅁㄹㄴㅁㄹㄴㅁㄹㄷㄹㄶㄴ" hidden="1">{#N/A,#N/A,FALSE,"속도"}</definedName>
    <definedName name="ㅎㄴㅁㄹㅈㅁㅎ" localSheetId="0" hidden="1">{#N/A,#N/A,FALSE,"단가표지"}</definedName>
    <definedName name="ㅎㄴㅁㄹㅈㅁㅎ" hidden="1">{#N/A,#N/A,FALSE,"단가표지"}</definedName>
    <definedName name="ㅎㄶ" localSheetId="0" hidden="1">{#N/A,#N/A,FALSE,"속도"}</definedName>
    <definedName name="ㅎㄶ" hidden="1">{#N/A,#N/A,FALSE,"속도"}</definedName>
    <definedName name="ㅎㄹㄴㅇ" localSheetId="0" hidden="1">{#N/A,#N/A,FALSE,"단가표지"}</definedName>
    <definedName name="ㅎㄹㄴㅇ" hidden="1">{#N/A,#N/A,FALSE,"단가표지"}</definedName>
    <definedName name="ㅎㄹㅇㄴ" localSheetId="0" hidden="1">{#N/A,#N/A,FALSE,"골재소요량";#N/A,#N/A,FALSE,"골재소요량"}</definedName>
    <definedName name="ㅎㄹㅇㄴ" hidden="1">{#N/A,#N/A,FALSE,"골재소요량";#N/A,#N/A,FALSE,"골재소요량"}</definedName>
    <definedName name="ㅎㄹㅇㅁㅁㅎ" localSheetId="0" hidden="1">{#N/A,#N/A,FALSE,"조골재"}</definedName>
    <definedName name="ㅎㄹㅇㅁㅁㅎ" hidden="1">{#N/A,#N/A,FALSE,"조골재"}</definedName>
    <definedName name="ㅎㄹㅇㅁㅎㅁ" localSheetId="0" hidden="1">{#N/A,#N/A,FALSE,"표지목차"}</definedName>
    <definedName name="ㅎㄹㅇㅁㅎㅁ" hidden="1">{#N/A,#N/A,FALSE,"표지목차"}</definedName>
    <definedName name="ㅎㄹㅇㅎ" localSheetId="0" hidden="1">{#N/A,#N/A,FALSE,"단가표지"}</definedName>
    <definedName name="ㅎㄹㅇㅎ" hidden="1">{#N/A,#N/A,FALSE,"단가표지"}</definedName>
    <definedName name="ㅎㄹㅇㅎㅇㅁㅎ" localSheetId="0" hidden="1">{#N/A,#N/A,FALSE,"운반시간"}</definedName>
    <definedName name="ㅎㄹㅇㅎㅇㅁㅎ" hidden="1">{#N/A,#N/A,FALSE,"운반시간"}</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륜ㅇㄹ" localSheetId="0" hidden="1">{#N/A,#N/A,FALSE,"2~8번"}</definedName>
    <definedName name="ㅎ륜ㅇㄹ" hidden="1">{#N/A,#N/A,FALSE,"2~8번"}</definedName>
    <definedName name="ㅎ르ㅓㅗㅓ" localSheetId="0" hidden="1">{#N/A,#N/A,FALSE,"골재소요량";#N/A,#N/A,FALSE,"골재소요량"}</definedName>
    <definedName name="ㅎ르ㅓㅗㅓ" hidden="1">{#N/A,#N/A,FALSE,"골재소요량";#N/A,#N/A,FALSE,"골재소요량"}</definedName>
    <definedName name="ㅎㄻㄹㅇㅎㅇㅁ" localSheetId="0" hidden="1">{#N/A,#N/A,FALSE,"혼합골재"}</definedName>
    <definedName name="ㅎㄻㄹㅇㅎㅇㅁ" hidden="1">{#N/A,#N/A,FALSE,"혼합골재"}</definedName>
    <definedName name="ㅎㄻㅇㅎㅁㅇㅎㅁㅇㅎ" localSheetId="0" hidden="1">{#N/A,#N/A,FALSE,"골재소요량";#N/A,#N/A,FALSE,"골재소요량"}</definedName>
    <definedName name="ㅎㄻㅇㅎㅁㅇㅎㅁㅇㅎ" hidden="1">{#N/A,#N/A,FALSE,"골재소요량";#N/A,#N/A,FALSE,"골재소요량"}</definedName>
    <definedName name="ㅎㅀㄹ" localSheetId="0" hidden="1">{#N/A,#N/A,FALSE,"운반시간"}</definedName>
    <definedName name="ㅎㅀㄹ" hidden="1">{#N/A,#N/A,FALSE,"운반시간"}</definedName>
    <definedName name="ㅎㅁㅇㅀㅁㅇ" localSheetId="0" hidden="1">{#N/A,#N/A,FALSE,"단가표지"}</definedName>
    <definedName name="ㅎㅁㅇㅀㅁㅇ" hidden="1">{#N/A,#N/A,FALSE,"단가표지"}</definedName>
    <definedName name="ㅎㅁㅇㅀㅁㅇㅎㅁ" localSheetId="0" hidden="1">{#N/A,#N/A,FALSE,"단가표지"}</definedName>
    <definedName name="ㅎㅁㅇㅀㅁㅇㅎㅁ" hidden="1">{#N/A,#N/A,FALSE,"단가표지"}</definedName>
    <definedName name="ㅎㅇㄴ" localSheetId="0" hidden="1">{#N/A,#N/A,FALSE,"단가표지"}</definedName>
    <definedName name="ㅎㅇㄴ" hidden="1">{#N/A,#N/A,FALSE,"단가표지"}</definedName>
    <definedName name="ㅎㅇㄹ홍ㄴ로" localSheetId="0" hidden="1">{#N/A,#N/A,FALSE,"단가표지"}</definedName>
    <definedName name="ㅎㅇㄹ홍ㄴ로" hidden="1">{#N/A,#N/A,FALSE,"단가표지"}</definedName>
    <definedName name="ㅎㅇㄻㅎㅁㅇ" localSheetId="0" hidden="1">{#N/A,#N/A,FALSE,"혼합골재"}</definedName>
    <definedName name="ㅎㅇㄻㅎㅁㅇ" hidden="1">{#N/A,#N/A,FALSE,"혼합골재"}</definedName>
    <definedName name="ㅎㅇㄻㅎㅁㅎㅁㅇ" localSheetId="0" hidden="1">{#N/A,#N/A,FALSE,"운반시간"}</definedName>
    <definedName name="ㅎㅇㄻㅎㅁㅎㅁㅇ" hidden="1">{#N/A,#N/A,FALSE,"운반시간"}</definedName>
    <definedName name="ㅎㅇㅀ" localSheetId="0" hidden="1">{#N/A,#N/A,FALSE,"단가표지"}</definedName>
    <definedName name="ㅎㅇㅀ" hidden="1">{#N/A,#N/A,FALSE,"단가표지"}</definedName>
    <definedName name="ㅎㅇㅀㄴ" localSheetId="0" hidden="1">{#N/A,#N/A,FALSE,"골재소요량";#N/A,#N/A,FALSE,"골재소요량"}</definedName>
    <definedName name="ㅎㅇㅀㄴ" hidden="1">{#N/A,#N/A,FALSE,"골재소요량";#N/A,#N/A,FALSE,"골재소요량"}</definedName>
    <definedName name="ㅎㅇㅀㅁㅇㅎㅁㅇ" localSheetId="0" hidden="1">{#N/A,#N/A,FALSE,"단가표지"}</definedName>
    <definedName name="ㅎㅇㅀㅁㅇㅎㅁㅇ" hidden="1">{#N/A,#N/A,FALSE,"단가표지"}</definedName>
    <definedName name="ㅎㅇㅀㅇㅀ" localSheetId="0" hidden="1">{#N/A,#N/A,FALSE,"표지목차"}</definedName>
    <definedName name="ㅎㅇㅀㅇㅀ" hidden="1">{#N/A,#N/A,FALSE,"표지목차"}</definedName>
    <definedName name="ㅎㅇㅀㅇㅀㅇ" localSheetId="0" hidden="1">{#N/A,#N/A,FALSE,"표지목차"}</definedName>
    <definedName name="ㅎㅇㅀㅇㅀㅇ" hidden="1">{#N/A,#N/A,FALSE,"표지목차"}</definedName>
    <definedName name="ㅎㅇㅁㄴㄹ" localSheetId="0" hidden="1">{#N/A,#N/A,FALSE,"운반시간"}</definedName>
    <definedName name="ㅎㅇㅁㄴㄹ" hidden="1">{#N/A,#N/A,FALSE,"운반시간"}</definedName>
    <definedName name="ㅎㅇㅁㅀㅁㅇ" localSheetId="0" hidden="1">{#N/A,#N/A,FALSE,"단가표지"}</definedName>
    <definedName name="ㅎㅇㅁㅀㅁㅇ" hidden="1">{#N/A,#N/A,FALSE,"단가표지"}</definedName>
    <definedName name="ㅎㅎ" localSheetId="0" hidden="1">#REF!</definedName>
    <definedName name="ㅎㅎ" hidden="1">#REF!</definedName>
    <definedName name="ㅎㅎㄴㅁㅎㄴㅁㅎ" localSheetId="0" hidden="1">{#N/A,#N/A,FALSE,"구조2"}</definedName>
    <definedName name="ㅎㅎㄴㅁㅎㄴㅁㅎ" hidden="1">{#N/A,#N/A,FALSE,"구조2"}</definedName>
    <definedName name="ㅎㅎ도호" localSheetId="0" hidden="1">{#N/A,#N/A,FALSE,"표지목차"}</definedName>
    <definedName name="ㅎㅎ도호" hidden="1">{#N/A,#N/A,FALSE,"표지목차"}</definedName>
    <definedName name="하" localSheetId="0" hidden="1">{#N/A,#N/A,FALSE,"지침";#N/A,#N/A,FALSE,"환경분석";#N/A,#N/A,FALSE,"Sheet16"}</definedName>
    <definedName name="하" hidden="1">{#N/A,#N/A,FALSE,"지침";#N/A,#N/A,FALSE,"환경분석";#N/A,#N/A,FALSE,"Sheet16"}</definedName>
    <definedName name="하늘다람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localSheetId="0" hidden="1">{#N/A,#N/A,FALSE,"이정표"}</definedName>
    <definedName name="하도" hidden="1">{#N/A,#N/A,FALSE,"이정표"}</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localSheetId="0" hidden="1">{#N/A,#N/A,FALSE,"이태원철근"}</definedName>
    <definedName name="하이얀" hidden="1">{#N/A,#N/A,FALSE,"이태원철근"}</definedName>
    <definedName name="하프" localSheetId="0" hidden="1">{#N/A,#N/A,FALSE,"전체집계표";#N/A,#N/A,FALSE,"안벽30000";#N/A,#N/A,FALSE,"안벽20000";#N/A,#N/A,FALSE,"내호안";#N/A,#N/A,FALSE,"외호안";#N/A,#N/A,FALSE,"준설토A";#N/A,#N/A,FALSE,"준설토B";#N/A,#N/A,FALSE,"적출장"}</definedName>
    <definedName name="하프" hidden="1">{#N/A,#N/A,FALSE,"전체집계표";#N/A,#N/A,FALSE,"안벽30000";#N/A,#N/A,FALSE,"안벽20000";#N/A,#N/A,FALSE,"내호안";#N/A,#N/A,FALSE,"외호안";#N/A,#N/A,FALSE,"준설토A";#N/A,#N/A,FALSE,"준설토B";#N/A,#N/A,FALSE,"적출장"}</definedName>
    <definedName name="하프1" localSheetId="0"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하" localSheetId="0" hidden="1">{"'Sheet1'!$A$22:$G$23","'Sheet1'!$A$6","'Sheet1'!$E$10","'Sheet1'!$A$1:$F$23","'Sheet1'!$B$10","'Sheet1'!$A$1:$G$22","'Sheet1'!$A$1:$G$51"}</definedName>
    <definedName name="하하" hidden="1">{"'Sheet1'!$A$22:$G$23","'Sheet1'!$A$6","'Sheet1'!$E$10","'Sheet1'!$A$1:$F$23","'Sheet1'!$B$10","'Sheet1'!$A$1:$G$22","'Sheet1'!$A$1:$G$51"}</definedName>
    <definedName name="하하하" localSheetId="0" hidden="1">{#N/A,#N/A,FALSE,"명세표"}</definedName>
    <definedName name="하하하" hidden="1">{#N/A,#N/A,FALSE,"명세표"}</definedName>
    <definedName name="하한선" localSheetId="0" hidden="1">{#N/A,#N/A,FALSE,"배수2"}</definedName>
    <definedName name="하한선" hidden="1">{#N/A,#N/A,FALSE,"배수2"}</definedName>
    <definedName name="한" localSheetId="0" hidden="1">#REF!</definedName>
    <definedName name="한" hidden="1">#REF!</definedName>
    <definedName name="한동" localSheetId="0" hidden="1">{#N/A,#N/A,FALSE,"단가표지"}</definedName>
    <definedName name="한동" hidden="1">{#N/A,#N/A,FALSE,"단가표지"}</definedName>
    <definedName name="할" localSheetId="0" hidden="1">{"'Sheet1'!$L$16"}</definedName>
    <definedName name="할" hidden="1">{"'Sheet1'!$L$16"}</definedName>
    <definedName name="합성을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항" localSheetId="0" hidden="1">{"'Sheet1'!$L$16"}</definedName>
    <definedName name="항" hidden="1">{"'Sheet1'!$L$16"}</definedName>
    <definedName name="해양인원" localSheetId="0"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현대코아공통비" localSheetId="0" hidden="1">#REF!</definedName>
    <definedName name="현대코아공통비" hidden="1">#REF!</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자재外" localSheetId="0" hidden="1">{"'Sheet1'!$A$4:$M$21","'Sheet1'!$J$17:$K$19"}</definedName>
    <definedName name="현장자재外" hidden="1">{"'Sheet1'!$A$4:$M$21","'Sheet1'!$J$17:$K$19"}</definedName>
    <definedName name="현장주변사진" localSheetId="0" hidden="1">{#N/A,#N/A,FALSE,"이태원철근"}</definedName>
    <definedName name="현장주변사진" hidden="1">{#N/A,#N/A,FALSE,"이태원철근"}</definedName>
    <definedName name="현장지도" localSheetId="0" hidden="1">{"'장비'!$A$3:$M$12"}</definedName>
    <definedName name="현장지도" hidden="1">{"'장비'!$A$3:$M$12"}</definedName>
    <definedName name="현조" localSheetId="0" hidden="1">#REF!</definedName>
    <definedName name="현조" hidden="1">#REF!</definedName>
    <definedName name="현지공사비" localSheetId="0" hidden="1">{"'장비'!$A$3:$M$12"}</definedName>
    <definedName name="현지공사비" hidden="1">{"'장비'!$A$3:$M$12"}</definedName>
    <definedName name="현지공사비총괄" localSheetId="0" hidden="1">{"'장비'!$A$3:$M$12"}</definedName>
    <definedName name="현지공사비총괄" hidden="1">{"'장비'!$A$3:$M$12"}</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조전" localSheetId="0" hidden="1">#REF!</definedName>
    <definedName name="협조전" hidden="1">#REF!</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제" localSheetId="0" hidden="1">{#N/A,#N/A,FALSE,"포장2"}</definedName>
    <definedName name="형제" hidden="1">{#N/A,#N/A,FALSE,"포장2"}</definedName>
    <definedName name="호우" localSheetId="0" hidden="1">{#N/A,#N/A,FALSE,"표지목차"}</definedName>
    <definedName name="호우" hidden="1">{#N/A,#N/A,FALSE,"표지목차"}</definedName>
    <definedName name="호우ㅗ" localSheetId="0" hidden="1">{#N/A,#N/A,FALSE,"단가표지"}</definedName>
    <definedName name="호우ㅗ" hidden="1">{#N/A,#N/A,FALSE,"단가표지"}</definedName>
    <definedName name="호호호" localSheetId="0" hidden="1">{#N/A,#N/A,FALSE,"명세표"}</definedName>
    <definedName name="호호호" hidden="1">{#N/A,#N/A,FALSE,"명세표"}</definedName>
    <definedName name="호ㅓ" localSheetId="0" hidden="1">#REF!</definedName>
    <definedName name="호ㅓ" hidden="1">#REF!</definedName>
    <definedName name="호ㅓㅎ" localSheetId="0" hidden="1">{#N/A,#N/A,FALSE,"표지목차"}</definedName>
    <definedName name="호ㅓㅎ" hidden="1">{#N/A,#N/A,FALSE,"표지목차"}</definedName>
    <definedName name="호ㅓㅕㅏ6ㅅ서ㅛㅓ" localSheetId="0" hidden="1">#REF!</definedName>
    <definedName name="호ㅓㅕㅏ6ㅅ서ㅛㅓ" hidden="1">#REF!</definedName>
    <definedName name="혼ㄹ" localSheetId="0" hidden="1">{#N/A,#N/A,FALSE,"운반시간"}</definedName>
    <definedName name="혼ㄹ" hidden="1">{#N/A,#N/A,FALSE,"운반시간"}</definedName>
    <definedName name="홀ㄴㄺㅅ" localSheetId="0" hidden="1">{#N/A,#N/A,FALSE,"단가표지"}</definedName>
    <definedName name="홀ㄴㄺㅅ" hidden="1">{#N/A,#N/A,FALSE,"단가표지"}</definedName>
    <definedName name="홍홍" localSheetId="0"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 localSheetId="0" hidden="1">{#N/A,#N/A,FALSE,"조골재"}</definedName>
    <definedName name="홓" hidden="1">{#N/A,#N/A,FALSE,"조골재"}</definedName>
    <definedName name="홓렁호ㅓ호" localSheetId="0" hidden="1">{#N/A,#N/A,FALSE,"단가표지"}</definedName>
    <definedName name="홓렁호ㅓ호" hidden="1">{#N/A,#N/A,FALSE,"단가표지"}</definedName>
    <definedName name="홓로" localSheetId="0" hidden="1">{#N/A,#N/A,FALSE,"단가표지"}</definedName>
    <definedName name="홓로" hidden="1">{#N/A,#N/A,FALSE,"단가표지"}</definedName>
    <definedName name="화허호ㅓ" localSheetId="0" hidden="1">{#N/A,#N/A,FALSE,"조골재"}</definedName>
    <definedName name="화허호ㅓ" hidden="1">{#N/A,#N/A,FALSE,"조골재"}</definedName>
    <definedName name="ㅏ" localSheetId="0" hidden="1">{#N/A,#N/A,FALSE,"운반시간"}</definedName>
    <definedName name="ㅏ" hidden="1">{#N/A,#N/A,FALSE,"운반시간"}</definedName>
    <definedName name="ㅏ_1" localSheetId="0" hidden="1">{#N/A,#N/A,FALSE,"운반시간"}</definedName>
    <definedName name="ㅏ_1" hidden="1">{#N/A,#N/A,FALSE,"운반시간"}</definedName>
    <definedName name="ㅏ허화" localSheetId="0" hidden="1">{#N/A,#N/A,FALSE,"골재소요량";#N/A,#N/A,FALSE,"골재소요량"}</definedName>
    <definedName name="ㅏ허화" hidden="1">{#N/A,#N/A,FALSE,"골재소요량";#N/A,#N/A,FALSE,"골재소요량"}</definedName>
    <definedName name="ㅏㅏㅏ" localSheetId="0" hidden="1">{#N/A,#N/A,FALSE,"명세표"}</definedName>
    <definedName name="ㅏㅏㅏ" hidden="1">{#N/A,#N/A,FALSE,"명세표"}</definedName>
    <definedName name="ㅏㅓ" localSheetId="0" hidden="1">{#N/A,#N/A,FALSE,"구조2"}</definedName>
    <definedName name="ㅏㅓ" hidden="1">{#N/A,#N/A,FALSE,"구조2"}</definedName>
    <definedName name="ㅏㅓ화호" localSheetId="0" hidden="1">{#N/A,#N/A,FALSE,"단가표지"}</definedName>
    <definedName name="ㅏㅓ화호" hidden="1">{#N/A,#N/A,FALSE,"단가표지"}</definedName>
    <definedName name="ㅏㅓㅏ" localSheetId="0" hidden="1">{#N/A,#N/A,FALSE,"단가표지"}</definedName>
    <definedName name="ㅏㅓㅏ" hidden="1">{#N/A,#N/A,FALSE,"단가표지"}</definedName>
    <definedName name="ㅏㅓㅏㅓ" localSheetId="0" hidden="1">{#N/A,#N/A,FALSE,"2~8번"}</definedName>
    <definedName name="ㅏㅓㅏㅓ" hidden="1">{#N/A,#N/A,FALSE,"2~8번"}</definedName>
    <definedName name="ㅏㅓㅗ라" localSheetId="0" hidden="1">{#N/A,#N/A,FALSE,"골재소요량";#N/A,#N/A,FALSE,"골재소요량"}</definedName>
    <definedName name="ㅏㅓㅗ라" hidden="1">{#N/A,#N/A,FALSE,"골재소요량";#N/A,#N/A,FALSE,"골재소요량"}</definedName>
    <definedName name="ㅏㅓㅗㅎ" localSheetId="0" hidden="1">{#N/A,#N/A,FALSE,"운반시간"}</definedName>
    <definedName name="ㅏㅓㅗㅎ" hidden="1">{#N/A,#N/A,FALSE,"운반시간"}</definedName>
    <definedName name="ㅏㅓㅗㅓ" localSheetId="0" hidden="1">{#N/A,#N/A,FALSE,"운반시간"}</definedName>
    <definedName name="ㅏㅓㅗㅓ" hidden="1">{#N/A,#N/A,FALSE,"운반시간"}</definedName>
    <definedName name="ㅏㅓㅘ허호" localSheetId="0" hidden="1">{#N/A,#N/A,FALSE,"단가표지"}</definedName>
    <definedName name="ㅏㅓㅘ허호" hidden="1">{#N/A,#N/A,FALSE,"단가표지"}</definedName>
    <definedName name="ㅏㅗㅓㅏ화호" localSheetId="0" hidden="1">{#N/A,#N/A,FALSE,"표지목차"}</definedName>
    <definedName name="ㅏㅗㅓㅏ화호" hidden="1">{#N/A,#N/A,FALSE,"표지목차"}</definedName>
    <definedName name="ㅏㅣ" localSheetId="0" hidden="1">{#N/A,#N/A,FALSE,"단가표지"}</definedName>
    <definedName name="ㅏㅣ" hidden="1">{#N/A,#N/A,FALSE,"단가표지"}</definedName>
    <definedName name="ㅐ" localSheetId="0" hidden="1">{#N/A,#N/A,FALSE,"현장 NCR 분석";#N/A,#N/A,FALSE,"현장품질감사";#N/A,#N/A,FALSE,"현장품질감사"}</definedName>
    <definedName name="ㅐ" hidden="1">{#N/A,#N/A,FALSE,"현장 NCR 분석";#N/A,#N/A,FALSE,"현장품질감사";#N/A,#N/A,FALSE,"현장품질감사"}</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0" hidden="1">{#N/A,#N/A,FALSE,"조골재"}</definedName>
    <definedName name="ㅑ" hidden="1">{#N/A,#N/A,FALSE,"조골재"}</definedName>
    <definedName name="ㅑ_1" localSheetId="0" hidden="1">{#N/A,#N/A,FALSE,"조골재"}</definedName>
    <definedName name="ㅑ_1" hidden="1">{#N/A,#N/A,FALSE,"조골재"}</definedName>
    <definedName name="ㅑㅅ" localSheetId="0" hidden="1">{"'Sheet1'!$L$16"}</definedName>
    <definedName name="ㅑㅅ" hidden="1">{"'Sheet1'!$L$16"}</definedName>
    <definedName name="ㅑㅕ" localSheetId="0" hidden="1">{#N/A,#N/A,FALSE,"이정표"}</definedName>
    <definedName name="ㅑㅕ" hidden="1">{#N/A,#N/A,FALSE,"이정표"}</definedName>
    <definedName name="ㅓ" localSheetId="0" hidden="1">{#N/A,#N/A,FALSE,"이태원철근"}</definedName>
    <definedName name="ㅓ" hidden="1">{#N/A,#N/A,FALSE,"이태원철근"}</definedName>
    <definedName name="ㅓ7" localSheetId="0" hidden="1">{#N/A,#N/A,FALSE,"단가표지"}</definedName>
    <definedName name="ㅓ7" hidden="1">{#N/A,#N/A,FALSE,"단가표지"}</definedName>
    <definedName name="ㅓ7_1" localSheetId="0" hidden="1">{#N/A,#N/A,FALSE,"단가표지"}</definedName>
    <definedName name="ㅓ7_1" hidden="1">{#N/A,#N/A,FALSE,"단가표지"}</definedName>
    <definedName name="ㅓㄴㄱ" localSheetId="0" hidden="1">#REF!</definedName>
    <definedName name="ㅓㄴㄱ" hidden="1">#REF!</definedName>
    <definedName name="ㅓㄴㅇ러" localSheetId="0" hidden="1">{#N/A,#N/A,FALSE,"골재소요량";#N/A,#N/A,FALSE,"골재소요량"}</definedName>
    <definedName name="ㅓㄴㅇ러" hidden="1">{#N/A,#N/A,FALSE,"골재소요량";#N/A,#N/A,FALSE,"골재소요량"}</definedName>
    <definedName name="ㅓ롤" localSheetId="0" hidden="1">{#N/A,#N/A,FALSE,"골재소요량";#N/A,#N/A,FALSE,"골재소요량"}</definedName>
    <definedName name="ㅓ롤" hidden="1">{#N/A,#N/A,FALSE,"골재소요량";#N/A,#N/A,FALSE,"골재소요량"}</definedName>
    <definedName name="ㅓㅇㄴ" localSheetId="0" hidden="1">{#N/A,#N/A,FALSE,"단가표지"}</definedName>
    <definedName name="ㅓㅇㄴ" hidden="1">{#N/A,#N/A,FALSE,"단가표지"}</definedName>
    <definedName name="ㅓㅇ롤ㅇ" localSheetId="0" hidden="1">{#N/A,#N/A,FALSE,"혼합골재"}</definedName>
    <definedName name="ㅓㅇ롤ㅇ" hidden="1">{#N/A,#N/A,FALSE,"혼합골재"}</definedName>
    <definedName name="ㅓㅇ호ㅓㅇ호ㅓㅇ허" localSheetId="0" hidden="1">{#N/A,#N/A,FALSE,"표지목차"}</definedName>
    <definedName name="ㅓㅇ호ㅓㅇ호ㅓㅇ허" hidden="1">{#N/A,#N/A,FALSE,"표지목차"}</definedName>
    <definedName name="ㅓㅎ렁홍" localSheetId="0" hidden="1">{#N/A,#N/A,FALSE,"혼합골재"}</definedName>
    <definedName name="ㅓㅎ렁홍" hidden="1">{#N/A,#N/A,FALSE,"혼합골재"}</definedName>
    <definedName name="ㅓㅎ로ㅗㄴ" localSheetId="0" hidden="1">{#N/A,#N/A,FALSE,"단가표지"}</definedName>
    <definedName name="ㅓㅎ로ㅗㄴ" hidden="1">{#N/A,#N/A,FALSE,"단가표지"}</definedName>
    <definedName name="ㅓㅎㅇㅎ" localSheetId="0" hidden="1">{#N/A,#N/A,FALSE,"운반시간"}</definedName>
    <definedName name="ㅓㅎㅇㅎ" hidden="1">{#N/A,#N/A,FALSE,"운반시간"}</definedName>
    <definedName name="ㅓ호ㅓ" localSheetId="0" hidden="1">{#N/A,#N/A,FALSE,"표지목차"}</definedName>
    <definedName name="ㅓ호ㅓ" hidden="1">{#N/A,#N/A,FALSE,"표지목차"}</definedName>
    <definedName name="ㅓ호ㅓㅗㄹ" localSheetId="0" hidden="1">{#N/A,#N/A,FALSE,"단가표지"}</definedName>
    <definedName name="ㅓ호ㅓㅗㄹ" hidden="1">{#N/A,#N/A,FALSE,"단가표지"}</definedName>
    <definedName name="ㅓㅏ" localSheetId="0" hidden="1">{#N/A,#N/A,FALSE,"골재소요량";#N/A,#N/A,FALSE,"골재소요량"}</definedName>
    <definedName name="ㅓㅏ" hidden="1">{#N/A,#N/A,FALSE,"골재소요량";#N/A,#N/A,FALSE,"골재소요량"}</definedName>
    <definedName name="ㅓㅏ호" localSheetId="0" hidden="1">{#N/A,#N/A,FALSE,"단가표지"}</definedName>
    <definedName name="ㅓㅏ호" hidden="1">{#N/A,#N/A,FALSE,"단가표지"}</definedName>
    <definedName name="ㅓㅏ호ㅓ" localSheetId="0" hidden="1">{#N/A,#N/A,FALSE,"단가표지"}</definedName>
    <definedName name="ㅓㅏ호ㅓ" hidden="1">{#N/A,#N/A,FALSE,"단가표지"}</definedName>
    <definedName name="ㅓㅏㅓ" localSheetId="0" hidden="1">{#N/A,#N/A,FALSE,"조골재"}</definedName>
    <definedName name="ㅓㅏㅓ" hidden="1">{#N/A,#N/A,FALSE,"조골재"}</definedName>
    <definedName name="ㅓㅏㅗ하ㅗㅓㅎ" localSheetId="0" hidden="1">{#N/A,#N/A,FALSE,"혼합골재"}</definedName>
    <definedName name="ㅓㅏㅗ하ㅗㅓㅎ" hidden="1">{#N/A,#N/A,FALSE,"혼합골재"}</definedName>
    <definedName name="ㅓㅓㅗ" localSheetId="0" hidden="1">{#N/A,#N/A,FALSE,"조골재"}</definedName>
    <definedName name="ㅓㅓㅗ" hidden="1">{#N/A,#N/A,FALSE,"조골재"}</definedName>
    <definedName name="ㅓㅗ" localSheetId="0" hidden="1">{#N/A,#N/A,FALSE,"운반시간"}</definedName>
    <definedName name="ㅓㅗ" hidden="1">{#N/A,#N/A,FALSE,"운반시간"}</definedName>
    <definedName name="ㅓㅗㅎㄹ" localSheetId="0" hidden="1">{#N/A,#N/A,FALSE,"조골재"}</definedName>
    <definedName name="ㅓㅗㅎㄹ" hidden="1">{#N/A,#N/A,FALSE,"조골재"}</definedName>
    <definedName name="ㅓㅗㅎ러ㅗㅎ러" localSheetId="0" hidden="1">{#N/A,#N/A,FALSE,"혼합골재"}</definedName>
    <definedName name="ㅓㅗㅎ러ㅗㅎ러" hidden="1">{#N/A,#N/A,FALSE,"혼합골재"}</definedName>
    <definedName name="ㅓㅗㅎ러ㅗ호ㅓ" localSheetId="0" hidden="1">{#N/A,#N/A,FALSE,"단가표지"}</definedName>
    <definedName name="ㅓㅗㅎ러ㅗ호ㅓ" hidden="1">{#N/A,#N/A,FALSE,"단가표지"}</definedName>
    <definedName name="ㅓㅗ허" localSheetId="0" hidden="1">{#N/A,#N/A,FALSE,"조골재"}</definedName>
    <definedName name="ㅓㅗ허" hidden="1">{#N/A,#N/A,FALSE,"조골재"}</definedName>
    <definedName name="ㅓㅗ허ㅗㄹ" localSheetId="0" hidden="1">{#N/A,#N/A,FALSE,"운반시간"}</definedName>
    <definedName name="ㅓㅗ허ㅗㄹ" hidden="1">{#N/A,#N/A,FALSE,"운반시간"}</definedName>
    <definedName name="ㅓㅗ허ㅗㅎㄹ" localSheetId="0" hidden="1">{#N/A,#N/A,FALSE,"골재소요량";#N/A,#N/A,FALSE,"골재소요량"}</definedName>
    <definedName name="ㅓㅗ허ㅗㅎㄹ" hidden="1">{#N/A,#N/A,FALSE,"골재소요량";#N/A,#N/A,FALSE,"골재소요량"}</definedName>
    <definedName name="ㅓㅗ허ㅗㅎ러" localSheetId="0" hidden="1">{#N/A,#N/A,FALSE,"운반시간"}</definedName>
    <definedName name="ㅓㅗ허ㅗㅎ러" hidden="1">{#N/A,#N/A,FALSE,"운반시간"}</definedName>
    <definedName name="ㅓㅗ헝홍허" localSheetId="0" hidden="1">{#N/A,#N/A,FALSE,"골재소요량";#N/A,#N/A,FALSE,"골재소요량"}</definedName>
    <definedName name="ㅓㅗ헝홍허" hidden="1">{#N/A,#N/A,FALSE,"골재소요량";#N/A,#N/A,FALSE,"골재소요량"}</definedName>
    <definedName name="ㅓㅗ헣ㄹ" localSheetId="0" hidden="1">{#N/A,#N/A,FALSE,"단가표지"}</definedName>
    <definedName name="ㅓㅗ헣ㄹ" hidden="1">{#N/A,#N/A,FALSE,"단가표지"}</definedName>
    <definedName name="ㅓㅗ헣러" localSheetId="0" hidden="1">{#N/A,#N/A,FALSE,"단가표지"}</definedName>
    <definedName name="ㅓㅗ헣러" hidden="1">{#N/A,#N/A,FALSE,"단가표지"}</definedName>
    <definedName name="ㅓㅗ헣로ㅓ" localSheetId="0" hidden="1">{#N/A,#N/A,FALSE,"조골재"}</definedName>
    <definedName name="ㅓㅗ헣로ㅓ" hidden="1">{#N/A,#N/A,FALSE,"조골재"}</definedName>
    <definedName name="ㅓㅗ헣호ㅓ" localSheetId="0" hidden="1">{#N/A,#N/A,FALSE,"조골재"}</definedName>
    <definedName name="ㅓㅗ헣호ㅓ" hidden="1">{#N/A,#N/A,FALSE,"조골재"}</definedName>
    <definedName name="ㅓㅗ호" localSheetId="0" hidden="1">{#N/A,#N/A,FALSE,"단가표지"}</definedName>
    <definedName name="ㅓㅗ호" hidden="1">{#N/A,#N/A,FALSE,"단가표지"}</definedName>
    <definedName name="ㅓㅗ호ㅓㅗ" localSheetId="0" hidden="1">{#N/A,#N/A,FALSE,"2~8번"}</definedName>
    <definedName name="ㅓㅗ호ㅓㅗ" hidden="1">{#N/A,#N/A,FALSE,"2~8번"}</definedName>
    <definedName name="ㅓㅗㅓ" localSheetId="0" hidden="1">{#N/A,#N/A,FALSE,"2~8번"}</definedName>
    <definedName name="ㅓㅗㅓ" hidden="1">{#N/A,#N/A,FALSE,"2~8번"}</definedName>
    <definedName name="ㅓㅗㅗ" localSheetId="0" hidden="1">{#N/A,#N/A,FALSE,"단가표지"}</definedName>
    <definedName name="ㅓㅗㅗ" hidden="1">{#N/A,#N/A,FALSE,"단가표지"}</definedName>
    <definedName name="ㅓㅗㅗㅗ" localSheetId="0" hidden="1">{#N/A,#N/A,FALSE,"골재소요량";#N/A,#N/A,FALSE,"골재소요량"}</definedName>
    <definedName name="ㅓㅗㅗㅗ" hidden="1">{#N/A,#N/A,FALSE,"골재소요량";#N/A,#N/A,FALSE,"골재소요량"}</definedName>
    <definedName name="ㅔ" localSheetId="0" hidden="1">{#N/A,#N/A,FALSE,"이태원철근"}</definedName>
    <definedName name="ㅔ" hidden="1">{#N/A,#N/A,FALSE,"이태원철근"}</definedName>
    <definedName name="ㅔ3" localSheetId="0" hidden="1">{#N/A,#N/A,FALSE,"배수1"}</definedName>
    <definedName name="ㅔ3" hidden="1">{#N/A,#N/A,FALSE,"배수1"}</definedName>
    <definedName name="ㅔㅔ" localSheetId="0" hidden="1">#REF!</definedName>
    <definedName name="ㅔㅔ" hidden="1">#REF!</definedName>
    <definedName name="ㅔㅔㅔ" localSheetId="0"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{#N/A,#N/A,FALSE,"현장 NCR 분석";#N/A,#N/A,FALSE,"현장품질감사";#N/A,#N/A,FALSE,"현장품질감사"}</definedName>
    <definedName name="ㅗ" hidden="1">{#N/A,#N/A,FALSE,"현장 NCR 분석";#N/A,#N/A,FALSE,"현장품질감사";#N/A,#N/A,FALSE,"현장품질감사"}</definedName>
    <definedName name="ㅗㄹㄶ" localSheetId="0" hidden="1">{#N/A,#N/A,FALSE,"조골재"}</definedName>
    <definedName name="ㅗㄹㄶ" hidden="1">{#N/A,#N/A,FALSE,"조골재"}</definedName>
    <definedName name="ㅗㅎ" localSheetId="0" hidden="1">{#N/A,#N/A,FALSE,"운반시간"}</definedName>
    <definedName name="ㅗㅎ" hidden="1">{#N/A,#N/A,FALSE,"운반시간"}</definedName>
    <definedName name="ㅗㅎㄴ" localSheetId="0" hidden="1">{#N/A,#N/A,FALSE,"골재소요량";#N/A,#N/A,FALSE,"골재소요량"}</definedName>
    <definedName name="ㅗㅎㄴ" hidden="1">{#N/A,#N/A,FALSE,"골재소요량";#N/A,#N/A,FALSE,"골재소요량"}</definedName>
    <definedName name="ㅗㅎㄴㄹ" localSheetId="0" hidden="1">{#N/A,#N/A,FALSE,"단가표지"}</definedName>
    <definedName name="ㅗㅎㄴㄹ" hidden="1">{#N/A,#N/A,FALSE,"단가표지"}</definedName>
    <definedName name="ㅗㅎ로ㅜ" localSheetId="0" hidden="1">{#N/A,#N/A,FALSE,"운반시간"}</definedName>
    <definedName name="ㅗㅎ로ㅜ" hidden="1">{#N/A,#N/A,FALSE,"운반시간"}</definedName>
    <definedName name="ㅗㅎ론ㄹ" localSheetId="0" hidden="1">{#N/A,#N/A,FALSE,"표지목차"}</definedName>
    <definedName name="ㅗㅎ론ㄹ" hidden="1">{#N/A,#N/A,FALSE,"표지목차"}</definedName>
    <definedName name="ㅗㅎ롯홋ㄱ" localSheetId="0" hidden="1">{#N/A,#N/A,FALSE,"혼합골재"}</definedName>
    <definedName name="ㅗㅎ롯홋ㄱ" hidden="1">{#N/A,#N/A,FALSE,"혼합골재"}</definedName>
    <definedName name="ㅗ허ㅗ" localSheetId="0" hidden="1">{#N/A,#N/A,FALSE,"단가표지"}</definedName>
    <definedName name="ㅗ허ㅗ" hidden="1">{#N/A,#N/A,FALSE,"단가표지"}</definedName>
    <definedName name="ㅗ호" localSheetId="0" hidden="1">{#N/A,#N/A,FALSE,"단가표지"}</definedName>
    <definedName name="ㅗ호" hidden="1">{#N/A,#N/A,FALSE,"단가표지"}</definedName>
    <definedName name="ㅗㅓ" localSheetId="0" hidden="1">{#N/A,#N/A,FALSE,"부대2"}</definedName>
    <definedName name="ㅗㅓ" hidden="1">{#N/A,#N/A,FALSE,"부대2"}</definedName>
    <definedName name="ㅗㅓ쇼ㅓㅕㄷ쇼ㅓㅕㄷㅅ" localSheetId="0" hidden="1">{#N/A,#N/A,FALSE,"단가표지"}</definedName>
    <definedName name="ㅗㅓ쇼ㅓㅕㄷ쇼ㅓㅕㄷㅅ" hidden="1">{#N/A,#N/A,FALSE,"단가표지"}</definedName>
    <definedName name="ㅗㅓㅎ로ㅓㅎㄹ" localSheetId="0" hidden="1">{#N/A,#N/A,FALSE,"표지목차"}</definedName>
    <definedName name="ㅗㅓㅎ로ㅓㅎㄹ" hidden="1">{#N/A,#N/A,FALSE,"표지목차"}</definedName>
    <definedName name="ㅗㅓㅗ" localSheetId="0" hidden="1">{#N/A,#N/A,FALSE,"골재소요량";#N/A,#N/A,FALSE,"골재소요량"}</definedName>
    <definedName name="ㅗㅓㅗ" hidden="1">{#N/A,#N/A,FALSE,"골재소요량";#N/A,#N/A,FALSE,"골재소요량"}</definedName>
    <definedName name="ㅗㅕ" localSheetId="0" hidden="1">{#N/A,#N/A,FALSE,"배수2"}</definedName>
    <definedName name="ㅗㅕ" hidden="1">{#N/A,#N/A,FALSE,"배수2"}</definedName>
    <definedName name="ㅗㅗ" localSheetId="0" hidden="1">{#N/A,#N/A,FALSE,"명세표"}</definedName>
    <definedName name="ㅗㅗ"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ㅝㅓㅓㅓㅓ"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ㅍ" localSheetId="0" hidden="1">{#N/A,#N/A,FALSE,"혼합골재"}</definedName>
    <definedName name="ㅗㅠㅍ" hidden="1">{#N/A,#N/A,FALSE,"혼합골재"}</definedName>
    <definedName name="ㅘ" localSheetId="0" hidden="1">{"'Sheet1'!$L$16"}</definedName>
    <definedName name="ㅘ" hidden="1">{"'Sheet1'!$L$16"}</definedName>
    <definedName name="ㅘㅓ" localSheetId="0" hidden="1">{#N/A,#N/A,FALSE,"운반시간"}</definedName>
    <definedName name="ㅘㅓ" hidden="1">{#N/A,#N/A,FALSE,"운반시간"}</definedName>
    <definedName name="ㅛ" localSheetId="0" hidden="1">{#N/A,#N/A,FALSE,"이태원철근"}</definedName>
    <definedName name="ㅛ" hidden="1">{#N/A,#N/A,FALSE,"이태원철근"}</definedName>
    <definedName name="ㅛㅅ" localSheetId="0" hidden="1">{#N/A,#N/A,FALSE,"속도"}</definedName>
    <definedName name="ㅛㅅ" hidden="1">{#N/A,#N/A,FALSE,"속도"}</definedName>
    <definedName name="ㅛㅑㅐ" localSheetId="0" hidden="1">{#N/A,#N/A,FALSE,"구조1"}</definedName>
    <definedName name="ㅛㅑㅐ" hidden="1">{#N/A,#N/A,FALSE,"구조1"}</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localSheetId="0" hidden="1">{#N/A,#N/A,FALSE,"CCTV"}</definedName>
    <definedName name="ㅛㅛㅛㅛㅛㅛㅛ" hidden="1">{#N/A,#N/A,FALSE,"CCTV"}</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localSheetId="0" hidden="1">{#N/A,#N/A,FALSE,"조골재"}</definedName>
    <definedName name="ㅜ_1" hidden="1">{#N/A,#N/A,FALSE,"조골재"}</definedName>
    <definedName name="ㅜㄴㄱ" localSheetId="0" hidden="1">{#N/A,#N/A,FALSE,"운반시간"}</definedName>
    <definedName name="ㅜㄴㄱ" hidden="1">{#N/A,#N/A,FALSE,"운반시간"}</definedName>
    <definedName name="ㅜㄹ윤" localSheetId="0" hidden="1">{#N/A,#N/A,FALSE,"단가표지"}</definedName>
    <definedName name="ㅜㄹ윤" hidden="1">{#N/A,#N/A,FALSE,"단가표지"}</definedName>
    <definedName name="ㅜㅊㅍ" localSheetId="0" hidden="1">{#N/A,#N/A,FALSE,"표지목차"}</definedName>
    <definedName name="ㅜㅊㅍ" hidden="1">{#N/A,#N/A,FALSE,"표지목차"}</definedName>
    <definedName name="ㅜㅋㅊㅍ" localSheetId="0" hidden="1">{#N/A,#N/A,FALSE,"조골재"}</definedName>
    <definedName name="ㅜㅋㅊㅍ" hidden="1">{#N/A,#N/A,FALSE,"조골재"}</definedName>
    <definedName name="ㅜㅍ추ㅠ" localSheetId="0" hidden="1">{#N/A,#N/A,FALSE,"혼합골재"}</definedName>
    <definedName name="ㅜㅍ추ㅠ" hidden="1">{#N/A,#N/A,FALSE,"혼합골재"}</definedName>
    <definedName name="ㅜㅎㄴ" localSheetId="0" hidden="1">{#N/A,#N/A,FALSE,"골재소요량";#N/A,#N/A,FALSE,"골재소요량"}</definedName>
    <definedName name="ㅜㅎㄴ" hidden="1">{#N/A,#N/A,FALSE,"골재소요량";#N/A,#N/A,FALSE,"골재소요량"}</definedName>
    <definedName name="ㅜㅎㄹ" localSheetId="0" hidden="1">{#N/A,#N/A,FALSE,"부대2"}</definedName>
    <definedName name="ㅜㅎㄹ" hidden="1">{#N/A,#N/A,FALSE,"부대2"}</definedName>
    <definedName name="ㅜㅎㅅㄱㄴ" localSheetId="0" hidden="1">{#N/A,#N/A,FALSE,"단가표지"}</definedName>
    <definedName name="ㅜㅎㅅㄱㄴ" hidden="1">{#N/A,#N/A,FALSE,"단가표지"}</definedName>
    <definedName name="ㅜㅗㅇㅎㅌ" localSheetId="0" hidden="1">{#N/A,#N/A,FALSE,"단가표지"}</definedName>
    <definedName name="ㅜㅗㅇㅎㅌ" hidden="1">{#N/A,#N/A,FALSE,"단가표지"}</definedName>
    <definedName name="ㅜㅗㅇ훟" localSheetId="0" hidden="1">{#N/A,#N/A,FALSE,"단가표지"}</definedName>
    <definedName name="ㅜㅗㅇ훟" hidden="1">{#N/A,#N/A,FALSE,"단가표지"}</definedName>
    <definedName name="ㅜㅗㅗㅗㅇㅎ" localSheetId="0" hidden="1">{#N/A,#N/A,FALSE,"운반시간"}</definedName>
    <definedName name="ㅜㅗㅗㅗㅇㅎ" hidden="1">{#N/A,#N/A,FALSE,"운반시간"}</definedName>
    <definedName name="ㅜㅜㅜㅜㅜㅜㅜㅜㅜㅜㅜㅜㅜㅜㅜㅜㅜ" localSheetId="0" hidden="1">#REF!</definedName>
    <definedName name="ㅜㅜㅜㅜㅜㅜㅜㅜㅜㅜㅜㅜㅜㅜㅜㅜㅜ" hidden="1">#REF!</definedName>
    <definedName name="ㅜㅠ" localSheetId="0" hidden="1">{#N/A,#N/A,FALSE,"토공2"}</definedName>
    <definedName name="ㅜㅠ" hidden="1">{#N/A,#N/A,FALSE,"토공2"}</definedName>
    <definedName name="ㅜㅠㅍ" localSheetId="0" hidden="1">{#N/A,#N/A,FALSE,"전력간선"}</definedName>
    <definedName name="ㅜㅠㅍ" hidden="1">{#N/A,#N/A,FALSE,"전력간선"}</definedName>
    <definedName name="ㅜㅠ푸" localSheetId="0" hidden="1">{#N/A,#N/A,FALSE,"운반시간"}</definedName>
    <definedName name="ㅜㅠ푸" hidden="1">{#N/A,#N/A,FALSE,"운반시간"}</definedName>
    <definedName name="ㅜㅠㅠ" localSheetId="0" hidden="1">{#N/A,#N/A,FALSE,"골재소요량";#N/A,#N/A,FALSE,"골재소요량"}</definedName>
    <definedName name="ㅜㅠㅠ" hidden="1">{#N/A,#N/A,FALSE,"골재소요량";#N/A,#N/A,FALSE,"골재소요량"}</definedName>
    <definedName name="ㅝㅎㄹ" localSheetId="0" hidden="1">{#N/A,#N/A,FALSE,"단가표지"}</definedName>
    <definedName name="ㅝㅎㄹ" hidden="1">{#N/A,#N/A,FALSE,"단가표지"}</definedName>
    <definedName name="ㅠㄴ" localSheetId="0" hidden="1">{#N/A,#N/A,FALSE,"조골재"}</definedName>
    <definedName name="ㅠㄴ" hidden="1">{#N/A,#N/A,FALSE,"조골재"}</definedName>
    <definedName name="ㅠㄹㅇㄴㄴㄹㅇ" localSheetId="0" hidden="1">{#N/A,#N/A,FALSE,"단가표지"}</definedName>
    <definedName name="ㅠㄹㅇㄴㄴㄹㅇ" hidden="1">{#N/A,#N/A,FALSE,"단가표지"}</definedName>
    <definedName name="ㅠ뮤ㅐ" localSheetId="0" hidden="1">#REF!</definedName>
    <definedName name="ㅠ뮤ㅐ" hidden="1">#REF!</definedName>
    <definedName name="ㅠㅊㅌ퓿ㅌ" localSheetId="0" hidden="1">{#N/A,#N/A,FALSE,"2~8번"}</definedName>
    <definedName name="ㅠㅊㅌ퓿ㅌ" hidden="1">{#N/A,#N/A,FALSE,"2~8번"}</definedName>
    <definedName name="ㅠㅊㅍㅌ" localSheetId="0" hidden="1">{#N/A,#N/A,FALSE,"단가표지"}</definedName>
    <definedName name="ㅠㅊㅍㅌ" hidden="1">{#N/A,#N/A,FALSE,"단가표지"}</definedName>
    <definedName name="ㅠㅊㅍ튜" localSheetId="0" hidden="1">{#N/A,#N/A,FALSE,"단가표지"}</definedName>
    <definedName name="ㅠㅊㅍ튜" hidden="1">{#N/A,#N/A,FALSE,"단가표지"}</definedName>
    <definedName name="ㅠㅊㅍ튵ㅊ" localSheetId="0" hidden="1">{#N/A,#N/A,FALSE,"운반시간"}</definedName>
    <definedName name="ㅠㅊㅍ튵ㅊ" hidden="1">{#N/A,#N/A,FALSE,"운반시간"}</definedName>
    <definedName name="ㅠㅊ픁츄" localSheetId="0" hidden="1">{#N/A,#N/A,FALSE,"단가표지"}</definedName>
    <definedName name="ㅠㅊ픁츄" hidden="1">{#N/A,#N/A,FALSE,"단가표지"}</definedName>
    <definedName name="ㅠㅍ" localSheetId="0" hidden="1">{#N/A,#N/A,FALSE,"조골재"}</definedName>
    <definedName name="ㅠㅍ" hidden="1">{#N/A,#N/A,FALSE,"조골재"}</definedName>
    <definedName name="ㅠㅍㅊ" localSheetId="0" hidden="1">{#N/A,#N/A,FALSE,"단가표지"}</definedName>
    <definedName name="ㅠㅍㅊ" hidden="1">{#N/A,#N/A,FALSE,"단가표지"}</definedName>
    <definedName name="ㅠㅍㅊ튳" localSheetId="0" hidden="1">{#N/A,#N/A,FALSE,"표지목차"}</definedName>
    <definedName name="ㅠㅍㅊ튳" hidden="1">{#N/A,#N/A,FALSE,"표지목차"}</definedName>
    <definedName name="ㅠㅍㅊ튳ㅌㅍ" localSheetId="0" hidden="1">{#N/A,#N/A,FALSE,"조골재"}</definedName>
    <definedName name="ㅠㅍㅊ튳ㅌㅍ" hidden="1">{#N/A,#N/A,FALSE,"조골재"}</definedName>
    <definedName name="ㅠㅍㅊ튵" localSheetId="0" hidden="1">{#N/A,#N/A,FALSE,"골재소요량";#N/A,#N/A,FALSE,"골재소요량"}</definedName>
    <definedName name="ㅠㅍㅊ튵" hidden="1">{#N/A,#N/A,FALSE,"골재소요량";#N/A,#N/A,FALSE,"골재소요량"}</definedName>
    <definedName name="ㅠㅍㅊ튵ㅊ" localSheetId="0" hidden="1">{#N/A,#N/A,FALSE,"단가표지"}</definedName>
    <definedName name="ㅠㅍㅊ튵ㅊ" hidden="1">{#N/A,#N/A,FALSE,"단가표지"}</definedName>
    <definedName name="ㅠㅍ츄ㅜ" localSheetId="0" hidden="1">{#N/A,#N/A,FALSE,"단가표지"}</definedName>
    <definedName name="ㅠㅍ츄ㅜ" hidden="1">{#N/A,#N/A,FALSE,"단가표지"}</definedName>
    <definedName name="ㅠㅍ츛ㅍ" localSheetId="0" hidden="1">{#N/A,#N/A,FALSE,"혼합골재"}</definedName>
    <definedName name="ㅠㅍ츛ㅍ" hidden="1">{#N/A,#N/A,FALSE,"혼합골재"}</definedName>
    <definedName name="ㅠㅍ츜ㅊ" localSheetId="0" hidden="1">{#N/A,#N/A,FALSE,"2~8번"}</definedName>
    <definedName name="ㅠㅍ츜ㅊ" hidden="1">{#N/A,#N/A,FALSE,"2~8번"}</definedName>
    <definedName name="ㅠㅍ츜ㅍ" localSheetId="0" hidden="1">{#N/A,#N/A,FALSE,"조골재"}</definedName>
    <definedName name="ㅠㅍ츜ㅍ" hidden="1">{#N/A,#N/A,FALSE,"조골재"}</definedName>
    <definedName name="ㅠㅍ츝" localSheetId="0" hidden="1">{#N/A,#N/A,FALSE,"운반시간"}</definedName>
    <definedName name="ㅠㅍ츝" hidden="1">{#N/A,#N/A,FALSE,"운반시간"}</definedName>
    <definedName name="ㅠㅍ츝ㅊ" localSheetId="0" hidden="1">{#N/A,#N/A,FALSE,"단가표지"}</definedName>
    <definedName name="ㅠㅍ츝ㅊ" hidden="1">{#N/A,#N/A,FALSE,"단가표지"}</definedName>
    <definedName name="ㅠㅍㅋㅊㅍㅍ" localSheetId="0" hidden="1">{#N/A,#N/A,FALSE,"단가표지"}</definedName>
    <definedName name="ㅠㅍㅋㅊㅍㅍ" hidden="1">{#N/A,#N/A,FALSE,"단가표지"}</definedName>
    <definedName name="ㅠ퓿큨ㅊ" localSheetId="0" hidden="1">{#N/A,#N/A,FALSE,"단가표지"}</definedName>
    <definedName name="ㅠ퓿큨ㅊ" hidden="1">{#N/A,#N/A,FALSE,"단가표지"}</definedName>
    <definedName name="ㅠ픀ㅊ" localSheetId="0" hidden="1">{#N/A,#N/A,FALSE,"단가표지"}</definedName>
    <definedName name="ㅠ픀ㅊ" hidden="1">{#N/A,#N/A,FALSE,"단가표지"}</definedName>
    <definedName name="ㅠ픀ㅊㅍ" localSheetId="0" hidden="1">{#N/A,#N/A,FALSE,"표지목차"}</definedName>
    <definedName name="ㅠ픀ㅊㅍ" hidden="1">{#N/A,#N/A,FALSE,"표지목차"}</definedName>
    <definedName name="ㅠ픀ㅋㅊㅍ" localSheetId="0" hidden="1">{#N/A,#N/A,FALSE,"운반시간"}</definedName>
    <definedName name="ㅠ픀ㅋㅊㅍ" hidden="1">{#N/A,#N/A,FALSE,"운반시간"}</definedName>
    <definedName name="ㅠㅠㅠ" localSheetId="0" hidden="1">{#N/A,#N/A,FALSE,"지침";#N/A,#N/A,FALSE,"환경분석";#N/A,#N/A,FALSE,"Sheet16"}</definedName>
    <definedName name="ㅠㅠㅠ" hidden="1">{#N/A,#N/A,FALSE,"지침";#N/A,#N/A,FALSE,"환경분석";#N/A,#N/A,FALSE,"Sheet16"}</definedName>
    <definedName name="ㅡ" localSheetId="0" hidden="1">{#N/A,#N/A,FALSE,"2~8번"}</definedName>
    <definedName name="ㅡ" hidden="1">{#N/A,#N/A,FALSE,"2~8번"}</definedName>
    <definedName name="ㅡ_1" localSheetId="0" hidden="1">{#N/A,#N/A,FALSE,"2~8번"}</definedName>
    <definedName name="ㅡ_1" hidden="1">{#N/A,#N/A,FALSE,"2~8번"}</definedName>
    <definedName name="ㅡㅡㅡ" localSheetId="0" hidden="1">{#N/A,#N/A,FALSE,"지침";#N/A,#N/A,FALSE,"환경분석";#N/A,#N/A,FALSE,"Sheet16"}</definedName>
    <definedName name="ㅡㅡㅡ" hidden="1">{#N/A,#N/A,FALSE,"지침";#N/A,#N/A,FALSE,"환경분석";#N/A,#N/A,FALSE,"Sheet16"}</definedName>
    <definedName name="ㅣ허ㅏㅣ하" localSheetId="0" hidden="1">{#N/A,#N/A,FALSE,"혼합골재"}</definedName>
    <definedName name="ㅣ허ㅏㅣ하" hidden="1">{#N/A,#N/A,FALSE,"혼합골재"}</definedName>
    <definedName name="ㅣ허ㅣ호ㅓㅏ" localSheetId="0" hidden="1">{#N/A,#N/A,FALSE,"조골재"}</definedName>
    <definedName name="ㅣ허ㅣ호ㅓㅏ" hidden="1">{#N/A,#N/A,FALSE,"조골재"}</definedName>
    <definedName name="ㅣㅏ허ㅏ허ㅏ허ㅏ" localSheetId="0" hidden="1">{#N/A,#N/A,FALSE,"단가표지"}</definedName>
    <definedName name="ㅣㅏ허ㅏ허ㅏ허ㅏ" hidden="1">{#N/A,#N/A,FALSE,"단가표지"}</definedName>
    <definedName name="ㅣㅏㅓ" localSheetId="0" hidden="1">{#N/A,#N/A,FALSE,"운반시간"}</definedName>
    <definedName name="ㅣㅏㅓ" hidden="1">{#N/A,#N/A,FALSE,"운반시간"}</definedName>
    <definedName name="ㅣㅏㅓㅎ" localSheetId="0" hidden="1">{#N/A,#N/A,FALSE,"단가표지"}</definedName>
    <definedName name="ㅣㅏㅓㅎ" hidden="1">{#N/A,#N/A,FALSE,"단가표지"}</definedName>
    <definedName name="ㅣㅏㅓ허ㅏㅓㅎ" localSheetId="0" hidden="1">{#N/A,#N/A,FALSE,"표지목차"}</definedName>
    <definedName name="ㅣㅏㅓ허ㅏㅓㅎ" hidden="1">{#N/A,#N/A,FALSE,"표지목차"}</definedName>
    <definedName name="ㅣㅏㅓㅣ허ㅏㅎ" localSheetId="0" hidden="1">{#N/A,#N/A,FALSE,"골재소요량";#N/A,#N/A,FALSE,"골재소요량"}</definedName>
    <definedName name="ㅣㅏㅓㅣ허ㅏㅎ" hidden="1">{#N/A,#N/A,FALSE,"골재소요량";#N/A,#N/A,FALSE,"골재소요량"}</definedName>
    <definedName name="ㅣㅏㅓㅣ허ㅏㅏ허" localSheetId="0" hidden="1">{#N/A,#N/A,FALSE,"조골재"}</definedName>
    <definedName name="ㅣㅏㅓㅣ허ㅏㅏ허" hidden="1">{#N/A,#N/A,FALSE,"조골재"}</definedName>
    <definedName name="ㅣㅑㅑ" localSheetId="0" hidden="1">{#N/A,#N/A,FALSE,"단가표지"}</definedName>
    <definedName name="ㅣㅑㅑ" hidden="1">{#N/A,#N/A,FALSE,"단가표지"}</definedName>
    <definedName name="ㅣㅓㅏ" localSheetId="0" hidden="1">{#N/A,#N/A,FALSE,"전력간선"}</definedName>
    <definedName name="ㅣㅓㅏ" hidden="1">{#N/A,#N/A,FALSE,"전력간선"}</definedName>
    <definedName name="ㅣㅓㅏ허" localSheetId="0" hidden="1">{#N/A,#N/A,FALSE,"운반시간"}</definedName>
    <definedName name="ㅣㅓㅏ허" hidden="1">{#N/A,#N/A,FALSE,"운반시간"}</definedName>
    <definedName name="ㅣㅓㅏ허ㅏㅣ허ㅏㅓ" localSheetId="0" hidden="1">{#N/A,#N/A,FALSE,"운반시간"}</definedName>
    <definedName name="ㅣㅓㅏ허ㅏㅣ허ㅏㅓ" hidden="1">{#N/A,#N/A,FALSE,"운반시간"}</definedName>
    <definedName name="ㅣㅚㅓㅏ" localSheetId="0" hidden="1">{#N/A,#N/A,FALSE,"단가표지"}</definedName>
    <definedName name="ㅣㅚㅓㅏ" hidden="1">{#N/A,#N/A,FALSE,"단가표지"}</definedName>
    <definedName name="ㅣㅣㅣㅣ" localSheetId="0" hidden="1">#REF!</definedName>
    <definedName name="ㅣㅣㅣㅣ" hidden="1">#REF!</definedName>
    <definedName name="ㅣㅣㅣㅣㅣ" localSheetId="0" hidden="1">#REF!</definedName>
    <definedName name="ㅣㅣㅣㅣㅣ" hidden="1">#REF!</definedName>
    <definedName name="ㅣㅣㅣㅣㅣㅣ" localSheetId="0" hidden="1">#REF!</definedName>
    <definedName name="ㅣㅣㅣㅣㅣㅣ" hidden="1">#REF!</definedName>
    <definedName name="実行" localSheetId="0" hidden="1">{"'Sheet1'!$L$16"}</definedName>
    <definedName name="実行" hidden="1">{"'Sheet1'!$L$16"}</definedName>
    <definedName name="岡田" localSheetId="0" hidden="1">{#N/A,#N/A,TRUE,"SUM";#N/A,#N/A,TRUE,"EE";#N/A,#N/A,TRUE,"AC";#N/A,#N/A,TRUE,"SN"}</definedName>
    <definedName name="岡田" hidden="1">{#N/A,#N/A,TRUE,"SUM";#N/A,#N/A,TRUE,"EE";#N/A,#N/A,TRUE,"AC";#N/A,#N/A,TRUE,"SN"}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1" i="6" l="1"/>
  <c r="AE47" i="6" l="1"/>
  <c r="AG47" i="6" s="1"/>
  <c r="AG21" i="6"/>
  <c r="AF21" i="6"/>
  <c r="P1248" i="8"/>
  <c r="Q1248" i="8" s="1"/>
  <c r="AF47" i="6" l="1"/>
  <c r="R1248" i="8"/>
  <c r="P1244" i="8"/>
  <c r="P1233" i="8"/>
  <c r="P1329" i="8"/>
  <c r="P1289" i="8"/>
  <c r="Q1289" i="8" s="1"/>
  <c r="P1500" i="8"/>
  <c r="P1174" i="8"/>
  <c r="Q1174" i="8" s="1"/>
  <c r="P1176" i="8"/>
  <c r="P1284" i="8"/>
  <c r="P1358" i="8"/>
  <c r="P1238" i="8"/>
  <c r="P1494" i="8"/>
  <c r="P1501" i="8"/>
  <c r="R1501" i="8" s="1"/>
  <c r="P1353" i="8"/>
  <c r="P1472" i="8"/>
  <c r="P1164" i="8"/>
  <c r="P1180" i="8"/>
  <c r="P1218" i="8"/>
  <c r="P1224" i="8"/>
  <c r="P1298" i="8"/>
  <c r="P1475" i="8"/>
  <c r="Q1475" i="8" s="1"/>
  <c r="P1502" i="8"/>
  <c r="Q1502" i="8" s="1"/>
  <c r="P1183" i="8"/>
  <c r="P1184" i="8"/>
  <c r="P1327" i="8"/>
  <c r="R1327" i="8" s="1"/>
  <c r="P1463" i="8"/>
  <c r="P1221" i="8"/>
  <c r="P1359" i="8"/>
  <c r="P1185" i="8"/>
  <c r="P1303" i="8"/>
  <c r="P1328" i="8"/>
  <c r="P1464" i="8"/>
  <c r="P1505" i="8"/>
  <c r="P1510" i="8"/>
  <c r="P1476" i="8"/>
  <c r="P1334" i="8"/>
  <c r="P1512" i="8"/>
  <c r="P1497" i="8"/>
  <c r="P1499" i="8"/>
  <c r="P1466" i="8"/>
  <c r="P1507" i="8"/>
  <c r="Q1507" i="8" s="1"/>
  <c r="P1240" i="8"/>
  <c r="P1243" i="8"/>
  <c r="R1243" i="8" s="1"/>
  <c r="P1468" i="8"/>
  <c r="P1253" i="8"/>
  <c r="P1247" i="8"/>
  <c r="R1247" i="8" s="1"/>
  <c r="P1250" i="8"/>
  <c r="Q1250" i="8" s="1"/>
  <c r="P1251" i="8"/>
  <c r="Q1251" i="8" s="1"/>
  <c r="P1241" i="8"/>
  <c r="R1244" i="8"/>
  <c r="Q1244" i="8"/>
  <c r="P1294" i="8"/>
  <c r="P1186" i="8"/>
  <c r="P1254" i="8"/>
  <c r="P1249" i="8"/>
  <c r="P1255" i="8"/>
  <c r="P1242" i="8"/>
  <c r="P1246" i="8"/>
  <c r="P1279" i="8"/>
  <c r="P1245" i="8"/>
  <c r="P1252" i="8"/>
  <c r="R1250" i="8" l="1"/>
  <c r="R1502" i="8"/>
  <c r="P1175" i="8"/>
  <c r="P1217" i="8"/>
  <c r="R1217" i="8" s="1"/>
  <c r="P1302" i="8"/>
  <c r="R1174" i="8"/>
  <c r="P1437" i="8"/>
  <c r="Q1437" i="8" s="1"/>
  <c r="P1504" i="8"/>
  <c r="R1504" i="8" s="1"/>
  <c r="P1182" i="8"/>
  <c r="Q1182" i="8" s="1"/>
  <c r="P1474" i="8"/>
  <c r="Q1474" i="8" s="1"/>
  <c r="P1214" i="8"/>
  <c r="R1214" i="8" s="1"/>
  <c r="P1295" i="8"/>
  <c r="Q1295" i="8" s="1"/>
  <c r="P1277" i="8"/>
  <c r="R1277" i="8" s="1"/>
  <c r="P1179" i="8"/>
  <c r="R1179" i="8" s="1"/>
  <c r="P1351" i="8"/>
  <c r="R1351" i="8" s="1"/>
  <c r="R1289" i="8"/>
  <c r="P1330" i="8"/>
  <c r="P1490" i="8"/>
  <c r="Q1490" i="8" s="1"/>
  <c r="P1341" i="8"/>
  <c r="Q1341" i="8" s="1"/>
  <c r="P1296" i="8"/>
  <c r="Q1296" i="8" s="1"/>
  <c r="P1204" i="8"/>
  <c r="R1204" i="8" s="1"/>
  <c r="P1276" i="8"/>
  <c r="R1276" i="8" s="1"/>
  <c r="P1235" i="8"/>
  <c r="R1235" i="8" s="1"/>
  <c r="P1492" i="8"/>
  <c r="R1492" i="8" s="1"/>
  <c r="P1304" i="8"/>
  <c r="R1304" i="8" s="1"/>
  <c r="P1350" i="8"/>
  <c r="R1350" i="8" s="1"/>
  <c r="P1355" i="8"/>
  <c r="R1355" i="8" s="1"/>
  <c r="P1438" i="8"/>
  <c r="Q1438" i="8" s="1"/>
  <c r="Q1327" i="8"/>
  <c r="P1173" i="8"/>
  <c r="P1168" i="8"/>
  <c r="R1168" i="8" s="1"/>
  <c r="P1493" i="8"/>
  <c r="P1354" i="8"/>
  <c r="P1321" i="8"/>
  <c r="P1320" i="8"/>
  <c r="Q1320" i="8" s="1"/>
  <c r="P1496" i="8"/>
  <c r="Q1496" i="8" s="1"/>
  <c r="P1323" i="8"/>
  <c r="Q1323" i="8" s="1"/>
  <c r="P1491" i="8"/>
  <c r="R1491" i="8" s="1"/>
  <c r="P1215" i="8"/>
  <c r="Q1215" i="8" s="1"/>
  <c r="P1516" i="8"/>
  <c r="R1516" i="8" s="1"/>
  <c r="P1169" i="8"/>
  <c r="Q1169" i="8" s="1"/>
  <c r="R1475" i="8"/>
  <c r="P1511" i="8"/>
  <c r="R1511" i="8" s="1"/>
  <c r="P1473" i="8"/>
  <c r="R1473" i="8" s="1"/>
  <c r="P1515" i="8"/>
  <c r="P1229" i="8"/>
  <c r="Q1229" i="8" s="1"/>
  <c r="Q1243" i="8"/>
  <c r="P1170" i="8"/>
  <c r="P1337" i="8"/>
  <c r="R1337" i="8" s="1"/>
  <c r="P1343" i="8"/>
  <c r="R1343" i="8" s="1"/>
  <c r="P1293" i="8"/>
  <c r="R1293" i="8" s="1"/>
  <c r="P1489" i="8"/>
  <c r="R1489" i="8" s="1"/>
  <c r="P1210" i="8"/>
  <c r="P1503" i="8"/>
  <c r="R1503" i="8" s="1"/>
  <c r="Q1501" i="8"/>
  <c r="R1507" i="8"/>
  <c r="P1514" i="8"/>
  <c r="R1514" i="8" s="1"/>
  <c r="P1301" i="8"/>
  <c r="Q1247" i="8"/>
  <c r="P1531" i="8"/>
  <c r="R1531" i="8" s="1"/>
  <c r="P1312" i="8"/>
  <c r="R1312" i="8" s="1"/>
  <c r="P1299" i="8"/>
  <c r="R1299" i="8" s="1"/>
  <c r="P1498" i="8"/>
  <c r="P1212" i="8"/>
  <c r="Q1212" i="8" s="1"/>
  <c r="P1166" i="8"/>
  <c r="P1131" i="8"/>
  <c r="Q1131" i="8" s="1"/>
  <c r="Q1476" i="8"/>
  <c r="R1476" i="8"/>
  <c r="R1131" i="8"/>
  <c r="Q1284" i="8"/>
  <c r="R1284" i="8"/>
  <c r="P1307" i="8"/>
  <c r="R1307" i="8" s="1"/>
  <c r="P1310" i="8"/>
  <c r="P1349" i="8"/>
  <c r="P1286" i="8"/>
  <c r="R1286" i="8" s="1"/>
  <c r="P1487" i="8"/>
  <c r="P1237" i="8"/>
  <c r="P1317" i="8"/>
  <c r="Q1317" i="8" s="1"/>
  <c r="R1238" i="8"/>
  <c r="Q1238" i="8"/>
  <c r="R1210" i="8"/>
  <c r="Q1210" i="8"/>
  <c r="R1169" i="8"/>
  <c r="Q1503" i="8"/>
  <c r="R1240" i="8"/>
  <c r="Q1240" i="8"/>
  <c r="R1184" i="8"/>
  <c r="Q1184" i="8"/>
  <c r="P1360" i="8"/>
  <c r="P1495" i="8"/>
  <c r="P1225" i="8"/>
  <c r="Q1225" i="8" s="1"/>
  <c r="P1357" i="8"/>
  <c r="P1315" i="8"/>
  <c r="P1342" i="8"/>
  <c r="P1344" i="8"/>
  <c r="P1177" i="8"/>
  <c r="P1181" i="8"/>
  <c r="P1178" i="8"/>
  <c r="P1220" i="8"/>
  <c r="P1314" i="8"/>
  <c r="P1506" i="8"/>
  <c r="P1338" i="8"/>
  <c r="R1338" i="8" s="1"/>
  <c r="P1352" i="8"/>
  <c r="R1468" i="8"/>
  <c r="Q1468" i="8"/>
  <c r="P1278" i="8"/>
  <c r="Q1278" i="8" s="1"/>
  <c r="P1513" i="8"/>
  <c r="R1513" i="8" s="1"/>
  <c r="P1348" i="8"/>
  <c r="P1172" i="8"/>
  <c r="P1470" i="8"/>
  <c r="P1356" i="8"/>
  <c r="P1313" i="8"/>
  <c r="R1512" i="8"/>
  <c r="Q1512" i="8"/>
  <c r="P1458" i="8"/>
  <c r="P1325" i="8"/>
  <c r="P1319" i="8"/>
  <c r="P1139" i="8"/>
  <c r="P1187" i="8"/>
  <c r="P1308" i="8"/>
  <c r="P1311" i="8"/>
  <c r="P1223" i="8"/>
  <c r="R1251" i="8"/>
  <c r="P1326" i="8"/>
  <c r="P1306" i="8"/>
  <c r="P1346" i="8"/>
  <c r="P1291" i="8"/>
  <c r="P1469" i="8"/>
  <c r="P1292" i="8"/>
  <c r="Q1241" i="8"/>
  <c r="R1241" i="8"/>
  <c r="P1290" i="8"/>
  <c r="P1471" i="8"/>
  <c r="P1227" i="8"/>
  <c r="P1309" i="8"/>
  <c r="P1287" i="8"/>
  <c r="P1283" i="8"/>
  <c r="P1316" i="8"/>
  <c r="P1318" i="8"/>
  <c r="P1509" i="8"/>
  <c r="P1467" i="8"/>
  <c r="P1188" i="8"/>
  <c r="P1228" i="8"/>
  <c r="P1460" i="8"/>
  <c r="P1171" i="8"/>
  <c r="P1226" i="8"/>
  <c r="Q1253" i="8"/>
  <c r="R1253" i="8"/>
  <c r="P1300" i="8"/>
  <c r="P1339" i="8"/>
  <c r="P1189" i="8"/>
  <c r="P1213" i="8"/>
  <c r="P1465" i="8"/>
  <c r="P1335" i="8"/>
  <c r="P1322" i="8"/>
  <c r="P1488" i="8"/>
  <c r="P1280" i="8"/>
  <c r="P1216" i="8"/>
  <c r="P1190" i="8"/>
  <c r="P1219" i="8"/>
  <c r="P1336" i="8"/>
  <c r="P1462" i="8"/>
  <c r="P1288" i="8"/>
  <c r="P1347" i="8"/>
  <c r="P1167" i="8"/>
  <c r="P1282" i="8"/>
  <c r="P1285" i="8"/>
  <c r="P1508" i="8"/>
  <c r="R1185" i="8"/>
  <c r="Q1185" i="8"/>
  <c r="R1298" i="8"/>
  <c r="Q1298" i="8"/>
  <c r="R1279" i="8"/>
  <c r="Q1279" i="8"/>
  <c r="R1328" i="8"/>
  <c r="Q1328" i="8"/>
  <c r="R1186" i="8"/>
  <c r="Q1186" i="8"/>
  <c r="Q1233" i="8"/>
  <c r="R1233" i="8"/>
  <c r="R1180" i="8"/>
  <c r="Q1180" i="8"/>
  <c r="Q1330" i="8"/>
  <c r="R1330" i="8"/>
  <c r="R1466" i="8"/>
  <c r="Q1466" i="8"/>
  <c r="Q1245" i="8"/>
  <c r="R1245" i="8"/>
  <c r="R1329" i="8"/>
  <c r="Q1329" i="8"/>
  <c r="Q1494" i="8"/>
  <c r="R1494" i="8"/>
  <c r="R1218" i="8"/>
  <c r="Q1218" i="8"/>
  <c r="Q1221" i="8"/>
  <c r="R1221" i="8"/>
  <c r="R1303" i="8"/>
  <c r="Q1303" i="8"/>
  <c r="R1296" i="8"/>
  <c r="Q1294" i="8"/>
  <c r="R1294" i="8"/>
  <c r="Q1249" i="8"/>
  <c r="R1249" i="8"/>
  <c r="Q1358" i="8"/>
  <c r="R1358" i="8"/>
  <c r="Q1183" i="8"/>
  <c r="R1183" i="8"/>
  <c r="R1175" i="8"/>
  <c r="Q1175" i="8"/>
  <c r="R1353" i="8"/>
  <c r="Q1353" i="8"/>
  <c r="R1464" i="8"/>
  <c r="Q1464" i="8"/>
  <c r="R1500" i="8"/>
  <c r="Q1500" i="8"/>
  <c r="R1252" i="8"/>
  <c r="Q1252" i="8"/>
  <c r="R1246" i="8"/>
  <c r="Q1246" i="8"/>
  <c r="R1334" i="8"/>
  <c r="Q1334" i="8"/>
  <c r="Q1255" i="8"/>
  <c r="R1255" i="8"/>
  <c r="R1359" i="8"/>
  <c r="Q1359" i="8"/>
  <c r="R1472" i="8"/>
  <c r="Q1472" i="8"/>
  <c r="R1510" i="8"/>
  <c r="Q1510" i="8"/>
  <c r="Q1242" i="8"/>
  <c r="R1242" i="8"/>
  <c r="R1176" i="8"/>
  <c r="Q1176" i="8"/>
  <c r="R1497" i="8"/>
  <c r="Q1497" i="8"/>
  <c r="Q1164" i="8"/>
  <c r="R1164" i="8"/>
  <c r="Q1224" i="8"/>
  <c r="R1224" i="8"/>
  <c r="R1499" i="8"/>
  <c r="Q1499" i="8"/>
  <c r="R1302" i="8"/>
  <c r="Q1302" i="8"/>
  <c r="R1341" i="8"/>
  <c r="Q1173" i="8"/>
  <c r="R1173" i="8"/>
  <c r="R1505" i="8"/>
  <c r="Q1505" i="8"/>
  <c r="R1463" i="8"/>
  <c r="Q1463" i="8"/>
  <c r="R1254" i="8"/>
  <c r="Q1254" i="8"/>
  <c r="R1320" i="8" l="1"/>
  <c r="Q1511" i="8"/>
  <c r="R1437" i="8"/>
  <c r="Q1504" i="8"/>
  <c r="Q1337" i="8"/>
  <c r="R1474" i="8"/>
  <c r="R1496" i="8"/>
  <c r="Q1338" i="8"/>
  <c r="Q1235" i="8"/>
  <c r="R1182" i="8"/>
  <c r="Q1217" i="8"/>
  <c r="Q1531" i="8"/>
  <c r="Q1491" i="8"/>
  <c r="R1317" i="8"/>
  <c r="R1295" i="8"/>
  <c r="Q1214" i="8"/>
  <c r="Q1304" i="8"/>
  <c r="R1323" i="8"/>
  <c r="R1229" i="8"/>
  <c r="Q1168" i="8"/>
  <c r="Q1277" i="8"/>
  <c r="Q1350" i="8"/>
  <c r="Q1179" i="8"/>
  <c r="Q1355" i="8"/>
  <c r="R1278" i="8"/>
  <c r="Q1351" i="8"/>
  <c r="Q1516" i="8"/>
  <c r="Q1489" i="8"/>
  <c r="Q1492" i="8"/>
  <c r="Q1204" i="8"/>
  <c r="R1438" i="8"/>
  <c r="Q1276" i="8"/>
  <c r="Q1473" i="8"/>
  <c r="R1212" i="8"/>
  <c r="R1490" i="8"/>
  <c r="Q1299" i="8"/>
  <c r="Q1321" i="8"/>
  <c r="R1321" i="8"/>
  <c r="R1515" i="8"/>
  <c r="Q1515" i="8"/>
  <c r="R1354" i="8"/>
  <c r="Q1354" i="8"/>
  <c r="Q1312" i="8"/>
  <c r="R1493" i="8"/>
  <c r="Q1493" i="8"/>
  <c r="Q1514" i="8"/>
  <c r="R1301" i="8"/>
  <c r="Q1301" i="8"/>
  <c r="Q1293" i="8"/>
  <c r="Q1343" i="8"/>
  <c r="R1166" i="8"/>
  <c r="Q1166" i="8"/>
  <c r="R1498" i="8"/>
  <c r="Q1498" i="8"/>
  <c r="R1170" i="8"/>
  <c r="Q1170" i="8"/>
  <c r="R1215" i="8"/>
  <c r="R1225" i="8"/>
  <c r="Q1228" i="8"/>
  <c r="R1228" i="8"/>
  <c r="Q1335" i="8"/>
  <c r="R1335" i="8"/>
  <c r="R1319" i="8"/>
  <c r="Q1319" i="8"/>
  <c r="R1325" i="8"/>
  <c r="Q1325" i="8"/>
  <c r="R1322" i="8"/>
  <c r="Q1322" i="8"/>
  <c r="Q1187" i="8"/>
  <c r="R1187" i="8"/>
  <c r="R1188" i="8"/>
  <c r="Q1188" i="8"/>
  <c r="R1292" i="8"/>
  <c r="Q1292" i="8"/>
  <c r="R1213" i="8"/>
  <c r="Q1213" i="8"/>
  <c r="Q1181" i="8"/>
  <c r="R1181" i="8"/>
  <c r="Q1307" i="8"/>
  <c r="R1336" i="8"/>
  <c r="Q1336" i="8"/>
  <c r="R1300" i="8"/>
  <c r="Q1300" i="8"/>
  <c r="Q1283" i="8"/>
  <c r="R1283" i="8"/>
  <c r="Q1306" i="8"/>
  <c r="R1306" i="8"/>
  <c r="Q1352" i="8"/>
  <c r="R1352" i="8"/>
  <c r="R1342" i="8"/>
  <c r="Q1342" i="8"/>
  <c r="R1282" i="8"/>
  <c r="Q1282" i="8"/>
  <c r="R1465" i="8"/>
  <c r="Q1465" i="8"/>
  <c r="Q1347" i="8"/>
  <c r="R1347" i="8"/>
  <c r="Q1288" i="8"/>
  <c r="R1288" i="8"/>
  <c r="R1189" i="8"/>
  <c r="Q1189" i="8"/>
  <c r="Q1318" i="8"/>
  <c r="R1318" i="8"/>
  <c r="Q1291" i="8"/>
  <c r="R1291" i="8"/>
  <c r="R1458" i="8"/>
  <c r="Q1458" i="8"/>
  <c r="R1462" i="8"/>
  <c r="Q1462" i="8"/>
  <c r="Q1339" i="8"/>
  <c r="R1339" i="8"/>
  <c r="Q1316" i="8"/>
  <c r="R1316" i="8"/>
  <c r="Q1346" i="8"/>
  <c r="R1346" i="8"/>
  <c r="Q1344" i="8"/>
  <c r="R1344" i="8"/>
  <c r="R1219" i="8"/>
  <c r="Q1219" i="8"/>
  <c r="R1287" i="8"/>
  <c r="Q1287" i="8"/>
  <c r="R1326" i="8"/>
  <c r="Q1326" i="8"/>
  <c r="Q1313" i="8"/>
  <c r="R1313" i="8"/>
  <c r="R1315" i="8"/>
  <c r="Q1315" i="8"/>
  <c r="R1285" i="8"/>
  <c r="Q1285" i="8"/>
  <c r="R1178" i="8"/>
  <c r="Q1178" i="8"/>
  <c r="Q1467" i="8"/>
  <c r="R1467" i="8"/>
  <c r="Q1286" i="8"/>
  <c r="R1469" i="8"/>
  <c r="Q1469" i="8"/>
  <c r="Q1190" i="8"/>
  <c r="R1190" i="8"/>
  <c r="Q1309" i="8"/>
  <c r="R1309" i="8"/>
  <c r="R1356" i="8"/>
  <c r="Q1356" i="8"/>
  <c r="Q1506" i="8"/>
  <c r="R1506" i="8"/>
  <c r="R1357" i="8"/>
  <c r="Q1357" i="8"/>
  <c r="R1487" i="8"/>
  <c r="Q1487" i="8"/>
  <c r="R1139" i="8"/>
  <c r="Q1139" i="8"/>
  <c r="R1167" i="8"/>
  <c r="Q1167" i="8"/>
  <c r="Q1509" i="8"/>
  <c r="R1509" i="8"/>
  <c r="Q1177" i="8"/>
  <c r="R1177" i="8"/>
  <c r="Q1513" i="8"/>
  <c r="R1216" i="8"/>
  <c r="Q1216" i="8"/>
  <c r="Q1226" i="8"/>
  <c r="R1226" i="8"/>
  <c r="R1227" i="8"/>
  <c r="Q1227" i="8"/>
  <c r="Q1223" i="8"/>
  <c r="R1223" i="8"/>
  <c r="Q1470" i="8"/>
  <c r="R1470" i="8"/>
  <c r="Q1314" i="8"/>
  <c r="R1314" i="8"/>
  <c r="R1280" i="8"/>
  <c r="Q1280" i="8"/>
  <c r="R1171" i="8"/>
  <c r="Q1171" i="8"/>
  <c r="R1471" i="8"/>
  <c r="Q1471" i="8"/>
  <c r="R1311" i="8"/>
  <c r="Q1311" i="8"/>
  <c r="Q1172" i="8"/>
  <c r="R1172" i="8"/>
  <c r="R1495" i="8"/>
  <c r="Q1495" i="8"/>
  <c r="Q1349" i="8"/>
  <c r="R1349" i="8"/>
  <c r="R1310" i="8"/>
  <c r="Q1310" i="8"/>
  <c r="Q1508" i="8"/>
  <c r="R1508" i="8"/>
  <c r="R1488" i="8"/>
  <c r="Q1488" i="8"/>
  <c r="R1460" i="8"/>
  <c r="Q1460" i="8"/>
  <c r="Q1290" i="8"/>
  <c r="R1290" i="8"/>
  <c r="R1308" i="8"/>
  <c r="Q1308" i="8"/>
  <c r="Q1348" i="8"/>
  <c r="R1348" i="8"/>
  <c r="Q1220" i="8"/>
  <c r="R1220" i="8"/>
  <c r="Q1360" i="8"/>
  <c r="R1360" i="8"/>
  <c r="R1237" i="8"/>
  <c r="Q1237" i="8"/>
  <c r="P1129" i="8" l="1"/>
  <c r="P1128" i="8"/>
  <c r="R1128" i="8" l="1"/>
  <c r="Q1128" i="8"/>
  <c r="R1129" i="8"/>
  <c r="Q1129" i="8"/>
  <c r="P1389" i="8" l="1"/>
  <c r="P1124" i="8"/>
  <c r="P1372" i="8"/>
  <c r="P1261" i="8"/>
  <c r="P1401" i="8"/>
  <c r="P1149" i="8"/>
  <c r="P1446" i="8"/>
  <c r="P1396" i="8"/>
  <c r="P1524" i="8"/>
  <c r="P1422" i="8"/>
  <c r="P1199" i="8"/>
  <c r="P1142" i="8"/>
  <c r="P1397" i="8"/>
  <c r="P1451" i="8"/>
  <c r="P1525" i="8"/>
  <c r="P1449" i="8"/>
  <c r="P1263" i="8"/>
  <c r="P1125" i="8"/>
  <c r="P1518" i="8"/>
  <c r="P1150" i="8"/>
  <c r="P1257" i="8"/>
  <c r="P1371" i="8"/>
  <c r="P1431" i="8"/>
  <c r="P1443" i="8"/>
  <c r="P1413" i="8" l="1"/>
  <c r="P1162" i="8"/>
  <c r="P1417" i="8"/>
  <c r="P1200" i="8"/>
  <c r="Q1200" i="8" s="1"/>
  <c r="P1419" i="8"/>
  <c r="R1419" i="8" s="1"/>
  <c r="P1433" i="8"/>
  <c r="R1433" i="8" s="1"/>
  <c r="P1144" i="8"/>
  <c r="R1144" i="8" s="1"/>
  <c r="P1260" i="8"/>
  <c r="R1260" i="8" s="1"/>
  <c r="P1411" i="8"/>
  <c r="R1411" i="8" s="1"/>
  <c r="P1421" i="8"/>
  <c r="R1421" i="8" s="1"/>
  <c r="P1402" i="8"/>
  <c r="R1402" i="8" s="1"/>
  <c r="P1137" i="8"/>
  <c r="R1137" i="8" s="1"/>
  <c r="P1482" i="8"/>
  <c r="R1482" i="8" s="1"/>
  <c r="P1141" i="8"/>
  <c r="P1381" i="8"/>
  <c r="R1381" i="8" s="1"/>
  <c r="P1366" i="8"/>
  <c r="R1366" i="8" s="1"/>
  <c r="P1388" i="8"/>
  <c r="Q1388" i="8" s="1"/>
  <c r="P1367" i="8"/>
  <c r="Q1367" i="8" s="1"/>
  <c r="P1208" i="8"/>
  <c r="R1208" i="8" s="1"/>
  <c r="P1425" i="8"/>
  <c r="R1425" i="8" s="1"/>
  <c r="P1435" i="8"/>
  <c r="Q1435" i="8" s="1"/>
  <c r="P1369" i="8"/>
  <c r="Q1369" i="8" s="1"/>
  <c r="P1152" i="8"/>
  <c r="R1152" i="8" s="1"/>
  <c r="P1377" i="8"/>
  <c r="Q1377" i="8" s="1"/>
  <c r="P1380" i="8"/>
  <c r="R1380" i="8" s="1"/>
  <c r="P1206" i="8"/>
  <c r="R1206" i="8" s="1"/>
  <c r="P1376" i="8"/>
  <c r="R1376" i="8" s="1"/>
  <c r="P1194" i="8"/>
  <c r="Q1194" i="8" s="1"/>
  <c r="P1420" i="8"/>
  <c r="Q1420" i="8" s="1"/>
  <c r="P1386" i="8"/>
  <c r="R1386" i="8" s="1"/>
  <c r="P1159" i="8"/>
  <c r="R1159" i="8" s="1"/>
  <c r="P1274" i="8"/>
  <c r="R1274" i="8" s="1"/>
  <c r="P1480" i="8"/>
  <c r="R1480" i="8" s="1"/>
  <c r="P1153" i="8"/>
  <c r="R1153" i="8" s="1"/>
  <c r="P1526" i="8"/>
  <c r="R1526" i="8" s="1"/>
  <c r="P1117" i="8"/>
  <c r="Q1117" i="8" s="1"/>
  <c r="P1267" i="8"/>
  <c r="Q1267" i="8" s="1"/>
  <c r="P1138" i="8"/>
  <c r="Q1138" i="8" s="1"/>
  <c r="P1262" i="8"/>
  <c r="R1262" i="8" s="1"/>
  <c r="P1146" i="8"/>
  <c r="R1146" i="8" s="1"/>
  <c r="P1528" i="8"/>
  <c r="Q1528" i="8" s="1"/>
  <c r="P1145" i="8"/>
  <c r="Q1145" i="8" s="1"/>
  <c r="P1264" i="8"/>
  <c r="Q1264" i="8" s="1"/>
  <c r="P1143" i="8"/>
  <c r="R1143" i="8" s="1"/>
  <c r="P1273" i="8"/>
  <c r="Q1273" i="8" s="1"/>
  <c r="P1198" i="8"/>
  <c r="Q1198" i="8" s="1"/>
  <c r="P1123" i="8"/>
  <c r="R1123" i="8" s="1"/>
  <c r="P1479" i="8"/>
  <c r="R1479" i="8" s="1"/>
  <c r="P1426" i="8"/>
  <c r="Q1426" i="8" s="1"/>
  <c r="P1363" i="8"/>
  <c r="R1363" i="8" s="1"/>
  <c r="R1200" i="8"/>
  <c r="R1422" i="8"/>
  <c r="Q1422" i="8"/>
  <c r="Q1263" i="8"/>
  <c r="R1263" i="8"/>
  <c r="R1449" i="8"/>
  <c r="Q1449" i="8"/>
  <c r="R1525" i="8"/>
  <c r="Q1525" i="8"/>
  <c r="Q1199" i="8"/>
  <c r="R1199" i="8"/>
  <c r="Q1482" i="8"/>
  <c r="Q1372" i="8"/>
  <c r="R1372" i="8"/>
  <c r="P1520" i="8"/>
  <c r="P1428" i="8"/>
  <c r="P1272" i="8"/>
  <c r="P1202" i="8"/>
  <c r="P1486" i="8"/>
  <c r="P1448" i="8"/>
  <c r="P1362" i="8"/>
  <c r="P1424" i="8"/>
  <c r="P1154" i="8"/>
  <c r="P1404" i="8"/>
  <c r="P1161" i="8"/>
  <c r="P1259" i="8"/>
  <c r="P1147" i="8"/>
  <c r="P1484" i="8"/>
  <c r="P1442" i="8"/>
  <c r="P1427" i="8"/>
  <c r="P1485" i="8"/>
  <c r="P1527" i="8"/>
  <c r="P1409" i="8"/>
  <c r="P1412" i="8"/>
  <c r="P1408" i="8"/>
  <c r="P1368" i="8"/>
  <c r="P1201" i="8"/>
  <c r="P1151" i="8"/>
  <c r="P1414" i="8"/>
  <c r="P1519" i="8"/>
  <c r="P1430" i="8"/>
  <c r="P1522" i="8"/>
  <c r="P1387" i="8"/>
  <c r="P1481" i="8"/>
  <c r="P1133" i="8"/>
  <c r="P1529" i="8"/>
  <c r="P1271" i="8"/>
  <c r="P1403" i="8"/>
  <c r="P1384" i="8"/>
  <c r="P1390" i="8"/>
  <c r="P1423" i="8"/>
  <c r="P1434" i="8"/>
  <c r="P1375" i="8"/>
  <c r="P1521" i="8"/>
  <c r="R1417" i="8"/>
  <c r="Q1417" i="8"/>
  <c r="R1413" i="8"/>
  <c r="Q1413" i="8"/>
  <c r="R1451" i="8"/>
  <c r="Q1451" i="8"/>
  <c r="R1446" i="8"/>
  <c r="Q1446" i="8"/>
  <c r="P1332" i="8"/>
  <c r="P1370" i="8"/>
  <c r="P1383" i="8"/>
  <c r="R1518" i="8"/>
  <c r="Q1518" i="8"/>
  <c r="P1379" i="8"/>
  <c r="R1524" i="8"/>
  <c r="Q1524" i="8"/>
  <c r="P1126" i="8"/>
  <c r="Q1401" i="8"/>
  <c r="R1401" i="8"/>
  <c r="P1478" i="8"/>
  <c r="P1155" i="8"/>
  <c r="P1269" i="8"/>
  <c r="Q1162" i="8"/>
  <c r="R1162" i="8"/>
  <c r="R1124" i="8"/>
  <c r="Q1124" i="8"/>
  <c r="P1410" i="8"/>
  <c r="R1125" i="8"/>
  <c r="Q1125" i="8"/>
  <c r="P1454" i="8"/>
  <c r="P1477" i="8"/>
  <c r="P1416" i="8"/>
  <c r="P1265" i="8"/>
  <c r="P1266" i="8"/>
  <c r="P1450" i="8"/>
  <c r="P1395" i="8"/>
  <c r="P1158" i="8"/>
  <c r="P1114" i="8"/>
  <c r="P1148" i="8"/>
  <c r="P1258" i="8"/>
  <c r="R1431" i="8"/>
  <c r="Q1431" i="8"/>
  <c r="R1145" i="8"/>
  <c r="Q1142" i="8"/>
  <c r="R1142" i="8"/>
  <c r="P1382" i="8"/>
  <c r="R1371" i="8"/>
  <c r="Q1371" i="8"/>
  <c r="Q1257" i="8"/>
  <c r="R1257" i="8"/>
  <c r="P1378" i="8"/>
  <c r="Q1150" i="8"/>
  <c r="R1150" i="8"/>
  <c r="R1367" i="8"/>
  <c r="P1197" i="8"/>
  <c r="R1396" i="8"/>
  <c r="Q1396" i="8"/>
  <c r="Q1149" i="8"/>
  <c r="R1149" i="8"/>
  <c r="R1261" i="8"/>
  <c r="Q1261" i="8"/>
  <c r="R1389" i="8"/>
  <c r="Q1389" i="8"/>
  <c r="P1365" i="8"/>
  <c r="P1429" i="8"/>
  <c r="P1196" i="8"/>
  <c r="P1120" i="8"/>
  <c r="P1447" i="8"/>
  <c r="P1407" i="8"/>
  <c r="P1535" i="8"/>
  <c r="P1483" i="8"/>
  <c r="P1374" i="8"/>
  <c r="P1432" i="8"/>
  <c r="Q1141" i="8"/>
  <c r="R1141" i="8"/>
  <c r="R1443" i="8"/>
  <c r="Q1443" i="8"/>
  <c r="P1156" i="8"/>
  <c r="Q1397" i="8"/>
  <c r="R1397" i="8"/>
  <c r="P1122" i="8"/>
  <c r="P1119" i="8"/>
  <c r="P1115" i="8"/>
  <c r="P1415" i="8"/>
  <c r="P1405" i="8"/>
  <c r="P1121" i="8"/>
  <c r="P1406" i="8"/>
  <c r="P1268" i="8"/>
  <c r="P1207" i="8"/>
  <c r="P1373" i="8"/>
  <c r="P1444" i="8"/>
  <c r="P1385" i="8"/>
  <c r="P1195" i="8"/>
  <c r="P1418" i="8"/>
  <c r="P1453" i="8"/>
  <c r="P1270" i="8"/>
  <c r="F1542" i="8"/>
  <c r="F1538" i="8"/>
  <c r="F1546" i="8"/>
  <c r="R1273" i="8" l="1"/>
  <c r="Q1366" i="8"/>
  <c r="Q1143" i="8"/>
  <c r="R1117" i="8"/>
  <c r="Q1433" i="8"/>
  <c r="Q1144" i="8"/>
  <c r="Q1419" i="8"/>
  <c r="Q1421" i="8"/>
  <c r="R1435" i="8"/>
  <c r="Q1274" i="8"/>
  <c r="Q1425" i="8"/>
  <c r="Q1153" i="8"/>
  <c r="Q1260" i="8"/>
  <c r="R1388" i="8"/>
  <c r="Q1480" i="8"/>
  <c r="Q1137" i="8"/>
  <c r="Q1152" i="8"/>
  <c r="R1198" i="8"/>
  <c r="Q1479" i="8"/>
  <c r="Q1411" i="8"/>
  <c r="R1426" i="8"/>
  <c r="Q1262" i="8"/>
  <c r="Q1402" i="8"/>
  <c r="Q1123" i="8"/>
  <c r="R1369" i="8"/>
  <c r="Q1380" i="8"/>
  <c r="Q1381" i="8"/>
  <c r="Q1208" i="8"/>
  <c r="Q1386" i="8"/>
  <c r="R1528" i="8"/>
  <c r="P1532" i="8"/>
  <c r="R1532" i="8" s="1"/>
  <c r="Q1146" i="8"/>
  <c r="R1138" i="8"/>
  <c r="Q1206" i="8"/>
  <c r="R1194" i="8"/>
  <c r="R1377" i="8"/>
  <c r="Q1159" i="8"/>
  <c r="Q1376" i="8"/>
  <c r="Q1363" i="8"/>
  <c r="P1134" i="8"/>
  <c r="Q1134" i="8" s="1"/>
  <c r="P1230" i="8"/>
  <c r="R1230" i="8" s="1"/>
  <c r="R1264" i="8"/>
  <c r="R1420" i="8"/>
  <c r="P1398" i="8"/>
  <c r="Q1398" i="8" s="1"/>
  <c r="Q1526" i="8"/>
  <c r="R1267" i="8"/>
  <c r="P1391" i="8"/>
  <c r="Q1391" i="8" s="1"/>
  <c r="R1398" i="8"/>
  <c r="R1270" i="8"/>
  <c r="Q1270" i="8"/>
  <c r="R1156" i="8"/>
  <c r="Q1156" i="8"/>
  <c r="Q1535" i="8"/>
  <c r="R1535" i="8"/>
  <c r="Q1265" i="8"/>
  <c r="R1265" i="8"/>
  <c r="R1434" i="8"/>
  <c r="Q1434" i="8"/>
  <c r="R1522" i="8"/>
  <c r="Q1522" i="8"/>
  <c r="R1427" i="8"/>
  <c r="Q1427" i="8"/>
  <c r="Q1202" i="8"/>
  <c r="R1202" i="8"/>
  <c r="Q1453" i="8"/>
  <c r="R1453" i="8"/>
  <c r="R1416" i="8"/>
  <c r="Q1416" i="8"/>
  <c r="R1269" i="8"/>
  <c r="Q1269" i="8"/>
  <c r="R1430" i="8"/>
  <c r="Q1430" i="8"/>
  <c r="R1442" i="8"/>
  <c r="Q1442" i="8"/>
  <c r="Q1272" i="8"/>
  <c r="R1272" i="8"/>
  <c r="Q1418" i="8"/>
  <c r="R1418" i="8"/>
  <c r="R1444" i="8"/>
  <c r="Q1444" i="8"/>
  <c r="R1122" i="8"/>
  <c r="Q1122" i="8"/>
  <c r="Q1197" i="8"/>
  <c r="R1197" i="8"/>
  <c r="Q1477" i="8"/>
  <c r="R1477" i="8"/>
  <c r="R1155" i="8"/>
  <c r="Q1155" i="8"/>
  <c r="R1379" i="8"/>
  <c r="Q1379" i="8"/>
  <c r="R1403" i="8"/>
  <c r="Q1403" i="8"/>
  <c r="R1519" i="8"/>
  <c r="Q1519" i="8"/>
  <c r="Q1484" i="8"/>
  <c r="R1484" i="8"/>
  <c r="Q1428" i="8"/>
  <c r="R1428" i="8"/>
  <c r="R1407" i="8"/>
  <c r="Q1407" i="8"/>
  <c r="R1382" i="8"/>
  <c r="Q1382" i="8"/>
  <c r="R1406" i="8"/>
  <c r="Q1406" i="8"/>
  <c r="R1373" i="8"/>
  <c r="Q1373" i="8"/>
  <c r="R1454" i="8"/>
  <c r="Q1454" i="8"/>
  <c r="R1390" i="8"/>
  <c r="Q1390" i="8"/>
  <c r="Q1268" i="8"/>
  <c r="R1268" i="8"/>
  <c r="P1455" i="8"/>
  <c r="Q1161" i="8"/>
  <c r="R1161" i="8"/>
  <c r="R1447" i="8"/>
  <c r="Q1447" i="8"/>
  <c r="R1148" i="8"/>
  <c r="Q1148" i="8"/>
  <c r="Q1410" i="8"/>
  <c r="R1410" i="8"/>
  <c r="Q1529" i="8"/>
  <c r="R1529" i="8"/>
  <c r="R1368" i="8"/>
  <c r="Q1368" i="8"/>
  <c r="R1404" i="8"/>
  <c r="Q1404" i="8"/>
  <c r="R1121" i="8"/>
  <c r="Q1121" i="8"/>
  <c r="R1432" i="8"/>
  <c r="Q1432" i="8"/>
  <c r="Q1120" i="8"/>
  <c r="R1120" i="8"/>
  <c r="R1114" i="8"/>
  <c r="Q1114" i="8"/>
  <c r="Q1383" i="8"/>
  <c r="R1383" i="8"/>
  <c r="R1408" i="8"/>
  <c r="Q1408" i="8"/>
  <c r="R1154" i="8"/>
  <c r="Q1154" i="8"/>
  <c r="R1258" i="8"/>
  <c r="Q1258" i="8"/>
  <c r="Q1201" i="8"/>
  <c r="R1201" i="8"/>
  <c r="Q1196" i="8"/>
  <c r="R1196" i="8"/>
  <c r="Q1158" i="8"/>
  <c r="R1158" i="8"/>
  <c r="Q1370" i="8"/>
  <c r="R1370" i="8"/>
  <c r="Q1521" i="8"/>
  <c r="R1521" i="8"/>
  <c r="R1412" i="8"/>
  <c r="Q1412" i="8"/>
  <c r="R1424" i="8"/>
  <c r="Q1424" i="8"/>
  <c r="Q1195" i="8"/>
  <c r="R1195" i="8"/>
  <c r="Q1520" i="8"/>
  <c r="R1520" i="8"/>
  <c r="Q1385" i="8"/>
  <c r="R1385" i="8"/>
  <c r="R1151" i="8"/>
  <c r="Q1151" i="8"/>
  <c r="R1405" i="8"/>
  <c r="Q1405" i="8"/>
  <c r="R1415" i="8"/>
  <c r="Q1415" i="8"/>
  <c r="Q1429" i="8"/>
  <c r="R1429" i="8"/>
  <c r="R1395" i="8"/>
  <c r="Q1395" i="8"/>
  <c r="R1332" i="8"/>
  <c r="Q1332" i="8"/>
  <c r="R1375" i="8"/>
  <c r="Q1375" i="8"/>
  <c r="R1133" i="8"/>
  <c r="Q1133" i="8"/>
  <c r="R1409" i="8"/>
  <c r="Q1409" i="8"/>
  <c r="R1362" i="8"/>
  <c r="Q1362" i="8"/>
  <c r="Q1423" i="8"/>
  <c r="R1423" i="8"/>
  <c r="R1147" i="8"/>
  <c r="Q1147" i="8"/>
  <c r="R1207" i="8"/>
  <c r="Q1207" i="8"/>
  <c r="Q1259" i="8"/>
  <c r="R1259" i="8"/>
  <c r="Q1115" i="8"/>
  <c r="R1115" i="8"/>
  <c r="Q1374" i="8"/>
  <c r="R1374" i="8"/>
  <c r="R1365" i="8"/>
  <c r="Q1365" i="8"/>
  <c r="R1450" i="8"/>
  <c r="Q1450" i="8"/>
  <c r="R1481" i="8"/>
  <c r="Q1481" i="8"/>
  <c r="R1527" i="8"/>
  <c r="Q1527" i="8"/>
  <c r="R1448" i="8"/>
  <c r="Q1448" i="8"/>
  <c r="Q1478" i="8"/>
  <c r="R1478" i="8"/>
  <c r="R1414" i="8"/>
  <c r="Q1414" i="8"/>
  <c r="Q1271" i="8"/>
  <c r="R1271" i="8"/>
  <c r="Q1119" i="8"/>
  <c r="R1119" i="8"/>
  <c r="Q1483" i="8"/>
  <c r="R1483" i="8"/>
  <c r="P1191" i="8"/>
  <c r="R1378" i="8"/>
  <c r="Q1378" i="8"/>
  <c r="Q1266" i="8"/>
  <c r="R1266" i="8"/>
  <c r="R1126" i="8"/>
  <c r="Q1126" i="8"/>
  <c r="Q1384" i="8"/>
  <c r="R1384" i="8"/>
  <c r="R1387" i="8"/>
  <c r="Q1387" i="8"/>
  <c r="R1485" i="8"/>
  <c r="Q1485" i="8"/>
  <c r="Q1486" i="8"/>
  <c r="R1486" i="8"/>
  <c r="P1439" i="8"/>
  <c r="Q1230" i="8" l="1"/>
  <c r="Q1532" i="8"/>
  <c r="P1546" i="8"/>
  <c r="Q1546" i="8" s="1"/>
  <c r="R1391" i="8"/>
  <c r="R1134" i="8"/>
  <c r="P1538" i="8"/>
  <c r="R1538" i="8" s="1"/>
  <c r="R1546" i="8"/>
  <c r="P1542" i="8"/>
  <c r="Q1542" i="8" s="1"/>
  <c r="Q1439" i="8"/>
  <c r="R1439" i="8"/>
  <c r="R1191" i="8"/>
  <c r="Q1191" i="8"/>
  <c r="Q1455" i="8"/>
  <c r="R1455" i="8"/>
  <c r="R1542" i="8" l="1"/>
  <c r="Q1538" i="8"/>
  <c r="P835" i="3"/>
  <c r="P841" i="3"/>
  <c r="P823" i="3" l="1"/>
  <c r="P837" i="3"/>
  <c r="P840" i="3"/>
  <c r="Q823" i="3"/>
  <c r="R823" i="3"/>
  <c r="Q841" i="3"/>
  <c r="R841" i="3"/>
  <c r="P826" i="3"/>
  <c r="P832" i="3"/>
  <c r="P827" i="3"/>
  <c r="R837" i="3"/>
  <c r="Q837" i="3"/>
  <c r="P824" i="3"/>
  <c r="P819" i="3"/>
  <c r="P828" i="3"/>
  <c r="P836" i="3"/>
  <c r="P838" i="3"/>
  <c r="P839" i="3"/>
  <c r="R840" i="3"/>
  <c r="Q840" i="3"/>
  <c r="P842" i="3"/>
  <c r="R835" i="3"/>
  <c r="Q835" i="3"/>
  <c r="P831" i="3"/>
  <c r="P818" i="3"/>
  <c r="R824" i="3" l="1"/>
  <c r="Q824" i="3"/>
  <c r="Q818" i="3"/>
  <c r="R818" i="3"/>
  <c r="Q839" i="3"/>
  <c r="R839" i="3"/>
  <c r="Q828" i="3"/>
  <c r="R828" i="3"/>
  <c r="Q831" i="3"/>
  <c r="R831" i="3"/>
  <c r="R827" i="3"/>
  <c r="Q827" i="3"/>
  <c r="Q814" i="3" s="1"/>
  <c r="R826" i="3"/>
  <c r="Q826" i="3"/>
  <c r="Q819" i="3"/>
  <c r="R819" i="3"/>
  <c r="R842" i="3"/>
  <c r="Q842" i="3"/>
  <c r="Q832" i="3"/>
  <c r="R832" i="3"/>
  <c r="R838" i="3"/>
  <c r="Q838" i="3"/>
  <c r="Q836" i="3"/>
  <c r="R836" i="3"/>
  <c r="R814" i="3" l="1"/>
  <c r="P518" i="8" l="1"/>
  <c r="P731" i="8"/>
  <c r="P1034" i="8"/>
  <c r="P1048" i="8"/>
  <c r="P431" i="8"/>
  <c r="P774" i="8"/>
  <c r="P644" i="8"/>
  <c r="P740" i="8"/>
  <c r="P679" i="8"/>
  <c r="P799" i="8"/>
  <c r="P860" i="8"/>
  <c r="P1037" i="8"/>
  <c r="P798" i="8"/>
  <c r="P562" i="8"/>
  <c r="P1035" i="8"/>
  <c r="P767" i="8"/>
  <c r="P733" i="8"/>
  <c r="P292" i="8"/>
  <c r="P565" i="8"/>
  <c r="P761" i="8" l="1"/>
  <c r="P789" i="8"/>
  <c r="P861" i="8"/>
  <c r="P754" i="8"/>
  <c r="R754" i="8" s="1"/>
  <c r="P1054" i="8"/>
  <c r="P854" i="8"/>
  <c r="Q854" i="8" s="1"/>
  <c r="P800" i="8"/>
  <c r="Q800" i="8" s="1"/>
  <c r="P1042" i="8"/>
  <c r="Q1042" i="8" s="1"/>
  <c r="P576" i="8"/>
  <c r="R576" i="8" s="1"/>
  <c r="P786" i="8"/>
  <c r="R786" i="8" s="1"/>
  <c r="P752" i="8"/>
  <c r="Q752" i="8" s="1"/>
  <c r="P859" i="8"/>
  <c r="Q859" i="8" s="1"/>
  <c r="P757" i="8"/>
  <c r="Q757" i="8" s="1"/>
  <c r="P724" i="8"/>
  <c r="Q724" i="8" s="1"/>
  <c r="P747" i="8"/>
  <c r="R747" i="8" s="1"/>
  <c r="P770" i="8"/>
  <c r="Q770" i="8" s="1"/>
  <c r="P836" i="8"/>
  <c r="R836" i="8" s="1"/>
  <c r="P1028" i="8"/>
  <c r="R1028" i="8" s="1"/>
  <c r="P555" i="8"/>
  <c r="R555" i="8" s="1"/>
  <c r="P762" i="8"/>
  <c r="Q762" i="8" s="1"/>
  <c r="P1058" i="8"/>
  <c r="R1058" i="8" s="1"/>
  <c r="P1027" i="8"/>
  <c r="R1027" i="8" s="1"/>
  <c r="P978" i="8"/>
  <c r="R978" i="8" s="1"/>
  <c r="P1039" i="8"/>
  <c r="R1039" i="8" s="1"/>
  <c r="P1055" i="8"/>
  <c r="Q1055" i="8" s="1"/>
  <c r="P567" i="8"/>
  <c r="R567" i="8" s="1"/>
  <c r="P788" i="8"/>
  <c r="P732" i="8"/>
  <c r="R732" i="8" s="1"/>
  <c r="P753" i="8"/>
  <c r="R753" i="8" s="1"/>
  <c r="P729" i="8"/>
  <c r="Q729" i="8" s="1"/>
  <c r="P51" i="8"/>
  <c r="R51" i="8" s="1"/>
  <c r="Q798" i="8"/>
  <c r="R798" i="8"/>
  <c r="Q799" i="8"/>
  <c r="R799" i="8"/>
  <c r="R860" i="8"/>
  <c r="Q860" i="8"/>
  <c r="Q761" i="8"/>
  <c r="R761" i="8"/>
  <c r="Q788" i="8"/>
  <c r="R788" i="8"/>
  <c r="R767" i="8"/>
  <c r="Q767" i="8"/>
  <c r="P769" i="8"/>
  <c r="P725" i="8"/>
  <c r="Q518" i="8"/>
  <c r="R518" i="8"/>
  <c r="P1029" i="8"/>
  <c r="P680" i="8"/>
  <c r="P554" i="8"/>
  <c r="P839" i="8"/>
  <c r="Q565" i="8"/>
  <c r="R565" i="8"/>
  <c r="P728" i="8"/>
  <c r="Q754" i="8"/>
  <c r="R679" i="8"/>
  <c r="Q679" i="8"/>
  <c r="P50" i="8"/>
  <c r="P476" i="8"/>
  <c r="Q732" i="8"/>
  <c r="Q1048" i="8"/>
  <c r="R1048" i="8"/>
  <c r="P750" i="8"/>
  <c r="R644" i="8"/>
  <c r="Q644" i="8"/>
  <c r="P787" i="8"/>
  <c r="Q292" i="8"/>
  <c r="R292" i="8"/>
  <c r="P730" i="8"/>
  <c r="P783" i="8"/>
  <c r="P483" i="8"/>
  <c r="P749" i="8"/>
  <c r="P433" i="8"/>
  <c r="P790" i="8"/>
  <c r="Q789" i="8"/>
  <c r="R789" i="8"/>
  <c r="P1045" i="8"/>
  <c r="P1041" i="8"/>
  <c r="P857" i="8"/>
  <c r="Q731" i="8"/>
  <c r="R731" i="8"/>
  <c r="R1035" i="8"/>
  <c r="Q1035" i="8"/>
  <c r="P1040" i="8"/>
  <c r="P856" i="8"/>
  <c r="P553" i="8"/>
  <c r="R861" i="8"/>
  <c r="Q861" i="8"/>
  <c r="Q1054" i="8"/>
  <c r="R1054" i="8"/>
  <c r="P858" i="8"/>
  <c r="P775" i="8"/>
  <c r="P772" i="8"/>
  <c r="P566" i="8"/>
  <c r="P736" i="8"/>
  <c r="P759" i="8"/>
  <c r="P1046" i="8"/>
  <c r="P791" i="8"/>
  <c r="P1057" i="8"/>
  <c r="P755" i="8"/>
  <c r="P726" i="8"/>
  <c r="P225" i="8"/>
  <c r="P863" i="8"/>
  <c r="P758" i="8"/>
  <c r="P552" i="8"/>
  <c r="P785" i="8"/>
  <c r="R1037" i="8"/>
  <c r="Q1037" i="8"/>
  <c r="R1034" i="8"/>
  <c r="Q1034" i="8"/>
  <c r="P1033" i="8"/>
  <c r="P777" i="8"/>
  <c r="R733" i="8"/>
  <c r="Q733" i="8"/>
  <c r="P855" i="8"/>
  <c r="P556" i="8"/>
  <c r="P748" i="8"/>
  <c r="P577" i="8"/>
  <c r="P735" i="8"/>
  <c r="P1036" i="8"/>
  <c r="P568" i="8"/>
  <c r="P784" i="8"/>
  <c r="P741" i="8"/>
  <c r="P779" i="8"/>
  <c r="P746" i="8"/>
  <c r="P771" i="8"/>
  <c r="P1032" i="8"/>
  <c r="P739" i="8"/>
  <c r="P776" i="8"/>
  <c r="P760" i="8"/>
  <c r="P559" i="8"/>
  <c r="Q431" i="8"/>
  <c r="R431" i="8"/>
  <c r="R757" i="8"/>
  <c r="R724" i="8"/>
  <c r="R562" i="8"/>
  <c r="Q562" i="8"/>
  <c r="R740" i="8"/>
  <c r="Q740" i="8"/>
  <c r="R774" i="8"/>
  <c r="Q774" i="8"/>
  <c r="P773" i="8"/>
  <c r="P862" i="8"/>
  <c r="P560" i="8"/>
  <c r="P432" i="8"/>
  <c r="P756" i="8"/>
  <c r="P727" i="8"/>
  <c r="P1047" i="8"/>
  <c r="P751" i="8"/>
  <c r="P743" i="8"/>
  <c r="P578" i="8"/>
  <c r="P864" i="8"/>
  <c r="P1030" i="8"/>
  <c r="P734" i="8"/>
  <c r="P1043" i="8"/>
  <c r="P837" i="8"/>
  <c r="Q576" i="8" l="1"/>
  <c r="R854" i="8"/>
  <c r="R752" i="8"/>
  <c r="R800" i="8"/>
  <c r="Q978" i="8"/>
  <c r="Q1039" i="8"/>
  <c r="R770" i="8"/>
  <c r="R1042" i="8"/>
  <c r="R859" i="8"/>
  <c r="Q51" i="8"/>
  <c r="Q1028" i="8"/>
  <c r="Q786" i="8"/>
  <c r="R1055" i="8"/>
  <c r="Q555" i="8"/>
  <c r="Q1027" i="8"/>
  <c r="Q1058" i="8"/>
  <c r="R762" i="8"/>
  <c r="Q747" i="8"/>
  <c r="Q836" i="8"/>
  <c r="Q753" i="8"/>
  <c r="R729" i="8"/>
  <c r="Q567" i="8"/>
  <c r="Q734" i="8"/>
  <c r="R734" i="8"/>
  <c r="R751" i="8"/>
  <c r="Q751" i="8"/>
  <c r="R1030" i="8"/>
  <c r="Q1030" i="8"/>
  <c r="Q1047" i="8"/>
  <c r="R1047" i="8"/>
  <c r="Q559" i="8"/>
  <c r="R559" i="8"/>
  <c r="R791" i="8"/>
  <c r="Q791" i="8"/>
  <c r="Q1029" i="8"/>
  <c r="R1029" i="8"/>
  <c r="Q864" i="8"/>
  <c r="R864" i="8"/>
  <c r="Q777" i="8"/>
  <c r="R777" i="8"/>
  <c r="Q225" i="8"/>
  <c r="R225" i="8"/>
  <c r="Q1046" i="8"/>
  <c r="R1046" i="8"/>
  <c r="R856" i="8"/>
  <c r="Q856" i="8"/>
  <c r="Q1045" i="8"/>
  <c r="R1045" i="8"/>
  <c r="Q433" i="8"/>
  <c r="R433" i="8"/>
  <c r="R566" i="8"/>
  <c r="Q566" i="8"/>
  <c r="Q578" i="8"/>
  <c r="R578" i="8"/>
  <c r="R760" i="8"/>
  <c r="Q760" i="8"/>
  <c r="Q858" i="8"/>
  <c r="R858" i="8"/>
  <c r="Q741" i="8"/>
  <c r="R741" i="8"/>
  <c r="Q1040" i="8"/>
  <c r="R1040" i="8"/>
  <c r="Q749" i="8"/>
  <c r="R749" i="8"/>
  <c r="Q787" i="8"/>
  <c r="R787" i="8"/>
  <c r="Q756" i="8"/>
  <c r="R756" i="8"/>
  <c r="Q726" i="8"/>
  <c r="R726" i="8"/>
  <c r="R568" i="8"/>
  <c r="Q568" i="8"/>
  <c r="R785" i="8"/>
  <c r="Q785" i="8"/>
  <c r="R553" i="8"/>
  <c r="Q553" i="8"/>
  <c r="R746" i="8"/>
  <c r="Q746" i="8"/>
  <c r="Q552" i="8"/>
  <c r="R552" i="8"/>
  <c r="Q772" i="8"/>
  <c r="R772" i="8"/>
  <c r="R483" i="8"/>
  <c r="Q483" i="8"/>
  <c r="R560" i="8"/>
  <c r="Q560" i="8"/>
  <c r="R773" i="8"/>
  <c r="Q773" i="8"/>
  <c r="R776" i="8"/>
  <c r="Q776" i="8"/>
  <c r="Q779" i="8"/>
  <c r="R779" i="8"/>
  <c r="R783" i="8"/>
  <c r="Q783" i="8"/>
  <c r="R554" i="8"/>
  <c r="Q554" i="8"/>
  <c r="R725" i="8"/>
  <c r="Q725" i="8"/>
  <c r="Q839" i="8"/>
  <c r="R839" i="8"/>
  <c r="Q432" i="8"/>
  <c r="R432" i="8"/>
  <c r="Q748" i="8"/>
  <c r="R748" i="8"/>
  <c r="R743" i="8"/>
  <c r="Q743" i="8"/>
  <c r="R862" i="8"/>
  <c r="Q862" i="8"/>
  <c r="R739" i="8"/>
  <c r="Q739" i="8"/>
  <c r="R556" i="8"/>
  <c r="Q556" i="8"/>
  <c r="R759" i="8"/>
  <c r="Q759" i="8"/>
  <c r="R476" i="8"/>
  <c r="Q476" i="8"/>
  <c r="R577" i="8"/>
  <c r="Q577" i="8"/>
  <c r="R727" i="8"/>
  <c r="Q727" i="8"/>
  <c r="Q1036" i="8"/>
  <c r="R1036" i="8"/>
  <c r="Q758" i="8"/>
  <c r="R758" i="8"/>
  <c r="R736" i="8"/>
  <c r="Q736" i="8"/>
  <c r="Q857" i="8"/>
  <c r="R857" i="8"/>
  <c r="Q730" i="8"/>
  <c r="R730" i="8"/>
  <c r="Q837" i="8"/>
  <c r="R837" i="8"/>
  <c r="Q784" i="8"/>
  <c r="R784" i="8"/>
  <c r="Q50" i="8"/>
  <c r="R50" i="8"/>
  <c r="Q1043" i="8"/>
  <c r="R1043" i="8"/>
  <c r="Q1032" i="8"/>
  <c r="R1032" i="8"/>
  <c r="R855" i="8"/>
  <c r="Q855" i="8"/>
  <c r="Q863" i="8"/>
  <c r="R863" i="8"/>
  <c r="Q755" i="8"/>
  <c r="R755" i="8"/>
  <c r="R775" i="8"/>
  <c r="Q775" i="8"/>
  <c r="R1041" i="8"/>
  <c r="Q1041" i="8"/>
  <c r="Q790" i="8"/>
  <c r="R790" i="8"/>
  <c r="Q750" i="8"/>
  <c r="R750" i="8"/>
  <c r="Q680" i="8"/>
  <c r="R680" i="8"/>
  <c r="Q769" i="8"/>
  <c r="R769" i="8"/>
  <c r="R1033" i="8"/>
  <c r="Q1033" i="8"/>
  <c r="Q771" i="8"/>
  <c r="R771" i="8"/>
  <c r="Q735" i="8"/>
  <c r="R735" i="8"/>
  <c r="R1057" i="8"/>
  <c r="Q1057" i="8"/>
  <c r="R728" i="8"/>
  <c r="Q728" i="8"/>
  <c r="P304" i="8" l="1"/>
  <c r="P841" i="8" l="1"/>
  <c r="P846" i="8"/>
  <c r="P118" i="8"/>
  <c r="P427" i="8"/>
  <c r="P53" i="8"/>
  <c r="P350" i="8"/>
  <c r="P847" i="8"/>
  <c r="P188" i="8"/>
  <c r="P850" i="8"/>
  <c r="P844" i="8"/>
  <c r="P840" i="8"/>
  <c r="P849" i="8"/>
  <c r="P845" i="8"/>
  <c r="P795" i="8"/>
  <c r="P147" i="8"/>
  <c r="P135" i="8"/>
  <c r="P570" i="8"/>
  <c r="P115" i="8"/>
  <c r="P502" i="8"/>
  <c r="P574" i="8"/>
  <c r="P781" i="8"/>
  <c r="P295" i="8"/>
  <c r="P134" i="8"/>
  <c r="P43" i="8"/>
  <c r="R304" i="8"/>
  <c r="Q304" i="8"/>
  <c r="P744" i="8"/>
  <c r="P838" i="8"/>
  <c r="P852" i="8"/>
  <c r="P71" i="8"/>
  <c r="P580" i="8"/>
  <c r="P842" i="8"/>
  <c r="P851" i="8"/>
  <c r="P848" i="8"/>
  <c r="P843" i="8"/>
  <c r="P288" i="8" l="1"/>
  <c r="Q288" i="8" s="1"/>
  <c r="P141" i="8"/>
  <c r="P211" i="8"/>
  <c r="R211" i="8" s="1"/>
  <c r="P116" i="8"/>
  <c r="P181" i="8"/>
  <c r="P184" i="8"/>
  <c r="Q43" i="8"/>
  <c r="R43" i="8"/>
  <c r="R147" i="8"/>
  <c r="Q147" i="8"/>
  <c r="P227" i="8"/>
  <c r="P222" i="8"/>
  <c r="P359" i="8"/>
  <c r="P768" i="8"/>
  <c r="P149" i="8"/>
  <c r="P579" i="8"/>
  <c r="P358" i="8"/>
  <c r="P117" i="8"/>
  <c r="P635" i="8"/>
  <c r="P216" i="8"/>
  <c r="R580" i="8"/>
  <c r="Q580" i="8"/>
  <c r="P33" i="8"/>
  <c r="P282" i="8"/>
  <c r="P280" i="8"/>
  <c r="P179" i="8"/>
  <c r="P346" i="8"/>
  <c r="P221" i="8"/>
  <c r="P169" i="8"/>
  <c r="P478" i="8"/>
  <c r="P233" i="8"/>
  <c r="P428" i="8"/>
  <c r="R847" i="8"/>
  <c r="Q847" i="8"/>
  <c r="P507" i="8"/>
  <c r="P213" i="8"/>
  <c r="Q71" i="8"/>
  <c r="R71" i="8"/>
  <c r="Q502" i="8"/>
  <c r="R502" i="8"/>
  <c r="P210" i="8"/>
  <c r="Q844" i="8"/>
  <c r="R844" i="8"/>
  <c r="P561" i="8"/>
  <c r="P300" i="8"/>
  <c r="P563" i="8"/>
  <c r="Q574" i="8"/>
  <c r="R574" i="8"/>
  <c r="P46" i="8"/>
  <c r="P569" i="8"/>
  <c r="P351" i="8"/>
  <c r="P505" i="8"/>
  <c r="P48" i="8"/>
  <c r="P139" i="8"/>
  <c r="P514" i="8"/>
  <c r="P171" i="8"/>
  <c r="P369" i="8"/>
  <c r="P150" i="8"/>
  <c r="Q181" i="8"/>
  <c r="R181" i="8"/>
  <c r="P354" i="8"/>
  <c r="Q852" i="8"/>
  <c r="R852" i="8"/>
  <c r="Q744" i="8"/>
  <c r="R744" i="8"/>
  <c r="R134" i="8"/>
  <c r="Q134" i="8"/>
  <c r="R295" i="8"/>
  <c r="Q295" i="8"/>
  <c r="R781" i="8"/>
  <c r="Q781" i="8"/>
  <c r="Q570" i="8"/>
  <c r="R570" i="8"/>
  <c r="R840" i="8"/>
  <c r="Q840" i="8"/>
  <c r="Q350" i="8"/>
  <c r="R350" i="8"/>
  <c r="R53" i="8"/>
  <c r="Q53" i="8"/>
  <c r="Q427" i="8"/>
  <c r="R427" i="8"/>
  <c r="Q118" i="8"/>
  <c r="R118" i="8"/>
  <c r="P39" i="8"/>
  <c r="P425" i="8"/>
  <c r="P31" i="8"/>
  <c r="P515" i="8"/>
  <c r="P641" i="8"/>
  <c r="P302" i="8"/>
  <c r="P365" i="8"/>
  <c r="P793" i="8"/>
  <c r="P472" i="8"/>
  <c r="P130" i="8"/>
  <c r="Q116" i="8"/>
  <c r="R116" i="8"/>
  <c r="P132" i="8"/>
  <c r="P639" i="8"/>
  <c r="P638" i="8"/>
  <c r="P65" i="8"/>
  <c r="P281" i="8"/>
  <c r="P64" i="8"/>
  <c r="P120" i="8"/>
  <c r="P38" i="8"/>
  <c r="P765" i="8"/>
  <c r="P763" i="8"/>
  <c r="P640" i="8"/>
  <c r="P796" i="8"/>
  <c r="P557" i="8"/>
  <c r="P232" i="8"/>
  <c r="P581" i="8"/>
  <c r="P363" i="8"/>
  <c r="P36" i="8"/>
  <c r="P349" i="8"/>
  <c r="P360" i="8"/>
  <c r="P284" i="8"/>
  <c r="P209" i="8"/>
  <c r="P572" i="8"/>
  <c r="P357" i="8"/>
  <c r="P170" i="8"/>
  <c r="P62" i="8"/>
  <c r="R846" i="8"/>
  <c r="Q846" i="8"/>
  <c r="P742" i="8"/>
  <c r="P128" i="8"/>
  <c r="P480" i="8"/>
  <c r="P167" i="8"/>
  <c r="P240" i="8"/>
  <c r="P558" i="8"/>
  <c r="P296" i="8"/>
  <c r="P164" i="8"/>
  <c r="P794" i="8"/>
  <c r="P47" i="8"/>
  <c r="P364" i="8"/>
  <c r="P131" i="8"/>
  <c r="P347" i="8"/>
  <c r="P156" i="8"/>
  <c r="P110" i="8"/>
  <c r="P642" i="8"/>
  <c r="P345" i="8"/>
  <c r="P32" i="8"/>
  <c r="P344" i="8"/>
  <c r="Q843" i="8"/>
  <c r="R843" i="8"/>
  <c r="P362" i="8"/>
  <c r="P157" i="8"/>
  <c r="P49" i="8"/>
  <c r="P137" i="8"/>
  <c r="P792" i="8"/>
  <c r="P151" i="8"/>
  <c r="P368" i="8"/>
  <c r="P124" i="8"/>
  <c r="P511" i="8"/>
  <c r="P148" i="8"/>
  <c r="P510" i="8"/>
  <c r="P166" i="8"/>
  <c r="P509" i="8"/>
  <c r="P474" i="8"/>
  <c r="P343" i="8"/>
  <c r="P219" i="8"/>
  <c r="P217" i="8"/>
  <c r="P508" i="8"/>
  <c r="P294" i="8"/>
  <c r="R115" i="8"/>
  <c r="Q115" i="8"/>
  <c r="P738" i="8"/>
  <c r="P371" i="8"/>
  <c r="P182" i="8"/>
  <c r="Q211" i="8"/>
  <c r="P477" i="8"/>
  <c r="P513" i="8"/>
  <c r="P426" i="8"/>
  <c r="P366" i="8"/>
  <c r="R141" i="8"/>
  <c r="Q141" i="8"/>
  <c r="P352" i="8"/>
  <c r="P165" i="8"/>
  <c r="P87" i="8"/>
  <c r="P517" i="8"/>
  <c r="P287" i="8"/>
  <c r="P766" i="8"/>
  <c r="P479" i="8"/>
  <c r="P298" i="8"/>
  <c r="P133" i="8"/>
  <c r="P143" i="8"/>
  <c r="P582" i="8"/>
  <c r="P119" i="8"/>
  <c r="P473" i="8"/>
  <c r="P163" i="8"/>
  <c r="R135" i="8"/>
  <c r="Q135" i="8"/>
  <c r="P223" i="8"/>
  <c r="P290" i="8"/>
  <c r="P299" i="8"/>
  <c r="R841" i="8"/>
  <c r="Q841" i="8"/>
  <c r="P737" i="8"/>
  <c r="P140" i="8"/>
  <c r="P208" i="8"/>
  <c r="P571" i="8"/>
  <c r="P481" i="8"/>
  <c r="P886" i="8"/>
  <c r="Q184" i="8"/>
  <c r="R184" i="8"/>
  <c r="R288" i="8"/>
  <c r="R851" i="8"/>
  <c r="Q851" i="8"/>
  <c r="Q838" i="8"/>
  <c r="R838" i="8"/>
  <c r="P144" i="8"/>
  <c r="P471" i="8"/>
  <c r="P34" i="8"/>
  <c r="Q845" i="8"/>
  <c r="R845" i="8"/>
  <c r="P573" i="8"/>
  <c r="P286" i="8"/>
  <c r="P127" i="8"/>
  <c r="P778" i="8"/>
  <c r="P482" i="8"/>
  <c r="P285" i="8"/>
  <c r="P126" i="8"/>
  <c r="P356" i="8"/>
  <c r="P125" i="8"/>
  <c r="P122" i="8"/>
  <c r="P797" i="8"/>
  <c r="P42" i="8"/>
  <c r="Q795" i="8"/>
  <c r="R795" i="8"/>
  <c r="P114" i="8"/>
  <c r="P226" i="8"/>
  <c r="P220" i="8"/>
  <c r="P355" i="8"/>
  <c r="P764" i="8"/>
  <c r="R188" i="8"/>
  <c r="Q188" i="8"/>
  <c r="P780" i="8"/>
  <c r="P212" i="8"/>
  <c r="P136" i="8"/>
  <c r="R848" i="8"/>
  <c r="Q848" i="8"/>
  <c r="R842" i="8"/>
  <c r="Q842" i="8"/>
  <c r="P506" i="8"/>
  <c r="P348" i="8"/>
  <c r="P142" i="8"/>
  <c r="P35" i="8"/>
  <c r="P138" i="8"/>
  <c r="P44" i="8"/>
  <c r="P129" i="8"/>
  <c r="Q849" i="8"/>
  <c r="R849" i="8"/>
  <c r="P45" i="8"/>
  <c r="R850" i="8"/>
  <c r="Q850" i="8"/>
  <c r="P283" i="8"/>
  <c r="P66" i="8"/>
  <c r="P367" i="8"/>
  <c r="P123" i="8"/>
  <c r="P434" i="8"/>
  <c r="P429" i="8"/>
  <c r="P146" i="8"/>
  <c r="P215" i="8"/>
  <c r="P512" i="8"/>
  <c r="P41" i="8"/>
  <c r="P180" i="8"/>
  <c r="P52" i="8"/>
  <c r="Q142" i="8" l="1"/>
  <c r="R142" i="8"/>
  <c r="Q737" i="8"/>
  <c r="R737" i="8"/>
  <c r="R349" i="8"/>
  <c r="Q349" i="8"/>
  <c r="Q169" i="8"/>
  <c r="R169" i="8"/>
  <c r="Q506" i="8"/>
  <c r="R506" i="8"/>
  <c r="Q426" i="8"/>
  <c r="R426" i="8"/>
  <c r="R156" i="8"/>
  <c r="Q156" i="8"/>
  <c r="Q281" i="8"/>
  <c r="R281" i="8"/>
  <c r="Q221" i="8"/>
  <c r="R221" i="8"/>
  <c r="Q219" i="8"/>
  <c r="R219" i="8"/>
  <c r="R299" i="8"/>
  <c r="Q299" i="8"/>
  <c r="R638" i="8"/>
  <c r="Q638" i="8"/>
  <c r="Q179" i="8"/>
  <c r="R179" i="8"/>
  <c r="R46" i="8"/>
  <c r="Q46" i="8"/>
  <c r="R509" i="8"/>
  <c r="Q509" i="8"/>
  <c r="R136" i="8"/>
  <c r="Q136" i="8"/>
  <c r="Q517" i="8"/>
  <c r="R517" i="8"/>
  <c r="R794" i="8"/>
  <c r="Q794" i="8"/>
  <c r="Q170" i="8"/>
  <c r="R170" i="8"/>
  <c r="R796" i="8"/>
  <c r="Q796" i="8"/>
  <c r="Q507" i="8"/>
  <c r="R507" i="8"/>
  <c r="R33" i="8"/>
  <c r="Q33" i="8"/>
  <c r="R227" i="8"/>
  <c r="Q227" i="8"/>
  <c r="Q140" i="8"/>
  <c r="R140" i="8"/>
  <c r="Q139" i="8"/>
  <c r="R139" i="8"/>
  <c r="R285" i="8"/>
  <c r="Q285" i="8"/>
  <c r="Q508" i="8"/>
  <c r="R508" i="8"/>
  <c r="R358" i="8"/>
  <c r="Q358" i="8"/>
  <c r="R283" i="8"/>
  <c r="Q283" i="8"/>
  <c r="Q133" i="8"/>
  <c r="R133" i="8"/>
  <c r="Q128" i="8"/>
  <c r="R128" i="8"/>
  <c r="Q505" i="8"/>
  <c r="R505" i="8"/>
  <c r="R742" i="8"/>
  <c r="Q742" i="8"/>
  <c r="Q114" i="8"/>
  <c r="R114" i="8"/>
  <c r="R131" i="8"/>
  <c r="Q131" i="8"/>
  <c r="R157" i="8"/>
  <c r="Q157" i="8"/>
  <c r="R354" i="8"/>
  <c r="Q354" i="8"/>
  <c r="Q132" i="8"/>
  <c r="R132" i="8"/>
  <c r="R367" i="8"/>
  <c r="Q367" i="8"/>
  <c r="Q764" i="8"/>
  <c r="R764" i="8"/>
  <c r="Q582" i="8"/>
  <c r="R582" i="8"/>
  <c r="Q294" i="8"/>
  <c r="R294" i="8"/>
  <c r="Q642" i="8"/>
  <c r="R642" i="8"/>
  <c r="Q360" i="8"/>
  <c r="R360" i="8"/>
  <c r="Q120" i="8"/>
  <c r="R120" i="8"/>
  <c r="Q117" i="8"/>
  <c r="R117" i="8"/>
  <c r="R66" i="8"/>
  <c r="Q66" i="8"/>
  <c r="R355" i="8"/>
  <c r="Q355" i="8"/>
  <c r="R366" i="8"/>
  <c r="Q366" i="8"/>
  <c r="Q110" i="8"/>
  <c r="R110" i="8"/>
  <c r="R64" i="8"/>
  <c r="Q64" i="8"/>
  <c r="R210" i="8"/>
  <c r="Q210" i="8"/>
  <c r="R220" i="8"/>
  <c r="Q220" i="8"/>
  <c r="Q778" i="8"/>
  <c r="R778" i="8"/>
  <c r="Q298" i="8"/>
  <c r="R298" i="8"/>
  <c r="R137" i="8"/>
  <c r="Q137" i="8"/>
  <c r="Q363" i="8"/>
  <c r="R363" i="8"/>
  <c r="Q515" i="8"/>
  <c r="R515" i="8"/>
  <c r="Q149" i="8"/>
  <c r="R149" i="8"/>
  <c r="R127" i="8"/>
  <c r="Q127" i="8"/>
  <c r="R477" i="8"/>
  <c r="Q477" i="8"/>
  <c r="R343" i="8"/>
  <c r="Q343" i="8"/>
  <c r="Q31" i="8"/>
  <c r="R31" i="8"/>
  <c r="R768" i="8"/>
  <c r="Q768" i="8"/>
  <c r="R41" i="8"/>
  <c r="Q41" i="8"/>
  <c r="Q45" i="8"/>
  <c r="R45" i="8"/>
  <c r="R286" i="8"/>
  <c r="Q286" i="8"/>
  <c r="Q290" i="8"/>
  <c r="R290" i="8"/>
  <c r="R474" i="8"/>
  <c r="Q474" i="8"/>
  <c r="R232" i="8"/>
  <c r="Q232" i="8"/>
  <c r="R425" i="8"/>
  <c r="Q425" i="8"/>
  <c r="R359" i="8"/>
  <c r="Q359" i="8"/>
  <c r="R512" i="8"/>
  <c r="Q512" i="8"/>
  <c r="Q223" i="8"/>
  <c r="R223" i="8"/>
  <c r="R362" i="8"/>
  <c r="Q362" i="8"/>
  <c r="R62" i="8"/>
  <c r="Q62" i="8"/>
  <c r="R39" i="8"/>
  <c r="Q39" i="8"/>
  <c r="R222" i="8"/>
  <c r="Q222" i="8"/>
  <c r="R42" i="8"/>
  <c r="Q42" i="8"/>
  <c r="Q166" i="8"/>
  <c r="R166" i="8"/>
  <c r="Q146" i="8"/>
  <c r="R146" i="8"/>
  <c r="Q129" i="8"/>
  <c r="R129" i="8"/>
  <c r="Q797" i="8"/>
  <c r="R797" i="8"/>
  <c r="Q886" i="8"/>
  <c r="R886" i="8"/>
  <c r="Q371" i="8"/>
  <c r="R371" i="8"/>
  <c r="R510" i="8"/>
  <c r="Q510" i="8"/>
  <c r="R164" i="8"/>
  <c r="Q164" i="8"/>
  <c r="Q357" i="8"/>
  <c r="R357" i="8"/>
  <c r="R640" i="8"/>
  <c r="Q640" i="8"/>
  <c r="R150" i="8"/>
  <c r="Q150" i="8"/>
  <c r="R563" i="8"/>
  <c r="Q563" i="8"/>
  <c r="R429" i="8"/>
  <c r="Q429" i="8"/>
  <c r="R44" i="8"/>
  <c r="Q44" i="8"/>
  <c r="Q780" i="8"/>
  <c r="R780" i="8"/>
  <c r="R122" i="8"/>
  <c r="Q122" i="8"/>
  <c r="R34" i="8"/>
  <c r="Q34" i="8"/>
  <c r="Q481" i="8"/>
  <c r="R481" i="8"/>
  <c r="R163" i="8"/>
  <c r="Q163" i="8"/>
  <c r="Q165" i="8"/>
  <c r="R165" i="8"/>
  <c r="R738" i="8"/>
  <c r="Q738" i="8"/>
  <c r="R148" i="8"/>
  <c r="Q148" i="8"/>
  <c r="Q344" i="8"/>
  <c r="R344" i="8"/>
  <c r="Q296" i="8"/>
  <c r="R296" i="8"/>
  <c r="Q572" i="8"/>
  <c r="R572" i="8"/>
  <c r="Q763" i="8"/>
  <c r="R763" i="8"/>
  <c r="Q130" i="8"/>
  <c r="R130" i="8"/>
  <c r="R369" i="8"/>
  <c r="Q369" i="8"/>
  <c r="Q300" i="8"/>
  <c r="R300" i="8"/>
  <c r="Q167" i="8"/>
  <c r="R167" i="8"/>
  <c r="Q478" i="8"/>
  <c r="R478" i="8"/>
  <c r="R348" i="8"/>
  <c r="Q348" i="8"/>
  <c r="R143" i="8"/>
  <c r="Q143" i="8"/>
  <c r="R480" i="8"/>
  <c r="Q480" i="8"/>
  <c r="R302" i="8"/>
  <c r="Q302" i="8"/>
  <c r="R48" i="8"/>
  <c r="Q48" i="8"/>
  <c r="R792" i="8"/>
  <c r="Q792" i="8"/>
  <c r="Q641" i="8"/>
  <c r="R641" i="8"/>
  <c r="Q579" i="8"/>
  <c r="R579" i="8"/>
  <c r="R52" i="8"/>
  <c r="Q52" i="8"/>
  <c r="R513" i="8"/>
  <c r="Q513" i="8"/>
  <c r="Q65" i="8"/>
  <c r="R65" i="8"/>
  <c r="R351" i="8"/>
  <c r="Q351" i="8"/>
  <c r="R180" i="8"/>
  <c r="Q180" i="8"/>
  <c r="Q479" i="8"/>
  <c r="R479" i="8"/>
  <c r="R581" i="8"/>
  <c r="Q581" i="8"/>
  <c r="R766" i="8"/>
  <c r="Q766" i="8"/>
  <c r="Q639" i="8"/>
  <c r="R639" i="8"/>
  <c r="Q287" i="8"/>
  <c r="R287" i="8"/>
  <c r="Q557" i="8"/>
  <c r="R557" i="8"/>
  <c r="R213" i="8"/>
  <c r="Q213" i="8"/>
  <c r="R212" i="8"/>
  <c r="Q212" i="8"/>
  <c r="Q434" i="8"/>
  <c r="R434" i="8"/>
  <c r="R138" i="8"/>
  <c r="Q138" i="8"/>
  <c r="Q125" i="8"/>
  <c r="R125" i="8"/>
  <c r="R471" i="8"/>
  <c r="Q471" i="8"/>
  <c r="R571" i="8"/>
  <c r="Q571" i="8"/>
  <c r="R473" i="8"/>
  <c r="Q473" i="8"/>
  <c r="Q352" i="8"/>
  <c r="R352" i="8"/>
  <c r="R511" i="8"/>
  <c r="Q511" i="8"/>
  <c r="R32" i="8"/>
  <c r="Q32" i="8"/>
  <c r="Q558" i="8"/>
  <c r="R558" i="8"/>
  <c r="Q209" i="8"/>
  <c r="R209" i="8"/>
  <c r="Q765" i="8"/>
  <c r="R765" i="8"/>
  <c r="Q472" i="8"/>
  <c r="R472" i="8"/>
  <c r="R171" i="8"/>
  <c r="Q171" i="8"/>
  <c r="R561" i="8"/>
  <c r="Q561" i="8"/>
  <c r="R428" i="8"/>
  <c r="Q428" i="8"/>
  <c r="Q216" i="8"/>
  <c r="R216" i="8"/>
  <c r="Q126" i="8"/>
  <c r="R126" i="8"/>
  <c r="Q368" i="8"/>
  <c r="R368" i="8"/>
  <c r="Q365" i="8"/>
  <c r="R365" i="8"/>
  <c r="R151" i="8"/>
  <c r="Q151" i="8"/>
  <c r="Q482" i="8"/>
  <c r="R482" i="8"/>
  <c r="R217" i="8"/>
  <c r="Q217" i="8"/>
  <c r="R36" i="8"/>
  <c r="Q36" i="8"/>
  <c r="Q226" i="8"/>
  <c r="R226" i="8"/>
  <c r="Q347" i="8"/>
  <c r="R347" i="8"/>
  <c r="Q346" i="8"/>
  <c r="R346" i="8"/>
  <c r="Q49" i="8"/>
  <c r="R49" i="8"/>
  <c r="R569" i="8"/>
  <c r="Q569" i="8"/>
  <c r="Q364" i="8"/>
  <c r="R364" i="8"/>
  <c r="Q280" i="8"/>
  <c r="R280" i="8"/>
  <c r="Q573" i="8"/>
  <c r="R573" i="8"/>
  <c r="R47" i="8"/>
  <c r="Q47" i="8"/>
  <c r="R282" i="8"/>
  <c r="Q282" i="8"/>
  <c r="R215" i="8"/>
  <c r="Q215" i="8"/>
  <c r="R182" i="8"/>
  <c r="Q182" i="8"/>
  <c r="Q87" i="8"/>
  <c r="R87" i="8"/>
  <c r="R123" i="8"/>
  <c r="Q123" i="8"/>
  <c r="Q35" i="8"/>
  <c r="R35" i="8"/>
  <c r="R356" i="8"/>
  <c r="Q356" i="8"/>
  <c r="R144" i="8"/>
  <c r="Q144" i="8"/>
  <c r="Q208" i="8"/>
  <c r="R208" i="8"/>
  <c r="Q119" i="8"/>
  <c r="R119" i="8"/>
  <c r="Q124" i="8"/>
  <c r="R124" i="8"/>
  <c r="Q345" i="8"/>
  <c r="R345" i="8"/>
  <c r="R240" i="8"/>
  <c r="Q240" i="8"/>
  <c r="R284" i="8"/>
  <c r="Q284" i="8"/>
  <c r="R38" i="8"/>
  <c r="Q38" i="8"/>
  <c r="R793" i="8"/>
  <c r="Q793" i="8"/>
  <c r="R514" i="8"/>
  <c r="Q514" i="8"/>
  <c r="Q233" i="8"/>
  <c r="R233" i="8"/>
  <c r="Q635" i="8"/>
  <c r="R635" i="8"/>
  <c r="P616" i="8" l="1"/>
  <c r="P16" i="8"/>
  <c r="P676" i="8"/>
  <c r="P716" i="8"/>
  <c r="P161" i="8"/>
  <c r="P893" i="8"/>
  <c r="R616" i="8"/>
  <c r="Q616" i="8"/>
  <c r="P160" i="8"/>
  <c r="P816" i="8"/>
  <c r="P416" i="8"/>
  <c r="P677" i="8"/>
  <c r="P316" i="8"/>
  <c r="P633" i="8" l="1"/>
  <c r="P682" i="8"/>
  <c r="P822" i="8"/>
  <c r="Q893" i="8"/>
  <c r="R893" i="8"/>
  <c r="P626" i="8"/>
  <c r="Q316" i="8"/>
  <c r="R316" i="8"/>
  <c r="Q161" i="8"/>
  <c r="R161" i="8"/>
  <c r="P535" i="8"/>
  <c r="P623" i="8"/>
  <c r="P869" i="8"/>
  <c r="Q816" i="8"/>
  <c r="R816" i="8"/>
  <c r="Q160" i="8"/>
  <c r="R160" i="8"/>
  <c r="P536" i="8"/>
  <c r="P631" i="8"/>
  <c r="P603" i="8"/>
  <c r="Q716" i="8"/>
  <c r="R716" i="8"/>
  <c r="P544" i="8"/>
  <c r="R677" i="8"/>
  <c r="Q677" i="8"/>
  <c r="Q676" i="8"/>
  <c r="R676" i="8"/>
  <c r="P871" i="8"/>
  <c r="P1078" i="8"/>
  <c r="Q16" i="8"/>
  <c r="R16" i="8"/>
  <c r="P529" i="8"/>
  <c r="P542" i="8"/>
  <c r="P538" i="8"/>
  <c r="P469" i="8"/>
  <c r="Q416" i="8"/>
  <c r="R416" i="8"/>
  <c r="P1073" i="8" l="1"/>
  <c r="P498" i="8"/>
  <c r="P614" i="8"/>
  <c r="P673" i="8"/>
  <c r="Q673" i="8" s="1"/>
  <c r="P1087" i="8"/>
  <c r="P827" i="8"/>
  <c r="R827" i="8" s="1"/>
  <c r="P601" i="8"/>
  <c r="Q601" i="8" s="1"/>
  <c r="P804" i="8"/>
  <c r="R804" i="8" s="1"/>
  <c r="P821" i="8"/>
  <c r="R821" i="8" s="1"/>
  <c r="P689" i="8"/>
  <c r="Q689" i="8" s="1"/>
  <c r="P530" i="8"/>
  <c r="Q530" i="8" s="1"/>
  <c r="P657" i="8"/>
  <c r="Q657" i="8" s="1"/>
  <c r="P604" i="8"/>
  <c r="Q604" i="8" s="1"/>
  <c r="P1077" i="8"/>
  <c r="Q1077" i="8" s="1"/>
  <c r="P890" i="8"/>
  <c r="R890" i="8" s="1"/>
  <c r="P1074" i="8"/>
  <c r="R1074" i="8" s="1"/>
  <c r="P485" i="8"/>
  <c r="R485" i="8" s="1"/>
  <c r="P584" i="8"/>
  <c r="Q584" i="8" s="1"/>
  <c r="P625" i="8"/>
  <c r="R625" i="8" s="1"/>
  <c r="P468" i="8"/>
  <c r="Q468" i="8" s="1"/>
  <c r="P497" i="8"/>
  <c r="Q497" i="8" s="1"/>
  <c r="P592" i="8"/>
  <c r="Q592" i="8" s="1"/>
  <c r="P875" i="8"/>
  <c r="R875" i="8" s="1"/>
  <c r="P811" i="8"/>
  <c r="Q811" i="8" s="1"/>
  <c r="P1066" i="8"/>
  <c r="P1088" i="8"/>
  <c r="Q1088" i="8" s="1"/>
  <c r="P832" i="8"/>
  <c r="R832" i="8" s="1"/>
  <c r="P656" i="8"/>
  <c r="R656" i="8" s="1"/>
  <c r="P602" i="8"/>
  <c r="R602" i="8" s="1"/>
  <c r="P880" i="8"/>
  <c r="R880" i="8" s="1"/>
  <c r="P547" i="8"/>
  <c r="Q547" i="8" s="1"/>
  <c r="P539" i="8"/>
  <c r="Q539" i="8" s="1"/>
  <c r="P629" i="8"/>
  <c r="R629" i="8" s="1"/>
  <c r="P501" i="8"/>
  <c r="Q501" i="8" s="1"/>
  <c r="P899" i="8"/>
  <c r="Q899" i="8" s="1"/>
  <c r="P877" i="8"/>
  <c r="R877" i="8" s="1"/>
  <c r="P664" i="8"/>
  <c r="R664" i="8" s="1"/>
  <c r="P548" i="8"/>
  <c r="Q548" i="8" s="1"/>
  <c r="P597" i="8"/>
  <c r="Q597" i="8" s="1"/>
  <c r="P872" i="8"/>
  <c r="R872" i="8" s="1"/>
  <c r="P692" i="8"/>
  <c r="Q692" i="8" s="1"/>
  <c r="P651" i="8"/>
  <c r="R651" i="8" s="1"/>
  <c r="P650" i="8"/>
  <c r="R650" i="8" s="1"/>
  <c r="P1083" i="8"/>
  <c r="R1083" i="8" s="1"/>
  <c r="P627" i="8"/>
  <c r="Q627" i="8" s="1"/>
  <c r="P809" i="8"/>
  <c r="Q809" i="8" s="1"/>
  <c r="P717" i="8"/>
  <c r="Q717" i="8" s="1"/>
  <c r="P878" i="8"/>
  <c r="Q878" i="8" s="1"/>
  <c r="P549" i="8"/>
  <c r="Q549" i="8" s="1"/>
  <c r="P713" i="8"/>
  <c r="R713" i="8" s="1"/>
  <c r="P1068" i="8"/>
  <c r="R1068" i="8" s="1"/>
  <c r="P526" i="8"/>
  <c r="P829" i="8"/>
  <c r="R829" i="8" s="1"/>
  <c r="P527" i="8"/>
  <c r="Q527" i="8" s="1"/>
  <c r="P1024" i="8"/>
  <c r="Q1024" i="8" s="1"/>
  <c r="P891" i="8"/>
  <c r="Q891" i="8" s="1"/>
  <c r="P868" i="8"/>
  <c r="Q868" i="8" s="1"/>
  <c r="P688" i="8"/>
  <c r="R688" i="8" s="1"/>
  <c r="P823" i="8"/>
  <c r="Q823" i="8" s="1"/>
  <c r="P668" i="8"/>
  <c r="R668" i="8" s="1"/>
  <c r="P830" i="8"/>
  <c r="Q830" i="8" s="1"/>
  <c r="P802" i="8"/>
  <c r="Q802" i="8" s="1"/>
  <c r="P534" i="8"/>
  <c r="R534" i="8" s="1"/>
  <c r="P488" i="8"/>
  <c r="Q488" i="8" s="1"/>
  <c r="P649" i="8"/>
  <c r="Q649" i="8" s="1"/>
  <c r="P521" i="8"/>
  <c r="R521" i="8" s="1"/>
  <c r="P491" i="8"/>
  <c r="R491" i="8" s="1"/>
  <c r="P489" i="8"/>
  <c r="R489" i="8" s="1"/>
  <c r="P813" i="8"/>
  <c r="Q813" i="8" s="1"/>
  <c r="P610" i="8"/>
  <c r="Q610" i="8" s="1"/>
  <c r="P808" i="8"/>
  <c r="Q808" i="8" s="1"/>
  <c r="P820" i="8"/>
  <c r="Q820" i="8" s="1"/>
  <c r="R542" i="8"/>
  <c r="Q542" i="8"/>
  <c r="P466" i="8"/>
  <c r="P492" i="8"/>
  <c r="P1021" i="8"/>
  <c r="P628" i="8"/>
  <c r="P1020" i="8"/>
  <c r="P711" i="8"/>
  <c r="P693" i="8"/>
  <c r="P652" i="8"/>
  <c r="P611" i="8"/>
  <c r="P715" i="8"/>
  <c r="P665" i="8"/>
  <c r="P589" i="8"/>
  <c r="P707" i="8"/>
  <c r="P1023" i="8"/>
  <c r="P1060" i="8"/>
  <c r="P1069" i="8"/>
  <c r="P706" i="8"/>
  <c r="P496" i="8"/>
  <c r="P618" i="8"/>
  <c r="P721" i="8"/>
  <c r="P493" i="8"/>
  <c r="P537" i="8"/>
  <c r="P541" i="8"/>
  <c r="P866" i="8"/>
  <c r="P495" i="8"/>
  <c r="P902" i="8"/>
  <c r="P714" i="8"/>
  <c r="P894" i="8"/>
  <c r="P587" i="8"/>
  <c r="P882" i="8"/>
  <c r="P1084" i="8"/>
  <c r="P1025" i="8"/>
  <c r="P806" i="8"/>
  <c r="P704" i="8"/>
  <c r="P532" i="8"/>
  <c r="R633" i="8"/>
  <c r="Q633" i="8"/>
  <c r="P596" i="8"/>
  <c r="P708" i="8"/>
  <c r="P500" i="8"/>
  <c r="P634" i="8"/>
  <c r="P1052" i="8"/>
  <c r="P700" i="8"/>
  <c r="R871" i="8"/>
  <c r="Q871" i="8"/>
  <c r="P1064" i="8"/>
  <c r="P624" i="8"/>
  <c r="P810" i="8"/>
  <c r="P834" i="8"/>
  <c r="R1087" i="8"/>
  <c r="Q1087" i="8"/>
  <c r="P666" i="8"/>
  <c r="P883" i="8"/>
  <c r="P648" i="8"/>
  <c r="Q529" i="8"/>
  <c r="R529" i="8"/>
  <c r="Q526" i="8"/>
  <c r="R526" i="8"/>
  <c r="R1066" i="8"/>
  <c r="Q1066" i="8"/>
  <c r="R603" i="8"/>
  <c r="Q603" i="8"/>
  <c r="Q631" i="8"/>
  <c r="R631" i="8"/>
  <c r="Q536" i="8"/>
  <c r="R536" i="8"/>
  <c r="R869" i="8"/>
  <c r="Q869" i="8"/>
  <c r="P701" i="8"/>
  <c r="R623" i="8"/>
  <c r="Q623" i="8"/>
  <c r="Q535" i="8"/>
  <c r="R535" i="8"/>
  <c r="Q682" i="8"/>
  <c r="R682" i="8"/>
  <c r="P1071" i="8"/>
  <c r="R830" i="8"/>
  <c r="P606" i="8"/>
  <c r="Q1078" i="8"/>
  <c r="R1078" i="8"/>
  <c r="P705" i="8"/>
  <c r="P543" i="8"/>
  <c r="P896" i="8"/>
  <c r="P674" i="8"/>
  <c r="P647" i="8"/>
  <c r="P683" i="8"/>
  <c r="P487" i="8"/>
  <c r="P709" i="8"/>
  <c r="P599" i="8"/>
  <c r="P870" i="8"/>
  <c r="R1077" i="8"/>
  <c r="R626" i="8"/>
  <c r="Q626" i="8"/>
  <c r="P828" i="8"/>
  <c r="R469" i="8"/>
  <c r="Q469" i="8"/>
  <c r="P669" i="8"/>
  <c r="P1022" i="8"/>
  <c r="Q832" i="8"/>
  <c r="P831" i="8"/>
  <c r="R673" i="8"/>
  <c r="R498" i="8"/>
  <c r="Q498" i="8"/>
  <c r="P702" i="8"/>
  <c r="P885" i="8"/>
  <c r="P600" i="8"/>
  <c r="R614" i="8"/>
  <c r="Q614" i="8"/>
  <c r="P1080" i="8"/>
  <c r="P1019" i="8"/>
  <c r="P812" i="8"/>
  <c r="P595" i="8"/>
  <c r="P672" i="8"/>
  <c r="P824" i="8"/>
  <c r="P661" i="8"/>
  <c r="P528" i="8"/>
  <c r="P550" i="8"/>
  <c r="P598" i="8"/>
  <c r="P525" i="8"/>
  <c r="P826" i="8"/>
  <c r="P690" i="8"/>
  <c r="P524" i="8"/>
  <c r="P695" i="8"/>
  <c r="P523" i="8"/>
  <c r="P825" i="8"/>
  <c r="P698" i="8"/>
  <c r="P620" i="8"/>
  <c r="P719" i="8"/>
  <c r="P1070" i="8"/>
  <c r="P617" i="8"/>
  <c r="P540" i="8"/>
  <c r="P591" i="8"/>
  <c r="P818" i="8"/>
  <c r="P833" i="8"/>
  <c r="R822" i="8"/>
  <c r="Q822" i="8"/>
  <c r="Q1074" i="8"/>
  <c r="P722" i="8"/>
  <c r="R538" i="8"/>
  <c r="Q538" i="8"/>
  <c r="R604" i="8"/>
  <c r="P691" i="8"/>
  <c r="P881" i="8"/>
  <c r="P694" i="8"/>
  <c r="P687" i="8"/>
  <c r="R544" i="8"/>
  <c r="Q544" i="8"/>
  <c r="P718" i="8"/>
  <c r="P699" i="8"/>
  <c r="P805" i="8"/>
  <c r="P697" i="8"/>
  <c r="P1072" i="8"/>
  <c r="R610" i="8"/>
  <c r="R497" i="8"/>
  <c r="Q1073" i="8"/>
  <c r="R1073" i="8"/>
  <c r="P632" i="8"/>
  <c r="P533" i="8"/>
  <c r="P1061" i="8"/>
  <c r="P1051" i="8"/>
  <c r="P817" i="8"/>
  <c r="P622" i="8"/>
  <c r="P585" i="8"/>
  <c r="P590" i="8"/>
  <c r="P803" i="8"/>
  <c r="P1050" i="8"/>
  <c r="P814" i="8"/>
  <c r="P621" i="8"/>
  <c r="P545" i="8"/>
  <c r="P609" i="8"/>
  <c r="P884" i="8"/>
  <c r="P531" i="8"/>
  <c r="P1063" i="8"/>
  <c r="P710" i="8"/>
  <c r="P659" i="8"/>
  <c r="P594" i="8"/>
  <c r="P720" i="8"/>
  <c r="P467" i="8"/>
  <c r="P874" i="8"/>
  <c r="P712" i="8"/>
  <c r="P653" i="8"/>
  <c r="P613" i="8"/>
  <c r="P546" i="8"/>
  <c r="P522" i="8"/>
  <c r="P703" i="8"/>
  <c r="P662" i="8"/>
  <c r="P1081" i="8"/>
  <c r="P696" i="8"/>
  <c r="P873" i="8"/>
  <c r="P660" i="8"/>
  <c r="P898" i="8"/>
  <c r="P608" i="8"/>
  <c r="P654" i="8"/>
  <c r="P607" i="8"/>
  <c r="P588" i="8"/>
  <c r="P670" i="8"/>
  <c r="P879" i="8"/>
  <c r="P1075" i="8"/>
  <c r="R899" i="8" l="1"/>
  <c r="R530" i="8"/>
  <c r="R813" i="8"/>
  <c r="Q821" i="8"/>
  <c r="Q804" i="8"/>
  <c r="R868" i="8"/>
  <c r="R539" i="8"/>
  <c r="R811" i="8"/>
  <c r="Q489" i="8"/>
  <c r="Q1083" i="8"/>
  <c r="R891" i="8"/>
  <c r="Q491" i="8"/>
  <c r="Q875" i="8"/>
  <c r="R592" i="8"/>
  <c r="R657" i="8"/>
  <c r="R820" i="8"/>
  <c r="R468" i="8"/>
  <c r="R717" i="8"/>
  <c r="R809" i="8"/>
  <c r="Q629" i="8"/>
  <c r="Q827" i="8"/>
  <c r="Q688" i="8"/>
  <c r="R878" i="8"/>
  <c r="Q668" i="8"/>
  <c r="R808" i="8"/>
  <c r="R601" i="8"/>
  <c r="R823" i="8"/>
  <c r="R692" i="8"/>
  <c r="R689" i="8"/>
  <c r="R627" i="8"/>
  <c r="Q872" i="8"/>
  <c r="Q521" i="8"/>
  <c r="R547" i="8"/>
  <c r="Q485" i="8"/>
  <c r="Q625" i="8"/>
  <c r="R1088" i="8"/>
  <c r="R597" i="8"/>
  <c r="R548" i="8"/>
  <c r="Q650" i="8"/>
  <c r="R1024" i="8"/>
  <c r="R649" i="8"/>
  <c r="Q656" i="8"/>
  <c r="R584" i="8"/>
  <c r="R488" i="8"/>
  <c r="R802" i="8"/>
  <c r="Q890" i="8"/>
  <c r="R501" i="8"/>
  <c r="Q880" i="8"/>
  <c r="Q602" i="8"/>
  <c r="Q534" i="8"/>
  <c r="Q651" i="8"/>
  <c r="Q877" i="8"/>
  <c r="P887" i="8"/>
  <c r="R887" i="8" s="1"/>
  <c r="R549" i="8"/>
  <c r="Q713" i="8"/>
  <c r="R527" i="8"/>
  <c r="Q664" i="8"/>
  <c r="Q829" i="8"/>
  <c r="Q1068" i="8"/>
  <c r="P900" i="8"/>
  <c r="Q900" i="8" s="1"/>
  <c r="R691" i="8"/>
  <c r="Q691" i="8"/>
  <c r="R1069" i="8"/>
  <c r="Q1069" i="8"/>
  <c r="R718" i="8"/>
  <c r="Q718" i="8"/>
  <c r="R674" i="8"/>
  <c r="Q674" i="8"/>
  <c r="Q495" i="8"/>
  <c r="R495" i="8"/>
  <c r="Q660" i="8"/>
  <c r="R660" i="8"/>
  <c r="Q1070" i="8"/>
  <c r="R1070" i="8"/>
  <c r="Q696" i="8"/>
  <c r="R696" i="8"/>
  <c r="R545" i="8"/>
  <c r="Q545" i="8"/>
  <c r="P1085" i="8"/>
  <c r="Q719" i="8"/>
  <c r="R719" i="8"/>
  <c r="Q528" i="8"/>
  <c r="R528" i="8"/>
  <c r="R1080" i="8"/>
  <c r="Q1080" i="8"/>
  <c r="Q1064" i="8"/>
  <c r="R1064" i="8"/>
  <c r="Q1025" i="8"/>
  <c r="R1025" i="8"/>
  <c r="R537" i="8"/>
  <c r="Q537" i="8"/>
  <c r="Q715" i="8"/>
  <c r="R715" i="8"/>
  <c r="Q613" i="8"/>
  <c r="R613" i="8"/>
  <c r="R500" i="8"/>
  <c r="Q500" i="8"/>
  <c r="R714" i="8"/>
  <c r="Q714" i="8"/>
  <c r="R1063" i="8"/>
  <c r="Q1063" i="8"/>
  <c r="Q596" i="8"/>
  <c r="R596" i="8"/>
  <c r="Q1021" i="8"/>
  <c r="R1021" i="8"/>
  <c r="R1072" i="8"/>
  <c r="Q1072" i="8"/>
  <c r="Q704" i="8"/>
  <c r="R704" i="8"/>
  <c r="R1019" i="8"/>
  <c r="Q1019" i="8"/>
  <c r="Q541" i="8"/>
  <c r="R541" i="8"/>
  <c r="Q1084" i="8"/>
  <c r="R1084" i="8"/>
  <c r="Q493" i="8"/>
  <c r="R493" i="8"/>
  <c r="R611" i="8"/>
  <c r="Q611" i="8"/>
  <c r="Q607" i="8"/>
  <c r="R607" i="8"/>
  <c r="Q585" i="8"/>
  <c r="R585" i="8"/>
  <c r="Q524" i="8"/>
  <c r="R524" i="8"/>
  <c r="R709" i="8"/>
  <c r="Q709" i="8"/>
  <c r="R648" i="8"/>
  <c r="Q648" i="8"/>
  <c r="R654" i="8"/>
  <c r="Q654" i="8"/>
  <c r="R710" i="8"/>
  <c r="Q710" i="8"/>
  <c r="R622" i="8"/>
  <c r="Q622" i="8"/>
  <c r="Q699" i="8"/>
  <c r="R699" i="8"/>
  <c r="P636" i="8"/>
  <c r="Q487" i="8"/>
  <c r="R487" i="8"/>
  <c r="Q708" i="8"/>
  <c r="R708" i="8"/>
  <c r="R712" i="8"/>
  <c r="Q712" i="8"/>
  <c r="R817" i="8"/>
  <c r="Q817" i="8"/>
  <c r="R826" i="8"/>
  <c r="Q826" i="8"/>
  <c r="R683" i="8"/>
  <c r="Q683" i="8"/>
  <c r="R898" i="8"/>
  <c r="Q898" i="8"/>
  <c r="R1051" i="8"/>
  <c r="Q1051" i="8"/>
  <c r="R883" i="8"/>
  <c r="Q883" i="8"/>
  <c r="Q467" i="8"/>
  <c r="R467" i="8"/>
  <c r="R598" i="8"/>
  <c r="Q598" i="8"/>
  <c r="R543" i="8"/>
  <c r="Q543" i="8"/>
  <c r="Q666" i="8"/>
  <c r="R666" i="8"/>
  <c r="Q873" i="8"/>
  <c r="R873" i="8"/>
  <c r="R550" i="8"/>
  <c r="Q550" i="8"/>
  <c r="P684" i="8"/>
  <c r="R1081" i="8"/>
  <c r="Q1081" i="8"/>
  <c r="R1061" i="8"/>
  <c r="Q1061" i="8"/>
  <c r="R687" i="8"/>
  <c r="Q687" i="8"/>
  <c r="R620" i="8"/>
  <c r="Q620" i="8"/>
  <c r="Q661" i="8"/>
  <c r="R661" i="8"/>
  <c r="Q834" i="8"/>
  <c r="R834" i="8"/>
  <c r="R1075" i="8"/>
  <c r="Q1075" i="8"/>
  <c r="Q662" i="8"/>
  <c r="R662" i="8"/>
  <c r="Q814" i="8"/>
  <c r="R814" i="8"/>
  <c r="Q533" i="8"/>
  <c r="R533" i="8"/>
  <c r="R694" i="8"/>
  <c r="Q694" i="8"/>
  <c r="Q698" i="8"/>
  <c r="R698" i="8"/>
  <c r="R824" i="8"/>
  <c r="Q824" i="8"/>
  <c r="R831" i="8"/>
  <c r="Q831" i="8"/>
  <c r="Q606" i="8"/>
  <c r="R606" i="8"/>
  <c r="Q810" i="8"/>
  <c r="R810" i="8"/>
  <c r="Q882" i="8"/>
  <c r="R882" i="8"/>
  <c r="Q721" i="8"/>
  <c r="R721" i="8"/>
  <c r="R652" i="8"/>
  <c r="Q652" i="8"/>
  <c r="Q669" i="8"/>
  <c r="R669" i="8"/>
  <c r="Q653" i="8"/>
  <c r="R653" i="8"/>
  <c r="Q690" i="8"/>
  <c r="R690" i="8"/>
  <c r="Q1060" i="8"/>
  <c r="R1060" i="8"/>
  <c r="Q902" i="8"/>
  <c r="R902" i="8"/>
  <c r="Q896" i="8"/>
  <c r="R896" i="8"/>
  <c r="Q707" i="8"/>
  <c r="R707" i="8"/>
  <c r="R866" i="8"/>
  <c r="Q866" i="8"/>
  <c r="R705" i="8"/>
  <c r="Q705" i="8"/>
  <c r="R466" i="8"/>
  <c r="Q466" i="8"/>
  <c r="Q621" i="8"/>
  <c r="R621" i="8"/>
  <c r="R697" i="8"/>
  <c r="Q697" i="8"/>
  <c r="R881" i="8"/>
  <c r="Q881" i="8"/>
  <c r="R825" i="8"/>
  <c r="Q825" i="8"/>
  <c r="Q672" i="8"/>
  <c r="R672" i="8"/>
  <c r="R600" i="8"/>
  <c r="Q600" i="8"/>
  <c r="R647" i="8"/>
  <c r="Q647" i="8"/>
  <c r="R700" i="8"/>
  <c r="Q700" i="8"/>
  <c r="Q587" i="8"/>
  <c r="R587" i="8"/>
  <c r="R618" i="8"/>
  <c r="Q618" i="8"/>
  <c r="Q693" i="8"/>
  <c r="R693" i="8"/>
  <c r="R659" i="8"/>
  <c r="Q659" i="8"/>
  <c r="P462" i="8"/>
  <c r="R531" i="8"/>
  <c r="Q531" i="8"/>
  <c r="R525" i="8"/>
  <c r="Q525" i="8"/>
  <c r="Q884" i="8"/>
  <c r="R884" i="8"/>
  <c r="Q492" i="8"/>
  <c r="R492" i="8"/>
  <c r="R609" i="8"/>
  <c r="Q609" i="8"/>
  <c r="Q722" i="8"/>
  <c r="R722" i="8"/>
  <c r="R828" i="8"/>
  <c r="Q828" i="8"/>
  <c r="R806" i="8"/>
  <c r="Q806" i="8"/>
  <c r="Q703" i="8"/>
  <c r="R703" i="8"/>
  <c r="R632" i="8"/>
  <c r="Q632" i="8"/>
  <c r="Q522" i="8"/>
  <c r="R522" i="8"/>
  <c r="R720" i="8"/>
  <c r="Q720" i="8"/>
  <c r="Q805" i="8"/>
  <c r="R805" i="8"/>
  <c r="Q833" i="8"/>
  <c r="R833" i="8"/>
  <c r="R523" i="8"/>
  <c r="Q523" i="8"/>
  <c r="Q595" i="8"/>
  <c r="R595" i="8"/>
  <c r="Q885" i="8"/>
  <c r="R885" i="8"/>
  <c r="R870" i="8"/>
  <c r="Q870" i="8"/>
  <c r="R701" i="8"/>
  <c r="Q701" i="8"/>
  <c r="R1052" i="8"/>
  <c r="Q1052" i="8"/>
  <c r="Q894" i="8"/>
  <c r="R894" i="8"/>
  <c r="Q496" i="8"/>
  <c r="R496" i="8"/>
  <c r="R711" i="8"/>
  <c r="Q711" i="8"/>
  <c r="R591" i="8"/>
  <c r="Q591" i="8"/>
  <c r="Q628" i="8"/>
  <c r="R628" i="8"/>
  <c r="R540" i="8"/>
  <c r="Q540" i="8"/>
  <c r="R608" i="8"/>
  <c r="Q608" i="8"/>
  <c r="R812" i="8"/>
  <c r="Q812" i="8"/>
  <c r="Q1023" i="8"/>
  <c r="R1023" i="8"/>
  <c r="Q874" i="8"/>
  <c r="R874" i="8"/>
  <c r="R532" i="8"/>
  <c r="Q532" i="8"/>
  <c r="R617" i="8"/>
  <c r="Q617" i="8"/>
  <c r="Q589" i="8"/>
  <c r="R589" i="8"/>
  <c r="R665" i="8"/>
  <c r="Q665" i="8"/>
  <c r="R879" i="8"/>
  <c r="Q879" i="8"/>
  <c r="Q1050" i="8"/>
  <c r="R1050" i="8"/>
  <c r="Q670" i="8"/>
  <c r="R670" i="8"/>
  <c r="R803" i="8"/>
  <c r="Q803" i="8"/>
  <c r="R588" i="8"/>
  <c r="Q588" i="8"/>
  <c r="Q546" i="8"/>
  <c r="R546" i="8"/>
  <c r="Q594" i="8"/>
  <c r="R594" i="8"/>
  <c r="Q590" i="8"/>
  <c r="R590" i="8"/>
  <c r="R818" i="8"/>
  <c r="Q818" i="8"/>
  <c r="Q695" i="8"/>
  <c r="R695" i="8"/>
  <c r="Q702" i="8"/>
  <c r="R702" i="8"/>
  <c r="R1022" i="8"/>
  <c r="Q1022" i="8"/>
  <c r="R599" i="8"/>
  <c r="Q599" i="8"/>
  <c r="R1071" i="8"/>
  <c r="Q1071" i="8"/>
  <c r="Q624" i="8"/>
  <c r="R624" i="8"/>
  <c r="R634" i="8"/>
  <c r="Q634" i="8"/>
  <c r="R706" i="8"/>
  <c r="Q706" i="8"/>
  <c r="Q1020" i="8"/>
  <c r="R1020" i="8"/>
  <c r="Q887" i="8" l="1"/>
  <c r="R900" i="8"/>
  <c r="P465" i="8"/>
  <c r="Q465" i="8" s="1"/>
  <c r="P459" i="8"/>
  <c r="P464" i="8"/>
  <c r="Q464" i="8" s="1"/>
  <c r="Q459" i="8"/>
  <c r="R459" i="8"/>
  <c r="P463" i="8"/>
  <c r="R462" i="8"/>
  <c r="Q462" i="8"/>
  <c r="P460" i="8"/>
  <c r="P461" i="8"/>
  <c r="Q1085" i="8"/>
  <c r="R1085" i="8"/>
  <c r="P458" i="8"/>
  <c r="R684" i="8"/>
  <c r="Q684" i="8"/>
  <c r="Q636" i="8"/>
  <c r="R636" i="8"/>
  <c r="R465" i="8" l="1"/>
  <c r="R464" i="8"/>
  <c r="R461" i="8"/>
  <c r="Q461" i="8"/>
  <c r="R460" i="8"/>
  <c r="Q460" i="8"/>
  <c r="P503" i="8"/>
  <c r="Q458" i="8"/>
  <c r="R458" i="8"/>
  <c r="R463" i="8"/>
  <c r="Q463" i="8"/>
  <c r="R503" i="8" l="1"/>
  <c r="Q503" i="8"/>
  <c r="P1106" i="8" l="1"/>
  <c r="P1108" i="8"/>
  <c r="P1107" i="8"/>
  <c r="P1104" i="8" l="1"/>
  <c r="Q1107" i="8"/>
  <c r="R1107" i="8"/>
  <c r="Q1108" i="8"/>
  <c r="R1108" i="8"/>
  <c r="Q1106" i="8"/>
  <c r="R1106" i="8"/>
  <c r="P1103" i="8"/>
  <c r="P1102" i="8"/>
  <c r="P1109" i="8" l="1"/>
  <c r="Q1104" i="8"/>
  <c r="R1104" i="8"/>
  <c r="R1109" i="8"/>
  <c r="Q1109" i="8"/>
  <c r="R1103" i="8"/>
  <c r="Q1103" i="8"/>
  <c r="R1102" i="8"/>
  <c r="Q1102" i="8"/>
  <c r="P1097" i="8" l="1"/>
  <c r="P1096" i="8"/>
  <c r="R1096" i="8" l="1"/>
  <c r="Q1096" i="8"/>
  <c r="P1098" i="8"/>
  <c r="R1097" i="8"/>
  <c r="Q1097" i="8"/>
  <c r="P1014" i="8"/>
  <c r="P1094" i="8"/>
  <c r="P1095" i="8"/>
  <c r="P1093" i="8"/>
  <c r="P1012" i="8"/>
  <c r="P1092" i="8"/>
  <c r="P1091" i="8"/>
  <c r="P1004" i="8" l="1"/>
  <c r="P419" i="8"/>
  <c r="R1093" i="8"/>
  <c r="Q1093" i="8"/>
  <c r="Q1094" i="8"/>
  <c r="R1094" i="8"/>
  <c r="P340" i="8"/>
  <c r="P381" i="8"/>
  <c r="P441" i="8"/>
  <c r="P908" i="8"/>
  <c r="P939" i="8"/>
  <c r="P988" i="8"/>
  <c r="P323" i="8"/>
  <c r="P993" i="8"/>
  <c r="P984" i="8"/>
  <c r="P400" i="8"/>
  <c r="P438" i="8"/>
  <c r="P911" i="8"/>
  <c r="P989" i="8"/>
  <c r="P341" i="8"/>
  <c r="P448" i="8"/>
  <c r="P261" i="8"/>
  <c r="P391" i="8"/>
  <c r="P446" i="8"/>
  <c r="P915" i="8"/>
  <c r="P263" i="8"/>
  <c r="P985" i="8"/>
  <c r="P439" i="8"/>
  <c r="P244" i="8"/>
  <c r="P374" i="8"/>
  <c r="R1098" i="8"/>
  <c r="Q1098" i="8"/>
  <c r="P331" i="8"/>
  <c r="P932" i="8"/>
  <c r="P375" i="8"/>
  <c r="P396" i="8"/>
  <c r="R1092" i="8"/>
  <c r="Q1092" i="8"/>
  <c r="R1095" i="8"/>
  <c r="Q1095" i="8"/>
  <c r="P983" i="8"/>
  <c r="P336" i="8"/>
  <c r="R1012" i="8"/>
  <c r="Q1012" i="8"/>
  <c r="P982" i="8"/>
  <c r="Q1014" i="8"/>
  <c r="R1014" i="8"/>
  <c r="P1002" i="8"/>
  <c r="R1002" i="8" s="1"/>
  <c r="P1099" i="8"/>
  <c r="P981" i="8"/>
  <c r="P999" i="8"/>
  <c r="R1091" i="8"/>
  <c r="Q1091" i="8"/>
  <c r="P1009" i="8"/>
  <c r="P998" i="8"/>
  <c r="P1003" i="8"/>
  <c r="P1008" i="8"/>
  <c r="P1000" i="8"/>
  <c r="P1010" i="8"/>
  <c r="Q1004" i="8"/>
  <c r="R1004" i="8"/>
  <c r="P1005" i="8"/>
  <c r="P1007" i="8"/>
  <c r="P1001" i="8"/>
  <c r="P268" i="8" l="1"/>
  <c r="P273" i="8"/>
  <c r="P951" i="8"/>
  <c r="P950" i="8"/>
  <c r="P927" i="8"/>
  <c r="P437" i="8"/>
  <c r="R437" i="8" s="1"/>
  <c r="P389" i="8"/>
  <c r="R389" i="8" s="1"/>
  <c r="P259" i="8"/>
  <c r="R259" i="8" s="1"/>
  <c r="P959" i="8"/>
  <c r="R959" i="8" s="1"/>
  <c r="P447" i="8"/>
  <c r="Q447" i="8" s="1"/>
  <c r="P907" i="8"/>
  <c r="R907" i="8" s="1"/>
  <c r="P252" i="8"/>
  <c r="R252" i="8" s="1"/>
  <c r="P924" i="8"/>
  <c r="P250" i="8"/>
  <c r="P914" i="8"/>
  <c r="P334" i="8"/>
  <c r="R334" i="8" s="1"/>
  <c r="P315" i="8"/>
  <c r="P440" i="8"/>
  <c r="R440" i="8" s="1"/>
  <c r="P946" i="8"/>
  <c r="Q946" i="8" s="1"/>
  <c r="P990" i="8"/>
  <c r="R990" i="8" s="1"/>
  <c r="P413" i="8"/>
  <c r="R413" i="8" s="1"/>
  <c r="P245" i="8"/>
  <c r="R245" i="8" s="1"/>
  <c r="P930" i="8"/>
  <c r="R930" i="8" s="1"/>
  <c r="P380" i="8"/>
  <c r="Q380" i="8" s="1"/>
  <c r="P308" i="8"/>
  <c r="Q308" i="8" s="1"/>
  <c r="P382" i="8"/>
  <c r="R382" i="8" s="1"/>
  <c r="P390" i="8"/>
  <c r="R390" i="8" s="1"/>
  <c r="P314" i="8"/>
  <c r="Q314" i="8" s="1"/>
  <c r="P938" i="8"/>
  <c r="Q938" i="8" s="1"/>
  <c r="P970" i="8"/>
  <c r="Q970" i="8" s="1"/>
  <c r="P317" i="8"/>
  <c r="Q317" i="8" s="1"/>
  <c r="P393" i="8"/>
  <c r="R393" i="8" s="1"/>
  <c r="P933" i="8"/>
  <c r="R933" i="8" s="1"/>
  <c r="P408" i="8"/>
  <c r="R408" i="8" s="1"/>
  <c r="P253" i="8"/>
  <c r="R253" i="8" s="1"/>
  <c r="P940" i="8"/>
  <c r="Q940" i="8" s="1"/>
  <c r="P976" i="8"/>
  <c r="R976" i="8" s="1"/>
  <c r="P723" i="3"/>
  <c r="Q273" i="8"/>
  <c r="R273" i="8"/>
  <c r="R268" i="8"/>
  <c r="Q268" i="8"/>
  <c r="Q396" i="8"/>
  <c r="R396" i="8"/>
  <c r="Q393" i="8"/>
  <c r="Q334" i="8"/>
  <c r="R375" i="8"/>
  <c r="Q375" i="8"/>
  <c r="Q419" i="8"/>
  <c r="R419" i="8"/>
  <c r="Q981" i="8"/>
  <c r="R981" i="8"/>
  <c r="P934" i="8"/>
  <c r="P258" i="8"/>
  <c r="P406" i="8"/>
  <c r="P330" i="8"/>
  <c r="P306" i="8"/>
  <c r="P423" i="8"/>
  <c r="P332" i="8"/>
  <c r="P275" i="8"/>
  <c r="P249" i="8"/>
  <c r="Q989" i="8"/>
  <c r="R989" i="8"/>
  <c r="P921" i="8"/>
  <c r="P399" i="8"/>
  <c r="P310" i="8"/>
  <c r="P328" i="8"/>
  <c r="P957" i="8"/>
  <c r="R957" i="8" s="1"/>
  <c r="Q1099" i="8"/>
  <c r="R1099" i="8"/>
  <c r="P919" i="8"/>
  <c r="P397" i="8"/>
  <c r="P260" i="8"/>
  <c r="P449" i="8"/>
  <c r="P264" i="8"/>
  <c r="P971" i="8"/>
  <c r="P967" i="8"/>
  <c r="P394" i="8"/>
  <c r="P312" i="8"/>
  <c r="P964" i="8"/>
  <c r="P411" i="8"/>
  <c r="P270" i="8"/>
  <c r="P452" i="8"/>
  <c r="P322" i="8"/>
  <c r="P403" i="8"/>
  <c r="P994" i="8"/>
  <c r="P454" i="8"/>
  <c r="R908" i="8"/>
  <c r="Q908" i="8"/>
  <c r="P324" i="8"/>
  <c r="P274" i="8"/>
  <c r="P442" i="8"/>
  <c r="P335" i="8"/>
  <c r="P925" i="8"/>
  <c r="P255" i="8"/>
  <c r="R939" i="8"/>
  <c r="Q939" i="8"/>
  <c r="P402" i="8"/>
  <c r="Q315" i="8"/>
  <c r="R315" i="8"/>
  <c r="R308" i="8"/>
  <c r="Q382" i="8"/>
  <c r="Q924" i="8"/>
  <c r="R924" i="8"/>
  <c r="Q250" i="8"/>
  <c r="R250" i="8"/>
  <c r="Q914" i="8"/>
  <c r="R914" i="8"/>
  <c r="Q336" i="8"/>
  <c r="R336" i="8"/>
  <c r="P278" i="8"/>
  <c r="P926" i="8"/>
  <c r="P972" i="8"/>
  <c r="Q988" i="8"/>
  <c r="R988" i="8"/>
  <c r="P916" i="8"/>
  <c r="P386" i="8"/>
  <c r="P326" i="8"/>
  <c r="P388" i="8"/>
  <c r="P338" i="8"/>
  <c r="R263" i="8"/>
  <c r="Q263" i="8"/>
  <c r="P928" i="8"/>
  <c r="Q911" i="8"/>
  <c r="R911" i="8"/>
  <c r="P421" i="8"/>
  <c r="P392" i="8"/>
  <c r="P269" i="8"/>
  <c r="P378" i="8"/>
  <c r="P977" i="8"/>
  <c r="P254" i="8"/>
  <c r="Q932" i="8"/>
  <c r="R932" i="8"/>
  <c r="Q374" i="8"/>
  <c r="R374" i="8"/>
  <c r="R985" i="8"/>
  <c r="Q985" i="8"/>
  <c r="P373" i="8"/>
  <c r="R915" i="8"/>
  <c r="Q915" i="8"/>
  <c r="P941" i="8"/>
  <c r="R400" i="8"/>
  <c r="Q400" i="8"/>
  <c r="P329" i="8"/>
  <c r="P307" i="8"/>
  <c r="Q982" i="8"/>
  <c r="R982" i="8"/>
  <c r="P912" i="8"/>
  <c r="P404" i="8"/>
  <c r="R983" i="8"/>
  <c r="Q983" i="8"/>
  <c r="P918" i="8"/>
  <c r="P407" i="8"/>
  <c r="R323" i="8"/>
  <c r="Q323" i="8"/>
  <c r="P246" i="8"/>
  <c r="P385" i="8"/>
  <c r="P931" i="8"/>
  <c r="P320" i="8"/>
  <c r="P266" i="8"/>
  <c r="P271" i="8"/>
  <c r="P243" i="8"/>
  <c r="P327" i="8"/>
  <c r="P398" i="8"/>
  <c r="Q984" i="8"/>
  <c r="R984" i="8"/>
  <c r="P262" i="8"/>
  <c r="P311" i="8"/>
  <c r="P453" i="8"/>
  <c r="P272" i="8"/>
  <c r="R439" i="8"/>
  <c r="Q439" i="8"/>
  <c r="P969" i="8"/>
  <c r="Q1002" i="8"/>
  <c r="Q244" i="8"/>
  <c r="R244" i="8"/>
  <c r="Q446" i="8"/>
  <c r="R446" i="8"/>
  <c r="Q391" i="8"/>
  <c r="R391" i="8"/>
  <c r="R261" i="8"/>
  <c r="Q261" i="8"/>
  <c r="Q448" i="8"/>
  <c r="R448" i="8"/>
  <c r="R341" i="8"/>
  <c r="Q341" i="8"/>
  <c r="Q993" i="8"/>
  <c r="R993" i="8"/>
  <c r="P417" i="8"/>
  <c r="R381" i="8"/>
  <c r="Q381" i="8"/>
  <c r="Q927" i="8"/>
  <c r="R927" i="8"/>
  <c r="P966" i="8"/>
  <c r="P415" i="8"/>
  <c r="P909" i="8"/>
  <c r="Q331" i="8"/>
  <c r="R331" i="8"/>
  <c r="Q340" i="8"/>
  <c r="R340" i="8"/>
  <c r="P968" i="8"/>
  <c r="P418" i="8"/>
  <c r="P376" i="8"/>
  <c r="P339" i="8"/>
  <c r="P383" i="8"/>
  <c r="P451" i="8"/>
  <c r="P251" i="8"/>
  <c r="P412" i="8"/>
  <c r="P318" i="8"/>
  <c r="P333" i="8"/>
  <c r="P401" i="8"/>
  <c r="P445" i="8"/>
  <c r="P257" i="8"/>
  <c r="P410" i="8"/>
  <c r="P920" i="8"/>
  <c r="P913" i="8"/>
  <c r="P384" i="8"/>
  <c r="P975" i="8"/>
  <c r="P910" i="8"/>
  <c r="Q441" i="8"/>
  <c r="R441" i="8"/>
  <c r="P414" i="8"/>
  <c r="P321" i="8"/>
  <c r="P267" i="8"/>
  <c r="Q438" i="8"/>
  <c r="R438" i="8"/>
  <c r="P443" i="8"/>
  <c r="P917" i="8"/>
  <c r="P973" i="8"/>
  <c r="P313" i="8"/>
  <c r="P444" i="8"/>
  <c r="P337" i="8"/>
  <c r="P319" i="8"/>
  <c r="P379" i="8"/>
  <c r="P422" i="8"/>
  <c r="P277" i="8"/>
  <c r="P450" i="8"/>
  <c r="P325" i="8"/>
  <c r="P256" i="8"/>
  <c r="P929" i="8"/>
  <c r="R998" i="8"/>
  <c r="Q998" i="8"/>
  <c r="Q1007" i="8"/>
  <c r="R1007" i="8"/>
  <c r="P952" i="8"/>
  <c r="R1003" i="8"/>
  <c r="Q1003" i="8"/>
  <c r="R951" i="8"/>
  <c r="Q951" i="8"/>
  <c r="Q1009" i="8"/>
  <c r="R1009" i="8"/>
  <c r="R999" i="8"/>
  <c r="Q999" i="8"/>
  <c r="P945" i="8"/>
  <c r="Q1010" i="8"/>
  <c r="R1010" i="8"/>
  <c r="P955" i="8"/>
  <c r="R1005" i="8"/>
  <c r="Q1005" i="8"/>
  <c r="R950" i="8"/>
  <c r="Q950" i="8"/>
  <c r="P947" i="8"/>
  <c r="P954" i="8"/>
  <c r="P956" i="8"/>
  <c r="R1000" i="8"/>
  <c r="Q1000" i="8"/>
  <c r="R1001" i="8"/>
  <c r="Q1001" i="8"/>
  <c r="Q1008" i="8"/>
  <c r="R1008" i="8"/>
  <c r="P906" i="8"/>
  <c r="R906" i="8" s="1"/>
  <c r="Q930" i="8" l="1"/>
  <c r="Q245" i="8"/>
  <c r="Q933" i="8"/>
  <c r="Q389" i="8"/>
  <c r="Q437" i="8"/>
  <c r="R938" i="8"/>
  <c r="Q413" i="8"/>
  <c r="Q990" i="8"/>
  <c r="R946" i="8"/>
  <c r="Q959" i="8"/>
  <c r="Q252" i="8"/>
  <c r="R447" i="8"/>
  <c r="Q253" i="8"/>
  <c r="Q440" i="8"/>
  <c r="P936" i="8"/>
  <c r="Q936" i="8" s="1"/>
  <c r="R317" i="8"/>
  <c r="Q259" i="8"/>
  <c r="Q907" i="8"/>
  <c r="P922" i="8"/>
  <c r="Q922" i="8" s="1"/>
  <c r="R970" i="8"/>
  <c r="Q976" i="8"/>
  <c r="R940" i="8"/>
  <c r="P435" i="8"/>
  <c r="Q435" i="8" s="1"/>
  <c r="R380" i="8"/>
  <c r="Q408" i="8"/>
  <c r="R314" i="8"/>
  <c r="Q390" i="8"/>
  <c r="Q723" i="3"/>
  <c r="R723" i="3"/>
  <c r="Q325" i="8"/>
  <c r="R325" i="8"/>
  <c r="R412" i="8"/>
  <c r="Q412" i="8"/>
  <c r="R909" i="8"/>
  <c r="Q909" i="8"/>
  <c r="Q931" i="8"/>
  <c r="R931" i="8"/>
  <c r="R335" i="8"/>
  <c r="Q335" i="8"/>
  <c r="R452" i="8"/>
  <c r="Q452" i="8"/>
  <c r="R919" i="8"/>
  <c r="Q919" i="8"/>
  <c r="Q957" i="8"/>
  <c r="Q450" i="8"/>
  <c r="R450" i="8"/>
  <c r="Q251" i="8"/>
  <c r="R251" i="8"/>
  <c r="R415" i="8"/>
  <c r="Q415" i="8"/>
  <c r="Q385" i="8"/>
  <c r="R385" i="8"/>
  <c r="R307" i="8"/>
  <c r="Q307" i="8"/>
  <c r="Q928" i="8"/>
  <c r="R928" i="8"/>
  <c r="R972" i="8"/>
  <c r="Q972" i="8"/>
  <c r="R442" i="8"/>
  <c r="Q442" i="8"/>
  <c r="R270" i="8"/>
  <c r="Q270" i="8"/>
  <c r="R249" i="8"/>
  <c r="Q249" i="8"/>
  <c r="Q277" i="8"/>
  <c r="R277" i="8"/>
  <c r="R267" i="8"/>
  <c r="Q267" i="8"/>
  <c r="R451" i="8"/>
  <c r="Q451" i="8"/>
  <c r="Q966" i="8"/>
  <c r="R966" i="8"/>
  <c r="P942" i="8"/>
  <c r="Q246" i="8"/>
  <c r="R246" i="8"/>
  <c r="Q329" i="8"/>
  <c r="R329" i="8"/>
  <c r="Q926" i="8"/>
  <c r="R926" i="8"/>
  <c r="R274" i="8"/>
  <c r="Q274" i="8"/>
  <c r="Q411" i="8"/>
  <c r="R411" i="8"/>
  <c r="R275" i="8"/>
  <c r="Q275" i="8"/>
  <c r="Q321" i="8"/>
  <c r="R321" i="8"/>
  <c r="R977" i="8"/>
  <c r="Q977" i="8"/>
  <c r="Q423" i="8"/>
  <c r="R423" i="8"/>
  <c r="Q319" i="8"/>
  <c r="R319" i="8"/>
  <c r="R376" i="8"/>
  <c r="Q376" i="8"/>
  <c r="Q407" i="8"/>
  <c r="R407" i="8"/>
  <c r="Q388" i="8"/>
  <c r="R388" i="8"/>
  <c r="Q337" i="8"/>
  <c r="R337" i="8"/>
  <c r="R418" i="8"/>
  <c r="Q418" i="8"/>
  <c r="R918" i="8"/>
  <c r="Q918" i="8"/>
  <c r="R326" i="8"/>
  <c r="Q326" i="8"/>
  <c r="Q967" i="8"/>
  <c r="R967" i="8"/>
  <c r="R968" i="8"/>
  <c r="Q968" i="8"/>
  <c r="R327" i="8"/>
  <c r="Q327" i="8"/>
  <c r="R386" i="8"/>
  <c r="Q386" i="8"/>
  <c r="Q402" i="8"/>
  <c r="R402" i="8"/>
  <c r="R971" i="8"/>
  <c r="Q971" i="8"/>
  <c r="R328" i="8"/>
  <c r="Q328" i="8"/>
  <c r="Q406" i="8"/>
  <c r="R406" i="8"/>
  <c r="R383" i="8"/>
  <c r="Q383" i="8"/>
  <c r="Q262" i="8"/>
  <c r="R262" i="8"/>
  <c r="R254" i="8"/>
  <c r="Q254" i="8"/>
  <c r="Q324" i="8"/>
  <c r="R324" i="8"/>
  <c r="Q964" i="8"/>
  <c r="R964" i="8"/>
  <c r="R913" i="8"/>
  <c r="Q913" i="8"/>
  <c r="Q313" i="8"/>
  <c r="R313" i="8"/>
  <c r="R975" i="8"/>
  <c r="Q975" i="8"/>
  <c r="R445" i="8"/>
  <c r="Q445" i="8"/>
  <c r="R272" i="8"/>
  <c r="Q272" i="8"/>
  <c r="R243" i="8"/>
  <c r="Q243" i="8"/>
  <c r="R373" i="8"/>
  <c r="Q373" i="8"/>
  <c r="Q269" i="8"/>
  <c r="R269" i="8"/>
  <c r="Q916" i="8"/>
  <c r="R916" i="8"/>
  <c r="R454" i="8"/>
  <c r="Q454" i="8"/>
  <c r="R264" i="8"/>
  <c r="Q264" i="8"/>
  <c r="R310" i="8"/>
  <c r="Q310" i="8"/>
  <c r="R258" i="8"/>
  <c r="Q258" i="8"/>
  <c r="Q973" i="8"/>
  <c r="R973" i="8"/>
  <c r="R384" i="8"/>
  <c r="Q384" i="8"/>
  <c r="R401" i="8"/>
  <c r="Q401" i="8"/>
  <c r="Q453" i="8"/>
  <c r="R453" i="8"/>
  <c r="R271" i="8"/>
  <c r="Q271" i="8"/>
  <c r="Q404" i="8"/>
  <c r="R404" i="8"/>
  <c r="Q392" i="8"/>
  <c r="R392" i="8"/>
  <c r="Q994" i="8"/>
  <c r="R994" i="8"/>
  <c r="Q449" i="8"/>
  <c r="R449" i="8"/>
  <c r="Q399" i="8"/>
  <c r="R399" i="8"/>
  <c r="R934" i="8"/>
  <c r="Q934" i="8"/>
  <c r="R414" i="8"/>
  <c r="Q414" i="8"/>
  <c r="R969" i="8"/>
  <c r="Q969" i="8"/>
  <c r="R941" i="8"/>
  <c r="Q941" i="8"/>
  <c r="Q394" i="8"/>
  <c r="R394" i="8"/>
  <c r="R330" i="8"/>
  <c r="Q330" i="8"/>
  <c r="Q910" i="8"/>
  <c r="R910" i="8"/>
  <c r="R417" i="8"/>
  <c r="Q417" i="8"/>
  <c r="R929" i="8"/>
  <c r="Q929" i="8"/>
  <c r="Q917" i="8"/>
  <c r="R917" i="8"/>
  <c r="Q333" i="8"/>
  <c r="R333" i="8"/>
  <c r="R311" i="8"/>
  <c r="Q311" i="8"/>
  <c r="Q266" i="8"/>
  <c r="R266" i="8"/>
  <c r="Q912" i="8"/>
  <c r="R912" i="8"/>
  <c r="R421" i="8"/>
  <c r="Q421" i="8"/>
  <c r="Q255" i="8"/>
  <c r="R255" i="8"/>
  <c r="R403" i="8"/>
  <c r="Q403" i="8"/>
  <c r="Q260" i="8"/>
  <c r="R260" i="8"/>
  <c r="Q921" i="8"/>
  <c r="R921" i="8"/>
  <c r="R422" i="8"/>
  <c r="Q422" i="8"/>
  <c r="R278" i="8"/>
  <c r="Q278" i="8"/>
  <c r="R332" i="8"/>
  <c r="Q332" i="8"/>
  <c r="R379" i="8"/>
  <c r="Q379" i="8"/>
  <c r="R339" i="8"/>
  <c r="Q339" i="8"/>
  <c r="Q338" i="8"/>
  <c r="R338" i="8"/>
  <c r="Q312" i="8"/>
  <c r="R312" i="8"/>
  <c r="R920" i="8"/>
  <c r="Q920" i="8"/>
  <c r="Q306" i="8"/>
  <c r="R306" i="8"/>
  <c r="Q410" i="8"/>
  <c r="R410" i="8"/>
  <c r="R398" i="8"/>
  <c r="Q398" i="8"/>
  <c r="Q444" i="8"/>
  <c r="R444" i="8"/>
  <c r="Q257" i="8"/>
  <c r="R257" i="8"/>
  <c r="R378" i="8"/>
  <c r="Q378" i="8"/>
  <c r="R256" i="8"/>
  <c r="Q256" i="8"/>
  <c r="Q443" i="8"/>
  <c r="R443" i="8"/>
  <c r="R318" i="8"/>
  <c r="Q318" i="8"/>
  <c r="R320" i="8"/>
  <c r="Q320" i="8"/>
  <c r="R925" i="8"/>
  <c r="Q925" i="8"/>
  <c r="Q322" i="8"/>
  <c r="R322" i="8"/>
  <c r="R397" i="8"/>
  <c r="Q397" i="8"/>
  <c r="R955" i="8"/>
  <c r="Q955" i="8"/>
  <c r="R952" i="8"/>
  <c r="Q952" i="8"/>
  <c r="R956" i="8"/>
  <c r="Q956" i="8"/>
  <c r="R947" i="8"/>
  <c r="Q947" i="8"/>
  <c r="R945" i="8"/>
  <c r="Q945" i="8"/>
  <c r="R954" i="8"/>
  <c r="Q954" i="8"/>
  <c r="R1110" i="8"/>
  <c r="Q906" i="8"/>
  <c r="R435" i="8" l="1"/>
  <c r="R922" i="8"/>
  <c r="R936" i="8"/>
  <c r="P229" i="8"/>
  <c r="P102" i="8"/>
  <c r="Q102" i="8" s="1"/>
  <c r="P101" i="8"/>
  <c r="Q101" i="8" s="1"/>
  <c r="P235" i="8"/>
  <c r="R235" i="8" s="1"/>
  <c r="P176" i="8"/>
  <c r="Q176" i="8" s="1"/>
  <c r="P237" i="8"/>
  <c r="R237" i="8" s="1"/>
  <c r="P230" i="8"/>
  <c r="Q230" i="8" s="1"/>
  <c r="P174" i="8"/>
  <c r="R174" i="8" s="1"/>
  <c r="P175" i="8"/>
  <c r="R175" i="8" s="1"/>
  <c r="P105" i="8"/>
  <c r="Q105" i="8" s="1"/>
  <c r="P238" i="8"/>
  <c r="R238" i="8" s="1"/>
  <c r="P186" i="8"/>
  <c r="Q186" i="8" s="1"/>
  <c r="P177" i="8"/>
  <c r="Q177" i="8"/>
  <c r="R177" i="8"/>
  <c r="P236" i="8"/>
  <c r="P239" i="8"/>
  <c r="R229" i="8"/>
  <c r="Q229" i="8"/>
  <c r="P206" i="8"/>
  <c r="Q942" i="8"/>
  <c r="R942" i="8"/>
  <c r="P190" i="8"/>
  <c r="P104" i="8"/>
  <c r="P103" i="8"/>
  <c r="R101" i="8"/>
  <c r="P112" i="8"/>
  <c r="P106" i="8"/>
  <c r="P108" i="8"/>
  <c r="Q1110" i="8"/>
  <c r="R230" i="8" l="1"/>
  <c r="Q235" i="8"/>
  <c r="R102" i="8"/>
  <c r="R176" i="8"/>
  <c r="Q237" i="8"/>
  <c r="Q174" i="8"/>
  <c r="Q175" i="8"/>
  <c r="R105" i="8"/>
  <c r="Q238" i="8"/>
  <c r="R186" i="8"/>
  <c r="Q108" i="8"/>
  <c r="R108" i="8"/>
  <c r="Q106" i="8"/>
  <c r="R106" i="8"/>
  <c r="Q206" i="8"/>
  <c r="R206" i="8"/>
  <c r="R112" i="8"/>
  <c r="Q112" i="8"/>
  <c r="Q239" i="8"/>
  <c r="R239" i="8"/>
  <c r="Q236" i="8"/>
  <c r="R236" i="8"/>
  <c r="P199" i="8"/>
  <c r="P202" i="8"/>
  <c r="P196" i="8"/>
  <c r="Q190" i="8"/>
  <c r="R190" i="8"/>
  <c r="R103" i="8"/>
  <c r="Q103" i="8"/>
  <c r="Q104" i="8"/>
  <c r="R104" i="8"/>
  <c r="P205" i="8" l="1"/>
  <c r="P204" i="8"/>
  <c r="P193" i="8"/>
  <c r="P19" i="8"/>
  <c r="Q193" i="8"/>
  <c r="R193" i="8"/>
  <c r="P203" i="8"/>
  <c r="P201" i="8"/>
  <c r="Q202" i="8"/>
  <c r="R202" i="8"/>
  <c r="P82" i="8"/>
  <c r="Q205" i="8"/>
  <c r="R205" i="8"/>
  <c r="Q199" i="8"/>
  <c r="R199" i="8"/>
  <c r="P198" i="8"/>
  <c r="P81" i="8"/>
  <c r="P69" i="8"/>
  <c r="P23" i="8"/>
  <c r="P95" i="8"/>
  <c r="Q196" i="8"/>
  <c r="R196" i="8"/>
  <c r="P80" i="8"/>
  <c r="P200" i="8"/>
  <c r="P195" i="8"/>
  <c r="R204" i="8"/>
  <c r="Q204" i="8"/>
  <c r="P197" i="8"/>
  <c r="P22" i="8" l="1"/>
  <c r="P20" i="8"/>
  <c r="R20" i="8" s="1"/>
  <c r="P25" i="8"/>
  <c r="Q25" i="8" s="1"/>
  <c r="P21" i="8"/>
  <c r="Q21" i="8" s="1"/>
  <c r="P99" i="8"/>
  <c r="Q99" i="8" s="1"/>
  <c r="P30" i="8"/>
  <c r="R30" i="8" s="1"/>
  <c r="P68" i="8"/>
  <c r="Q68" i="8" s="1"/>
  <c r="P97" i="8"/>
  <c r="Q97" i="8" s="1"/>
  <c r="P56" i="8"/>
  <c r="Q56" i="8" s="1"/>
  <c r="P159" i="8"/>
  <c r="R159" i="8" s="1"/>
  <c r="P797" i="3"/>
  <c r="P800" i="3"/>
  <c r="Q20" i="8"/>
  <c r="P100" i="8"/>
  <c r="P83" i="8"/>
  <c r="P90" i="8"/>
  <c r="P24" i="8"/>
  <c r="P70" i="8"/>
  <c r="P75" i="8"/>
  <c r="P27" i="8"/>
  <c r="P241" i="8"/>
  <c r="P18" i="8"/>
  <c r="P58" i="8"/>
  <c r="Q203" i="8"/>
  <c r="R203" i="8"/>
  <c r="P98" i="8"/>
  <c r="Q81" i="8"/>
  <c r="R81" i="8"/>
  <c r="P91" i="8"/>
  <c r="P57" i="8"/>
  <c r="P79" i="8"/>
  <c r="R200" i="8"/>
  <c r="Q200" i="8"/>
  <c r="P85" i="8"/>
  <c r="P154" i="8"/>
  <c r="P92" i="8"/>
  <c r="P93" i="8"/>
  <c r="P26" i="8"/>
  <c r="Q69" i="8"/>
  <c r="R69" i="8"/>
  <c r="P73" i="8"/>
  <c r="Q95" i="8"/>
  <c r="R95" i="8"/>
  <c r="Q19" i="8"/>
  <c r="R19" i="8"/>
  <c r="R25" i="8"/>
  <c r="Q195" i="8"/>
  <c r="R195" i="8"/>
  <c r="Q198" i="8"/>
  <c r="R198" i="8"/>
  <c r="P94" i="8"/>
  <c r="R197" i="8"/>
  <c r="Q197" i="8"/>
  <c r="P96" i="8"/>
  <c r="P17" i="8"/>
  <c r="P28" i="8"/>
  <c r="P74" i="8"/>
  <c r="P76" i="8"/>
  <c r="P86" i="8"/>
  <c r="R22" i="8"/>
  <c r="Q22" i="8"/>
  <c r="R80" i="8"/>
  <c r="Q80" i="8"/>
  <c r="P78" i="8"/>
  <c r="Q23" i="8"/>
  <c r="R23" i="8"/>
  <c r="R82" i="8"/>
  <c r="Q82" i="8"/>
  <c r="P55" i="8"/>
  <c r="P60" i="8"/>
  <c r="P153" i="8"/>
  <c r="R201" i="8"/>
  <c r="Q201" i="8"/>
  <c r="P15" i="8"/>
  <c r="Q15" i="8" s="1"/>
  <c r="Q30" i="8" l="1"/>
  <c r="R68" i="8"/>
  <c r="R99" i="8"/>
  <c r="P172" i="8"/>
  <c r="Q159" i="8"/>
  <c r="R97" i="8"/>
  <c r="R21" i="8"/>
  <c r="P798" i="3"/>
  <c r="Q798" i="3" s="1"/>
  <c r="R56" i="8"/>
  <c r="Q797" i="3"/>
  <c r="R797" i="3"/>
  <c r="P589" i="3"/>
  <c r="Q800" i="3"/>
  <c r="R800" i="3"/>
  <c r="P796" i="3"/>
  <c r="P795" i="3"/>
  <c r="P799" i="3"/>
  <c r="R17" i="8"/>
  <c r="Q17" i="8"/>
  <c r="R93" i="8"/>
  <c r="Q93" i="8"/>
  <c r="Q24" i="8"/>
  <c r="R24" i="8"/>
  <c r="R96" i="8"/>
  <c r="Q96" i="8"/>
  <c r="Q92" i="8"/>
  <c r="R92" i="8"/>
  <c r="R90" i="8"/>
  <c r="Q90" i="8"/>
  <c r="R83" i="8"/>
  <c r="Q83" i="8"/>
  <c r="R100" i="8"/>
  <c r="Q100" i="8"/>
  <c r="Q94" i="8"/>
  <c r="R94" i="8"/>
  <c r="R27" i="8"/>
  <c r="Q27" i="8"/>
  <c r="R55" i="8"/>
  <c r="Q55" i="8"/>
  <c r="R86" i="8"/>
  <c r="Q86" i="8"/>
  <c r="R154" i="8"/>
  <c r="Q154" i="8"/>
  <c r="R241" i="8"/>
  <c r="Q241" i="8"/>
  <c r="R78" i="8"/>
  <c r="Q78" i="8"/>
  <c r="R98" i="8"/>
  <c r="Q98" i="8"/>
  <c r="Q85" i="8"/>
  <c r="R85" i="8"/>
  <c r="R58" i="8"/>
  <c r="Q58" i="8"/>
  <c r="Q153" i="8"/>
  <c r="R153" i="8"/>
  <c r="R79" i="8"/>
  <c r="Q79" i="8"/>
  <c r="Q76" i="8"/>
  <c r="R76" i="8"/>
  <c r="Q57" i="8"/>
  <c r="R57" i="8"/>
  <c r="R74" i="8"/>
  <c r="Q74" i="8"/>
  <c r="R91" i="8"/>
  <c r="Q91" i="8"/>
  <c r="Q75" i="8"/>
  <c r="R75" i="8"/>
  <c r="R172" i="8"/>
  <c r="Q172" i="8"/>
  <c r="R18" i="8"/>
  <c r="Q18" i="8"/>
  <c r="Q73" i="8"/>
  <c r="R73" i="8"/>
  <c r="Q60" i="8"/>
  <c r="R60" i="8"/>
  <c r="R26" i="8"/>
  <c r="Q26" i="8"/>
  <c r="Q28" i="8"/>
  <c r="R28" i="8"/>
  <c r="R70" i="8"/>
  <c r="Q70" i="8"/>
  <c r="R15" i="8"/>
  <c r="R798" i="3" l="1"/>
  <c r="P590" i="3"/>
  <c r="P477" i="3"/>
  <c r="P475" i="3"/>
  <c r="P476" i="3"/>
  <c r="Q477" i="3"/>
  <c r="R477" i="3"/>
  <c r="R476" i="3"/>
  <c r="Q476" i="3"/>
  <c r="R796" i="3"/>
  <c r="Q796" i="3"/>
  <c r="Q795" i="3"/>
  <c r="R795" i="3"/>
  <c r="R590" i="3"/>
  <c r="Q590" i="3"/>
  <c r="R475" i="3"/>
  <c r="Q475" i="3"/>
  <c r="R799" i="3"/>
  <c r="Q799" i="3"/>
  <c r="R589" i="3"/>
  <c r="Q589" i="3"/>
  <c r="P478" i="3"/>
  <c r="D23" i="12"/>
  <c r="C23" i="12"/>
  <c r="R478" i="3" l="1"/>
  <c r="Q478" i="3"/>
  <c r="C19" i="12"/>
  <c r="D19" i="12"/>
  <c r="P504" i="3" l="1"/>
  <c r="P447" i="3"/>
  <c r="P182" i="3"/>
  <c r="P641" i="3"/>
  <c r="P554" i="3"/>
  <c r="P515" i="3"/>
  <c r="P458" i="3"/>
  <c r="P682" i="3"/>
  <c r="P587" i="3"/>
  <c r="P547" i="3"/>
  <c r="P573" i="3"/>
  <c r="P705" i="3"/>
  <c r="P736" i="3"/>
  <c r="P453" i="3"/>
  <c r="P784" i="3"/>
  <c r="P555" i="3"/>
  <c r="P776" i="3"/>
  <c r="P500" i="3"/>
  <c r="P698" i="3"/>
  <c r="P737" i="3"/>
  <c r="P558" i="3"/>
  <c r="P710" i="3"/>
  <c r="P657" i="3"/>
  <c r="P631" i="3"/>
  <c r="P551" i="3"/>
  <c r="P690" i="3"/>
  <c r="P513" i="3"/>
  <c r="P738" i="3"/>
  <c r="P618" i="3"/>
  <c r="P440" i="3"/>
  <c r="P507" i="3"/>
  <c r="P673" i="3"/>
  <c r="P694" i="3"/>
  <c r="P772" i="3"/>
  <c r="P804" i="3"/>
  <c r="P601" i="3"/>
  <c r="P813" i="3"/>
  <c r="P692" i="3" l="1"/>
  <c r="P549" i="3"/>
  <c r="P788" i="3"/>
  <c r="P639" i="3"/>
  <c r="P636" i="3"/>
  <c r="P518" i="3"/>
  <c r="Q518" i="3" s="1"/>
  <c r="P769" i="3"/>
  <c r="Q769" i="3" s="1"/>
  <c r="P46" i="3"/>
  <c r="R46" i="3" s="1"/>
  <c r="P649" i="3"/>
  <c r="R649" i="3" s="1"/>
  <c r="P603" i="3"/>
  <c r="R603" i="3" s="1"/>
  <c r="P810" i="3"/>
  <c r="Q810" i="3" s="1"/>
  <c r="P672" i="3"/>
  <c r="R672" i="3" s="1"/>
  <c r="P783" i="3"/>
  <c r="P492" i="3"/>
  <c r="P535" i="3"/>
  <c r="P605" i="3"/>
  <c r="P600" i="3"/>
  <c r="R600" i="3" s="1"/>
  <c r="P650" i="3"/>
  <c r="Q650" i="3" s="1"/>
  <c r="P579" i="3"/>
  <c r="R579" i="3" s="1"/>
  <c r="P527" i="3"/>
  <c r="Q527" i="3" s="1"/>
  <c r="P468" i="3"/>
  <c r="R468" i="3" s="1"/>
  <c r="P763" i="3"/>
  <c r="R763" i="3" s="1"/>
  <c r="P457" i="3"/>
  <c r="R457" i="3" s="1"/>
  <c r="P746" i="3"/>
  <c r="R746" i="3" s="1"/>
  <c r="P613" i="3"/>
  <c r="P594" i="3"/>
  <c r="Q594" i="3" s="1"/>
  <c r="P780" i="3"/>
  <c r="R780" i="3" s="1"/>
  <c r="P595" i="3"/>
  <c r="Q595" i="3" s="1"/>
  <c r="P663" i="3"/>
  <c r="Q663" i="3" s="1"/>
  <c r="P536" i="3"/>
  <c r="Q536" i="3" s="1"/>
  <c r="P523" i="3"/>
  <c r="Q523" i="3" s="1"/>
  <c r="P637" i="3"/>
  <c r="R637" i="3" s="1"/>
  <c r="P452" i="3"/>
  <c r="Q452" i="3" s="1"/>
  <c r="P466" i="3"/>
  <c r="Q466" i="3" s="1"/>
  <c r="P782" i="3"/>
  <c r="Q782" i="3" s="1"/>
  <c r="P768" i="3"/>
  <c r="Q768" i="3" s="1"/>
  <c r="P717" i="3"/>
  <c r="R717" i="3" s="1"/>
  <c r="P741" i="3"/>
  <c r="P803" i="3"/>
  <c r="Q803" i="3" s="1"/>
  <c r="P493" i="3"/>
  <c r="R493" i="3" s="1"/>
  <c r="P516" i="3"/>
  <c r="Q516" i="3" s="1"/>
  <c r="P73" i="3"/>
  <c r="R73" i="3" s="1"/>
  <c r="P517" i="3"/>
  <c r="Q517" i="3" s="1"/>
  <c r="P615" i="3"/>
  <c r="Q615" i="3" s="1"/>
  <c r="P180" i="3"/>
  <c r="R180" i="3" s="1"/>
  <c r="P685" i="3"/>
  <c r="Q685" i="3" s="1"/>
  <c r="P469" i="3"/>
  <c r="R469" i="3" s="1"/>
  <c r="P181" i="3"/>
  <c r="R181" i="3" s="1"/>
  <c r="P486" i="3"/>
  <c r="Q486" i="3" s="1"/>
  <c r="P570" i="3"/>
  <c r="Q570" i="3" s="1"/>
  <c r="P791" i="3"/>
  <c r="Q791" i="3" s="1"/>
  <c r="P720" i="3"/>
  <c r="Q720" i="3" s="1"/>
  <c r="P537" i="3"/>
  <c r="R537" i="3" s="1"/>
  <c r="P443" i="3"/>
  <c r="Q443" i="3" s="1"/>
  <c r="P635" i="3"/>
  <c r="R635" i="3" s="1"/>
  <c r="P764" i="3"/>
  <c r="Q764" i="3" s="1"/>
  <c r="P543" i="3"/>
  <c r="Q543" i="3" s="1"/>
  <c r="P677" i="3"/>
  <c r="R677" i="3" s="1"/>
  <c r="P695" i="3"/>
  <c r="Q695" i="3" s="1"/>
  <c r="P481" i="3"/>
  <c r="R481" i="3" s="1"/>
  <c r="P666" i="3"/>
  <c r="P503" i="3"/>
  <c r="Q503" i="3" s="1"/>
  <c r="P766" i="3"/>
  <c r="Q766" i="3" s="1"/>
  <c r="P758" i="3"/>
  <c r="Q758" i="3" s="1"/>
  <c r="P807" i="3"/>
  <c r="Q807" i="3" s="1"/>
  <c r="P696" i="3"/>
  <c r="Q696" i="3" s="1"/>
  <c r="P702" i="3"/>
  <c r="Q702" i="3" s="1"/>
  <c r="P529" i="3"/>
  <c r="Q529" i="3" s="1"/>
  <c r="P732" i="3"/>
  <c r="Q732" i="3" s="1"/>
  <c r="P575" i="3"/>
  <c r="Q575" i="3" s="1"/>
  <c r="P437" i="3"/>
  <c r="Q437" i="3" s="1"/>
  <c r="P771" i="3"/>
  <c r="Q771" i="3" s="1"/>
  <c r="P578" i="3"/>
  <c r="P581" i="3"/>
  <c r="R581" i="3" s="1"/>
  <c r="P539" i="3"/>
  <c r="R539" i="3" s="1"/>
  <c r="P743" i="3"/>
  <c r="Q743" i="3" s="1"/>
  <c r="P760" i="3"/>
  <c r="P680" i="3"/>
  <c r="R680" i="3" s="1"/>
  <c r="P747" i="3"/>
  <c r="Q747" i="3" s="1"/>
  <c r="P577" i="3"/>
  <c r="Q577" i="3" s="1"/>
  <c r="P544" i="3"/>
  <c r="Q544" i="3" s="1"/>
  <c r="P633" i="3"/>
  <c r="Q633" i="3" s="1"/>
  <c r="P456" i="3"/>
  <c r="R456" i="3" s="1"/>
  <c r="P789" i="3"/>
  <c r="Q789" i="3" s="1"/>
  <c r="P497" i="3"/>
  <c r="P661" i="3"/>
  <c r="Q661" i="3" s="1"/>
  <c r="Q692" i="3"/>
  <c r="R692" i="3"/>
  <c r="Q578" i="3"/>
  <c r="R578" i="3"/>
  <c r="Q551" i="3"/>
  <c r="R551" i="3"/>
  <c r="R710" i="3"/>
  <c r="Q710" i="3"/>
  <c r="Q682" i="3"/>
  <c r="R682" i="3"/>
  <c r="P626" i="3"/>
  <c r="P499" i="3"/>
  <c r="Q453" i="3"/>
  <c r="R453" i="3"/>
  <c r="P531" i="3"/>
  <c r="P510" i="3"/>
  <c r="P662" i="3"/>
  <c r="P485" i="3"/>
  <c r="P686" i="3"/>
  <c r="P785" i="3"/>
  <c r="R690" i="3"/>
  <c r="Q690" i="3"/>
  <c r="Q549" i="3"/>
  <c r="R549" i="3"/>
  <c r="Q555" i="3"/>
  <c r="R555" i="3"/>
  <c r="R535" i="3"/>
  <c r="Q535" i="3"/>
  <c r="R554" i="3"/>
  <c r="Q554" i="3"/>
  <c r="Q447" i="3"/>
  <c r="R447" i="3"/>
  <c r="R504" i="3"/>
  <c r="Q504" i="3"/>
  <c r="P546" i="3"/>
  <c r="P708" i="3"/>
  <c r="P733" i="3"/>
  <c r="P593" i="3"/>
  <c r="P461" i="3"/>
  <c r="P676" i="3"/>
  <c r="P559" i="3"/>
  <c r="P759" i="3"/>
  <c r="P625" i="3"/>
  <c r="P484" i="3"/>
  <c r="P525" i="3"/>
  <c r="P752" i="3"/>
  <c r="P716" i="3"/>
  <c r="P679" i="3"/>
  <c r="P564" i="3"/>
  <c r="P715" i="3"/>
  <c r="P538" i="3"/>
  <c r="P366" i="3"/>
  <c r="P687" i="3"/>
  <c r="P683" i="3"/>
  <c r="P773" i="3"/>
  <c r="P719" i="3"/>
  <c r="P674" i="3"/>
  <c r="P654" i="3"/>
  <c r="P627" i="3"/>
  <c r="P480" i="3"/>
  <c r="P729" i="3"/>
  <c r="P689" i="3"/>
  <c r="R618" i="3"/>
  <c r="Q618" i="3"/>
  <c r="R791" i="3"/>
  <c r="R657" i="3"/>
  <c r="Q657" i="3"/>
  <c r="R500" i="3"/>
  <c r="Q500" i="3"/>
  <c r="R458" i="3"/>
  <c r="Q458" i="3"/>
  <c r="R741" i="3"/>
  <c r="Q741" i="3"/>
  <c r="P786" i="3"/>
  <c r="P528" i="3"/>
  <c r="P521" i="3"/>
  <c r="Q587" i="3"/>
  <c r="R587" i="3"/>
  <c r="P530" i="3"/>
  <c r="R705" i="3"/>
  <c r="Q705" i="3"/>
  <c r="Q182" i="3"/>
  <c r="R182" i="3"/>
  <c r="P608" i="3"/>
  <c r="Q608" i="3" s="1"/>
  <c r="P792" i="3"/>
  <c r="P623" i="3"/>
  <c r="P701" i="3"/>
  <c r="P494" i="3"/>
  <c r="P463" i="3"/>
  <c r="P584" i="3"/>
  <c r="P652" i="3"/>
  <c r="P565" i="3"/>
  <c r="P778" i="3"/>
  <c r="P706" i="3"/>
  <c r="P671" i="3"/>
  <c r="P651" i="3"/>
  <c r="P526" i="3"/>
  <c r="P550" i="3"/>
  <c r="P557" i="3"/>
  <c r="P751" i="3"/>
  <c r="P728" i="3"/>
  <c r="P642" i="3"/>
  <c r="P647" i="3"/>
  <c r="P617" i="3"/>
  <c r="P761" i="3"/>
  <c r="P660" i="3"/>
  <c r="P460" i="3"/>
  <c r="P621" i="3"/>
  <c r="R784" i="3"/>
  <c r="Q784" i="3"/>
  <c r="P580" i="3"/>
  <c r="P731" i="3"/>
  <c r="P742" i="3"/>
  <c r="P765" i="3"/>
  <c r="P754" i="3"/>
  <c r="P707" i="3"/>
  <c r="P645" i="3"/>
  <c r="P471" i="3"/>
  <c r="R783" i="3"/>
  <c r="Q783" i="3"/>
  <c r="Q492" i="3"/>
  <c r="R492" i="3"/>
  <c r="P448" i="3"/>
  <c r="P643" i="3"/>
  <c r="Q573" i="3"/>
  <c r="R573" i="3"/>
  <c r="R788" i="3"/>
  <c r="Q788" i="3"/>
  <c r="R497" i="3"/>
  <c r="Q497" i="3"/>
  <c r="P709" i="3"/>
  <c r="P495" i="3"/>
  <c r="P520" i="3"/>
  <c r="Q737" i="3"/>
  <c r="R737" i="3"/>
  <c r="P464" i="3"/>
  <c r="R507" i="3"/>
  <c r="Q507" i="3"/>
  <c r="P781" i="3"/>
  <c r="P727" i="3"/>
  <c r="P479" i="3"/>
  <c r="P450" i="3"/>
  <c r="P700" i="3"/>
  <c r="P449" i="3"/>
  <c r="P721" i="3"/>
  <c r="P72" i="3"/>
  <c r="P583" i="3"/>
  <c r="P770" i="3"/>
  <c r="P508" i="3"/>
  <c r="R515" i="3"/>
  <c r="Q515" i="3"/>
  <c r="P572" i="3"/>
  <c r="P735" i="3"/>
  <c r="P750" i="3"/>
  <c r="R440" i="3"/>
  <c r="Q440" i="3"/>
  <c r="P644" i="3"/>
  <c r="R641" i="3"/>
  <c r="Q641" i="3"/>
  <c r="R772" i="3"/>
  <c r="Q772" i="3"/>
  <c r="R673" i="3"/>
  <c r="Q673" i="3"/>
  <c r="P653" i="3"/>
  <c r="P616" i="3"/>
  <c r="R738" i="3"/>
  <c r="Q738" i="3"/>
  <c r="R639" i="3"/>
  <c r="Q639" i="3"/>
  <c r="Q631" i="3"/>
  <c r="R631" i="3"/>
  <c r="P501" i="3"/>
  <c r="P439" i="3"/>
  <c r="P630" i="3"/>
  <c r="P619" i="3"/>
  <c r="P655" i="3"/>
  <c r="R736" i="3"/>
  <c r="Q736" i="3"/>
  <c r="P482" i="3"/>
  <c r="P451" i="3"/>
  <c r="P488" i="3"/>
  <c r="P541" i="3"/>
  <c r="P588" i="3"/>
  <c r="Q547" i="3"/>
  <c r="R547" i="3"/>
  <c r="P745" i="3"/>
  <c r="R595" i="3"/>
  <c r="Q694" i="3"/>
  <c r="R694" i="3"/>
  <c r="Q513" i="3"/>
  <c r="R513" i="3"/>
  <c r="R698" i="3"/>
  <c r="Q698" i="3"/>
  <c r="P436" i="3"/>
  <c r="P611" i="3"/>
  <c r="P586" i="3"/>
  <c r="P646" i="3"/>
  <c r="P502" i="3"/>
  <c r="P563" i="3"/>
  <c r="P762" i="3"/>
  <c r="P591" i="3"/>
  <c r="P744" i="3"/>
  <c r="P622" i="3"/>
  <c r="P512" i="3"/>
  <c r="P691" i="3"/>
  <c r="P658" i="3"/>
  <c r="P620" i="3"/>
  <c r="P749" i="3"/>
  <c r="P730" i="3"/>
  <c r="P614" i="3"/>
  <c r="P612" i="3"/>
  <c r="P505" i="3"/>
  <c r="P665" i="3"/>
  <c r="P562" i="3"/>
  <c r="P739" i="3"/>
  <c r="P634" i="3"/>
  <c r="P703" i="3"/>
  <c r="Q666" i="3"/>
  <c r="R666" i="3"/>
  <c r="P545" i="3"/>
  <c r="Q558" i="3"/>
  <c r="R558" i="3"/>
  <c r="Q636" i="3"/>
  <c r="R636" i="3"/>
  <c r="P664" i="3"/>
  <c r="P808" i="3"/>
  <c r="Q808" i="3" s="1"/>
  <c r="P805" i="3"/>
  <c r="R805" i="3" s="1"/>
  <c r="P560" i="3"/>
  <c r="P718" i="3"/>
  <c r="P697" i="3"/>
  <c r="P455" i="3"/>
  <c r="P459" i="3"/>
  <c r="P442" i="3"/>
  <c r="P629" i="3"/>
  <c r="P596" i="3"/>
  <c r="P506" i="3"/>
  <c r="P552" i="3"/>
  <c r="P724" i="3"/>
  <c r="P441" i="3"/>
  <c r="Q613" i="3"/>
  <c r="R613" i="3"/>
  <c r="P487" i="3"/>
  <c r="P179" i="3"/>
  <c r="R760" i="3"/>
  <c r="Q760" i="3"/>
  <c r="P734" i="3"/>
  <c r="P681" i="3"/>
  <c r="P628" i="3"/>
  <c r="P445" i="3"/>
  <c r="P757" i="3"/>
  <c r="Q776" i="3"/>
  <c r="R776" i="3"/>
  <c r="P755" i="3"/>
  <c r="P472" i="3"/>
  <c r="P511" i="3"/>
  <c r="P379" i="3"/>
  <c r="P567" i="3"/>
  <c r="P726" i="3"/>
  <c r="P659" i="3"/>
  <c r="P790" i="3"/>
  <c r="P483" i="3"/>
  <c r="P684" i="3"/>
  <c r="P574" i="3"/>
  <c r="P522" i="3"/>
  <c r="P444" i="3"/>
  <c r="P774" i="3"/>
  <c r="P599" i="3"/>
  <c r="P812" i="3"/>
  <c r="R605" i="3"/>
  <c r="Q605" i="3"/>
  <c r="R810" i="3"/>
  <c r="P607" i="3"/>
  <c r="R804" i="3"/>
  <c r="Q804" i="3"/>
  <c r="P602" i="3"/>
  <c r="P598" i="3"/>
  <c r="P806" i="3"/>
  <c r="P802" i="3"/>
  <c r="Q601" i="3"/>
  <c r="R601" i="3"/>
  <c r="P811" i="3"/>
  <c r="P604" i="3"/>
  <c r="P809" i="3"/>
  <c r="Q813" i="3"/>
  <c r="R813" i="3"/>
  <c r="P609" i="3"/>
  <c r="P606" i="3"/>
  <c r="P597" i="3"/>
  <c r="R527" i="3" l="1"/>
  <c r="Q579" i="3"/>
  <c r="Q457" i="3"/>
  <c r="R437" i="3"/>
  <c r="R633" i="3"/>
  <c r="Q603" i="3"/>
  <c r="Q746" i="3"/>
  <c r="Q469" i="3"/>
  <c r="Q456" i="3"/>
  <c r="Q672" i="3"/>
  <c r="R608" i="3"/>
  <c r="R518" i="3"/>
  <c r="Q181" i="3"/>
  <c r="R695" i="3"/>
  <c r="R650" i="3"/>
  <c r="R769" i="3"/>
  <c r="Q600" i="3"/>
  <c r="R782" i="3"/>
  <c r="Q677" i="3"/>
  <c r="Q649" i="3"/>
  <c r="R466" i="3"/>
  <c r="Q805" i="3"/>
  <c r="Q763" i="3"/>
  <c r="R575" i="3"/>
  <c r="Q481" i="3"/>
  <c r="Q637" i="3"/>
  <c r="R544" i="3"/>
  <c r="R768" i="3"/>
  <c r="R543" i="3"/>
  <c r="R523" i="3"/>
  <c r="Q468" i="3"/>
  <c r="Q46" i="3"/>
  <c r="R702" i="3"/>
  <c r="R452" i="3"/>
  <c r="Q180" i="3"/>
  <c r="R685" i="3"/>
  <c r="R732" i="3"/>
  <c r="R808" i="3"/>
  <c r="Q780" i="3"/>
  <c r="R594" i="3"/>
  <c r="R758" i="3"/>
  <c r="R570" i="3"/>
  <c r="Q539" i="3"/>
  <c r="R663" i="3"/>
  <c r="R443" i="3"/>
  <c r="R536" i="3"/>
  <c r="P532" i="3"/>
  <c r="R532" i="3" s="1"/>
  <c r="R789" i="3"/>
  <c r="R771" i="3"/>
  <c r="R743" i="3"/>
  <c r="Q537" i="3"/>
  <c r="R486" i="3"/>
  <c r="Q717" i="3"/>
  <c r="Q680" i="3"/>
  <c r="R803" i="3"/>
  <c r="R807" i="3"/>
  <c r="R577" i="3"/>
  <c r="R615" i="3"/>
  <c r="Q635" i="3"/>
  <c r="Q493" i="3"/>
  <c r="R517" i="3"/>
  <c r="R503" i="3"/>
  <c r="R661" i="3"/>
  <c r="P712" i="3"/>
  <c r="R712" i="3" s="1"/>
  <c r="R764" i="3"/>
  <c r="R766" i="3"/>
  <c r="Q73" i="3"/>
  <c r="R696" i="3"/>
  <c r="R529" i="3"/>
  <c r="R747" i="3"/>
  <c r="R516" i="3"/>
  <c r="Q581" i="3"/>
  <c r="R720" i="3"/>
  <c r="Q759" i="3"/>
  <c r="R759" i="3"/>
  <c r="Q559" i="3"/>
  <c r="R559" i="3"/>
  <c r="Q642" i="3"/>
  <c r="R642" i="3"/>
  <c r="Q626" i="3"/>
  <c r="R626" i="3"/>
  <c r="P223" i="3"/>
  <c r="P392" i="3"/>
  <c r="Q483" i="3"/>
  <c r="R483" i="3"/>
  <c r="Q612" i="3"/>
  <c r="R612" i="3"/>
  <c r="Q744" i="3"/>
  <c r="R744" i="3"/>
  <c r="Q488" i="3"/>
  <c r="R488" i="3"/>
  <c r="R439" i="3"/>
  <c r="Q439" i="3"/>
  <c r="R508" i="3"/>
  <c r="Q508" i="3"/>
  <c r="R728" i="3"/>
  <c r="Q728" i="3"/>
  <c r="Q584" i="3"/>
  <c r="R584" i="3"/>
  <c r="P667" i="3"/>
  <c r="Q689" i="3"/>
  <c r="R689" i="3"/>
  <c r="R715" i="3"/>
  <c r="Q715" i="3"/>
  <c r="R593" i="3"/>
  <c r="Q593" i="3"/>
  <c r="R785" i="3"/>
  <c r="Q785" i="3"/>
  <c r="Q683" i="3"/>
  <c r="R683" i="3"/>
  <c r="R574" i="3"/>
  <c r="Q574" i="3"/>
  <c r="R366" i="3"/>
  <c r="Q366" i="3"/>
  <c r="P383" i="3"/>
  <c r="Q487" i="3"/>
  <c r="R487" i="3"/>
  <c r="R660" i="3"/>
  <c r="Q660" i="3"/>
  <c r="P237" i="3"/>
  <c r="P272" i="3"/>
  <c r="Q790" i="3"/>
  <c r="R790" i="3"/>
  <c r="Q757" i="3"/>
  <c r="R757" i="3"/>
  <c r="R459" i="3"/>
  <c r="Q459" i="3"/>
  <c r="Q591" i="3"/>
  <c r="R591" i="3"/>
  <c r="Q451" i="3"/>
  <c r="R451" i="3"/>
  <c r="R770" i="3"/>
  <c r="Q770" i="3"/>
  <c r="Q464" i="3"/>
  <c r="R464" i="3"/>
  <c r="R751" i="3"/>
  <c r="Q751" i="3"/>
  <c r="R463" i="3"/>
  <c r="Q463" i="3"/>
  <c r="Q521" i="3"/>
  <c r="R521" i="3"/>
  <c r="R729" i="3"/>
  <c r="Q729" i="3"/>
  <c r="Q564" i="3"/>
  <c r="R564" i="3"/>
  <c r="Q733" i="3"/>
  <c r="R733" i="3"/>
  <c r="R686" i="3"/>
  <c r="Q686" i="3"/>
  <c r="R676" i="3"/>
  <c r="Q676" i="3"/>
  <c r="R448" i="3"/>
  <c r="Q448" i="3"/>
  <c r="P243" i="3"/>
  <c r="P298" i="3"/>
  <c r="P138" i="3"/>
  <c r="Q659" i="3"/>
  <c r="R659" i="3"/>
  <c r="R445" i="3"/>
  <c r="Q445" i="3"/>
  <c r="Q441" i="3"/>
  <c r="R441" i="3"/>
  <c r="Q455" i="3"/>
  <c r="R455" i="3"/>
  <c r="R664" i="3"/>
  <c r="Q664" i="3"/>
  <c r="Q762" i="3"/>
  <c r="R762" i="3"/>
  <c r="R735" i="3"/>
  <c r="Q735" i="3"/>
  <c r="Q583" i="3"/>
  <c r="R583" i="3"/>
  <c r="Q495" i="3"/>
  <c r="R495" i="3"/>
  <c r="Q557" i="3"/>
  <c r="R557" i="3"/>
  <c r="R494" i="3"/>
  <c r="Q494" i="3"/>
  <c r="Q528" i="3"/>
  <c r="R528" i="3"/>
  <c r="R480" i="3"/>
  <c r="Q480" i="3"/>
  <c r="R679" i="3"/>
  <c r="Q679" i="3"/>
  <c r="R708" i="3"/>
  <c r="Q708" i="3"/>
  <c r="R485" i="3"/>
  <c r="Q485" i="3"/>
  <c r="R444" i="3"/>
  <c r="Q444" i="3"/>
  <c r="R596" i="3"/>
  <c r="Q596" i="3"/>
  <c r="Q665" i="3"/>
  <c r="R665" i="3"/>
  <c r="Q436" i="3"/>
  <c r="R436" i="3"/>
  <c r="Q619" i="3"/>
  <c r="R619" i="3"/>
  <c r="R653" i="3"/>
  <c r="Q653" i="3"/>
  <c r="R479" i="3"/>
  <c r="Q479" i="3"/>
  <c r="R706" i="3"/>
  <c r="Q706" i="3"/>
  <c r="Q522" i="3"/>
  <c r="R522" i="3"/>
  <c r="R629" i="3"/>
  <c r="Q629" i="3"/>
  <c r="R545" i="3"/>
  <c r="Q545" i="3"/>
  <c r="Q505" i="3"/>
  <c r="R505" i="3"/>
  <c r="R572" i="3"/>
  <c r="Q572" i="3"/>
  <c r="R617" i="3"/>
  <c r="Q617" i="3"/>
  <c r="R778" i="3"/>
  <c r="Q778" i="3"/>
  <c r="Q792" i="3"/>
  <c r="R792" i="3"/>
  <c r="R179" i="3"/>
  <c r="Q179" i="3"/>
  <c r="R442" i="3"/>
  <c r="Q442" i="3"/>
  <c r="Q781" i="3"/>
  <c r="R781" i="3"/>
  <c r="R643" i="3"/>
  <c r="Q643" i="3"/>
  <c r="Q460" i="3"/>
  <c r="R460" i="3"/>
  <c r="R565" i="3"/>
  <c r="Q565" i="3"/>
  <c r="Q684" i="3"/>
  <c r="R684" i="3"/>
  <c r="R560" i="3"/>
  <c r="Q560" i="3"/>
  <c r="Q622" i="3"/>
  <c r="R622" i="3"/>
  <c r="Q628" i="3"/>
  <c r="R628" i="3"/>
  <c r="R765" i="3"/>
  <c r="Q765" i="3"/>
  <c r="Q627" i="3"/>
  <c r="R627" i="3"/>
  <c r="P400" i="3"/>
  <c r="P421" i="3"/>
  <c r="Q567" i="3"/>
  <c r="R567" i="3"/>
  <c r="Q681" i="3"/>
  <c r="R681" i="3"/>
  <c r="R552" i="3"/>
  <c r="Q552" i="3"/>
  <c r="Q703" i="3"/>
  <c r="R703" i="3"/>
  <c r="Q614" i="3"/>
  <c r="R614" i="3"/>
  <c r="Q502" i="3"/>
  <c r="R502" i="3"/>
  <c r="R482" i="3"/>
  <c r="Q482" i="3"/>
  <c r="Q721" i="3"/>
  <c r="R721" i="3"/>
  <c r="R520" i="3"/>
  <c r="Q520" i="3"/>
  <c r="Q471" i="3"/>
  <c r="R471" i="3"/>
  <c r="R742" i="3"/>
  <c r="Q742" i="3"/>
  <c r="R550" i="3"/>
  <c r="Q550" i="3"/>
  <c r="R654" i="3"/>
  <c r="Q654" i="3"/>
  <c r="R752" i="3"/>
  <c r="Q752" i="3"/>
  <c r="Q510" i="3"/>
  <c r="R510" i="3"/>
  <c r="P246" i="3"/>
  <c r="R687" i="3"/>
  <c r="Q687" i="3"/>
  <c r="Q461" i="3"/>
  <c r="R461" i="3"/>
  <c r="Q662" i="3"/>
  <c r="R662" i="3"/>
  <c r="R379" i="3"/>
  <c r="Q379" i="3"/>
  <c r="Q734" i="3"/>
  <c r="R734" i="3"/>
  <c r="Q697" i="3"/>
  <c r="R697" i="3"/>
  <c r="R634" i="3"/>
  <c r="Q634" i="3"/>
  <c r="R730" i="3"/>
  <c r="Q730" i="3"/>
  <c r="R646" i="3"/>
  <c r="Q646" i="3"/>
  <c r="R449" i="3"/>
  <c r="Q449" i="3"/>
  <c r="Q645" i="3"/>
  <c r="R645" i="3"/>
  <c r="R731" i="3"/>
  <c r="Q731" i="3"/>
  <c r="Q526" i="3"/>
  <c r="R526" i="3"/>
  <c r="Q530" i="3"/>
  <c r="R530" i="3"/>
  <c r="Q674" i="3"/>
  <c r="R674" i="3"/>
  <c r="Q525" i="3"/>
  <c r="R525" i="3"/>
  <c r="Q531" i="3"/>
  <c r="R531" i="3"/>
  <c r="P409" i="3"/>
  <c r="R499" i="3"/>
  <c r="Q499" i="3"/>
  <c r="P348" i="3"/>
  <c r="Q538" i="3"/>
  <c r="R538" i="3"/>
  <c r="R563" i="3"/>
  <c r="Q563" i="3"/>
  <c r="R72" i="3"/>
  <c r="Q72" i="3"/>
  <c r="R701" i="3"/>
  <c r="Q701" i="3"/>
  <c r="R546" i="3"/>
  <c r="Q546" i="3"/>
  <c r="P155" i="3"/>
  <c r="R511" i="3"/>
  <c r="Q511" i="3"/>
  <c r="Q739" i="3"/>
  <c r="R739" i="3"/>
  <c r="Q749" i="3"/>
  <c r="R749" i="3"/>
  <c r="R586" i="3"/>
  <c r="Q586" i="3"/>
  <c r="Q700" i="3"/>
  <c r="R700" i="3"/>
  <c r="Q707" i="3"/>
  <c r="R707" i="3"/>
  <c r="R580" i="3"/>
  <c r="Q580" i="3"/>
  <c r="R651" i="3"/>
  <c r="Q651" i="3"/>
  <c r="Q719" i="3"/>
  <c r="R719" i="3"/>
  <c r="Q484" i="3"/>
  <c r="R484" i="3"/>
  <c r="R755" i="3"/>
  <c r="Q755" i="3"/>
  <c r="Q658" i="3"/>
  <c r="R658" i="3"/>
  <c r="R644" i="3"/>
  <c r="Q644" i="3"/>
  <c r="Q761" i="3"/>
  <c r="R761" i="3"/>
  <c r="R623" i="3"/>
  <c r="Q623" i="3"/>
  <c r="Q691" i="3"/>
  <c r="R691" i="3"/>
  <c r="Q630" i="3"/>
  <c r="R630" i="3"/>
  <c r="Q727" i="3"/>
  <c r="R727" i="3"/>
  <c r="Q621" i="3"/>
  <c r="R621" i="3"/>
  <c r="Q718" i="3"/>
  <c r="R718" i="3"/>
  <c r="R512" i="3"/>
  <c r="Q512" i="3"/>
  <c r="R588" i="3"/>
  <c r="Q588" i="3"/>
  <c r="R647" i="3"/>
  <c r="Q647" i="3"/>
  <c r="P206" i="3"/>
  <c r="R541" i="3"/>
  <c r="Q541" i="3"/>
  <c r="Q750" i="3"/>
  <c r="R750" i="3"/>
  <c r="Q652" i="3"/>
  <c r="R652" i="3"/>
  <c r="P373" i="3"/>
  <c r="P344" i="3"/>
  <c r="P158" i="3"/>
  <c r="P97" i="3"/>
  <c r="Q726" i="3"/>
  <c r="R726" i="3"/>
  <c r="R724" i="3"/>
  <c r="Q724" i="3"/>
  <c r="R709" i="3"/>
  <c r="Q709" i="3"/>
  <c r="Q786" i="3"/>
  <c r="R786" i="3"/>
  <c r="Q716" i="3"/>
  <c r="R716" i="3"/>
  <c r="P412" i="3"/>
  <c r="P424" i="3"/>
  <c r="Q774" i="3"/>
  <c r="R774" i="3"/>
  <c r="Q472" i="3"/>
  <c r="R472" i="3"/>
  <c r="Q506" i="3"/>
  <c r="R506" i="3"/>
  <c r="Q562" i="3"/>
  <c r="R562" i="3"/>
  <c r="Q620" i="3"/>
  <c r="R620" i="3"/>
  <c r="Q611" i="3"/>
  <c r="R611" i="3"/>
  <c r="R745" i="3"/>
  <c r="Q745" i="3"/>
  <c r="Q655" i="3"/>
  <c r="R655" i="3"/>
  <c r="R501" i="3"/>
  <c r="Q501" i="3"/>
  <c r="Q616" i="3"/>
  <c r="R616" i="3"/>
  <c r="R450" i="3"/>
  <c r="Q450" i="3"/>
  <c r="Q754" i="3"/>
  <c r="R754" i="3"/>
  <c r="P794" i="3"/>
  <c r="Q671" i="3"/>
  <c r="R671" i="3"/>
  <c r="P585" i="3"/>
  <c r="Q773" i="3"/>
  <c r="R773" i="3"/>
  <c r="Q625" i="3"/>
  <c r="R625" i="3"/>
  <c r="R606" i="3"/>
  <c r="Q606" i="3"/>
  <c r="Q609" i="3"/>
  <c r="R609" i="3"/>
  <c r="R806" i="3"/>
  <c r="Q806" i="3"/>
  <c r="R809" i="3"/>
  <c r="Q809" i="3"/>
  <c r="Q602" i="3"/>
  <c r="R602" i="3"/>
  <c r="Q598" i="3"/>
  <c r="R598" i="3"/>
  <c r="R604" i="3"/>
  <c r="Q604" i="3"/>
  <c r="R802" i="3"/>
  <c r="Q802" i="3"/>
  <c r="R811" i="3"/>
  <c r="Q811" i="3"/>
  <c r="Q812" i="3"/>
  <c r="R812" i="3"/>
  <c r="Q607" i="3"/>
  <c r="R607" i="3"/>
  <c r="R599" i="3"/>
  <c r="Q599" i="3"/>
  <c r="P305" i="3" l="1"/>
  <c r="P258" i="3"/>
  <c r="Q712" i="3"/>
  <c r="P205" i="3"/>
  <c r="R205" i="3" s="1"/>
  <c r="P415" i="3"/>
  <c r="R415" i="3" s="1"/>
  <c r="P388" i="3"/>
  <c r="P362" i="3"/>
  <c r="Q362" i="3" s="1"/>
  <c r="P101" i="3"/>
  <c r="R101" i="3" s="1"/>
  <c r="P200" i="3"/>
  <c r="R200" i="3" s="1"/>
  <c r="P21" i="3"/>
  <c r="Q21" i="3" s="1"/>
  <c r="P218" i="3"/>
  <c r="R218" i="3" s="1"/>
  <c r="Q532" i="3"/>
  <c r="P299" i="3"/>
  <c r="P396" i="3"/>
  <c r="P168" i="3"/>
  <c r="P277" i="3"/>
  <c r="R277" i="3" s="1"/>
  <c r="P71" i="3"/>
  <c r="R71" i="3" s="1"/>
  <c r="P229" i="3"/>
  <c r="R229" i="3" s="1"/>
  <c r="P256" i="3"/>
  <c r="R256" i="3" s="1"/>
  <c r="P325" i="3"/>
  <c r="R325" i="3" s="1"/>
  <c r="P162" i="3"/>
  <c r="R162" i="3" s="1"/>
  <c r="P248" i="3"/>
  <c r="R248" i="3" s="1"/>
  <c r="P316" i="3"/>
  <c r="R316" i="3" s="1"/>
  <c r="P167" i="3"/>
  <c r="R167" i="3" s="1"/>
  <c r="P241" i="3"/>
  <c r="P222" i="3"/>
  <c r="P198" i="3"/>
  <c r="P236" i="3"/>
  <c r="R236" i="3" s="1"/>
  <c r="P201" i="3"/>
  <c r="P269" i="3"/>
  <c r="P282" i="3"/>
  <c r="R282" i="3" s="1"/>
  <c r="P235" i="3"/>
  <c r="R235" i="3" s="1"/>
  <c r="P423" i="3"/>
  <c r="R423" i="3" s="1"/>
  <c r="P432" i="3"/>
  <c r="R432" i="3" s="1"/>
  <c r="P324" i="3"/>
  <c r="Q324" i="3" s="1"/>
  <c r="P312" i="3"/>
  <c r="Q312" i="3" s="1"/>
  <c r="P57" i="3"/>
  <c r="R57" i="3" s="1"/>
  <c r="P244" i="3"/>
  <c r="P140" i="3"/>
  <c r="Q140" i="3" s="1"/>
  <c r="P403" i="3"/>
  <c r="Q403" i="3" s="1"/>
  <c r="P203" i="3"/>
  <c r="R203" i="3" s="1"/>
  <c r="P278" i="3"/>
  <c r="R278" i="3" s="1"/>
  <c r="P197" i="3"/>
  <c r="Q197" i="3" s="1"/>
  <c r="P268" i="3"/>
  <c r="R268" i="3" s="1"/>
  <c r="P404" i="3"/>
  <c r="Q404" i="3" s="1"/>
  <c r="P68" i="3"/>
  <c r="R68" i="3" s="1"/>
  <c r="P274" i="3"/>
  <c r="R274" i="3" s="1"/>
  <c r="P215" i="3"/>
  <c r="R215" i="3" s="1"/>
  <c r="P304" i="3"/>
  <c r="R304" i="3" s="1"/>
  <c r="P433" i="3"/>
  <c r="P262" i="3"/>
  <c r="R262" i="3" s="1"/>
  <c r="P334" i="3"/>
  <c r="R334" i="3" s="1"/>
  <c r="P386" i="3"/>
  <c r="R386" i="3" s="1"/>
  <c r="P294" i="3"/>
  <c r="P257" i="3"/>
  <c r="R257" i="3" s="1"/>
  <c r="P307" i="3"/>
  <c r="Q307" i="3" s="1"/>
  <c r="P270" i="3"/>
  <c r="R270" i="3" s="1"/>
  <c r="P343" i="3"/>
  <c r="R343" i="3" s="1"/>
  <c r="P103" i="3"/>
  <c r="Q103" i="3" s="1"/>
  <c r="P395" i="3"/>
  <c r="Q395" i="3" s="1"/>
  <c r="P407" i="3"/>
  <c r="R407" i="3" s="1"/>
  <c r="P100" i="3"/>
  <c r="Q100" i="3" s="1"/>
  <c r="P279" i="3"/>
  <c r="P309" i="3"/>
  <c r="Q309" i="3" s="1"/>
  <c r="P333" i="3"/>
  <c r="Q333" i="3" s="1"/>
  <c r="P427" i="3"/>
  <c r="R427" i="3" s="1"/>
  <c r="P300" i="3"/>
  <c r="R300" i="3" s="1"/>
  <c r="P428" i="3"/>
  <c r="P367" i="3"/>
  <c r="R367" i="3" s="1"/>
  <c r="P352" i="3"/>
  <c r="R352" i="3" s="1"/>
  <c r="P234" i="3"/>
  <c r="R234" i="3" s="1"/>
  <c r="P360" i="3"/>
  <c r="Q360" i="3" s="1"/>
  <c r="P297" i="3"/>
  <c r="R297" i="3" s="1"/>
  <c r="P161" i="3"/>
  <c r="P276" i="3"/>
  <c r="R276" i="3" s="1"/>
  <c r="P347" i="3"/>
  <c r="Q347" i="3" s="1"/>
  <c r="P361" i="3"/>
  <c r="R361" i="3" s="1"/>
  <c r="P369" i="3"/>
  <c r="Q369" i="3" s="1"/>
  <c r="P377" i="3"/>
  <c r="Q377" i="3" s="1"/>
  <c r="P326" i="3"/>
  <c r="Q326" i="3" s="1"/>
  <c r="P196" i="3"/>
  <c r="Q196" i="3" s="1"/>
  <c r="P102" i="3"/>
  <c r="R102" i="3" s="1"/>
  <c r="P330" i="3"/>
  <c r="R330" i="3" s="1"/>
  <c r="P335" i="3"/>
  <c r="Q335" i="3" s="1"/>
  <c r="P226" i="3"/>
  <c r="R226" i="3" s="1"/>
  <c r="P321" i="3"/>
  <c r="Q321" i="3" s="1"/>
  <c r="P105" i="3"/>
  <c r="P283" i="3"/>
  <c r="P376" i="3"/>
  <c r="Q376" i="3" s="1"/>
  <c r="P425" i="3"/>
  <c r="Q425" i="3" s="1"/>
  <c r="P53" i="3"/>
  <c r="R53" i="3" s="1"/>
  <c r="P136" i="3"/>
  <c r="R136" i="3" s="1"/>
  <c r="Q428" i="3"/>
  <c r="R428" i="3"/>
  <c r="R105" i="3"/>
  <c r="Q105" i="3"/>
  <c r="R97" i="3"/>
  <c r="Q97" i="3"/>
  <c r="R246" i="3"/>
  <c r="Q246" i="3"/>
  <c r="R424" i="3"/>
  <c r="Q424" i="3"/>
  <c r="R279" i="3"/>
  <c r="Q279" i="3"/>
  <c r="R409" i="3"/>
  <c r="Q409" i="3"/>
  <c r="R421" i="3"/>
  <c r="Q421" i="3"/>
  <c r="R161" i="3"/>
  <c r="Q161" i="3"/>
  <c r="R100" i="3"/>
  <c r="P430" i="3"/>
  <c r="P327" i="3"/>
  <c r="P204" i="3"/>
  <c r="P287" i="3"/>
  <c r="P254" i="3"/>
  <c r="P69" i="3"/>
  <c r="P153" i="3"/>
  <c r="P52" i="3"/>
  <c r="P134" i="3"/>
  <c r="P292" i="3"/>
  <c r="P394" i="3"/>
  <c r="P401" i="3"/>
  <c r="P156" i="3"/>
  <c r="P351" i="3"/>
  <c r="P219" i="3"/>
  <c r="P54" i="3"/>
  <c r="P165" i="3"/>
  <c r="P320" i="3"/>
  <c r="P286" i="3"/>
  <c r="P242" i="3"/>
  <c r="P349" i="3"/>
  <c r="P264" i="3"/>
  <c r="P332" i="3"/>
  <c r="P251" i="3"/>
  <c r="P337" i="3"/>
  <c r="P188" i="3"/>
  <c r="P323" i="3"/>
  <c r="P331" i="3"/>
  <c r="P426" i="3"/>
  <c r="P62" i="3"/>
  <c r="P142" i="3"/>
  <c r="P405" i="3"/>
  <c r="P341" i="3"/>
  <c r="R158" i="3"/>
  <c r="Q158" i="3"/>
  <c r="R155" i="3"/>
  <c r="Q155" i="3"/>
  <c r="P303" i="3"/>
  <c r="R309" i="3"/>
  <c r="P137" i="3"/>
  <c r="P210" i="3"/>
  <c r="P273" i="3"/>
  <c r="P217" i="3"/>
  <c r="P191" i="3"/>
  <c r="P284" i="3"/>
  <c r="P271" i="3"/>
  <c r="P342" i="3"/>
  <c r="P193" i="3"/>
  <c r="R383" i="3"/>
  <c r="Q383" i="3"/>
  <c r="R667" i="3"/>
  <c r="Q667" i="3"/>
  <c r="P419" i="3"/>
  <c r="P313" i="3"/>
  <c r="R206" i="3"/>
  <c r="Q206" i="3"/>
  <c r="P364" i="3"/>
  <c r="P357" i="3"/>
  <c r="P296" i="3"/>
  <c r="P350" i="3"/>
  <c r="P387" i="3"/>
  <c r="P281" i="3"/>
  <c r="P363" i="3"/>
  <c r="P318" i="3"/>
  <c r="P157" i="3"/>
  <c r="P250" i="3"/>
  <c r="P310" i="3"/>
  <c r="P194" i="3"/>
  <c r="P408" i="3"/>
  <c r="P199" i="3"/>
  <c r="P302" i="3"/>
  <c r="P417" i="3"/>
  <c r="P98" i="3"/>
  <c r="P207" i="3"/>
  <c r="P99" i="3"/>
  <c r="P285" i="3"/>
  <c r="P371" i="3"/>
  <c r="P322" i="3"/>
  <c r="P186" i="3"/>
  <c r="P263" i="3"/>
  <c r="P359" i="3"/>
  <c r="R585" i="3"/>
  <c r="Q585" i="3"/>
  <c r="P245" i="3"/>
  <c r="P164" i="3"/>
  <c r="R321" i="3"/>
  <c r="R400" i="3"/>
  <c r="Q400" i="3"/>
  <c r="P166" i="3"/>
  <c r="Q138" i="3"/>
  <c r="R138" i="3"/>
  <c r="R298" i="3"/>
  <c r="Q298" i="3"/>
  <c r="Q361" i="3"/>
  <c r="P391" i="3"/>
  <c r="R392" i="3"/>
  <c r="Q392" i="3"/>
  <c r="Q223" i="3"/>
  <c r="R223" i="3"/>
  <c r="Q373" i="3"/>
  <c r="R373" i="3"/>
  <c r="R412" i="3"/>
  <c r="Q412" i="3"/>
  <c r="Q201" i="3"/>
  <c r="R201" i="3"/>
  <c r="R269" i="3"/>
  <c r="Q269" i="3"/>
  <c r="R294" i="3"/>
  <c r="Q294" i="3"/>
  <c r="Q276" i="3"/>
  <c r="R241" i="3"/>
  <c r="Q241" i="3"/>
  <c r="P319" i="3"/>
  <c r="P385" i="3"/>
  <c r="P189" i="3"/>
  <c r="P221" i="3"/>
  <c r="P55" i="3"/>
  <c r="P397" i="3"/>
  <c r="P301" i="3"/>
  <c r="P291" i="3"/>
  <c r="P336" i="3"/>
  <c r="P59" i="3"/>
  <c r="P224" i="3"/>
  <c r="P152" i="3"/>
  <c r="P290" i="3"/>
  <c r="P252" i="3"/>
  <c r="P328" i="3"/>
  <c r="P280" i="3"/>
  <c r="P345" i="3"/>
  <c r="P416" i="3"/>
  <c r="P353" i="3"/>
  <c r="P390" i="3"/>
  <c r="P63" i="3"/>
  <c r="P406" i="3"/>
  <c r="P163" i="3"/>
  <c r="R243" i="3"/>
  <c r="Q243" i="3"/>
  <c r="R794" i="3"/>
  <c r="Q794" i="3"/>
  <c r="Q222" i="3"/>
  <c r="R222" i="3"/>
  <c r="Q283" i="3"/>
  <c r="R283" i="3"/>
  <c r="P340" i="3"/>
  <c r="P192" i="3"/>
  <c r="R376" i="3"/>
  <c r="P288" i="3"/>
  <c r="P410" i="3"/>
  <c r="P413" i="3"/>
  <c r="P247" i="3"/>
  <c r="P411" i="3"/>
  <c r="P434" i="3"/>
  <c r="P187" i="3"/>
  <c r="P354" i="3"/>
  <c r="P429" i="3"/>
  <c r="P209" i="3"/>
  <c r="Q305" i="3"/>
  <c r="R305" i="3"/>
  <c r="R344" i="3"/>
  <c r="Q344" i="3"/>
  <c r="R168" i="3"/>
  <c r="Q168" i="3"/>
  <c r="R244" i="3"/>
  <c r="Q244" i="3"/>
  <c r="R433" i="3"/>
  <c r="Q433" i="3"/>
  <c r="R140" i="3"/>
  <c r="R396" i="3"/>
  <c r="Q396" i="3"/>
  <c r="R237" i="3"/>
  <c r="Q237" i="3"/>
  <c r="Q262" i="3"/>
  <c r="P338" i="3"/>
  <c r="P212" i="3"/>
  <c r="P422" i="3"/>
  <c r="P141" i="3"/>
  <c r="P233" i="3"/>
  <c r="P414" i="3"/>
  <c r="P135" i="3"/>
  <c r="P293" i="3"/>
  <c r="P358" i="3"/>
  <c r="P70" i="3"/>
  <c r="P104" i="3"/>
  <c r="P266" i="3"/>
  <c r="P389" i="3"/>
  <c r="P317" i="3"/>
  <c r="P398" i="3"/>
  <c r="P261" i="3"/>
  <c r="P384" i="3"/>
  <c r="P231" i="3"/>
  <c r="P160" i="3"/>
  <c r="P249" i="3"/>
  <c r="P255" i="3"/>
  <c r="P139" i="3"/>
  <c r="P356" i="3"/>
  <c r="R258" i="3"/>
  <c r="Q258" i="3"/>
  <c r="R348" i="3"/>
  <c r="Q348" i="3"/>
  <c r="R388" i="3"/>
  <c r="Q388" i="3"/>
  <c r="R299" i="3"/>
  <c r="Q299" i="3"/>
  <c r="R272" i="3"/>
  <c r="Q272" i="3"/>
  <c r="R198" i="3"/>
  <c r="Q198" i="3"/>
  <c r="P64" i="3"/>
  <c r="P154" i="3"/>
  <c r="P214" i="3"/>
  <c r="P275" i="3"/>
  <c r="P375" i="3"/>
  <c r="P289" i="3"/>
  <c r="P378" i="3"/>
  <c r="P308" i="3"/>
  <c r="P228" i="3"/>
  <c r="P315" i="3"/>
  <c r="P61" i="3"/>
  <c r="P56" i="3"/>
  <c r="P311" i="3"/>
  <c r="P259" i="3"/>
  <c r="P418" i="3"/>
  <c r="P58" i="3"/>
  <c r="AC145" i="7"/>
  <c r="C22" i="12" s="1"/>
  <c r="AD145" i="7"/>
  <c r="D22" i="12" s="1"/>
  <c r="Q218" i="3" l="1"/>
  <c r="Q278" i="3"/>
  <c r="Q268" i="3"/>
  <c r="Q256" i="3"/>
  <c r="Q415" i="3"/>
  <c r="Q427" i="3"/>
  <c r="Q205" i="3"/>
  <c r="R333" i="3"/>
  <c r="Q236" i="3"/>
  <c r="Q316" i="3"/>
  <c r="Q167" i="3"/>
  <c r="R21" i="3"/>
  <c r="R403" i="3"/>
  <c r="R362" i="3"/>
  <c r="R326" i="3"/>
  <c r="Q136" i="3"/>
  <c r="Q71" i="3"/>
  <c r="R197" i="3"/>
  <c r="Q101" i="3"/>
  <c r="Q200" i="3"/>
  <c r="Q53" i="3"/>
  <c r="Q367" i="3"/>
  <c r="Q270" i="3"/>
  <c r="Q203" i="3"/>
  <c r="Q257" i="3"/>
  <c r="Q235" i="3"/>
  <c r="Q386" i="3"/>
  <c r="Q68" i="3"/>
  <c r="R347" i="3"/>
  <c r="R377" i="3"/>
  <c r="Q282" i="3"/>
  <c r="R369" i="3"/>
  <c r="Q248" i="3"/>
  <c r="Q229" i="3"/>
  <c r="Q325" i="3"/>
  <c r="Q334" i="3"/>
  <c r="Q277" i="3"/>
  <c r="Q300" i="3"/>
  <c r="Q162" i="3"/>
  <c r="R425" i="3"/>
  <c r="Q304" i="3"/>
  <c r="Q352" i="3"/>
  <c r="R395" i="3"/>
  <c r="Q215" i="3"/>
  <c r="Q102" i="3"/>
  <c r="R324" i="3"/>
  <c r="Q57" i="3"/>
  <c r="Q226" i="3"/>
  <c r="Q234" i="3"/>
  <c r="R335" i="3"/>
  <c r="R103" i="3"/>
  <c r="R312" i="3"/>
  <c r="R307" i="3"/>
  <c r="Q423" i="3"/>
  <c r="P473" i="3"/>
  <c r="R473" i="3" s="1"/>
  <c r="Q274" i="3"/>
  <c r="Q407" i="3"/>
  <c r="Q343" i="3"/>
  <c r="Q330" i="3"/>
  <c r="Q432" i="3"/>
  <c r="Q297" i="3"/>
  <c r="R196" i="3"/>
  <c r="P238" i="3"/>
  <c r="Q238" i="3" s="1"/>
  <c r="R404" i="3"/>
  <c r="R360" i="3"/>
  <c r="R275" i="3"/>
  <c r="Q275" i="3"/>
  <c r="Q160" i="3"/>
  <c r="R160" i="3"/>
  <c r="R135" i="3"/>
  <c r="Q135" i="3"/>
  <c r="R429" i="3"/>
  <c r="Q429" i="3"/>
  <c r="R390" i="3"/>
  <c r="Q390" i="3"/>
  <c r="R291" i="3"/>
  <c r="Q291" i="3"/>
  <c r="R359" i="3"/>
  <c r="Q359" i="3"/>
  <c r="R62" i="3"/>
  <c r="Q62" i="3"/>
  <c r="Q52" i="3"/>
  <c r="R52" i="3"/>
  <c r="P122" i="3"/>
  <c r="Q154" i="3"/>
  <c r="R154" i="3"/>
  <c r="R416" i="3"/>
  <c r="Q416" i="3"/>
  <c r="R302" i="3"/>
  <c r="Q302" i="3"/>
  <c r="R191" i="3"/>
  <c r="Q191" i="3"/>
  <c r="R331" i="3"/>
  <c r="Q331" i="3"/>
  <c r="P79" i="3"/>
  <c r="R378" i="3"/>
  <c r="Q378" i="3"/>
  <c r="R70" i="3"/>
  <c r="Q70" i="3"/>
  <c r="R410" i="3"/>
  <c r="Q410" i="3"/>
  <c r="R163" i="3"/>
  <c r="Q163" i="3"/>
  <c r="R224" i="3"/>
  <c r="Q224" i="3"/>
  <c r="R189" i="3"/>
  <c r="Q189" i="3"/>
  <c r="R245" i="3"/>
  <c r="Q245" i="3"/>
  <c r="Q285" i="3"/>
  <c r="R285" i="3"/>
  <c r="Q318" i="3"/>
  <c r="R318" i="3"/>
  <c r="R364" i="3"/>
  <c r="Q364" i="3"/>
  <c r="R341" i="3"/>
  <c r="Q341" i="3"/>
  <c r="R349" i="3"/>
  <c r="Q349" i="3"/>
  <c r="R394" i="3"/>
  <c r="Q394" i="3"/>
  <c r="Q418" i="3"/>
  <c r="R418" i="3"/>
  <c r="Q259" i="3"/>
  <c r="R259" i="3"/>
  <c r="Q214" i="3"/>
  <c r="R214" i="3"/>
  <c r="R231" i="3"/>
  <c r="Q231" i="3"/>
  <c r="R414" i="3"/>
  <c r="Q414" i="3"/>
  <c r="Q354" i="3"/>
  <c r="R354" i="3"/>
  <c r="R192" i="3"/>
  <c r="Q192" i="3"/>
  <c r="R353" i="3"/>
  <c r="Q353" i="3"/>
  <c r="R417" i="3"/>
  <c r="Q417" i="3"/>
  <c r="R387" i="3"/>
  <c r="Q387" i="3"/>
  <c r="R419" i="3"/>
  <c r="Q419" i="3"/>
  <c r="Q284" i="3"/>
  <c r="R284" i="3"/>
  <c r="R58" i="3"/>
  <c r="Q58" i="3"/>
  <c r="R289" i="3"/>
  <c r="Q289" i="3"/>
  <c r="R255" i="3"/>
  <c r="Q255" i="3"/>
  <c r="R358" i="3"/>
  <c r="Q358" i="3"/>
  <c r="Q288" i="3"/>
  <c r="R288" i="3"/>
  <c r="R406" i="3"/>
  <c r="Q406" i="3"/>
  <c r="R59" i="3"/>
  <c r="Q59" i="3"/>
  <c r="R385" i="3"/>
  <c r="Q385" i="3"/>
  <c r="R99" i="3"/>
  <c r="Q99" i="3"/>
  <c r="R363" i="3"/>
  <c r="Q363" i="3"/>
  <c r="Q303" i="3"/>
  <c r="R303" i="3"/>
  <c r="R405" i="3"/>
  <c r="Q405" i="3"/>
  <c r="R242" i="3"/>
  <c r="Q242" i="3"/>
  <c r="R292" i="3"/>
  <c r="Q292" i="3"/>
  <c r="R375" i="3"/>
  <c r="Q375" i="3"/>
  <c r="R249" i="3"/>
  <c r="Q249" i="3"/>
  <c r="R293" i="3"/>
  <c r="Q293" i="3"/>
  <c r="R209" i="3"/>
  <c r="Q209" i="3"/>
  <c r="Q63" i="3"/>
  <c r="R63" i="3"/>
  <c r="R336" i="3"/>
  <c r="Q336" i="3"/>
  <c r="R319" i="3"/>
  <c r="Q319" i="3"/>
  <c r="R207" i="3"/>
  <c r="Q207" i="3"/>
  <c r="R281" i="3"/>
  <c r="Q281" i="3"/>
  <c r="R142" i="3"/>
  <c r="Q142" i="3"/>
  <c r="R286" i="3"/>
  <c r="Q286" i="3"/>
  <c r="R134" i="3"/>
  <c r="Q134" i="3"/>
  <c r="R320" i="3"/>
  <c r="Q320" i="3"/>
  <c r="Q311" i="3"/>
  <c r="R311" i="3"/>
  <c r="R165" i="3"/>
  <c r="Q165" i="3"/>
  <c r="R56" i="3"/>
  <c r="Q56" i="3"/>
  <c r="Q64" i="3"/>
  <c r="R64" i="3"/>
  <c r="Q261" i="3"/>
  <c r="R261" i="3"/>
  <c r="Q345" i="3"/>
  <c r="R345" i="3"/>
  <c r="R391" i="3"/>
  <c r="Q391" i="3"/>
  <c r="R199" i="3"/>
  <c r="Q199" i="3"/>
  <c r="Q217" i="3"/>
  <c r="R217" i="3"/>
  <c r="R323" i="3"/>
  <c r="Q323" i="3"/>
  <c r="R54" i="3"/>
  <c r="Q54" i="3"/>
  <c r="Q254" i="3"/>
  <c r="R254" i="3"/>
  <c r="R98" i="3"/>
  <c r="Q98" i="3"/>
  <c r="Q153" i="3"/>
  <c r="R153" i="3"/>
  <c r="R61" i="3"/>
  <c r="Q61" i="3"/>
  <c r="Q398" i="3"/>
  <c r="R398" i="3"/>
  <c r="Q141" i="3"/>
  <c r="R141" i="3"/>
  <c r="R434" i="3"/>
  <c r="Q434" i="3"/>
  <c r="R280" i="3"/>
  <c r="Q280" i="3"/>
  <c r="R408" i="3"/>
  <c r="Q408" i="3"/>
  <c r="R273" i="3"/>
  <c r="Q273" i="3"/>
  <c r="R188" i="3"/>
  <c r="Q188" i="3"/>
  <c r="R219" i="3"/>
  <c r="Q219" i="3"/>
  <c r="R287" i="3"/>
  <c r="Q287" i="3"/>
  <c r="R233" i="3"/>
  <c r="Q233" i="3"/>
  <c r="R69" i="3"/>
  <c r="Q69" i="3"/>
  <c r="R315" i="3"/>
  <c r="Q315" i="3"/>
  <c r="R317" i="3"/>
  <c r="Q317" i="3"/>
  <c r="R422" i="3"/>
  <c r="Q422" i="3"/>
  <c r="R411" i="3"/>
  <c r="Q411" i="3"/>
  <c r="R328" i="3"/>
  <c r="Q328" i="3"/>
  <c r="Q301" i="3"/>
  <c r="R301" i="3"/>
  <c r="R263" i="3"/>
  <c r="Q263" i="3"/>
  <c r="Q194" i="3"/>
  <c r="R194" i="3"/>
  <c r="R210" i="3"/>
  <c r="Q210" i="3"/>
  <c r="R337" i="3"/>
  <c r="Q337" i="3"/>
  <c r="R351" i="3"/>
  <c r="Q351" i="3"/>
  <c r="R204" i="3"/>
  <c r="Q204" i="3"/>
  <c r="Q313" i="3"/>
  <c r="R313" i="3"/>
  <c r="Q340" i="3"/>
  <c r="R340" i="3"/>
  <c r="P124" i="3"/>
  <c r="R389" i="3"/>
  <c r="Q389" i="3"/>
  <c r="R212" i="3"/>
  <c r="Q212" i="3"/>
  <c r="R247" i="3"/>
  <c r="Q247" i="3"/>
  <c r="R252" i="3"/>
  <c r="Q252" i="3"/>
  <c r="R397" i="3"/>
  <c r="Q397" i="3"/>
  <c r="P380" i="3"/>
  <c r="R186" i="3"/>
  <c r="Q186" i="3"/>
  <c r="R310" i="3"/>
  <c r="Q310" i="3"/>
  <c r="R350" i="3"/>
  <c r="Q350" i="3"/>
  <c r="R193" i="3"/>
  <c r="Q193" i="3"/>
  <c r="Q137" i="3"/>
  <c r="R137" i="3"/>
  <c r="R251" i="3"/>
  <c r="Q251" i="3"/>
  <c r="Q156" i="3"/>
  <c r="R156" i="3"/>
  <c r="R327" i="3"/>
  <c r="Q327" i="3"/>
  <c r="Q384" i="3"/>
  <c r="R384" i="3"/>
  <c r="R228" i="3"/>
  <c r="Q228" i="3"/>
  <c r="R356" i="3"/>
  <c r="Q356" i="3"/>
  <c r="R266" i="3"/>
  <c r="Q266" i="3"/>
  <c r="R338" i="3"/>
  <c r="Q338" i="3"/>
  <c r="Q290" i="3"/>
  <c r="R290" i="3"/>
  <c r="R55" i="3"/>
  <c r="Q55" i="3"/>
  <c r="R322" i="3"/>
  <c r="Q322" i="3"/>
  <c r="R250" i="3"/>
  <c r="Q250" i="3"/>
  <c r="Q296" i="3"/>
  <c r="R296" i="3"/>
  <c r="R342" i="3"/>
  <c r="Q342" i="3"/>
  <c r="R332" i="3"/>
  <c r="Q332" i="3"/>
  <c r="R430" i="3"/>
  <c r="Q430" i="3"/>
  <c r="R166" i="3"/>
  <c r="Q166" i="3"/>
  <c r="R426" i="3"/>
  <c r="Q426" i="3"/>
  <c r="Q187" i="3"/>
  <c r="R187" i="3"/>
  <c r="R308" i="3"/>
  <c r="Q308" i="3"/>
  <c r="R139" i="3"/>
  <c r="Q139" i="3"/>
  <c r="R104" i="3"/>
  <c r="Q104" i="3"/>
  <c r="R413" i="3"/>
  <c r="Q413" i="3"/>
  <c r="Q152" i="3"/>
  <c r="R152" i="3"/>
  <c r="R221" i="3"/>
  <c r="Q221" i="3"/>
  <c r="R164" i="3"/>
  <c r="Q164" i="3"/>
  <c r="R371" i="3"/>
  <c r="Q371" i="3"/>
  <c r="R157" i="3"/>
  <c r="Q157" i="3"/>
  <c r="Q357" i="3"/>
  <c r="R357" i="3"/>
  <c r="Q271" i="3"/>
  <c r="R271" i="3"/>
  <c r="R264" i="3"/>
  <c r="Q264" i="3"/>
  <c r="R401" i="3"/>
  <c r="Q401" i="3"/>
  <c r="R597" i="3"/>
  <c r="P19" i="3"/>
  <c r="Q19" i="3" s="1"/>
  <c r="P35" i="3" l="1"/>
  <c r="P66" i="3"/>
  <c r="Q473" i="3"/>
  <c r="P113" i="3"/>
  <c r="P114" i="3"/>
  <c r="R114" i="3" s="1"/>
  <c r="P84" i="3"/>
  <c r="Q84" i="3" s="1"/>
  <c r="R238" i="3"/>
  <c r="P47" i="3"/>
  <c r="R47" i="3" s="1"/>
  <c r="P95" i="3"/>
  <c r="R95" i="3" s="1"/>
  <c r="P118" i="3"/>
  <c r="R118" i="3" s="1"/>
  <c r="P92" i="3"/>
  <c r="R92" i="3" s="1"/>
  <c r="P93" i="3"/>
  <c r="R93" i="3" s="1"/>
  <c r="P82" i="3"/>
  <c r="P80" i="3"/>
  <c r="R80" i="3" s="1"/>
  <c r="P23" i="3"/>
  <c r="Q23" i="3" s="1"/>
  <c r="P177" i="3"/>
  <c r="R177" i="3" s="1"/>
  <c r="P83" i="3"/>
  <c r="Q83" i="3" s="1"/>
  <c r="P88" i="3"/>
  <c r="P175" i="3"/>
  <c r="Q175" i="3" s="1"/>
  <c r="P172" i="3"/>
  <c r="Q172" i="3" s="1"/>
  <c r="P173" i="3"/>
  <c r="R173" i="3" s="1"/>
  <c r="P132" i="3"/>
  <c r="R132" i="3" s="1"/>
  <c r="Q114" i="3"/>
  <c r="P40" i="3"/>
  <c r="P49" i="3"/>
  <c r="P130" i="3"/>
  <c r="P25" i="3"/>
  <c r="P27" i="3"/>
  <c r="P116" i="3"/>
  <c r="R84" i="3"/>
  <c r="P131" i="3"/>
  <c r="P33" i="3"/>
  <c r="R82" i="3"/>
  <c r="Q82" i="3"/>
  <c r="P120" i="3"/>
  <c r="R35" i="3"/>
  <c r="Q35" i="3"/>
  <c r="P12" i="3"/>
  <c r="P128" i="3"/>
  <c r="P74" i="3"/>
  <c r="Q124" i="3"/>
  <c r="R124" i="3"/>
  <c r="P75" i="3"/>
  <c r="P146" i="3"/>
  <c r="P31" i="3"/>
  <c r="P144" i="3"/>
  <c r="P29" i="3"/>
  <c r="R66" i="3"/>
  <c r="Q66" i="3"/>
  <c r="P110" i="3"/>
  <c r="P125" i="3"/>
  <c r="P117" i="3"/>
  <c r="P24" i="3"/>
  <c r="P170" i="3"/>
  <c r="P91" i="3"/>
  <c r="P150" i="3"/>
  <c r="P48" i="3"/>
  <c r="P111" i="3"/>
  <c r="P20" i="3"/>
  <c r="P85" i="3"/>
  <c r="P171" i="3"/>
  <c r="P115" i="3"/>
  <c r="P119" i="3"/>
  <c r="P78" i="3"/>
  <c r="P76" i="3"/>
  <c r="R88" i="3"/>
  <c r="Q88" i="3"/>
  <c r="P148" i="3"/>
  <c r="P50" i="3"/>
  <c r="P16" i="3"/>
  <c r="P26" i="3"/>
  <c r="P81" i="3"/>
  <c r="P121" i="3"/>
  <c r="P90" i="3"/>
  <c r="P108" i="3"/>
  <c r="R79" i="3"/>
  <c r="Q79" i="3"/>
  <c r="P39" i="3"/>
  <c r="Q122" i="3"/>
  <c r="R122" i="3"/>
  <c r="P28" i="3"/>
  <c r="P32" i="3"/>
  <c r="P34" i="3"/>
  <c r="P77" i="3"/>
  <c r="P17" i="3"/>
  <c r="P127" i="3"/>
  <c r="P149" i="3"/>
  <c r="P145" i="3"/>
  <c r="R380" i="3"/>
  <c r="Q380" i="3"/>
  <c r="P123" i="3"/>
  <c r="P18" i="3"/>
  <c r="P30" i="3"/>
  <c r="P109" i="3"/>
  <c r="P94" i="3"/>
  <c r="P89" i="3"/>
  <c r="R113" i="3"/>
  <c r="Q113" i="3"/>
  <c r="P107" i="3"/>
  <c r="P112" i="3"/>
  <c r="P22" i="3"/>
  <c r="P129" i="3"/>
  <c r="P86" i="3"/>
  <c r="P87" i="3"/>
  <c r="Q597" i="3"/>
  <c r="R19" i="3"/>
  <c r="P11" i="3"/>
  <c r="Q11" i="3" s="1"/>
  <c r="AF49" i="6"/>
  <c r="C21" i="12" s="1"/>
  <c r="C20" i="12" s="1"/>
  <c r="AG49" i="6"/>
  <c r="D21" i="12" s="1"/>
  <c r="D20" i="12" s="1"/>
  <c r="AE45" i="6"/>
  <c r="AE44" i="6"/>
  <c r="AE43" i="6"/>
  <c r="AE42" i="6"/>
  <c r="AE39" i="6"/>
  <c r="AE38" i="6"/>
  <c r="AE37" i="6"/>
  <c r="AE36" i="6"/>
  <c r="AE35" i="6"/>
  <c r="AE34" i="6"/>
  <c r="AE33" i="6"/>
  <c r="AE32" i="6"/>
  <c r="AE31" i="6"/>
  <c r="AE30" i="6"/>
  <c r="AE29" i="6"/>
  <c r="AE28" i="6"/>
  <c r="AE27" i="6"/>
  <c r="AE26" i="6"/>
  <c r="AE24" i="6"/>
  <c r="AE23" i="6"/>
  <c r="AE22" i="6"/>
  <c r="AE20" i="6"/>
  <c r="AE19" i="6"/>
  <c r="AE18" i="6"/>
  <c r="AE17" i="6"/>
  <c r="AE16" i="6"/>
  <c r="AE15" i="6"/>
  <c r="AE14" i="6"/>
  <c r="Q25" i="4"/>
  <c r="C24" i="12" s="1"/>
  <c r="R25" i="4"/>
  <c r="D24" i="12" s="1"/>
  <c r="Q50" i="2"/>
  <c r="C18" i="12" s="1"/>
  <c r="R50" i="2"/>
  <c r="D18" i="12" s="1"/>
  <c r="Q92" i="3" l="1"/>
  <c r="AG44" i="6"/>
  <c r="AF44" i="6"/>
  <c r="AG45" i="6"/>
  <c r="AF45" i="6"/>
  <c r="AG32" i="6"/>
  <c r="AF32" i="6"/>
  <c r="AG37" i="6"/>
  <c r="AF37" i="6"/>
  <c r="AF17" i="6"/>
  <c r="AG17" i="6"/>
  <c r="AG18" i="6"/>
  <c r="AF18" i="6"/>
  <c r="AG33" i="6"/>
  <c r="AF33" i="6"/>
  <c r="AG20" i="6"/>
  <c r="AF20" i="6"/>
  <c r="AG35" i="6"/>
  <c r="AF35" i="6"/>
  <c r="AG36" i="6"/>
  <c r="AF36" i="6"/>
  <c r="AG38" i="6"/>
  <c r="AF38" i="6"/>
  <c r="AG30" i="6"/>
  <c r="AF30" i="6"/>
  <c r="AG22" i="6"/>
  <c r="AF22" i="6"/>
  <c r="AG39" i="6"/>
  <c r="AF39" i="6"/>
  <c r="AF19" i="6"/>
  <c r="AG19" i="6"/>
  <c r="AG34" i="6"/>
  <c r="AF34" i="6"/>
  <c r="AF23" i="6"/>
  <c r="AG23" i="6"/>
  <c r="AG42" i="6"/>
  <c r="AF42" i="6"/>
  <c r="AF16" i="6"/>
  <c r="AG16" i="6"/>
  <c r="AF31" i="6"/>
  <c r="AG31" i="6"/>
  <c r="AG24" i="6"/>
  <c r="AF24" i="6"/>
  <c r="AG26" i="6"/>
  <c r="AF26" i="6"/>
  <c r="AG27" i="6"/>
  <c r="AF27" i="6"/>
  <c r="AG14" i="6"/>
  <c r="AF14" i="6"/>
  <c r="AF28" i="6"/>
  <c r="AG28" i="6"/>
  <c r="AG15" i="6"/>
  <c r="AF15" i="6"/>
  <c r="AG29" i="6"/>
  <c r="AF29" i="6"/>
  <c r="AG43" i="6"/>
  <c r="AF43" i="6"/>
  <c r="Q118" i="3"/>
  <c r="R175" i="3"/>
  <c r="R172" i="3"/>
  <c r="Q132" i="3"/>
  <c r="P183" i="3"/>
  <c r="R183" i="3" s="1"/>
  <c r="Q47" i="3"/>
  <c r="Q173" i="3"/>
  <c r="Q80" i="3"/>
  <c r="R83" i="3"/>
  <c r="Q177" i="3"/>
  <c r="R23" i="3"/>
  <c r="Q93" i="3"/>
  <c r="Q95" i="3"/>
  <c r="P15" i="3"/>
  <c r="R15" i="3" s="1"/>
  <c r="R108" i="3"/>
  <c r="Q108" i="3"/>
  <c r="Q24" i="3"/>
  <c r="R24" i="3"/>
  <c r="Q130" i="3"/>
  <c r="R130" i="3"/>
  <c r="Q148" i="3"/>
  <c r="R148" i="3"/>
  <c r="R49" i="3"/>
  <c r="Q49" i="3"/>
  <c r="R145" i="3"/>
  <c r="Q145" i="3"/>
  <c r="Q40" i="3"/>
  <c r="R40" i="3"/>
  <c r="Q107" i="3"/>
  <c r="R107" i="3"/>
  <c r="R30" i="3"/>
  <c r="Q30" i="3"/>
  <c r="Q39" i="3"/>
  <c r="R39" i="3"/>
  <c r="R78" i="3"/>
  <c r="Q78" i="3"/>
  <c r="R150" i="3"/>
  <c r="Q150" i="3"/>
  <c r="R74" i="3"/>
  <c r="Q74" i="3"/>
  <c r="R116" i="3"/>
  <c r="Q116" i="3"/>
  <c r="R18" i="3"/>
  <c r="Q18" i="3"/>
  <c r="R119" i="3"/>
  <c r="Q119" i="3"/>
  <c r="R91" i="3"/>
  <c r="Q91" i="3"/>
  <c r="R29" i="3"/>
  <c r="Q29" i="3"/>
  <c r="R128" i="3"/>
  <c r="Q128" i="3"/>
  <c r="Q27" i="3"/>
  <c r="R27" i="3"/>
  <c r="P13" i="3"/>
  <c r="Q123" i="3"/>
  <c r="R123" i="3"/>
  <c r="R127" i="3"/>
  <c r="Q127" i="3"/>
  <c r="Q16" i="3"/>
  <c r="R16" i="3"/>
  <c r="R170" i="3"/>
  <c r="Q170" i="3"/>
  <c r="Q144" i="3"/>
  <c r="R144" i="3"/>
  <c r="R12" i="3"/>
  <c r="Q12" i="3"/>
  <c r="R25" i="3"/>
  <c r="Q25" i="3"/>
  <c r="Q90" i="3"/>
  <c r="R90" i="3"/>
  <c r="Q50" i="3"/>
  <c r="R50" i="3"/>
  <c r="R77" i="3"/>
  <c r="Q77" i="3"/>
  <c r="R120" i="3"/>
  <c r="Q120" i="3"/>
  <c r="R85" i="3"/>
  <c r="Q85" i="3"/>
  <c r="R87" i="3"/>
  <c r="Q87" i="3"/>
  <c r="R34" i="3"/>
  <c r="Q34" i="3"/>
  <c r="R121" i="3"/>
  <c r="Q121" i="3"/>
  <c r="R20" i="3"/>
  <c r="Q20" i="3"/>
  <c r="P14" i="3"/>
  <c r="Q31" i="3"/>
  <c r="R31" i="3"/>
  <c r="R117" i="3"/>
  <c r="Q117" i="3"/>
  <c r="Q86" i="3"/>
  <c r="R86" i="3"/>
  <c r="Q183" i="3"/>
  <c r="Q32" i="3"/>
  <c r="R32" i="3"/>
  <c r="R111" i="3"/>
  <c r="Q111" i="3"/>
  <c r="R146" i="3"/>
  <c r="Q146" i="3"/>
  <c r="Q33" i="3"/>
  <c r="R33" i="3"/>
  <c r="Q129" i="3"/>
  <c r="R129" i="3"/>
  <c r="R89" i="3"/>
  <c r="Q89" i="3"/>
  <c r="Q28" i="3"/>
  <c r="R28" i="3"/>
  <c r="R76" i="3"/>
  <c r="Q76" i="3"/>
  <c r="Q75" i="3"/>
  <c r="R75" i="3"/>
  <c r="R131" i="3"/>
  <c r="Q131" i="3"/>
  <c r="R125" i="3"/>
  <c r="Q125" i="3"/>
  <c r="R22" i="3"/>
  <c r="Q22" i="3"/>
  <c r="Q94" i="3"/>
  <c r="R94" i="3"/>
  <c r="R81" i="3"/>
  <c r="Q81" i="3"/>
  <c r="Q110" i="3"/>
  <c r="R110" i="3"/>
  <c r="R17" i="3"/>
  <c r="Q17" i="3"/>
  <c r="Q115" i="3"/>
  <c r="R115" i="3"/>
  <c r="Q171" i="3"/>
  <c r="R171" i="3"/>
  <c r="Q112" i="3"/>
  <c r="R112" i="3"/>
  <c r="Q109" i="3"/>
  <c r="R109" i="3"/>
  <c r="R149" i="3"/>
  <c r="Q149" i="3"/>
  <c r="R26" i="3"/>
  <c r="Q26" i="3"/>
  <c r="R48" i="3"/>
  <c r="Q48" i="3"/>
  <c r="AB40" i="7"/>
  <c r="AD40" i="7" s="1"/>
  <c r="AB105" i="7"/>
  <c r="AD105" i="7" s="1"/>
  <c r="AB138" i="7"/>
  <c r="AD138" i="7" s="1"/>
  <c r="AB37" i="7"/>
  <c r="AD37" i="7" s="1"/>
  <c r="AB26" i="7"/>
  <c r="AD26" i="7" s="1"/>
  <c r="AB141" i="7"/>
  <c r="AD141" i="7" s="1"/>
  <c r="AB82" i="7"/>
  <c r="AD82" i="7" s="1"/>
  <c r="AB130" i="7"/>
  <c r="AD130" i="7" s="1"/>
  <c r="AB131" i="7"/>
  <c r="AD131" i="7" s="1"/>
  <c r="AB20" i="7"/>
  <c r="AD20" i="7" s="1"/>
  <c r="AB38" i="7"/>
  <c r="AD38" i="7" s="1"/>
  <c r="P12" i="4"/>
  <c r="P15" i="4"/>
  <c r="R11" i="3"/>
  <c r="AB107" i="7" l="1"/>
  <c r="AD107" i="7" s="1"/>
  <c r="AB112" i="7"/>
  <c r="AD112" i="7" s="1"/>
  <c r="AB72" i="7"/>
  <c r="AD72" i="7" s="1"/>
  <c r="AB62" i="7"/>
  <c r="AD62" i="7" s="1"/>
  <c r="AB99" i="7"/>
  <c r="AD99" i="7" s="1"/>
  <c r="AB55" i="7"/>
  <c r="AD55" i="7" s="1"/>
  <c r="AB15" i="7"/>
  <c r="AD15" i="7" s="1"/>
  <c r="AB76" i="7"/>
  <c r="AD76" i="7" s="1"/>
  <c r="AB144" i="7"/>
  <c r="AD144" i="7" s="1"/>
  <c r="AB139" i="7"/>
  <c r="AD139" i="7" s="1"/>
  <c r="AB92" i="7"/>
  <c r="AD92" i="7" s="1"/>
  <c r="AB135" i="7"/>
  <c r="AD135" i="7" s="1"/>
  <c r="AB59" i="7"/>
  <c r="AD59" i="7" s="1"/>
  <c r="AB104" i="7"/>
  <c r="AD104" i="7" s="1"/>
  <c r="AB70" i="7"/>
  <c r="AD70" i="7" s="1"/>
  <c r="AB21" i="7"/>
  <c r="AD21" i="7" s="1"/>
  <c r="AB45" i="7"/>
  <c r="AD45" i="7" s="1"/>
  <c r="AB39" i="7"/>
  <c r="AD39" i="7" s="1"/>
  <c r="AB29" i="7"/>
  <c r="AD29" i="7" s="1"/>
  <c r="Q15" i="3"/>
  <c r="P21" i="2"/>
  <c r="P45" i="2"/>
  <c r="P42" i="2"/>
  <c r="P49" i="2"/>
  <c r="R13" i="3"/>
  <c r="Q13" i="3"/>
  <c r="R14" i="3"/>
  <c r="Q14" i="3"/>
  <c r="AB51" i="7"/>
  <c r="AD51" i="7" s="1"/>
  <c r="AB74" i="7"/>
  <c r="AD74" i="7" s="1"/>
  <c r="AB60" i="7"/>
  <c r="AD60" i="7" s="1"/>
  <c r="AB86" i="7"/>
  <c r="AD86" i="7" s="1"/>
  <c r="AB46" i="7"/>
  <c r="AD46" i="7" s="1"/>
  <c r="AB57" i="7"/>
  <c r="AD57" i="7" s="1"/>
  <c r="AB42" i="7"/>
  <c r="AD42" i="7" s="1"/>
  <c r="AB33" i="7"/>
  <c r="AD33" i="7" s="1"/>
  <c r="AB129" i="7"/>
  <c r="AD129" i="7" s="1"/>
  <c r="AB41" i="7"/>
  <c r="AD41" i="7" s="1"/>
  <c r="AB34" i="7"/>
  <c r="AD34" i="7" s="1"/>
  <c r="AB142" i="7"/>
  <c r="AD142" i="7" s="1"/>
  <c r="AB103" i="7"/>
  <c r="AD103" i="7" s="1"/>
  <c r="AB16" i="7"/>
  <c r="AD16" i="7" s="1"/>
  <c r="AB108" i="7"/>
  <c r="AD108" i="7" s="1"/>
  <c r="AB143" i="7"/>
  <c r="AD143" i="7" s="1"/>
  <c r="AB97" i="7"/>
  <c r="AD97" i="7" s="1"/>
  <c r="AB88" i="7"/>
  <c r="AD88" i="7" s="1"/>
  <c r="AB49" i="7"/>
  <c r="AD49" i="7" s="1"/>
  <c r="AB79" i="7"/>
  <c r="AD79" i="7" s="1"/>
  <c r="AB50" i="7"/>
  <c r="AD50" i="7" s="1"/>
  <c r="AB136" i="7"/>
  <c r="AD136" i="7" s="1"/>
  <c r="AB84" i="7"/>
  <c r="AD84" i="7" s="1"/>
  <c r="AB117" i="7"/>
  <c r="AD117" i="7" s="1"/>
  <c r="AB30" i="7"/>
  <c r="AD30" i="7" s="1"/>
  <c r="AB25" i="7"/>
  <c r="AD25" i="7" s="1"/>
  <c r="AB132" i="7"/>
  <c r="AD132" i="7" s="1"/>
  <c r="AB124" i="7"/>
  <c r="AD124" i="7" s="1"/>
  <c r="AB90" i="7"/>
  <c r="AD90" i="7" s="1"/>
  <c r="AB126" i="7"/>
  <c r="AD126" i="7" s="1"/>
  <c r="AB66" i="7"/>
  <c r="AD66" i="7" s="1"/>
  <c r="AB77" i="7"/>
  <c r="AD77" i="7" s="1"/>
  <c r="AB22" i="7"/>
  <c r="AD22" i="7" s="1"/>
  <c r="AB48" i="7"/>
  <c r="AD48" i="7" s="1"/>
  <c r="AB53" i="7"/>
  <c r="AB61" i="7"/>
  <c r="AD61" i="7" s="1"/>
  <c r="AB81" i="7"/>
  <c r="AD81" i="7" s="1"/>
  <c r="AB65" i="7"/>
  <c r="AD65" i="7" s="1"/>
  <c r="AB134" i="7"/>
  <c r="AD134" i="7" s="1"/>
  <c r="AB71" i="7"/>
  <c r="AD71" i="7" s="1"/>
  <c r="AB100" i="7"/>
  <c r="AD100" i="7" s="1"/>
  <c r="AB17" i="7"/>
  <c r="AD17" i="7" s="1"/>
  <c r="AB78" i="7"/>
  <c r="AD78" i="7" s="1"/>
  <c r="AB120" i="7"/>
  <c r="AD120" i="7" s="1"/>
  <c r="AB116" i="7"/>
  <c r="AD116" i="7" s="1"/>
  <c r="AB35" i="7"/>
  <c r="AD35" i="7" s="1"/>
  <c r="AB121" i="7"/>
  <c r="AD121" i="7" s="1"/>
  <c r="AB47" i="7"/>
  <c r="AD47" i="7" s="1"/>
  <c r="AB80" i="7"/>
  <c r="AD80" i="7" s="1"/>
  <c r="AB75" i="7"/>
  <c r="AD75" i="7" s="1"/>
  <c r="AB18" i="7"/>
  <c r="AD18" i="7" s="1"/>
  <c r="AB14" i="7"/>
  <c r="AD14" i="7" s="1"/>
  <c r="AB52" i="7"/>
  <c r="AD52" i="7" s="1"/>
  <c r="AB118" i="7"/>
  <c r="AD118" i="7" s="1"/>
  <c r="AB31" i="7"/>
  <c r="AD31" i="7" s="1"/>
  <c r="AB114" i="7"/>
  <c r="AD114" i="7" s="1"/>
  <c r="AB125" i="7"/>
  <c r="AD125" i="7" s="1"/>
  <c r="AB109" i="7"/>
  <c r="AD109" i="7" s="1"/>
  <c r="AB24" i="7"/>
  <c r="AD24" i="7" s="1"/>
  <c r="AB123" i="7"/>
  <c r="AD123" i="7" s="1"/>
  <c r="AB128" i="7"/>
  <c r="AD128" i="7" s="1"/>
  <c r="AB19" i="7"/>
  <c r="AD19" i="7" s="1"/>
  <c r="AB96" i="7"/>
  <c r="AD96" i="7" s="1"/>
  <c r="AB140" i="7"/>
  <c r="AD140" i="7" s="1"/>
  <c r="AB119" i="7"/>
  <c r="AD119" i="7" s="1"/>
  <c r="AB83" i="7"/>
  <c r="AD83" i="7" s="1"/>
  <c r="AB43" i="7"/>
  <c r="AD43" i="7" s="1"/>
  <c r="AB69" i="7"/>
  <c r="AD69" i="7" s="1"/>
  <c r="AB111" i="7"/>
  <c r="AD111" i="7" s="1"/>
  <c r="AB68" i="7"/>
  <c r="AD68" i="7" s="1"/>
  <c r="AB28" i="7"/>
  <c r="AD28" i="7" s="1"/>
  <c r="AB67" i="7"/>
  <c r="AD67" i="7" s="1"/>
  <c r="AB95" i="7"/>
  <c r="AD95" i="7" s="1"/>
  <c r="AB87" i="7"/>
  <c r="AD87" i="7" s="1"/>
  <c r="AB27" i="7"/>
  <c r="AD27" i="7" s="1"/>
  <c r="AB94" i="7"/>
  <c r="AD94" i="7" s="1"/>
  <c r="AB56" i="7"/>
  <c r="AD56" i="7" s="1"/>
  <c r="AB32" i="7"/>
  <c r="AD32" i="7" s="1"/>
  <c r="AB58" i="7"/>
  <c r="AD58" i="7" s="1"/>
  <c r="AB110" i="7"/>
  <c r="AD110" i="7" s="1"/>
  <c r="AB64" i="7"/>
  <c r="AD64" i="7" s="1"/>
  <c r="P16" i="4"/>
  <c r="R15" i="4"/>
  <c r="Q15" i="4"/>
  <c r="P20" i="4"/>
  <c r="R12" i="4"/>
  <c r="Q12" i="4"/>
  <c r="P13" i="4"/>
  <c r="P19" i="4"/>
  <c r="P18" i="4"/>
  <c r="P24" i="4"/>
  <c r="P22" i="4"/>
  <c r="P11" i="4"/>
  <c r="AE13" i="6"/>
  <c r="AB13" i="7"/>
  <c r="AD13" i="7" s="1"/>
  <c r="Q9" i="3" l="1"/>
  <c r="Q844" i="3" s="1"/>
  <c r="R9" i="3"/>
  <c r="R844" i="3" s="1"/>
  <c r="P32" i="2"/>
  <c r="P48" i="2"/>
  <c r="R48" i="2" s="1"/>
  <c r="P39" i="2"/>
  <c r="R39" i="2" s="1"/>
  <c r="P23" i="2"/>
  <c r="R23" i="2" s="1"/>
  <c r="P27" i="2"/>
  <c r="P12" i="2"/>
  <c r="R12" i="2" s="1"/>
  <c r="P14" i="2"/>
  <c r="Q14" i="2" s="1"/>
  <c r="P16" i="2"/>
  <c r="Q16" i="2" s="1"/>
  <c r="P38" i="2"/>
  <c r="R38" i="2" s="1"/>
  <c r="P2395" i="11"/>
  <c r="R2395" i="11" s="1"/>
  <c r="P2391" i="11"/>
  <c r="P2393" i="11"/>
  <c r="P2390" i="11"/>
  <c r="P2394" i="11"/>
  <c r="Q2391" i="11"/>
  <c r="R2391" i="11"/>
  <c r="P2392" i="11"/>
  <c r="Q27" i="2"/>
  <c r="R27" i="2"/>
  <c r="Q48" i="2"/>
  <c r="P19" i="2"/>
  <c r="P22" i="2"/>
  <c r="P40" i="2"/>
  <c r="P28" i="2"/>
  <c r="P36" i="2"/>
  <c r="P33" i="2"/>
  <c r="Q49" i="2"/>
  <c r="R49" i="2"/>
  <c r="P35" i="2"/>
  <c r="P41" i="2"/>
  <c r="R42" i="2"/>
  <c r="Q42" i="2"/>
  <c r="P37" i="2"/>
  <c r="Q21" i="2"/>
  <c r="R21" i="2"/>
  <c r="Q45" i="2"/>
  <c r="R45" i="2"/>
  <c r="P20" i="2"/>
  <c r="Q32" i="2"/>
  <c r="R32" i="2"/>
  <c r="P44" i="2"/>
  <c r="P43" i="2"/>
  <c r="P15" i="2"/>
  <c r="P26" i="2"/>
  <c r="P34" i="2"/>
  <c r="AD53" i="7"/>
  <c r="AC53" i="7"/>
  <c r="R13" i="4"/>
  <c r="Q13" i="4"/>
  <c r="R22" i="4"/>
  <c r="Q22" i="4"/>
  <c r="R24" i="4"/>
  <c r="Q24" i="4"/>
  <c r="Q18" i="4"/>
  <c r="R18" i="4"/>
  <c r="R19" i="4"/>
  <c r="Q19" i="4"/>
  <c r="Q20" i="4"/>
  <c r="R20" i="4"/>
  <c r="Q16" i="4"/>
  <c r="R16" i="4"/>
  <c r="R11" i="4"/>
  <c r="Q11" i="4"/>
  <c r="AG13" i="6"/>
  <c r="AF13" i="6"/>
  <c r="P11" i="2"/>
  <c r="R11" i="2" s="1"/>
  <c r="D10" i="12" l="1"/>
  <c r="C10" i="12"/>
  <c r="Q23" i="2"/>
  <c r="Q12" i="2"/>
  <c r="Q39" i="2"/>
  <c r="Q2395" i="11"/>
  <c r="Q9" i="4"/>
  <c r="Q30" i="4" s="1"/>
  <c r="R16" i="2"/>
  <c r="P46" i="2"/>
  <c r="Q46" i="2" s="1"/>
  <c r="R14" i="2"/>
  <c r="Q38" i="2"/>
  <c r="Q2392" i="11"/>
  <c r="R2392" i="11"/>
  <c r="Q2394" i="11"/>
  <c r="R2394" i="11"/>
  <c r="Q2390" i="11"/>
  <c r="R2390" i="11"/>
  <c r="Q2393" i="11"/>
  <c r="R2393" i="11"/>
  <c r="Q43" i="2"/>
  <c r="R43" i="2"/>
  <c r="R36" i="2"/>
  <c r="Q36" i="2"/>
  <c r="R28" i="2"/>
  <c r="Q28" i="2"/>
  <c r="R40" i="2"/>
  <c r="Q40" i="2"/>
  <c r="R19" i="2"/>
  <c r="Q19" i="2"/>
  <c r="Q20" i="2"/>
  <c r="R20" i="2"/>
  <c r="R33" i="2"/>
  <c r="Q33" i="2"/>
  <c r="R44" i="2"/>
  <c r="Q44" i="2"/>
  <c r="R41" i="2"/>
  <c r="Q41" i="2"/>
  <c r="R35" i="2"/>
  <c r="Q35" i="2"/>
  <c r="Q22" i="2"/>
  <c r="R22" i="2"/>
  <c r="R34" i="2"/>
  <c r="Q34" i="2"/>
  <c r="Q26" i="2"/>
  <c r="R26" i="2"/>
  <c r="R15" i="2"/>
  <c r="Q15" i="2"/>
  <c r="R37" i="2"/>
  <c r="Q37" i="2"/>
  <c r="P17" i="2"/>
  <c r="R9" i="4"/>
  <c r="R30" i="4" s="1"/>
  <c r="AF9" i="6"/>
  <c r="AG9" i="6"/>
  <c r="AD9" i="7"/>
  <c r="Q11" i="2"/>
  <c r="C15" i="12" l="1"/>
  <c r="R46" i="2"/>
  <c r="R17" i="2"/>
  <c r="Q17" i="2"/>
  <c r="D15" i="12"/>
  <c r="D12" i="12"/>
  <c r="AG54" i="6"/>
  <c r="C12" i="12"/>
  <c r="AF54" i="6"/>
  <c r="Q9" i="2"/>
  <c r="D13" i="12"/>
  <c r="AD150" i="7"/>
  <c r="R9" i="2"/>
  <c r="C9" i="12" l="1"/>
  <c r="Q55" i="2"/>
  <c r="D9" i="12"/>
  <c r="R55" i="2"/>
  <c r="P2566" i="11" l="1"/>
  <c r="P2528" i="11"/>
  <c r="P2561" i="11"/>
  <c r="P2684" i="11"/>
  <c r="P2585" i="11"/>
  <c r="P2564" i="11"/>
  <c r="P2567" i="11"/>
  <c r="P2563" i="11"/>
  <c r="P2655" i="11" l="1"/>
  <c r="P2568" i="11"/>
  <c r="P2538" i="11"/>
  <c r="P2558" i="11"/>
  <c r="R2558" i="11" s="1"/>
  <c r="P2642" i="11"/>
  <c r="P2643" i="11"/>
  <c r="Q2643" i="11" s="1"/>
  <c r="P2626" i="11"/>
  <c r="R2626" i="11" s="1"/>
  <c r="P2594" i="11"/>
  <c r="Q2594" i="11" s="1"/>
  <c r="P2604" i="11"/>
  <c r="Q2604" i="11" s="1"/>
  <c r="P2633" i="11"/>
  <c r="Q2633" i="11" s="1"/>
  <c r="P2562" i="11"/>
  <c r="Q2562" i="11" s="1"/>
  <c r="P2539" i="11"/>
  <c r="R2539" i="11" s="1"/>
  <c r="P2554" i="11"/>
  <c r="R2554" i="11" s="1"/>
  <c r="P2537" i="11"/>
  <c r="R2537" i="11" s="1"/>
  <c r="P2676" i="11"/>
  <c r="R2676" i="11" s="1"/>
  <c r="P2595" i="11"/>
  <c r="Q2595" i="11" s="1"/>
  <c r="P2663" i="11"/>
  <c r="R2663" i="11" s="1"/>
  <c r="P2648" i="11"/>
  <c r="Q2648" i="11" s="1"/>
  <c r="P2553" i="11"/>
  <c r="Q2553" i="11" s="1"/>
  <c r="P2665" i="11"/>
  <c r="P2625" i="11"/>
  <c r="R2625" i="11" s="1"/>
  <c r="P2608" i="11"/>
  <c r="Q2608" i="11" s="1"/>
  <c r="P2596" i="11"/>
  <c r="R2596" i="11" s="1"/>
  <c r="P2624" i="11"/>
  <c r="Q2624" i="11" s="1"/>
  <c r="P2607" i="11"/>
  <c r="Q2607" i="11" s="1"/>
  <c r="P2555" i="11"/>
  <c r="R2555" i="11" s="1"/>
  <c r="P2515" i="11"/>
  <c r="R2515" i="11" s="1"/>
  <c r="P2582" i="11"/>
  <c r="Q2582" i="11" s="1"/>
  <c r="P2527" i="11"/>
  <c r="P2598" i="11"/>
  <c r="R2598" i="11" s="1"/>
  <c r="P2631" i="11"/>
  <c r="R2631" i="11" s="1"/>
  <c r="P2668" i="11"/>
  <c r="R2668" i="11" s="1"/>
  <c r="P2605" i="11"/>
  <c r="R2605" i="11" s="1"/>
  <c r="P2644" i="11"/>
  <c r="Q2644" i="11" s="1"/>
  <c r="P2664" i="11"/>
  <c r="Q2664" i="11" s="1"/>
  <c r="P2599" i="11"/>
  <c r="R2599" i="11" s="1"/>
  <c r="R2563" i="11"/>
  <c r="Q2563" i="11"/>
  <c r="Q2561" i="11"/>
  <c r="R2561" i="11"/>
  <c r="Q2567" i="11"/>
  <c r="R2567" i="11"/>
  <c r="R2642" i="11"/>
  <c r="Q2642" i="11"/>
  <c r="Q2665" i="11"/>
  <c r="R2665" i="11"/>
  <c r="P2658" i="11"/>
  <c r="P2577" i="11"/>
  <c r="P2514" i="11"/>
  <c r="P2602" i="11"/>
  <c r="P2541" i="11"/>
  <c r="P2632" i="11"/>
  <c r="P2609" i="11"/>
  <c r="P2574" i="11"/>
  <c r="R2528" i="11"/>
  <c r="Q2528" i="11"/>
  <c r="P2571" i="11"/>
  <c r="P2536" i="11"/>
  <c r="R2553" i="11"/>
  <c r="P2672" i="11"/>
  <c r="P2547" i="11"/>
  <c r="P2559" i="11"/>
  <c r="P2620" i="11"/>
  <c r="P2569" i="11"/>
  <c r="P2621" i="11"/>
  <c r="P2619" i="11"/>
  <c r="P2522" i="11"/>
  <c r="P2681" i="11"/>
  <c r="P2662" i="11"/>
  <c r="P2606" i="11"/>
  <c r="P2683" i="11"/>
  <c r="P2516" i="11"/>
  <c r="P2647" i="11"/>
  <c r="P2521" i="11"/>
  <c r="P2615" i="11"/>
  <c r="P2578" i="11"/>
  <c r="P2622" i="11"/>
  <c r="Q2568" i="11"/>
  <c r="R2568" i="11"/>
  <c r="R2538" i="11"/>
  <c r="Q2538" i="11"/>
  <c r="P2580" i="11"/>
  <c r="P2583" i="11"/>
  <c r="P2592" i="11"/>
  <c r="P2543" i="11"/>
  <c r="P2614" i="11"/>
  <c r="P2630" i="11"/>
  <c r="P2591" i="11"/>
  <c r="P2529" i="11"/>
  <c r="P2512" i="11"/>
  <c r="P2674" i="11"/>
  <c r="P2677" i="11"/>
  <c r="P2636" i="11"/>
  <c r="P2586" i="11"/>
  <c r="P2610" i="11"/>
  <c r="P2590" i="11"/>
  <c r="P2654" i="11"/>
  <c r="P2542" i="11"/>
  <c r="P2679" i="11"/>
  <c r="P2659" i="11"/>
  <c r="P2520" i="11"/>
  <c r="R2566" i="11"/>
  <c r="Q2566" i="11"/>
  <c r="P2613" i="11"/>
  <c r="P2623" i="11"/>
  <c r="Q2655" i="11"/>
  <c r="R2655" i="11"/>
  <c r="P2531" i="11"/>
  <c r="P2581" i="11"/>
  <c r="R2684" i="11"/>
  <c r="Q2684" i="11"/>
  <c r="P2638" i="11"/>
  <c r="P2616" i="11"/>
  <c r="P2579" i="11"/>
  <c r="P2617" i="11"/>
  <c r="Q2598" i="11"/>
  <c r="R2564" i="11"/>
  <c r="Q2564" i="11"/>
  <c r="P2526" i="11"/>
  <c r="P2603" i="11"/>
  <c r="P2556" i="11"/>
  <c r="P2657" i="11"/>
  <c r="P2649" i="11"/>
  <c r="P2627" i="11"/>
  <c r="R2527" i="11"/>
  <c r="Q2527" i="11"/>
  <c r="P2525" i="11"/>
  <c r="P2517" i="11"/>
  <c r="P2675" i="11"/>
  <c r="P2587" i="11"/>
  <c r="P2572" i="11"/>
  <c r="Q2585" i="11"/>
  <c r="R2585" i="11"/>
  <c r="P2589" i="11"/>
  <c r="P2669" i="11"/>
  <c r="P2673" i="11"/>
  <c r="P2652" i="11"/>
  <c r="P2612" i="11"/>
  <c r="P2600" i="11"/>
  <c r="P2588" i="11"/>
  <c r="P2667" i="11"/>
  <c r="P2639" i="11"/>
  <c r="Q2558" i="11"/>
  <c r="P2593" i="11"/>
  <c r="P2597" i="11"/>
  <c r="P2545" i="11"/>
  <c r="P2661" i="11"/>
  <c r="P2552" i="11"/>
  <c r="P2646" i="11"/>
  <c r="P2651" i="11"/>
  <c r="P2557" i="11"/>
  <c r="P2678" i="11"/>
  <c r="P2637" i="11"/>
  <c r="P2653" i="11"/>
  <c r="P2524" i="11"/>
  <c r="P2641" i="11"/>
  <c r="P2601" i="11"/>
  <c r="P2611" i="11"/>
  <c r="P2546" i="11"/>
  <c r="P2660" i="11"/>
  <c r="P2670" i="11"/>
  <c r="P2650" i="11"/>
  <c r="P2544" i="11"/>
  <c r="P2618" i="11"/>
  <c r="P2535" i="11"/>
  <c r="P2573" i="11"/>
  <c r="P2550" i="11"/>
  <c r="P2549" i="11"/>
  <c r="R2643" i="11" l="1"/>
  <c r="Q2605" i="11"/>
  <c r="R2594" i="11"/>
  <c r="Q2668" i="11"/>
  <c r="Q2625" i="11"/>
  <c r="R2644" i="11"/>
  <c r="R2648" i="11"/>
  <c r="R2633" i="11"/>
  <c r="Q2626" i="11"/>
  <c r="R2604" i="11"/>
  <c r="Q2663" i="11"/>
  <c r="R2582" i="11"/>
  <c r="Q2537" i="11"/>
  <c r="Q2555" i="11"/>
  <c r="R2595" i="11"/>
  <c r="Q2554" i="11"/>
  <c r="R2562" i="11"/>
  <c r="Q2676" i="11"/>
  <c r="Q2515" i="11"/>
  <c r="Q2539" i="11"/>
  <c r="R2608" i="11"/>
  <c r="R2624" i="11"/>
  <c r="R2664" i="11"/>
  <c r="Q2599" i="11"/>
  <c r="Q2631" i="11"/>
  <c r="R2607" i="11"/>
  <c r="Q2596" i="11"/>
  <c r="Q2616" i="11"/>
  <c r="R2616" i="11"/>
  <c r="R2583" i="11"/>
  <c r="Q2583" i="11"/>
  <c r="R2647" i="11"/>
  <c r="Q2647" i="11"/>
  <c r="R2602" i="11"/>
  <c r="Q2602" i="11"/>
  <c r="R2660" i="11"/>
  <c r="Q2660" i="11"/>
  <c r="R2545" i="11"/>
  <c r="Q2545" i="11"/>
  <c r="R2669" i="11"/>
  <c r="Q2669" i="11"/>
  <c r="Q2638" i="11"/>
  <c r="R2638" i="11"/>
  <c r="R2512" i="11"/>
  <c r="Q2512" i="11"/>
  <c r="R2580" i="11"/>
  <c r="Q2580" i="11"/>
  <c r="R2516" i="11"/>
  <c r="Q2516" i="11"/>
  <c r="R2672" i="11"/>
  <c r="Q2672" i="11"/>
  <c r="R2670" i="11"/>
  <c r="Q2670" i="11"/>
  <c r="R2627" i="11"/>
  <c r="Q2627" i="11"/>
  <c r="R2661" i="11"/>
  <c r="Q2661" i="11"/>
  <c r="R2546" i="11"/>
  <c r="Q2546" i="11"/>
  <c r="R2611" i="11"/>
  <c r="Q2611" i="11"/>
  <c r="R2601" i="11"/>
  <c r="Q2601" i="11"/>
  <c r="Q2581" i="11"/>
  <c r="R2581" i="11"/>
  <c r="Q2574" i="11"/>
  <c r="R2574" i="11"/>
  <c r="Q2556" i="11"/>
  <c r="R2556" i="11"/>
  <c r="Q2609" i="11"/>
  <c r="R2609" i="11"/>
  <c r="R2522" i="11"/>
  <c r="Q2522" i="11"/>
  <c r="R2653" i="11"/>
  <c r="Q2653" i="11"/>
  <c r="R2593" i="11"/>
  <c r="Q2593" i="11"/>
  <c r="R2667" i="11"/>
  <c r="Q2667" i="11"/>
  <c r="R2675" i="11"/>
  <c r="Q2675" i="11"/>
  <c r="R2590" i="11"/>
  <c r="Q2590" i="11"/>
  <c r="R2614" i="11"/>
  <c r="Q2614" i="11"/>
  <c r="R2578" i="11"/>
  <c r="Q2578" i="11"/>
  <c r="R2619" i="11"/>
  <c r="Q2619" i="11"/>
  <c r="R2658" i="11"/>
  <c r="Q2658" i="11"/>
  <c r="Q2674" i="11"/>
  <c r="R2674" i="11"/>
  <c r="R2520" i="11"/>
  <c r="Q2520" i="11"/>
  <c r="Q2659" i="11"/>
  <c r="R2659" i="11"/>
  <c r="R2606" i="11"/>
  <c r="Q2606" i="11"/>
  <c r="R2657" i="11"/>
  <c r="Q2657" i="11"/>
  <c r="Q2651" i="11"/>
  <c r="R2651" i="11"/>
  <c r="R2531" i="11"/>
  <c r="Q2531" i="11"/>
  <c r="Q2622" i="11"/>
  <c r="R2622" i="11"/>
  <c r="R2517" i="11"/>
  <c r="Q2517" i="11"/>
  <c r="Q2610" i="11"/>
  <c r="R2610" i="11"/>
  <c r="Q2621" i="11"/>
  <c r="R2621" i="11"/>
  <c r="Q2589" i="11"/>
  <c r="R2589" i="11"/>
  <c r="Q2683" i="11"/>
  <c r="Q2682" i="11" s="1"/>
  <c r="C17" i="12" s="1"/>
  <c r="C16" i="12" s="1"/>
  <c r="R2683" i="11"/>
  <c r="R2682" i="11" s="1"/>
  <c r="D17" i="12" s="1"/>
  <c r="D16" i="12" s="1"/>
  <c r="P2532" i="11"/>
  <c r="R2662" i="11"/>
  <c r="Q2662" i="11"/>
  <c r="R2681" i="11"/>
  <c r="Q2681" i="11"/>
  <c r="P2680" i="11"/>
  <c r="R2535" i="11"/>
  <c r="Q2535" i="11"/>
  <c r="Q2603" i="11"/>
  <c r="R2603" i="11"/>
  <c r="R2592" i="11"/>
  <c r="Q2592" i="11"/>
  <c r="Q2649" i="11"/>
  <c r="R2649" i="11"/>
  <c r="R2514" i="11"/>
  <c r="Q2514" i="11"/>
  <c r="R2557" i="11"/>
  <c r="Q2557" i="11"/>
  <c r="Q2679" i="11"/>
  <c r="R2679" i="11"/>
  <c r="R2542" i="11"/>
  <c r="Q2542" i="11"/>
  <c r="Q2654" i="11"/>
  <c r="R2654" i="11"/>
  <c r="R2577" i="11"/>
  <c r="Q2577" i="11"/>
  <c r="R2623" i="11"/>
  <c r="Q2623" i="11"/>
  <c r="R2615" i="11"/>
  <c r="Q2615" i="11"/>
  <c r="Q2618" i="11"/>
  <c r="R2618" i="11"/>
  <c r="R2526" i="11"/>
  <c r="Q2526" i="11"/>
  <c r="Q2569" i="11"/>
  <c r="R2569" i="11"/>
  <c r="R2612" i="11"/>
  <c r="Q2612" i="11"/>
  <c r="R2620" i="11"/>
  <c r="Q2620" i="11"/>
  <c r="Q2536" i="11"/>
  <c r="R2536" i="11"/>
  <c r="R2632" i="11"/>
  <c r="Q2632" i="11"/>
  <c r="Q2673" i="11"/>
  <c r="R2673" i="11"/>
  <c r="R2547" i="11"/>
  <c r="Q2547" i="11"/>
  <c r="R2529" i="11"/>
  <c r="Q2529" i="11"/>
  <c r="R2591" i="11"/>
  <c r="Q2591" i="11"/>
  <c r="Q2597" i="11"/>
  <c r="R2597" i="11"/>
  <c r="Q2630" i="11"/>
  <c r="R2630" i="11"/>
  <c r="R2641" i="11"/>
  <c r="Q2641" i="11"/>
  <c r="Q2572" i="11"/>
  <c r="R2572" i="11"/>
  <c r="R2524" i="11"/>
  <c r="Q2524" i="11"/>
  <c r="R2587" i="11"/>
  <c r="Q2587" i="11"/>
  <c r="R2573" i="11"/>
  <c r="Q2573" i="11"/>
  <c r="Q2637" i="11"/>
  <c r="R2637" i="11"/>
  <c r="R2588" i="11"/>
  <c r="Q2588" i="11"/>
  <c r="R2543" i="11"/>
  <c r="Q2543" i="11"/>
  <c r="Q2678" i="11"/>
  <c r="R2678" i="11"/>
  <c r="Q2600" i="11"/>
  <c r="R2600" i="11"/>
  <c r="R2613" i="11"/>
  <c r="Q2613" i="11"/>
  <c r="Q2586" i="11"/>
  <c r="R2586" i="11"/>
  <c r="R2544" i="11"/>
  <c r="Q2544" i="11"/>
  <c r="Q2646" i="11"/>
  <c r="R2646" i="11"/>
  <c r="R2639" i="11"/>
  <c r="Q2639" i="11"/>
  <c r="R2617" i="11"/>
  <c r="Q2617" i="11"/>
  <c r="R2636" i="11"/>
  <c r="Q2636" i="11"/>
  <c r="Q2650" i="11"/>
  <c r="R2650" i="11"/>
  <c r="R2552" i="11"/>
  <c r="Q2552" i="11"/>
  <c r="Q2652" i="11"/>
  <c r="R2652" i="11"/>
  <c r="R2525" i="11"/>
  <c r="Q2525" i="11"/>
  <c r="R2579" i="11"/>
  <c r="Q2579" i="11"/>
  <c r="Q2677" i="11"/>
  <c r="R2677" i="11"/>
  <c r="Q2521" i="11"/>
  <c r="R2521" i="11"/>
  <c r="R2559" i="11"/>
  <c r="Q2559" i="11"/>
  <c r="Q2571" i="11"/>
  <c r="R2571" i="11"/>
  <c r="R2541" i="11"/>
  <c r="Q2541" i="11"/>
  <c r="Q2549" i="11"/>
  <c r="R2549" i="11"/>
  <c r="R2550" i="11"/>
  <c r="Q2550" i="11"/>
  <c r="P2488" i="11" l="1"/>
  <c r="P2508" i="11"/>
  <c r="Q2508" i="11" s="1"/>
  <c r="P2490" i="11"/>
  <c r="Q2490" i="11" s="1"/>
  <c r="P2506" i="11"/>
  <c r="Q2506" i="11" s="1"/>
  <c r="P2496" i="11"/>
  <c r="R2496" i="11" s="1"/>
  <c r="P2497" i="11"/>
  <c r="P2489" i="11"/>
  <c r="Q2489" i="11" s="1"/>
  <c r="R2497" i="11"/>
  <c r="Q2497" i="11"/>
  <c r="P2500" i="11"/>
  <c r="P2509" i="11"/>
  <c r="P2504" i="11"/>
  <c r="P2502" i="11"/>
  <c r="R2506" i="11"/>
  <c r="R2680" i="11"/>
  <c r="Q2680" i="11"/>
  <c r="Q2488" i="11"/>
  <c r="R2488" i="11"/>
  <c r="R2489" i="11"/>
  <c r="P2498" i="11"/>
  <c r="P2505" i="11"/>
  <c r="R2532" i="11"/>
  <c r="Q2532" i="11"/>
  <c r="P2501" i="11"/>
  <c r="P2499" i="11"/>
  <c r="R2490" i="11" l="1"/>
  <c r="R2508" i="11"/>
  <c r="Q2496" i="11"/>
  <c r="R2498" i="11"/>
  <c r="Q2498" i="11"/>
  <c r="Q2505" i="11"/>
  <c r="R2505" i="11"/>
  <c r="Q2502" i="11"/>
  <c r="R2502" i="11"/>
  <c r="Q2504" i="11"/>
  <c r="R2504" i="11"/>
  <c r="Q2509" i="11"/>
  <c r="R2509" i="11"/>
  <c r="R2500" i="11"/>
  <c r="Q2500" i="11"/>
  <c r="R2499" i="11"/>
  <c r="Q2499" i="11"/>
  <c r="R2501" i="11"/>
  <c r="Q2501" i="11"/>
  <c r="P2357" i="11" l="1"/>
  <c r="P2346" i="11"/>
  <c r="P2337" i="11"/>
  <c r="P2339" i="11"/>
  <c r="P2364" i="11"/>
  <c r="P2388" i="11"/>
  <c r="P2397" i="11"/>
  <c r="P2345" i="11"/>
  <c r="P2383" i="11"/>
  <c r="P2343" i="11"/>
  <c r="P2360" i="11"/>
  <c r="P2344" i="11" l="1"/>
  <c r="P2356" i="11"/>
  <c r="P2363" i="11"/>
  <c r="Q2363" i="11" s="1"/>
  <c r="P2323" i="11"/>
  <c r="P2350" i="11"/>
  <c r="P2352" i="11"/>
  <c r="Q2352" i="11" s="1"/>
  <c r="Q2350" i="11"/>
  <c r="R2350" i="11"/>
  <c r="Q2323" i="11"/>
  <c r="R2323" i="11"/>
  <c r="P2385" i="11"/>
  <c r="P2379" i="11"/>
  <c r="P2368" i="11"/>
  <c r="P2321" i="11"/>
  <c r="P1507" i="11"/>
  <c r="P2268" i="11"/>
  <c r="P2372" i="11"/>
  <c r="P2369" i="11"/>
  <c r="P2335" i="11"/>
  <c r="P2334" i="11"/>
  <c r="P2326" i="11"/>
  <c r="P2325" i="11"/>
  <c r="R2388" i="11"/>
  <c r="Q2388" i="11"/>
  <c r="Q2364" i="11"/>
  <c r="R2364" i="11"/>
  <c r="P1819" i="11"/>
  <c r="Q2360" i="11"/>
  <c r="R2360" i="11"/>
  <c r="P2355" i="11"/>
  <c r="R2345" i="11"/>
  <c r="Q2345" i="11"/>
  <c r="P2332" i="11"/>
  <c r="Q2346" i="11"/>
  <c r="R2346" i="11"/>
  <c r="R2344" i="11"/>
  <c r="Q2344" i="11"/>
  <c r="P800" i="11"/>
  <c r="P331" i="11"/>
  <c r="P2331" i="11"/>
  <c r="P2348" i="11"/>
  <c r="P2380" i="11"/>
  <c r="Q2337" i="11"/>
  <c r="R2337" i="11"/>
  <c r="P2376" i="11"/>
  <c r="R2343" i="11"/>
  <c r="Q2343" i="11"/>
  <c r="P2207" i="11"/>
  <c r="R2363" i="11"/>
  <c r="P2358" i="11"/>
  <c r="R2397" i="11"/>
  <c r="Q2397" i="11"/>
  <c r="P2329" i="11"/>
  <c r="P2365" i="11"/>
  <c r="P2340" i="11"/>
  <c r="P2361" i="11"/>
  <c r="P2384" i="11"/>
  <c r="P2370" i="11"/>
  <c r="P2371" i="11"/>
  <c r="R2383" i="11"/>
  <c r="Q2383" i="11"/>
  <c r="R2356" i="11"/>
  <c r="Q2356" i="11"/>
  <c r="P2381" i="11"/>
  <c r="P2386" i="11"/>
  <c r="P2108" i="11"/>
  <c r="P2351" i="11"/>
  <c r="P2375" i="11"/>
  <c r="P2341" i="11"/>
  <c r="P2327" i="11"/>
  <c r="P2349" i="11"/>
  <c r="P2367" i="11"/>
  <c r="P2382" i="11"/>
  <c r="P2359" i="11"/>
  <c r="P2373" i="11"/>
  <c r="P2322" i="11"/>
  <c r="P2342" i="11"/>
  <c r="P2324" i="11"/>
  <c r="R2352" i="11"/>
  <c r="R2339" i="11"/>
  <c r="Q2339" i="11"/>
  <c r="Q2357" i="11"/>
  <c r="R2357" i="11"/>
  <c r="P2330" i="11"/>
  <c r="P2347" i="11"/>
  <c r="P1627" i="11"/>
  <c r="P2336" i="11"/>
  <c r="P2374" i="11"/>
  <c r="P245" i="11"/>
  <c r="P1784" i="11"/>
  <c r="P2262" i="11"/>
  <c r="P2354" i="11"/>
  <c r="P2328" i="11"/>
  <c r="P2378" i="11"/>
  <c r="P2333" i="11"/>
  <c r="P1890" i="11" l="1"/>
  <c r="P347" i="11"/>
  <c r="P195" i="11"/>
  <c r="Q195" i="11" s="1"/>
  <c r="P2138" i="11"/>
  <c r="P2069" i="11"/>
  <c r="P295" i="11"/>
  <c r="R295" i="11" s="1"/>
  <c r="P2105" i="11"/>
  <c r="R2105" i="11" s="1"/>
  <c r="P1977" i="11"/>
  <c r="R1977" i="11" s="1"/>
  <c r="P531" i="11"/>
  <c r="Q531" i="11" s="1"/>
  <c r="P2045" i="11"/>
  <c r="R2045" i="11" s="1"/>
  <c r="P337" i="11"/>
  <c r="R337" i="11" s="1"/>
  <c r="P1774" i="11"/>
  <c r="Q1774" i="11" s="1"/>
  <c r="P874" i="11"/>
  <c r="P1496" i="11"/>
  <c r="R1496" i="11" s="1"/>
  <c r="P357" i="11"/>
  <c r="R357" i="11" s="1"/>
  <c r="P2150" i="11"/>
  <c r="R2150" i="11" s="1"/>
  <c r="P1044" i="11"/>
  <c r="P355" i="11"/>
  <c r="Q355" i="11" s="1"/>
  <c r="P1412" i="11"/>
  <c r="Q1412" i="11" s="1"/>
  <c r="P813" i="11"/>
  <c r="Q813" i="11" s="1"/>
  <c r="P363" i="11"/>
  <c r="Q363" i="11" s="1"/>
  <c r="P2294" i="11"/>
  <c r="R2294" i="11" s="1"/>
  <c r="P1154" i="11"/>
  <c r="R1154" i="11" s="1"/>
  <c r="P776" i="11"/>
  <c r="R776" i="11" s="1"/>
  <c r="P329" i="11"/>
  <c r="Q329" i="11" s="1"/>
  <c r="P354" i="11"/>
  <c r="R354" i="11" s="1"/>
  <c r="P350" i="11"/>
  <c r="R350" i="11" s="1"/>
  <c r="P333" i="11"/>
  <c r="Q333" i="11" s="1"/>
  <c r="P328" i="11"/>
  <c r="P607" i="11"/>
  <c r="P1706" i="11"/>
  <c r="R1706" i="11" s="1"/>
  <c r="P1479" i="11"/>
  <c r="Q1479" i="11" s="1"/>
  <c r="R2378" i="11"/>
  <c r="Q2378" i="11"/>
  <c r="Q607" i="11"/>
  <c r="R607" i="11"/>
  <c r="R874" i="11"/>
  <c r="Q874" i="11"/>
  <c r="Q2367" i="11"/>
  <c r="R2367" i="11"/>
  <c r="Q2325" i="11"/>
  <c r="R2325" i="11"/>
  <c r="R2354" i="11"/>
  <c r="Q2354" i="11"/>
  <c r="P358" i="11"/>
  <c r="Q2371" i="11"/>
  <c r="R2371" i="11"/>
  <c r="R347" i="11"/>
  <c r="Q347" i="11"/>
  <c r="P327" i="11"/>
  <c r="P1551" i="11"/>
  <c r="Q2373" i="11"/>
  <c r="R2373" i="11"/>
  <c r="P2123" i="11"/>
  <c r="P368" i="11"/>
  <c r="R2376" i="11"/>
  <c r="Q2376" i="11"/>
  <c r="P1805" i="11"/>
  <c r="P81" i="11"/>
  <c r="P1645" i="11"/>
  <c r="P493" i="11"/>
  <c r="P1400" i="11"/>
  <c r="P359" i="11"/>
  <c r="Q1890" i="11"/>
  <c r="R1890" i="11"/>
  <c r="Q2333" i="11"/>
  <c r="R2333" i="11"/>
  <c r="P2169" i="11"/>
  <c r="P1383" i="11"/>
  <c r="P964" i="11"/>
  <c r="P54" i="11"/>
  <c r="Q2359" i="11"/>
  <c r="R2359" i="11"/>
  <c r="P362" i="11"/>
  <c r="Q2358" i="11"/>
  <c r="R2358" i="11"/>
  <c r="P1266" i="11"/>
  <c r="P1078" i="11"/>
  <c r="Q1496" i="11"/>
  <c r="P346" i="11"/>
  <c r="R2368" i="11"/>
  <c r="Q2368" i="11"/>
  <c r="P351" i="11"/>
  <c r="P335" i="11"/>
  <c r="R2347" i="11"/>
  <c r="Q2347" i="11"/>
  <c r="P2081" i="11"/>
  <c r="R2334" i="11"/>
  <c r="Q2334" i="11"/>
  <c r="R2330" i="11"/>
  <c r="Q2330" i="11"/>
  <c r="R2341" i="11"/>
  <c r="Q2341" i="11"/>
  <c r="P1812" i="11"/>
  <c r="P2244" i="11"/>
  <c r="P360" i="11"/>
  <c r="R2384" i="11"/>
  <c r="Q2384" i="11"/>
  <c r="Q2207" i="11"/>
  <c r="R2207" i="11"/>
  <c r="P1343" i="11"/>
  <c r="P1569" i="11"/>
  <c r="P1126" i="11"/>
  <c r="R331" i="11"/>
  <c r="Q331" i="11"/>
  <c r="R800" i="11"/>
  <c r="Q800" i="11"/>
  <c r="P1918" i="11"/>
  <c r="P1798" i="11"/>
  <c r="R2335" i="11"/>
  <c r="Q2335" i="11"/>
  <c r="P2135" i="11"/>
  <c r="R1507" i="11"/>
  <c r="Q1507" i="11"/>
  <c r="P352" i="11"/>
  <c r="R2321" i="11"/>
  <c r="Q2321" i="11"/>
  <c r="P344" i="11"/>
  <c r="R2386" i="11"/>
  <c r="Q2386" i="11"/>
  <c r="Q357" i="11"/>
  <c r="P106" i="11"/>
  <c r="P721" i="11"/>
  <c r="P341" i="11"/>
  <c r="P1242" i="11"/>
  <c r="Q2374" i="11"/>
  <c r="R2374" i="11"/>
  <c r="R2375" i="11"/>
  <c r="Q2375" i="11"/>
  <c r="P1203" i="11"/>
  <c r="P821" i="11"/>
  <c r="R2361" i="11"/>
  <c r="Q2361" i="11"/>
  <c r="Q2380" i="11"/>
  <c r="R2380" i="11"/>
  <c r="R2355" i="11"/>
  <c r="Q2355" i="11"/>
  <c r="P154" i="11"/>
  <c r="R2369" i="11"/>
  <c r="Q2369" i="11"/>
  <c r="P696" i="11"/>
  <c r="R1044" i="11"/>
  <c r="Q1044" i="11"/>
  <c r="R2069" i="11"/>
  <c r="Q2069" i="11"/>
  <c r="Q2150" i="11"/>
  <c r="P946" i="11"/>
  <c r="Q2379" i="11"/>
  <c r="R2379" i="11"/>
  <c r="R2108" i="11"/>
  <c r="Q2108" i="11"/>
  <c r="Q2370" i="11"/>
  <c r="R2370" i="11"/>
  <c r="P361" i="11"/>
  <c r="P554" i="11"/>
  <c r="R245" i="11"/>
  <c r="Q245" i="11"/>
  <c r="R2336" i="11"/>
  <c r="Q2336" i="11"/>
  <c r="R2351" i="11"/>
  <c r="Q2351" i="11"/>
  <c r="R2381" i="11"/>
  <c r="Q2381" i="11"/>
  <c r="Q2340" i="11"/>
  <c r="R2340" i="11"/>
  <c r="P896" i="11"/>
  <c r="P342" i="11"/>
  <c r="R2348" i="11"/>
  <c r="Q2348" i="11"/>
  <c r="P1010" i="11"/>
  <c r="P1751" i="11"/>
  <c r="P585" i="11"/>
  <c r="Q1819" i="11"/>
  <c r="R1819" i="11"/>
  <c r="R2372" i="11"/>
  <c r="Q2372" i="11"/>
  <c r="P902" i="11"/>
  <c r="P2188" i="11"/>
  <c r="P334" i="11"/>
  <c r="R2382" i="11"/>
  <c r="Q2382" i="11"/>
  <c r="P852" i="11"/>
  <c r="P1683" i="11"/>
  <c r="P1064" i="11"/>
  <c r="P336" i="11"/>
  <c r="P1791" i="11"/>
  <c r="R2324" i="11"/>
  <c r="Q2324" i="11"/>
  <c r="P1589" i="11"/>
  <c r="P364" i="11"/>
  <c r="P928" i="11"/>
  <c r="R2365" i="11"/>
  <c r="Q2365" i="11"/>
  <c r="P1218" i="11"/>
  <c r="P2231" i="11"/>
  <c r="R2331" i="11"/>
  <c r="Q2331" i="11"/>
  <c r="P218" i="11"/>
  <c r="R2268" i="11"/>
  <c r="Q2268" i="11"/>
  <c r="P923" i="11"/>
  <c r="P467" i="11"/>
  <c r="P343" i="11"/>
  <c r="P2256" i="11"/>
  <c r="Q2262" i="11"/>
  <c r="R2262" i="11"/>
  <c r="R2385" i="11"/>
  <c r="Q2385" i="11"/>
  <c r="P345" i="11"/>
  <c r="R2329" i="11"/>
  <c r="Q2329" i="11"/>
  <c r="P2165" i="11"/>
  <c r="P1665" i="11"/>
  <c r="P421" i="11"/>
  <c r="P1304" i="11"/>
  <c r="P2120" i="11"/>
  <c r="P356" i="11"/>
  <c r="P326" i="11"/>
  <c r="P330" i="11"/>
  <c r="P2203" i="11"/>
  <c r="P387" i="11"/>
  <c r="P1024" i="11"/>
  <c r="P672" i="11"/>
  <c r="P366" i="11"/>
  <c r="P339" i="11"/>
  <c r="R2138" i="11"/>
  <c r="Q2138" i="11"/>
  <c r="R2328" i="11"/>
  <c r="Q2328" i="11"/>
  <c r="R1627" i="11"/>
  <c r="Q1627" i="11"/>
  <c r="P2017" i="11"/>
  <c r="R195" i="11"/>
  <c r="Q2349" i="11"/>
  <c r="R2349" i="11"/>
  <c r="P1531" i="11"/>
  <c r="P594" i="11"/>
  <c r="R2332" i="11"/>
  <c r="Q2332" i="11"/>
  <c r="R2326" i="11"/>
  <c r="Q2326" i="11"/>
  <c r="P1607" i="11"/>
  <c r="P640" i="11"/>
  <c r="R1784" i="11"/>
  <c r="Q1784" i="11"/>
  <c r="Q2327" i="11"/>
  <c r="R2327" i="11"/>
  <c r="P348" i="11"/>
  <c r="P1102" i="11"/>
  <c r="R328" i="11"/>
  <c r="Q328" i="11"/>
  <c r="P2219" i="11"/>
  <c r="P834" i="11"/>
  <c r="P444" i="11"/>
  <c r="Q2342" i="11"/>
  <c r="R2342" i="11"/>
  <c r="P2057" i="11"/>
  <c r="Q2322" i="11"/>
  <c r="R2322" i="11"/>
  <c r="P332" i="11"/>
  <c r="P1137" i="11"/>
  <c r="P750" i="11"/>
  <c r="P2318" i="11"/>
  <c r="P340" i="11"/>
  <c r="P2184" i="11"/>
  <c r="P2093" i="11"/>
  <c r="P1728" i="11"/>
  <c r="P349" i="11"/>
  <c r="P2282" i="11"/>
  <c r="P1186" i="11"/>
  <c r="P2548" i="11"/>
  <c r="P11" i="11"/>
  <c r="Q11" i="11" s="1"/>
  <c r="Q2105" i="11" l="1"/>
  <c r="R1412" i="11"/>
  <c r="Q295" i="11"/>
  <c r="Q1977" i="11"/>
  <c r="R355" i="11"/>
  <c r="P2477" i="11"/>
  <c r="R813" i="11"/>
  <c r="Q2045" i="11"/>
  <c r="Q337" i="11"/>
  <c r="R531" i="11"/>
  <c r="Q1154" i="11"/>
  <c r="R1774" i="11"/>
  <c r="Q2294" i="11"/>
  <c r="Q776" i="11"/>
  <c r="Q1706" i="11"/>
  <c r="R363" i="11"/>
  <c r="R1479" i="11"/>
  <c r="P2419" i="11"/>
  <c r="R2419" i="11" s="1"/>
  <c r="Q354" i="11"/>
  <c r="R333" i="11"/>
  <c r="R329" i="11"/>
  <c r="Q350" i="11"/>
  <c r="Q2120" i="11"/>
  <c r="R2120" i="11"/>
  <c r="Q358" i="11"/>
  <c r="R358" i="11"/>
  <c r="Q421" i="11"/>
  <c r="R421" i="11"/>
  <c r="R2318" i="11"/>
  <c r="Q2318" i="11"/>
  <c r="R594" i="11"/>
  <c r="Q594" i="11"/>
  <c r="R326" i="11"/>
  <c r="Q326" i="11"/>
  <c r="R341" i="11"/>
  <c r="Q341" i="11"/>
  <c r="R2244" i="11"/>
  <c r="Q2244" i="11"/>
  <c r="R351" i="11"/>
  <c r="Q351" i="11"/>
  <c r="Q362" i="11"/>
  <c r="R362" i="11"/>
  <c r="R750" i="11"/>
  <c r="Q750" i="11"/>
  <c r="R356" i="11"/>
  <c r="Q356" i="11"/>
  <c r="R821" i="11"/>
  <c r="Q821" i="11"/>
  <c r="Q721" i="11"/>
  <c r="R721" i="11"/>
  <c r="Q344" i="11"/>
  <c r="R344" i="11"/>
  <c r="R1812" i="11"/>
  <c r="Q1812" i="11"/>
  <c r="P2428" i="11"/>
  <c r="R81" i="11"/>
  <c r="Q81" i="11"/>
  <c r="P2455" i="11"/>
  <c r="R1805" i="11"/>
  <c r="Q1805" i="11"/>
  <c r="Q1531" i="11"/>
  <c r="R1531" i="11"/>
  <c r="Q1383" i="11"/>
  <c r="R1383" i="11"/>
  <c r="R2282" i="11"/>
  <c r="Q2282" i="11"/>
  <c r="Q154" i="11"/>
  <c r="R154" i="11"/>
  <c r="R1343" i="11"/>
  <c r="Q1343" i="11"/>
  <c r="R2123" i="11"/>
  <c r="Q2123" i="11"/>
  <c r="R896" i="11"/>
  <c r="Q896" i="11"/>
  <c r="R54" i="11"/>
  <c r="Q54" i="11"/>
  <c r="R964" i="11"/>
  <c r="Q964" i="11"/>
  <c r="Q1186" i="11"/>
  <c r="R1186" i="11"/>
  <c r="R2165" i="11"/>
  <c r="Q2165" i="11"/>
  <c r="R349" i="11"/>
  <c r="Q349" i="11"/>
  <c r="R1607" i="11"/>
  <c r="Q1607" i="11"/>
  <c r="Q672" i="11"/>
  <c r="R672" i="11"/>
  <c r="Q218" i="11"/>
  <c r="R218" i="11"/>
  <c r="Q1791" i="11"/>
  <c r="R1791" i="11"/>
  <c r="Q1242" i="11"/>
  <c r="R1242" i="11"/>
  <c r="R2135" i="11"/>
  <c r="Q2135" i="11"/>
  <c r="R359" i="11"/>
  <c r="Q359" i="11"/>
  <c r="Q928" i="11"/>
  <c r="R928" i="11"/>
  <c r="Q332" i="11"/>
  <c r="R332" i="11"/>
  <c r="Q2188" i="11"/>
  <c r="R2188" i="11"/>
  <c r="R346" i="11"/>
  <c r="Q346" i="11"/>
  <c r="R1589" i="11"/>
  <c r="Q1589" i="11"/>
  <c r="R352" i="11"/>
  <c r="Q352" i="11"/>
  <c r="Q368" i="11"/>
  <c r="R368" i="11"/>
  <c r="R640" i="11"/>
  <c r="Q640" i="11"/>
  <c r="R366" i="11"/>
  <c r="Q366" i="11"/>
  <c r="R1728" i="11"/>
  <c r="Q1728" i="11"/>
  <c r="Q336" i="11"/>
  <c r="R336" i="11"/>
  <c r="Q554" i="11"/>
  <c r="R554" i="11"/>
  <c r="P2437" i="11"/>
  <c r="R2081" i="11"/>
  <c r="Q2081" i="11"/>
  <c r="Q1078" i="11"/>
  <c r="R1078" i="11"/>
  <c r="R1400" i="11"/>
  <c r="Q1400" i="11"/>
  <c r="Q2017" i="11"/>
  <c r="R2017" i="11"/>
  <c r="Q1203" i="11"/>
  <c r="R1203" i="11"/>
  <c r="R339" i="11"/>
  <c r="Q339" i="11"/>
  <c r="Q2169" i="11"/>
  <c r="R2169" i="11"/>
  <c r="Q585" i="11"/>
  <c r="R585" i="11"/>
  <c r="Q361" i="11"/>
  <c r="R361" i="11"/>
  <c r="Q1266" i="11"/>
  <c r="R1266" i="11"/>
  <c r="P2410" i="11"/>
  <c r="R493" i="11"/>
  <c r="Q493" i="11"/>
  <c r="R1551" i="11"/>
  <c r="Q1551" i="11"/>
  <c r="Q342" i="11"/>
  <c r="R342" i="11"/>
  <c r="R467" i="11"/>
  <c r="Q467" i="11"/>
  <c r="Q2057" i="11"/>
  <c r="R2057" i="11"/>
  <c r="P2401" i="11"/>
  <c r="Q444" i="11"/>
  <c r="R444" i="11"/>
  <c r="Q2256" i="11"/>
  <c r="R2256" i="11"/>
  <c r="Q834" i="11"/>
  <c r="R834" i="11"/>
  <c r="Q2231" i="11"/>
  <c r="R2231" i="11"/>
  <c r="Q1683" i="11"/>
  <c r="R1683" i="11"/>
  <c r="R1751" i="11"/>
  <c r="Q1751" i="11"/>
  <c r="R1798" i="11"/>
  <c r="Q1798" i="11"/>
  <c r="Q1645" i="11"/>
  <c r="R1645" i="11"/>
  <c r="Q327" i="11"/>
  <c r="R327" i="11"/>
  <c r="R1137" i="11"/>
  <c r="Q1137" i="11"/>
  <c r="Q334" i="11"/>
  <c r="R334" i="11"/>
  <c r="R106" i="11"/>
  <c r="Q106" i="11"/>
  <c r="R2219" i="11"/>
  <c r="Q2219" i="11"/>
  <c r="Q1304" i="11"/>
  <c r="R1304" i="11"/>
  <c r="R364" i="11"/>
  <c r="Q364" i="11"/>
  <c r="Q696" i="11"/>
  <c r="R696" i="11"/>
  <c r="R2477" i="11"/>
  <c r="Q2477" i="11"/>
  <c r="R923" i="11"/>
  <c r="Q923" i="11"/>
  <c r="R902" i="11"/>
  <c r="Q902" i="11"/>
  <c r="R946" i="11"/>
  <c r="Q946" i="11"/>
  <c r="R1126" i="11"/>
  <c r="Q1126" i="11"/>
  <c r="R1665" i="11"/>
  <c r="Q1665" i="11"/>
  <c r="R1569" i="11"/>
  <c r="Q1569" i="11"/>
  <c r="R1024" i="11"/>
  <c r="Q1024" i="11"/>
  <c r="Q2093" i="11"/>
  <c r="R2093" i="11"/>
  <c r="P2467" i="11"/>
  <c r="Q387" i="11"/>
  <c r="R387" i="11"/>
  <c r="R1064" i="11"/>
  <c r="Q1064" i="11"/>
  <c r="Q2184" i="11"/>
  <c r="R2184" i="11"/>
  <c r="Q1102" i="11"/>
  <c r="R1102" i="11"/>
  <c r="Q2203" i="11"/>
  <c r="R2203" i="11"/>
  <c r="Q343" i="11"/>
  <c r="R343" i="11"/>
  <c r="R340" i="11"/>
  <c r="Q340" i="11"/>
  <c r="P2446" i="11"/>
  <c r="Q348" i="11"/>
  <c r="R348" i="11"/>
  <c r="R330" i="11"/>
  <c r="Q330" i="11"/>
  <c r="R345" i="11"/>
  <c r="Q345" i="11"/>
  <c r="R1218" i="11"/>
  <c r="Q1218" i="11"/>
  <c r="Q852" i="11"/>
  <c r="R852" i="11"/>
  <c r="R1010" i="11"/>
  <c r="Q1010" i="11"/>
  <c r="Q1918" i="11"/>
  <c r="R1918" i="11"/>
  <c r="Q360" i="11"/>
  <c r="R360" i="11"/>
  <c r="R335" i="11"/>
  <c r="Q335" i="11"/>
  <c r="R11" i="11"/>
  <c r="Q2548" i="11"/>
  <c r="R2548" i="11"/>
  <c r="Q2419" i="11" l="1"/>
  <c r="P1334" i="11"/>
  <c r="R2467" i="11"/>
  <c r="Q2467" i="11"/>
  <c r="R1334" i="11"/>
  <c r="Q1334" i="11"/>
  <c r="R2446" i="11"/>
  <c r="Q2446" i="11"/>
  <c r="R2437" i="11"/>
  <c r="Q2437" i="11"/>
  <c r="R2401" i="11"/>
  <c r="Q2401" i="11"/>
  <c r="Q2455" i="11"/>
  <c r="R2455" i="11"/>
  <c r="R2410" i="11"/>
  <c r="Q2410" i="11"/>
  <c r="R2428" i="11"/>
  <c r="Q2428" i="11"/>
  <c r="R9" i="11"/>
  <c r="R2687" i="11" l="1"/>
  <c r="D8" i="12"/>
  <c r="Q9" i="11"/>
  <c r="F144" i="7"/>
  <c r="AC144" i="7" s="1"/>
  <c r="F143" i="7"/>
  <c r="AC143" i="7" s="1"/>
  <c r="F142" i="7"/>
  <c r="AC142" i="7" s="1"/>
  <c r="F141" i="7"/>
  <c r="AC141" i="7" s="1"/>
  <c r="F140" i="7"/>
  <c r="AC140" i="7" s="1"/>
  <c r="F139" i="7"/>
  <c r="AC139" i="7" s="1"/>
  <c r="F138" i="7"/>
  <c r="AC138" i="7" s="1"/>
  <c r="F136" i="7"/>
  <c r="AC136" i="7" s="1"/>
  <c r="F135" i="7"/>
  <c r="AC135" i="7" s="1"/>
  <c r="F134" i="7"/>
  <c r="AC134" i="7" s="1"/>
  <c r="F132" i="7"/>
  <c r="AC132" i="7" s="1"/>
  <c r="F131" i="7"/>
  <c r="AC131" i="7" s="1"/>
  <c r="F130" i="7"/>
  <c r="AC130" i="7" s="1"/>
  <c r="F129" i="7"/>
  <c r="AC129" i="7" s="1"/>
  <c r="F128" i="7"/>
  <c r="AC128" i="7" s="1"/>
  <c r="F126" i="7"/>
  <c r="AC126" i="7" s="1"/>
  <c r="F125" i="7"/>
  <c r="AC125" i="7" s="1"/>
  <c r="F124" i="7"/>
  <c r="AC124" i="7" s="1"/>
  <c r="F123" i="7"/>
  <c r="AC123" i="7" s="1"/>
  <c r="F121" i="7"/>
  <c r="AC121" i="7" s="1"/>
  <c r="F120" i="7"/>
  <c r="AC120" i="7" s="1"/>
  <c r="F119" i="7"/>
  <c r="AC119" i="7" s="1"/>
  <c r="F118" i="7"/>
  <c r="AC118" i="7" s="1"/>
  <c r="F117" i="7"/>
  <c r="AC117" i="7" s="1"/>
  <c r="F116" i="7"/>
  <c r="AC116" i="7" s="1"/>
  <c r="F114" i="7"/>
  <c r="AC114" i="7" s="1"/>
  <c r="F112" i="7"/>
  <c r="AC112" i="7" s="1"/>
  <c r="F111" i="7"/>
  <c r="AC111" i="7" s="1"/>
  <c r="F110" i="7"/>
  <c r="AC110" i="7" s="1"/>
  <c r="F109" i="7"/>
  <c r="AC109" i="7" s="1"/>
  <c r="F108" i="7"/>
  <c r="AC108" i="7" s="1"/>
  <c r="F107" i="7"/>
  <c r="AC107" i="7" s="1"/>
  <c r="F105" i="7"/>
  <c r="AC105" i="7" s="1"/>
  <c r="F104" i="7"/>
  <c r="AC104" i="7" s="1"/>
  <c r="F103" i="7"/>
  <c r="AC103" i="7" s="1"/>
  <c r="F100" i="7"/>
  <c r="AC100" i="7" s="1"/>
  <c r="F99" i="7"/>
  <c r="AC99" i="7" s="1"/>
  <c r="F97" i="7"/>
  <c r="AC97" i="7" s="1"/>
  <c r="F96" i="7"/>
  <c r="AC96" i="7" s="1"/>
  <c r="F95" i="7"/>
  <c r="AC95" i="7" s="1"/>
  <c r="F94" i="7"/>
  <c r="AC94" i="7" s="1"/>
  <c r="F92" i="7"/>
  <c r="AC92" i="7" s="1"/>
  <c r="F90" i="7"/>
  <c r="AC90" i="7" s="1"/>
  <c r="F88" i="7"/>
  <c r="AC88" i="7" s="1"/>
  <c r="F87" i="7"/>
  <c r="AC87" i="7" s="1"/>
  <c r="F86" i="7"/>
  <c r="AC86" i="7" s="1"/>
  <c r="F84" i="7"/>
  <c r="AC84" i="7" s="1"/>
  <c r="F83" i="7"/>
  <c r="AC83" i="7" s="1"/>
  <c r="F82" i="7"/>
  <c r="AC82" i="7" s="1"/>
  <c r="F81" i="7"/>
  <c r="AC81" i="7" s="1"/>
  <c r="F80" i="7"/>
  <c r="AC80" i="7" s="1"/>
  <c r="F79" i="7"/>
  <c r="AC79" i="7" s="1"/>
  <c r="F78" i="7"/>
  <c r="AC78" i="7" s="1"/>
  <c r="F77" i="7"/>
  <c r="AC77" i="7" s="1"/>
  <c r="F76" i="7"/>
  <c r="AC76" i="7" s="1"/>
  <c r="F75" i="7"/>
  <c r="AC75" i="7" s="1"/>
  <c r="A75" i="7"/>
  <c r="A76" i="7" s="1"/>
  <c r="A77" i="7" s="1"/>
  <c r="A78" i="7" s="1"/>
  <c r="A79" i="7" s="1"/>
  <c r="A80" i="7" s="1"/>
  <c r="A81" i="7" s="1"/>
  <c r="A82" i="7" s="1"/>
  <c r="A83" i="7" s="1"/>
  <c r="A84" i="7" s="1"/>
  <c r="F74" i="7"/>
  <c r="AC74" i="7" s="1"/>
  <c r="F72" i="7"/>
  <c r="AC72" i="7" s="1"/>
  <c r="F71" i="7"/>
  <c r="AC71" i="7" s="1"/>
  <c r="F70" i="7"/>
  <c r="AC70" i="7" s="1"/>
  <c r="F69" i="7"/>
  <c r="AC69" i="7" s="1"/>
  <c r="F68" i="7"/>
  <c r="AC68" i="7" s="1"/>
  <c r="F67" i="7"/>
  <c r="AC67" i="7" s="1"/>
  <c r="F66" i="7"/>
  <c r="AC66" i="7" s="1"/>
  <c r="F65" i="7"/>
  <c r="AC65" i="7" s="1"/>
  <c r="A65" i="7"/>
  <c r="A66" i="7" s="1"/>
  <c r="A67" i="7" s="1"/>
  <c r="A68" i="7" s="1"/>
  <c r="A69" i="7" s="1"/>
  <c r="A70" i="7" s="1"/>
  <c r="A71" i="7" s="1"/>
  <c r="A72" i="7" s="1"/>
  <c r="F64" i="7"/>
  <c r="AC64" i="7" s="1"/>
  <c r="F62" i="7"/>
  <c r="AC62" i="7" s="1"/>
  <c r="F61" i="7"/>
  <c r="AC61" i="7" s="1"/>
  <c r="F60" i="7"/>
  <c r="AC60" i="7" s="1"/>
  <c r="F59" i="7"/>
  <c r="AC59" i="7" s="1"/>
  <c r="F58" i="7"/>
  <c r="AC58" i="7" s="1"/>
  <c r="F57" i="7"/>
  <c r="AC57" i="7" s="1"/>
  <c r="F56" i="7"/>
  <c r="AC56" i="7" s="1"/>
  <c r="F55" i="7"/>
  <c r="AC55" i="7" s="1"/>
  <c r="F52" i="7"/>
  <c r="AC52" i="7" s="1"/>
  <c r="F51" i="7"/>
  <c r="AC51" i="7" s="1"/>
  <c r="F50" i="7"/>
  <c r="AC50" i="7" s="1"/>
  <c r="F49" i="7"/>
  <c r="AC49" i="7" s="1"/>
  <c r="F48" i="7"/>
  <c r="AC48" i="7" s="1"/>
  <c r="F47" i="7"/>
  <c r="AC47" i="7" s="1"/>
  <c r="F46" i="7"/>
  <c r="AC46" i="7" s="1"/>
  <c r="A46" i="7"/>
  <c r="A47" i="7" s="1"/>
  <c r="A48" i="7" s="1"/>
  <c r="A49" i="7" s="1"/>
  <c r="A50" i="7" s="1"/>
  <c r="A51" i="7" s="1"/>
  <c r="A52" i="7" s="1"/>
  <c r="A55" i="7" s="1"/>
  <c r="A56" i="7" s="1"/>
  <c r="A57" i="7" s="1"/>
  <c r="A58" i="7" s="1"/>
  <c r="A59" i="7" s="1"/>
  <c r="A60" i="7" s="1"/>
  <c r="A61" i="7" s="1"/>
  <c r="A62" i="7" s="1"/>
  <c r="F45" i="7"/>
  <c r="AC45" i="7" s="1"/>
  <c r="F43" i="7"/>
  <c r="AC43" i="7" s="1"/>
  <c r="F42" i="7"/>
  <c r="AC42" i="7" s="1"/>
  <c r="F41" i="7"/>
  <c r="AC41" i="7" s="1"/>
  <c r="F40" i="7"/>
  <c r="AC40" i="7" s="1"/>
  <c r="F39" i="7"/>
  <c r="AC39" i="7" s="1"/>
  <c r="F38" i="7"/>
  <c r="AC38" i="7" s="1"/>
  <c r="A38" i="7"/>
  <c r="A39" i="7" s="1"/>
  <c r="A40" i="7" s="1"/>
  <c r="A41" i="7" s="1"/>
  <c r="A42" i="7" s="1"/>
  <c r="A43" i="7" s="1"/>
  <c r="F37" i="7"/>
  <c r="AC37" i="7" s="1"/>
  <c r="F35" i="7"/>
  <c r="AC35" i="7" s="1"/>
  <c r="F34" i="7"/>
  <c r="AC34" i="7" s="1"/>
  <c r="F33" i="7"/>
  <c r="AC33" i="7" s="1"/>
  <c r="F32" i="7"/>
  <c r="AC32" i="7" s="1"/>
  <c r="F31" i="7"/>
  <c r="AC31" i="7" s="1"/>
  <c r="F30" i="7"/>
  <c r="AC30" i="7" s="1"/>
  <c r="F29" i="7"/>
  <c r="AC29" i="7" s="1"/>
  <c r="F28" i="7"/>
  <c r="AC28" i="7" s="1"/>
  <c r="F27" i="7"/>
  <c r="AC27" i="7" s="1"/>
  <c r="F26" i="7"/>
  <c r="AC26" i="7" s="1"/>
  <c r="F25" i="7"/>
  <c r="AC25" i="7" s="1"/>
  <c r="A25" i="7"/>
  <c r="A26" i="7" s="1"/>
  <c r="A27" i="7" s="1"/>
  <c r="A28" i="7" s="1"/>
  <c r="A29" i="7" s="1"/>
  <c r="A30" i="7" s="1"/>
  <c r="A31" i="7" s="1"/>
  <c r="A32" i="7" s="1"/>
  <c r="A33" i="7" s="1"/>
  <c r="A34" i="7" s="1"/>
  <c r="A35" i="7" s="1"/>
  <c r="F24" i="7"/>
  <c r="AC24" i="7" s="1"/>
  <c r="F22" i="7"/>
  <c r="AC22" i="7" s="1"/>
  <c r="F21" i="7"/>
  <c r="AC21" i="7" s="1"/>
  <c r="F20" i="7"/>
  <c r="AC20" i="7" s="1"/>
  <c r="F19" i="7"/>
  <c r="AC19" i="7" s="1"/>
  <c r="F18" i="7"/>
  <c r="AC18" i="7" s="1"/>
  <c r="F17" i="7"/>
  <c r="AC17" i="7" s="1"/>
  <c r="F16" i="7"/>
  <c r="AC16" i="7" s="1"/>
  <c r="F15" i="7"/>
  <c r="AC15" i="7" s="1"/>
  <c r="F14" i="7"/>
  <c r="AC14" i="7" s="1"/>
  <c r="F13" i="7"/>
  <c r="AC13" i="7" s="1"/>
  <c r="Q2687" i="11" l="1"/>
  <c r="C8" i="12"/>
  <c r="AC9" i="7"/>
  <c r="AC150" i="7" s="1"/>
  <c r="B300" i="11"/>
  <c r="B299" i="11"/>
  <c r="B266" i="11"/>
  <c r="B265" i="11"/>
  <c r="B264" i="11"/>
  <c r="B223" i="11"/>
  <c r="B222" i="11"/>
  <c r="B200" i="11"/>
  <c r="B199" i="11"/>
  <c r="B160" i="11"/>
  <c r="B159" i="11"/>
  <c r="B158" i="11"/>
  <c r="B126" i="11"/>
  <c r="B125" i="11"/>
  <c r="B48" i="11"/>
  <c r="B46" i="11"/>
  <c r="B44" i="11"/>
  <c r="B42" i="11"/>
  <c r="B40" i="11"/>
  <c r="B36" i="11"/>
  <c r="B35" i="11"/>
  <c r="B34" i="11"/>
  <c r="B31" i="11"/>
  <c r="B30" i="11"/>
  <c r="A11" i="11"/>
  <c r="A54" i="11" s="1"/>
  <c r="C13" i="12" l="1"/>
  <c r="A81" i="11"/>
  <c r="A106" i="11" l="1"/>
  <c r="A154" i="11" l="1"/>
  <c r="A195" i="11" s="1"/>
  <c r="A218" i="11" l="1"/>
  <c r="A245" i="11" s="1"/>
  <c r="A295" i="11" s="1"/>
  <c r="A43" i="6" l="1"/>
  <c r="A44" i="6" s="1"/>
  <c r="A45" i="6" s="1"/>
  <c r="Q9" i="8" l="1"/>
  <c r="C14" i="12" l="1"/>
  <c r="C11" i="12" s="1"/>
  <c r="C7" i="12" s="1"/>
  <c r="C25" i="12" s="1"/>
  <c r="C26" i="12" s="1"/>
  <c r="C27" i="12" s="1"/>
  <c r="Q1548" i="8"/>
  <c r="R9" i="8"/>
  <c r="D14" i="12" l="1"/>
  <c r="D11" i="12" s="1"/>
  <c r="R1548" i="8"/>
  <c r="D7" i="12" l="1"/>
  <c r="D25" i="12" s="1"/>
  <c r="D26" i="12" l="1"/>
  <c r="D27" i="12" s="1"/>
</calcChain>
</file>

<file path=xl/sharedStrings.xml><?xml version="1.0" encoding="utf-8"?>
<sst xmlns="http://schemas.openxmlformats.org/spreadsheetml/2006/main" count="19336" uniqueCount="3681">
  <si>
    <t>Dự án: TOÀ NHÀ HỖN HỢP HACOM MALL</t>
  </si>
  <si>
    <t>Gói thầu: CUNG CẤP VTTB VÀ THI CÔNG LẮP ĐẶT HỆ THỐNG CƠ ĐIỆN</t>
  </si>
  <si>
    <t>Hạng mục: HỆ THỐNG ĐIỆN</t>
  </si>
  <si>
    <t>STT</t>
  </si>
  <si>
    <t>Đơn vị</t>
  </si>
  <si>
    <t>Ghi chú</t>
  </si>
  <si>
    <t>Tủ điện LV-G.1+LV-G.2+LV-G.3+LV-G.4+LV-G.5+LV-G.6</t>
  </si>
  <si>
    <t>Tủ</t>
  </si>
  <si>
    <t>Cái</t>
  </si>
  <si>
    <t>Đầu vào:</t>
  </si>
  <si>
    <t>ACB Fixed 4P 3200AT 3200AF 65kA , bảo vệ quá dòng, chạm đất, quá áp, thấp áp, đo lường class 1, kết nối NFC/ Bluetooth.</t>
  </si>
  <si>
    <t xml:space="preserve">Motor sạc 220VAC cho ACB Fixed 4P 3200A 65kA </t>
  </si>
  <si>
    <t xml:space="preserve">Cuộn đóng 220VAC cho ACB Fixed 4P 3200A 65kA </t>
  </si>
  <si>
    <t>Cuộn cắt 220VAC cho ACB Fixed dòng MTZ</t>
  </si>
  <si>
    <t>Cuộn UVT 220VAC cho ACB Fixed dòng MTZ</t>
  </si>
  <si>
    <t>Khóa đóng cắt ACB</t>
  </si>
  <si>
    <t>Bộ hòa đồng bộ 2 máy phát</t>
  </si>
  <si>
    <t>Bộ</t>
  </si>
  <si>
    <t>Đèn báo trạng thái On/OFF/TRIP ACB</t>
  </si>
  <si>
    <t>Biến dòng hạ thế 3200/5A</t>
  </si>
  <si>
    <t>Quả</t>
  </si>
  <si>
    <t>Đồng hồ Volt 0-450VAC</t>
  </si>
  <si>
    <t>Chuyển mạch Volt 7 vị trí</t>
  </si>
  <si>
    <t>Đồng hồ Ampe 0-3200A</t>
  </si>
  <si>
    <t>Đèn báo pha</t>
  </si>
  <si>
    <t>Cầu chi 2A</t>
  </si>
  <si>
    <t>Đầu ra:</t>
  </si>
  <si>
    <t xml:space="preserve">ACB Fixed 4P 3000AT 3200AF 65kA </t>
  </si>
  <si>
    <t>ACB 4P 1600AT 1600AF 65kA Fixed</t>
  </si>
  <si>
    <t>MCCB 4P 1250AT 1250AF 50kA</t>
  </si>
  <si>
    <t>MCCB 4P 1000AT 1000AF 50kA</t>
  </si>
  <si>
    <t>MCCB 4P 400AT 400AF 50kA</t>
  </si>
  <si>
    <t>MCCB 4P 320AT 400AF 50kA</t>
  </si>
  <si>
    <t>MCCB 4P 250AT 250AF 50kA</t>
  </si>
  <si>
    <t>Đồng thanh cái chính 6400A+100%N+25%E mạ thiếc</t>
  </si>
  <si>
    <t>Đồng thanh cái nhánh mạ thiếc</t>
  </si>
  <si>
    <t>Đồng thanh cái kết nối Busway 3200A + cáp tiếp địa + Cos + Nhân công lắp đặt + (nắp chụp nếu có)</t>
  </si>
  <si>
    <t>Đồng thanh cái kết nối Busway 1600A + cáp tiếp địa + Cos + Nhân công lắp đặt + (nắp chụp nếu có)</t>
  </si>
  <si>
    <t>Nhân công + phụ kiện lắp đặt</t>
  </si>
  <si>
    <t>Tủ điện MSB1.7+MSB1.8+MSB1.9</t>
  </si>
  <si>
    <t>MCCB 4P 320AT 400AF 50kA, kèm Vigi Module bảo vệ dòng rò</t>
  </si>
  <si>
    <t>Tiếp điểm báo trạng thái cho MCCB 4P 320A 50kA</t>
  </si>
  <si>
    <t>Cuộn cắt 220VAC cho MCCB 4P 320A 50kA</t>
  </si>
  <si>
    <t>ATS 4P 400A</t>
  </si>
  <si>
    <t>Bộ điều khiển ATS</t>
  </si>
  <si>
    <t>Biến dòng hạ thế 400/5A</t>
  </si>
  <si>
    <t>Đồng hồ KTS đa chức năng (đo lường I, U, F, P, Q, S, PF, THD, Accuracy 0.5%, kết nối BMS), truyền thông Modbus</t>
  </si>
  <si>
    <t>MCCB 3P 125AT 160AF 50kA</t>
  </si>
  <si>
    <t>MCCB 3P 80AT 100AF 50kA</t>
  </si>
  <si>
    <t>MCCB 3P 63AT 100AF 50kA</t>
  </si>
  <si>
    <t>MCCB 3P 50AT 100AF 50kA</t>
  </si>
  <si>
    <t>MCCB 3P 100AT 100AF 50kA</t>
  </si>
  <si>
    <t>MCCB 3P 32AT 100AF 50kA</t>
  </si>
  <si>
    <t>Công tơ 3 pha đo gián tiếp</t>
  </si>
  <si>
    <t>Biến dòng hạ thế 100/5A</t>
  </si>
  <si>
    <t>Bộ nguồn 1P 220VAC/24VDC 100W</t>
  </si>
  <si>
    <t>Đồng thanh cái chính 320A+100%N+25%E mạ thiếc</t>
  </si>
  <si>
    <t>Nhân công+phụ kiện lắp đặt</t>
  </si>
  <si>
    <t>Tủ điện MSB1.5+MSB1.6</t>
  </si>
  <si>
    <t>MCCB 4P 250AT 250AF 50kA, kèm Vigi Module bảo vệ dòng rò</t>
  </si>
  <si>
    <t>Tiếp điểm báo trạng thái cho MCCB 4P 250A 50kA</t>
  </si>
  <si>
    <t>Cuộn cắt 220VAC cho MCCB 4P 250A 50kA</t>
  </si>
  <si>
    <t>ATS 4P 250A</t>
  </si>
  <si>
    <t>Biến dòng hạ thế 250/5A</t>
  </si>
  <si>
    <t>MCCB 3P 40AT 100AF 50kA</t>
  </si>
  <si>
    <t>Đồng thanh cái chính 250A+100%N+25%E mạ thiếc</t>
  </si>
  <si>
    <t>Tủ điện MSB1.1+MSB1.2+MSB1.3+MSB1.4</t>
  </si>
  <si>
    <t>MCCB 4P 32A 65kA</t>
  </si>
  <si>
    <t>Chống sét lan truyền 3P+N, 400V, Imax = 65kA (8/20μs)</t>
  </si>
  <si>
    <t xml:space="preserve">ACB Fixed 4P 3200AT 3200AF 65kA </t>
  </si>
  <si>
    <t>Liên động cơ điện có ATS cho 2 ACB</t>
  </si>
  <si>
    <t>MCB 2P 10A 6kA</t>
  </si>
  <si>
    <t>Bộ liên động cơ cho 2 ACB</t>
  </si>
  <si>
    <t>Bộ nguồn UPS 1KVA 220VAC Line-Interactive</t>
  </si>
  <si>
    <t>Rơ le bảo vệ điện áp</t>
  </si>
  <si>
    <t xml:space="preserve">Bộ điều khiển Logo + Module phụ </t>
  </si>
  <si>
    <t>Chuyển mạch Auto-manu</t>
  </si>
  <si>
    <t>Relay trung gian+đế</t>
  </si>
  <si>
    <t>Lô</t>
  </si>
  <si>
    <t>ACB Fixed 4P 2000AT 2000AF 65kA , bảo vệ quá dòng,dòng rò, đo lường class 1, kết nối NFC/ Bluetooth.</t>
  </si>
  <si>
    <t>Motor sạc 220VAC cho ACB 4P 2000A 65kA Fixed</t>
  </si>
  <si>
    <t>Cuộn đóng 220VAC cho ACB 4P 2000A 65kA Fixed</t>
  </si>
  <si>
    <t>Cuộn cắt 220VAC cho ACB 4P 2000A 65kA Fixed</t>
  </si>
  <si>
    <t>Đồng thanh cái chính 3200A+100%N+25%E mạ thiếc</t>
  </si>
  <si>
    <t>Đồng thanh cái kết nối Busway 2000A + cáp tiếp địa + Cos + Nhân công lắp đặt + (nắp chụp nếu có)</t>
  </si>
  <si>
    <t>Tủ điện EMSB2.1+EMSB2.2+EMSB2.3+EMSB2.4</t>
  </si>
  <si>
    <t>Bộ liên động cơ cho 2 ACB (1000A)</t>
  </si>
  <si>
    <t>Biến dòng hạ thế 2000/5A</t>
  </si>
  <si>
    <t>MCCB 3P 630AT 630AF 50kA</t>
  </si>
  <si>
    <t>MCCB 3P 400AT 400AF 50kA</t>
  </si>
  <si>
    <t>MCCB 3P 250AT 250AF 50kA</t>
  </si>
  <si>
    <t>MCCB 3P 160AT 160AF 50kA</t>
  </si>
  <si>
    <t>MCCB 3P 25AT 100AF 50kA</t>
  </si>
  <si>
    <t>Đồng thanh cái chính 1600A+100%N+25%E mạ thiếc</t>
  </si>
  <si>
    <t>Tủ điện MSB2.8+MSB2.9</t>
  </si>
  <si>
    <t>MCCB 4P 400AT 400AT 50kA</t>
  </si>
  <si>
    <t>Đồng thanh cái chính 100%N+25%E mạ thiếc</t>
  </si>
  <si>
    <t>Đồng thanh cái chính 400A+100%N+25%E mạ thiếc</t>
  </si>
  <si>
    <t>Tủ điện MSB2.6+MSB2.7</t>
  </si>
  <si>
    <t>MCCB 3P 200AT 250AF 50kA</t>
  </si>
  <si>
    <t>Tủ điện MSB2.1+MSB2.2+MSB2.3+MSB2.4</t>
  </si>
  <si>
    <t>Bộ liên động cơ cho 2 ACB (1600A)</t>
  </si>
  <si>
    <t>Biến dòng hạ thế 1600/5A</t>
  </si>
  <si>
    <t>MCCB 3P 500AT 500AF 50kA</t>
  </si>
  <si>
    <t>MCCB 3P 320AT 400AF 50kA</t>
  </si>
  <si>
    <t>Tủ điện MSB2.5</t>
  </si>
  <si>
    <t>MCCB 4P 1250AT 1250AT 50kA</t>
  </si>
  <si>
    <t>Liên động cơ điện có ATS cho 2 MCCB</t>
  </si>
  <si>
    <t>Biến dòng hạ thế 1250/5A</t>
  </si>
  <si>
    <t>Rơ le bảo vệ dòng rò</t>
  </si>
  <si>
    <t>Đồng thanh cái chính 1250A+100%N+25%E mạ thiếc</t>
  </si>
  <si>
    <t>A</t>
  </si>
  <si>
    <t>ĐẦU MỤC CÔNG VIỆC THEO KLMT</t>
  </si>
  <si>
    <t>I</t>
  </si>
  <si>
    <t>II</t>
  </si>
  <si>
    <t>Cáp điện 0,6kV, lõi đồng, cách điện FR</t>
  </si>
  <si>
    <t>Cu/FR/XLPE (1x240)mm2</t>
  </si>
  <si>
    <t>m</t>
  </si>
  <si>
    <t>Cu/FR/XLPE (3x240+1x120)mm2</t>
  </si>
  <si>
    <t>Cu/FR/XLPE (1x185)mm2</t>
  </si>
  <si>
    <t>Cu/FR/XLPE (1x120)mm2</t>
  </si>
  <si>
    <t>Cu/FR/XLPE (1x70)mm2</t>
  </si>
  <si>
    <t>Cu/FR/XLPE (4x50)mm2</t>
  </si>
  <si>
    <t>Cu/FR/XLPE (4x35)mm2</t>
  </si>
  <si>
    <t>Cu/FR/XLPE (4x25)mm2</t>
  </si>
  <si>
    <t>Cu/FR/XLPE (4x16)mm2</t>
  </si>
  <si>
    <t>Cu/FR/XLPE (4x10)mm2</t>
  </si>
  <si>
    <t>Cu/FR/XLPE (4x6)mm2</t>
  </si>
  <si>
    <t>Cu/FR/XLPE (4x4)mm2</t>
  </si>
  <si>
    <t>Cáp điện 0,6kV, lõi đồng, cách điện XLPE, vỏ PVC, tiết diện:</t>
  </si>
  <si>
    <t>Cu/XLPE/PVC (3x240+1x120)mm2</t>
  </si>
  <si>
    <t>Cu/XLPE/PVC (3x185+1x95)mm2</t>
  </si>
  <si>
    <t>Cu/XLPE/PVC (3x120+1x70)mm2</t>
  </si>
  <si>
    <t>Cu/XLPE/PVC (1x185)mm2</t>
  </si>
  <si>
    <t>Cu/XLPE/PVC (1x120)mm2</t>
  </si>
  <si>
    <t>Cu/XLPE/PVC (1x95)mm2</t>
  </si>
  <si>
    <t>Cu/XLPE/PVC (1x70)mm2</t>
  </si>
  <si>
    <t>Cu/XLPE/PVC (4x50)mm2</t>
  </si>
  <si>
    <t>Cu/XLPE/PVC (4x35)mm2</t>
  </si>
  <si>
    <t>Cu/XLPE/PVC (4x25)mm2</t>
  </si>
  <si>
    <t>Cu/XLPE/PVC (4x16)mm2</t>
  </si>
  <si>
    <t>Cu/XLPE/PVC (4x10)mm2</t>
  </si>
  <si>
    <t>Cu/XLPE/PVC (4x6)mm2</t>
  </si>
  <si>
    <t>Cu/XLPE/PVC (4x4)mm2</t>
  </si>
  <si>
    <t>III</t>
  </si>
  <si>
    <t>Dây tiếp địa 0.6kV Cu/PVC, tiết diện:</t>
  </si>
  <si>
    <t>Cu/PVC (1x185)mm2</t>
  </si>
  <si>
    <t>Cu/PVC (1x120)mm2</t>
  </si>
  <si>
    <t>Cu/PVC (1x95)mm2</t>
  </si>
  <si>
    <t>Cu/PVC (1x70)mm2</t>
  </si>
  <si>
    <t>Cu/PVC (1x50)mm2</t>
  </si>
  <si>
    <t>Cu/PVC  (1x35)mm2</t>
  </si>
  <si>
    <t>Cu/PVC  (1x25)mm2</t>
  </si>
  <si>
    <t>Cu/PVC  (1x16)mm2</t>
  </si>
  <si>
    <t>Cu/PVC (1x10)mm2</t>
  </si>
  <si>
    <t>Cu/PVC (1x6)mm2</t>
  </si>
  <si>
    <t>Cu/PVC (1x4)mm2</t>
  </si>
  <si>
    <t>Cáp hạ thế</t>
  </si>
  <si>
    <t>Tủ điện nhánh</t>
  </si>
  <si>
    <t>Tủ điện TĐ-H2</t>
  </si>
  <si>
    <t>Vỏ tủ trong nhà KT: C1000xR800xS300mm, tôn dày 1.5~2 ly, hai lớp cánh, sơn tĩnh điện màu RAL7032 sần.</t>
  </si>
  <si>
    <t>Incomming</t>
  </si>
  <si>
    <t>MCCB 4P 40A 18kA</t>
  </si>
  <si>
    <t>Cầu chì 2A</t>
  </si>
  <si>
    <t>Outgoing</t>
  </si>
  <si>
    <t>RCCB 2P 25A 30mA</t>
  </si>
  <si>
    <t>MCB 1P 16A 6kA</t>
  </si>
  <si>
    <t>MCB 1P 10A 6kA</t>
  </si>
  <si>
    <t>MCB 2P 6A 6kA</t>
  </si>
  <si>
    <t xml:space="preserve">Mạch điều khiển chiếu sáng </t>
  </si>
  <si>
    <t>Contactor 2P 16A, Coil 220VAC</t>
  </si>
  <si>
    <t>Chuyển mạch Auto-Manu</t>
  </si>
  <si>
    <t>Rơ le trung gian kèm đế</t>
  </si>
  <si>
    <t>Bộ nguồn 1P 220VAC/24VDC 200W</t>
  </si>
  <si>
    <t>Đồng thanh cái chính 40A + 100%N + 25%E (mạ thiếc)</t>
  </si>
  <si>
    <t>Thanh cài răng lược</t>
  </si>
  <si>
    <t>Nhân công và vật tư phụ hoàn thiện tủ (bọc cách điện, cầu chì, dây nhị thứ, sứ đỡ, cầu đấu…)</t>
  </si>
  <si>
    <t>Tủ điện TĐ-H1</t>
  </si>
  <si>
    <t>MCCB 4P 50A 18kA</t>
  </si>
  <si>
    <t>RCCB 4P 25A 30mA</t>
  </si>
  <si>
    <t>MCB 3P 16A 10kA</t>
  </si>
  <si>
    <t>Mạch khởi động 3P (DOL 3.7kW)</t>
  </si>
  <si>
    <t>Contactor 3P 12A, Coil 220VAC</t>
  </si>
  <si>
    <t>Tiếp điểm phụ cho Contactor</t>
  </si>
  <si>
    <t>Rơ le nhiệt 5.5~8A</t>
  </si>
  <si>
    <t>Đèn báo lỗi (Yellow)</t>
  </si>
  <si>
    <t xml:space="preserve">Nút ấn ON/OFF có đèn báo </t>
  </si>
  <si>
    <t xml:space="preserve">Rơ le trung gian kèm đế </t>
  </si>
  <si>
    <t>Mạch khởi động 3P (DOL 0.55kW)</t>
  </si>
  <si>
    <t>Contactor 3P 9A, Coil 220VAC</t>
  </si>
  <si>
    <t>Rơ le nhiệt 1.6~2.5A</t>
  </si>
  <si>
    <t>Tủ điện TĐ-QC2-H2, TĐ-QC2-H1</t>
  </si>
  <si>
    <t>Vỏ tủ trong nhà KT: C1000xR800xS300mm, tôn dày 1.5 ly, hai lớp cánh, sơn tĩnh điện màu RAL7032 sần.</t>
  </si>
  <si>
    <t>MCCB 4P 63A 36kA</t>
  </si>
  <si>
    <t>Đồng hồ Ampe 0-100A</t>
  </si>
  <si>
    <t>MCCB 3P 40A 18kA</t>
  </si>
  <si>
    <t>Mạch khởi động 3P (DOL 11kW)</t>
  </si>
  <si>
    <t>Contactor 3P 32A, Coil 220VAC</t>
  </si>
  <si>
    <t>Rơ le nhiệt 23~32A</t>
  </si>
  <si>
    <t>Thanh đồng trung tính + tiếp địa + sứ đỡ + thanh cài</t>
  </si>
  <si>
    <t>Tủ điện TĐ-QTA-H2, TĐ-QTA.1</t>
  </si>
  <si>
    <t>MCCB 4P 25A 36kA</t>
  </si>
  <si>
    <t>Biến dòng hạ thế 50/5A</t>
  </si>
  <si>
    <t>Đồng hồ Ampe 0-50A</t>
  </si>
  <si>
    <t>MCCB 3P 20A 18kA</t>
  </si>
  <si>
    <t>Mạch khởi động 3P (DOL 5.5kW)</t>
  </si>
  <si>
    <t>Contactor 3P 18A, Coil 220VAC</t>
  </si>
  <si>
    <t>Rơ le nhiệt 9~13A</t>
  </si>
  <si>
    <t>Tủ điện TĐ-QC1-H2, TĐ-QC1-H1</t>
  </si>
  <si>
    <t>MCCB 3P 50A 18kA</t>
  </si>
  <si>
    <t>Mạch khởi động Y-D 3P 15kW</t>
  </si>
  <si>
    <t>Khóa liên động 2 Contactor</t>
  </si>
  <si>
    <t>Timer chuyển đổi Y-D</t>
  </si>
  <si>
    <t>Tủ điện TĐ-QTA-H1</t>
  </si>
  <si>
    <t>MCCB 4P 100A 36kA</t>
  </si>
  <si>
    <t>Cầu chì 1A</t>
  </si>
  <si>
    <t>Đồng thanh cái chính 100A+100%N+25%E  (mạ thiếc)</t>
  </si>
  <si>
    <t>Đồng thanh cái nhánh (mạ thiếc)</t>
  </si>
  <si>
    <t>Tủ điện TĐ-QHK1-H1,TĐ-QHK2-H1</t>
  </si>
  <si>
    <t>MCCB 4P 50A 36kA</t>
  </si>
  <si>
    <t>Tủ điện TĐ-HT</t>
  </si>
  <si>
    <t>Vỏ tủ trong nhà KT: C1000xR800xS250mm, tôn dày 1.5 ly, hai lớp cánh, sơn tĩnh điện màu RAL7032 sần.</t>
  </si>
  <si>
    <t>MCCB 4P 32A 36kA</t>
  </si>
  <si>
    <t>RCBO 1P+N 16A 30mA 6kA</t>
  </si>
  <si>
    <t>MCB 3P 20A 10kA</t>
  </si>
  <si>
    <t>MCB 1P 25A 6kA</t>
  </si>
  <si>
    <t>Mạch khởi động 3P (DOL 1.1kW)</t>
  </si>
  <si>
    <t>Mạch điều khiển van</t>
  </si>
  <si>
    <t>Tủ điện TĐ-CSNC</t>
  </si>
  <si>
    <t>Vỏ tủ trong nhà KT: C600xR400xS250mm, tôn dày 1.5 ly, hai lớp cánh, sơn tĩnh điện màu RAL7032 sần.</t>
  </si>
  <si>
    <t>MCB 2P 16A 6kA</t>
  </si>
  <si>
    <t>Mạch điều khiển cửa sập</t>
  </si>
  <si>
    <t>Tủ điện TĐ-MDF</t>
  </si>
  <si>
    <t>MCB 3P 40A 10kA</t>
  </si>
  <si>
    <t>Tủ điện TĐ-QH1-H2, TĐ-QH1-H1</t>
  </si>
  <si>
    <t>Vỏ tủ trong nhà KT: C1000xR800xS400mm, tôn dày 1.5 ly, hai lớp cánh, sơn tĩnh điện màu RAL7032 sần.</t>
  </si>
  <si>
    <t xml:space="preserve">Incoming </t>
  </si>
  <si>
    <t>MCCB 4P 250A 36kA</t>
  </si>
  <si>
    <t>Đồng hồ Ampe 0-250A</t>
  </si>
  <si>
    <t>MCCB 3P 200A 18kA</t>
  </si>
  <si>
    <t>Mạch điều khiển quạt 2 tốc độ 3P công suất 15/55kW</t>
  </si>
  <si>
    <t>Contactor 3P 95A, Coil 220VAC</t>
  </si>
  <si>
    <t>Contactor 3P 80A, Coil 220VAC</t>
  </si>
  <si>
    <t>Rơ le nhiệt 80~104A</t>
  </si>
  <si>
    <t xml:space="preserve">Đèn báo lỗi </t>
  </si>
  <si>
    <t>Timer 0-60s</t>
  </si>
  <si>
    <t>Đồng thanh cái chính 200A+100%N+25%E (mạ thiếc)</t>
  </si>
  <si>
    <t>Tủ điện TĐ-QH2-H2, TĐ-QH3-H2, TĐ-QH2-H1,TĐ-QH3-H1</t>
  </si>
  <si>
    <t>MCCB 4P 125A 36kA</t>
  </si>
  <si>
    <t>Biến dòng hạ thế 150/5A</t>
  </si>
  <si>
    <t>Đồng hồ Ampe 0-150A</t>
  </si>
  <si>
    <t>MCCB 3P 100A 18kA</t>
  </si>
  <si>
    <t>MCCB 3P 25A 18kA</t>
  </si>
  <si>
    <t>Mạch điều khiển quạt 2 tốc độ 3P công suất 7.5/30kW</t>
  </si>
  <si>
    <t>Contactor 3P 65A, Coil 220VAC</t>
  </si>
  <si>
    <t>Contactor 3P 40A, Coil 220VAC</t>
  </si>
  <si>
    <t>Rơ le nhiệt 48~65A</t>
  </si>
  <si>
    <t>Rơ le nhiệt 12~18A</t>
  </si>
  <si>
    <t>Đồng thanh cái chính 125A+100%N+25%E (mạ thiếc)</t>
  </si>
  <si>
    <t>Tủ điện TĐ-TNS1</t>
  </si>
  <si>
    <t>MCCB 3P 16A 18kA</t>
  </si>
  <si>
    <t>Mạch khởi động 3P (DOL 2.5kW)</t>
  </si>
  <si>
    <t>Rơ le nhiệt 4~6A</t>
  </si>
  <si>
    <t>Rơ le luân phiên</t>
  </si>
  <si>
    <t>Tủ điện TĐ-BNT</t>
  </si>
  <si>
    <t>MCCB 4P 40A 36kA</t>
  </si>
  <si>
    <t>Tủ điện TĐA-BSH, TĐB-BSH</t>
  </si>
  <si>
    <t>MCCB 4P 80A 36kA</t>
  </si>
  <si>
    <t>MCCB 3P 63A 18kA</t>
  </si>
  <si>
    <t>Mạch khởi động Y-D 3P 22kW</t>
  </si>
  <si>
    <t>Contactor 3P 38A, Coil 220VAC</t>
  </si>
  <si>
    <t>Rơ le nhiệt 37~50A</t>
  </si>
  <si>
    <t xml:space="preserve">Rơ le mức nước </t>
  </si>
  <si>
    <t>Tủ điện TĐ-TNS3</t>
  </si>
  <si>
    <t>Mạch khởi động 3P (DOL 1.5kW)</t>
  </si>
  <si>
    <t>Rơ le nhiệt 2.5~4A</t>
  </si>
  <si>
    <t>Tủ điện TĐ-TNS2, TĐ-TNS4</t>
  </si>
  <si>
    <t>Thanh đồng trung tính + tiếp địa + sứ đỡ</t>
  </si>
  <si>
    <t>Tủ điện TĐ-IBS</t>
  </si>
  <si>
    <t>Tủ điện TĐ--R.T3</t>
  </si>
  <si>
    <t>Tủ điện TĐ-PCCC</t>
  </si>
  <si>
    <t>MCB 1P 40A 6kA</t>
  </si>
  <si>
    <t>Tủ điện TĐ1</t>
  </si>
  <si>
    <t>Vỏ tủ trong nhà KT: C1800xR800xS400mm, tôn dày 1.5~2 ly, hai lớp cánh, sơn tĩnh điện màu RAL7032 sần.</t>
  </si>
  <si>
    <t>MCCB 4P 160A 36kA</t>
  </si>
  <si>
    <t>MCB 1P 63A 6kA</t>
  </si>
  <si>
    <t>MCB 1P 50A 6kA</t>
  </si>
  <si>
    <t>Contactor 1P 63A, Coil 220VAC</t>
  </si>
  <si>
    <t>Contactor 1P 50A, Coil 220VAC</t>
  </si>
  <si>
    <t>Công tơ điện tử 3P 10(40)</t>
  </si>
  <si>
    <t>Công tơ điện tử 1P 20(80)</t>
  </si>
  <si>
    <t>Đồng thanh cái chính 160A + 100%N + 25%E (mạ thiếc)</t>
  </si>
  <si>
    <t>Tủ điện TĐ2</t>
  </si>
  <si>
    <t>MCB 1P 32A 6kA</t>
  </si>
  <si>
    <t>Contactor 1P 40A, Coil 220VAC</t>
  </si>
  <si>
    <t>Contactor 1P 32A, Coil 220VAC</t>
  </si>
  <si>
    <t>Công tơ điện tử 1P 10(40)</t>
  </si>
  <si>
    <t>Đồng thanh cái chính 100A + 100%N + 25%E (mạ thiếc)</t>
  </si>
  <si>
    <t>Tủ điện TĐ3</t>
  </si>
  <si>
    <t>MCCB 4P 320A 36kA</t>
  </si>
  <si>
    <t>MCB 3P 63A 10kA</t>
  </si>
  <si>
    <t>MCB 3P 50A 10kA</t>
  </si>
  <si>
    <t>Contactor 3P 63A, Coil 220VAC</t>
  </si>
  <si>
    <t>Contactor 3P 50A, Coil 220VAC</t>
  </si>
  <si>
    <t>Đồng thanh cái chính 320A + 100%N + 25%E (mạ thiếc)</t>
  </si>
  <si>
    <t xml:space="preserve">Tủ điện TĐ3A </t>
  </si>
  <si>
    <t>Công tơ điện tử 3P 30(60)</t>
  </si>
  <si>
    <t>Tủ điện TĐ4</t>
  </si>
  <si>
    <t xml:space="preserve">Tủ điện TĐ4A </t>
  </si>
  <si>
    <t>Tủ điện TS1A</t>
  </si>
  <si>
    <t>Vỏ tủ trong nhà KT: C800xR600xS250mm, tôn dày 1.5 ly, hai lớp cánh, sơn tĩnh điện màu RAL7032 sần.</t>
  </si>
  <si>
    <t>MCCB 4P 32A 18kA</t>
  </si>
  <si>
    <t>Tủ điện TS1B</t>
  </si>
  <si>
    <t>Tủ điện TS1</t>
  </si>
  <si>
    <t>MCB 3P 16A 6kA</t>
  </si>
  <si>
    <t>MCB 1P 20A 6kA</t>
  </si>
  <si>
    <t>Mạch khởi động 1P (DOL 1.1kW)</t>
  </si>
  <si>
    <t>Contactor 1P 12A, Coil 220VAC</t>
  </si>
  <si>
    <t>Tủ điện TĐ-VRV1</t>
  </si>
  <si>
    <t>Vỏ tủ trong nhà KT: C1000xR800xS400mm, tôn dày 1.5~2 ly, hai lớp cánh, sơn tĩnh điện màu RAL7032 sần.</t>
  </si>
  <si>
    <t>MCCB 3P 125A 18kA</t>
  </si>
  <si>
    <t xml:space="preserve">Biến dòng hạ thế 125/5A </t>
  </si>
  <si>
    <t>Công tơ 3P trực tiếp 30(60)</t>
  </si>
  <si>
    <t>Công tơ 3P trực tiếp 3x5A</t>
  </si>
  <si>
    <t>Đồng thanh cái chính 250A + 100%N + 25%E (mạ thiếc)</t>
  </si>
  <si>
    <t>Tủ điện TS2</t>
  </si>
  <si>
    <t>Vỏ tủ trong nhà KT: C1000xR800xS250mm, tôn dày 1.5~2 ly, hai lớp cánh, sơn tĩnh điện màu RAL7032 sần.</t>
  </si>
  <si>
    <t>Đồng thanh cái chính 50A + 100%N + 25%E (mạ thiếc)</t>
  </si>
  <si>
    <t>Tủ điện TS4</t>
  </si>
  <si>
    <t>Tủ điện TĐ-VRV2</t>
  </si>
  <si>
    <t>MCCB 3P 80A 18kA</t>
  </si>
  <si>
    <t>Công tơ 3P trực tiếp 50(100)</t>
  </si>
  <si>
    <t>Công tơ 3P trực tiếp 10(40)</t>
  </si>
  <si>
    <t>Tủ điện TĐ-FCU2</t>
  </si>
  <si>
    <t>Tủ điện TĐ-FCU.ST</t>
  </si>
  <si>
    <t>Tủ điện TĐ-VRV.ST</t>
  </si>
  <si>
    <t>MCCB 4P 200A 18kA</t>
  </si>
  <si>
    <t>MCCB 3P 125A 10kA</t>
  </si>
  <si>
    <t>Tủ điện TĐ.ST</t>
  </si>
  <si>
    <t>Vỏ tủ trong nhà KT: C1200xR800xS400mm, tôn dày 1.5~2 ly, hai lớp cánh, sơn tĩnh điện màu RAL7032 sần.</t>
  </si>
  <si>
    <t xml:space="preserve">ATS 4P 320A </t>
  </si>
  <si>
    <t>MCCB 3P 320A 36kA</t>
  </si>
  <si>
    <t>Công tơ 3P đo gián tiếp 3x5A</t>
  </si>
  <si>
    <t>Đồng thanh cái chính 320A+100%N+25%E  (mạ thiếc)</t>
  </si>
  <si>
    <t>Tủ điện TĐ-FCU3</t>
  </si>
  <si>
    <t>Vỏ tủ trong nhà KT: C1200xR800xS300mm, tôn dày 1.5~2 ly, hai lớp cánh, sơn tĩnh điện màu RAL7032 sần.</t>
  </si>
  <si>
    <t>MCCB 4P 63A 18kA</t>
  </si>
  <si>
    <t>Đồng thanh cái chính 63A+100%N+25%E  (mạ thiếc)</t>
  </si>
  <si>
    <t>Tủ điện TĐ-VRV3</t>
  </si>
  <si>
    <t>MCCB 4P 630A 36kA</t>
  </si>
  <si>
    <t>Công tơ 3P gián tiếp 3x5A</t>
  </si>
  <si>
    <t>Đồng thanh cái chính 630A + 100%N + 25%E (mạ thiếc)</t>
  </si>
  <si>
    <t>Đồng thanh cái nhánh mạ thiếc (mạ thiếc)</t>
  </si>
  <si>
    <t>Tủ điện TĐ-VRV4</t>
  </si>
  <si>
    <t>MCCB 4P 500A 36kA</t>
  </si>
  <si>
    <t>Tủ điện TĐ-SHCĐ</t>
  </si>
  <si>
    <t>MCCB 4P 100A 18kA</t>
  </si>
  <si>
    <t>Tủ điện TĐ-FCU4</t>
  </si>
  <si>
    <t>Vỏ tủ trong nhà KT: C1200xR800xS300mm, tôn dày 1.5 ly, hai lớp cánh, sơn tĩnh điện màu RAL7032 sần.</t>
  </si>
  <si>
    <t>Tủ điện TĐ-QHK.T5</t>
  </si>
  <si>
    <t>Mạch khởi động Y-D 3P 30kW</t>
  </si>
  <si>
    <t>Rơ le nhiệt 62~80A</t>
  </si>
  <si>
    <t>Tủ điện TĐ-BB</t>
  </si>
  <si>
    <t>Biến dòng hạ thế 200/5A</t>
  </si>
  <si>
    <t>Đồng hồ Ampe 0-200A</t>
  </si>
  <si>
    <t>MCB 1P 6A 6kA</t>
  </si>
  <si>
    <t>Đồng thanh cái chính 160A+100%N+25%E  (mạ thiếc)</t>
  </si>
  <si>
    <t>Tủ điện TĐ-GYM</t>
  </si>
  <si>
    <t>Vỏ tủ âm tường 12 modul</t>
  </si>
  <si>
    <t>MCB 2P 50A 6kA</t>
  </si>
  <si>
    <t>RCCB 2P 40A 30mA</t>
  </si>
  <si>
    <t>Nhân công + phụ kiện  lắp đặt</t>
  </si>
  <si>
    <t>Tủ điện TĐ-QTA.T5</t>
  </si>
  <si>
    <t>Vỏ tủ trong nhà KT: C1200xR1000xS300mm, tôn dày 1.5~2 ly, hai lớp cánh, sơn tĩnh điện màu RAL7032 sần.</t>
  </si>
  <si>
    <t>Mạch khởi động 3P (DOL 7.5kW)</t>
  </si>
  <si>
    <t>Mạch khởi động 3P (DOL 3.3kW)</t>
  </si>
  <si>
    <t>Rơ le nhiệt 7~10A</t>
  </si>
  <si>
    <t>Tủ điện TĐ.BN</t>
  </si>
  <si>
    <t xml:space="preserve">ATS 4P 630A </t>
  </si>
  <si>
    <t>Biến dòng hạ thế 750/5A</t>
  </si>
  <si>
    <t>Công tơ 3P đo gián tiếp</t>
  </si>
  <si>
    <t>MCCB 3P 400A 36kA</t>
  </si>
  <si>
    <t>MCCB 3P 160A 18kA</t>
  </si>
  <si>
    <t>Đồng thanh cái chính 630A+100%N+25%E  (mạ thiếc)</t>
  </si>
  <si>
    <t>Tủ điện TĐ-VRV.B</t>
  </si>
  <si>
    <t>MCCB 4P 160A 18kA</t>
  </si>
  <si>
    <t>MCCB 3P 100A 10kA</t>
  </si>
  <si>
    <t>MCCB 3P 80A 10kA</t>
  </si>
  <si>
    <t>Tủ điện TĐ-FCU.B</t>
  </si>
  <si>
    <t>MCCB 4P 125A 18kA</t>
  </si>
  <si>
    <t>Biến dòng hạ thế 125/5A</t>
  </si>
  <si>
    <t>Đồng hồ Ampe 0-125A</t>
  </si>
  <si>
    <t>Mạch khởi động 3P (DOL 4kW)</t>
  </si>
  <si>
    <t>Mạch khởi động 1P (DOL 0.75kW)</t>
  </si>
  <si>
    <t>Mạch khởi động 1P (DOL 0.37kW)</t>
  </si>
  <si>
    <t>Đồng thanh cái chính 125A+100%N+25%E  (mạ thiếc)</t>
  </si>
  <si>
    <t>Tủ điện TĐ-CP</t>
  </si>
  <si>
    <t xml:space="preserve">ATS 4P 500A </t>
  </si>
  <si>
    <t>Biến dòng hạ thế 500/5A</t>
  </si>
  <si>
    <t>Đồng thanh cái chính 500A+100%N+25%E  (mạ thiếc)</t>
  </si>
  <si>
    <t>Tủ điện TĐ-VRV.CP</t>
  </si>
  <si>
    <t>MCCB 4P 200A 36kA</t>
  </si>
  <si>
    <t>Tủ điện TĐ-FCU.CP</t>
  </si>
  <si>
    <t>Tủ điện TS10A</t>
  </si>
  <si>
    <t>Tủ điện TS7A, TS13A, TS16A</t>
  </si>
  <si>
    <t>Tủ điện TS19A</t>
  </si>
  <si>
    <t>Tủ điện TS23A</t>
  </si>
  <si>
    <t>Tủ điện TS10B</t>
  </si>
  <si>
    <t>Tủ điện TS7B, TS13B</t>
  </si>
  <si>
    <t>Tủ điện TS16B</t>
  </si>
  <si>
    <t>Tủ điện TS20B</t>
  </si>
  <si>
    <t>MCCB 4P 25A 18kA</t>
  </si>
  <si>
    <t>Tủ điện TĐA-KT</t>
  </si>
  <si>
    <t>Vỏ tủ trong nhà KT: C600xR400xS250mm, tôn dày 1.5~2 ly, hai lớp cánh, sơn tĩnh điện màu RAL7032 sần.</t>
  </si>
  <si>
    <t>MCCB 3P 25A 10kA</t>
  </si>
  <si>
    <t>MCCB 3P 20A 10kA</t>
  </si>
  <si>
    <t>MCB 3P 25A 10kA</t>
  </si>
  <si>
    <t>Tủ điện TĐB-KT</t>
  </si>
  <si>
    <t>Tủ điện TĐB-QH</t>
  </si>
  <si>
    <t>MCCB 3P 16A 10kA</t>
  </si>
  <si>
    <t>Mạch khởi động 3P (DOL 3kW)</t>
  </si>
  <si>
    <t>Tủ điện TĐA-QH</t>
  </si>
  <si>
    <t>Tủ điện TE1</t>
  </si>
  <si>
    <t>Tủ điện TE9A, TE15A, TE22A, TE9B</t>
  </si>
  <si>
    <t>Vỏ tủ trong nhà KT: C400xR300xS150mm, tôn dày 1.5 ly, hai lớp cánh, sơn tĩnh điện màu RAL7032 sần.</t>
  </si>
  <si>
    <t>MCB 2P 20A 6kA</t>
  </si>
  <si>
    <t>Tủ điện TE3</t>
  </si>
  <si>
    <t>Tủ điện TE21B</t>
  </si>
  <si>
    <t>Tủ điện TEH1</t>
  </si>
  <si>
    <t>Tủ điện TE15B</t>
  </si>
  <si>
    <t>Tủ điện TĐB-QTA</t>
  </si>
  <si>
    <t>Vỏ tủ trong nhà KT: C1800xR1000xS400mm, tôn dày 1.5~2 ly, hai lớp cánh, sơn tĩnh điện màu RAL7032 sần.</t>
  </si>
  <si>
    <t>MCCB 4P 400A 36kA</t>
  </si>
  <si>
    <t>Đồng hồ Ampe 0-400A</t>
  </si>
  <si>
    <t>Mạch khởi động Y-D 3P 37kW</t>
  </si>
  <si>
    <t>Mạch khởi động Y-D 3P 33kW</t>
  </si>
  <si>
    <t>Mạch khởi động Y-D 3P 18.5kW</t>
  </si>
  <si>
    <t>Rơ le nhiệt 30~40A</t>
  </si>
  <si>
    <t>Đồng thanh cái chính 400A+100%N+25%E  (mạ thiếc)</t>
  </si>
  <si>
    <t>Tủ điện TĐB-QHK</t>
  </si>
  <si>
    <t>Tủ điện TĐA-QTA</t>
  </si>
  <si>
    <t>Tủ điện TĐA-QHK</t>
  </si>
  <si>
    <t>Mạch khởi động Y-D 3P 45kW</t>
  </si>
  <si>
    <t>Đồng thanh cái chính 250A+100%N+25%E  (mạ thiếc)</t>
  </si>
  <si>
    <t>Tủ điện TĐ-QHTM</t>
  </si>
  <si>
    <t>Vỏ tủ trong nhà KT: C1000xR8000xS300mm, tôn dày 1.5~2 ly, hai lớp cánh, sơn tĩnh điện màu RAL7032 sần.</t>
  </si>
  <si>
    <t>Tủ điện TĐA-V6</t>
  </si>
  <si>
    <t>Vỏ tủ trong nhà KT: C800xR600xS250mm, tôn dày 1.5~2 ly, hai lớp cánh, sơn tĩnh điện màu RAL7032 sần.</t>
  </si>
  <si>
    <t>MCB 2P 2A 6kA</t>
  </si>
  <si>
    <t>Tủ điện TĐB-V9</t>
  </si>
  <si>
    <t>Tủ điện TĐB-V18</t>
  </si>
  <si>
    <t>Tủ điện TĐA-V18</t>
  </si>
  <si>
    <t>Tủ điện TĐ6A, TĐ9A, TĐ12A, TĐ15A, TĐ18A, TĐ21A, TĐ24A</t>
  </si>
  <si>
    <t>Tủ điện TĐ6A1, TĐ9A1, TĐ12A1, TĐ15A1, TĐ18A1, TĐ21A1, TĐ24A1</t>
  </si>
  <si>
    <t>Tủ điện TĐ7A, TĐ10A, TĐ13A, TĐ16A, TĐ19A, TĐ22A</t>
  </si>
  <si>
    <t>Tủ điện TĐ7A1, TĐ10A, TĐ13A1, TĐ16A1, TĐ19A, TĐ22A1</t>
  </si>
  <si>
    <t>Tủ điện TĐ8A, TĐ11A, TĐ14A, TĐ17A, TĐ20A, TĐ23A</t>
  </si>
  <si>
    <t>Tủ điện TĐ8A1, TĐ11A1, TĐ14A1, TĐ17A1, TĐ20A1, TĐ23A1</t>
  </si>
  <si>
    <t>Tủ điện TĐ25A</t>
  </si>
  <si>
    <t>Vỏ tủ trong nhà KT: C1400xR800xS400mm, tôn dày 1.5~2 ly, hai lớp cánh, sơn tĩnh điện màu RAL7032 sần.</t>
  </si>
  <si>
    <t>Công tơ điện tử 3P</t>
  </si>
  <si>
    <t>Tủ điện TĐ8B, TĐ11B, TĐ14B, TĐ17B, TĐ20B</t>
  </si>
  <si>
    <t>Tủ điện TĐ8B1, TĐ11B1, TĐ14B1, TĐ17B1, TĐ20B1</t>
  </si>
  <si>
    <t>Tủ điện TĐ6B, TĐ9B, TĐ12B, TĐ15B, TĐ18B, TĐ21B</t>
  </si>
  <si>
    <t>Tủ điện TĐ6B1, TĐ9B1, TĐ12B1, TĐ15B1, TĐ18B1, TĐ21B1</t>
  </si>
  <si>
    <t>Tủ điện TĐ7B, TĐ10B, TĐ13B, TĐ16B, TĐ19B, TĐ22B</t>
  </si>
  <si>
    <t>Tủ điện TĐ7B1, TĐ10B1, TĐ13B1, TĐ16B1, TĐ19B,1 TĐ22B1</t>
  </si>
  <si>
    <t>Tủ điện TĐ-TC1, TĐ-TC2, TĐ-TC3</t>
  </si>
  <si>
    <t>Vỏ tủ trong nhà KT: C800xR600xS300mm, tôn dày 1.5 ly, hai lớp cánh, sơn tĩnh điện màu RAL7032 sần.</t>
  </si>
  <si>
    <t>Tủ điện TĐA-TMCC, TĐB-TMCC</t>
  </si>
  <si>
    <t>Tủ điện TĐ-TM1, TĐ-TM3, TĐA-TM2, TĐB-TM2</t>
  </si>
  <si>
    <t>Tủ điện TĐA-TM1, TĐB-TM1</t>
  </si>
  <si>
    <t>Tủ điện TĐ-CB1</t>
  </si>
  <si>
    <t>Vỏ tủ trong nhà KT: C1800xR1200xS250mm, tôn dày 1.5 ly, hai lớp cánh, sơn tĩnh điện màu RAL7032 sần.</t>
  </si>
  <si>
    <t>Công tắc xoáy ON/OFF</t>
  </si>
  <si>
    <t>Đèn báo chạy/dừng/lỗi</t>
  </si>
  <si>
    <t>Tủ điện TĐ-CB2</t>
  </si>
  <si>
    <t>Đèn báo chạy/dừng</t>
  </si>
  <si>
    <t>Tủ điện TĐ-CF</t>
  </si>
  <si>
    <t>Tủ điện TĐA-TR, TĐB-TR, TĐ-TM2</t>
  </si>
  <si>
    <t>Tủ điện TĐ-BD</t>
  </si>
  <si>
    <t>MCCB 3P 20A 36kA</t>
  </si>
  <si>
    <t>Mạch khởi động 3P (DOL 2.2kW)</t>
  </si>
  <si>
    <t>IV</t>
  </si>
  <si>
    <t>Phần cáp nhánh</t>
  </si>
  <si>
    <t>Cu/FR/XLPE (3x35)mm2</t>
  </si>
  <si>
    <t>Cu/FR/XLPE (3x25)mm2</t>
  </si>
  <si>
    <t>Cu/FR/XLPE (3x16)mm2</t>
  </si>
  <si>
    <t>Cu/FR/XLPE (3x10)mm2</t>
  </si>
  <si>
    <t>Cu/FR/XLPE  (3x6)mm2</t>
  </si>
  <si>
    <t>Cu/FR/XLPE  (3x4)mm2</t>
  </si>
  <si>
    <t>Cu/FR/XLPE  (3x2,5)mm2</t>
  </si>
  <si>
    <t>Cu/FR/XLPE (3x1,5)mm2</t>
  </si>
  <si>
    <t>Cu/FR/XLPE  (2x10)mm2</t>
  </si>
  <si>
    <t>Cu/FR/XLPE  (2x6)mm2</t>
  </si>
  <si>
    <t>Cu/FR/XLPE  (2x4)mm2</t>
  </si>
  <si>
    <t>Cu/FR (1x2,5)mm2</t>
  </si>
  <si>
    <t>Cu/XLPE/PVC (1x240)mm2</t>
  </si>
  <si>
    <t>Cu/XLPE/PVC (3x25)mm2</t>
  </si>
  <si>
    <t>Cu/XLPE/PVC (3x10)mm2</t>
  </si>
  <si>
    <t>Cu/XLPE/PVC (3x6)mm2</t>
  </si>
  <si>
    <t>Cu/XLPE/PVC (3x4)mm2</t>
  </si>
  <si>
    <t>Cu/XLPE/PVC (3x2.5)mm2</t>
  </si>
  <si>
    <t>Cáp điện 0,6kV, lõi đồng, cách điện PVC, vỏ PVC, tiết diện:</t>
  </si>
  <si>
    <t>Cu/PVC/PVC (4x16)mm2</t>
  </si>
  <si>
    <t>Cu/PVC/PVC (4x10)mm2</t>
  </si>
  <si>
    <t>Cu/PVC/PVC (4x4)mm2</t>
  </si>
  <si>
    <t>Cu/PVC/PVC (2x16)mm2</t>
  </si>
  <si>
    <t>Cu/PVC/PVC (2x10)mm2</t>
  </si>
  <si>
    <t>Cu/PVC/PVC (2x6)mm2</t>
  </si>
  <si>
    <t>Cu/PVC/PVC (2x2.5)mm2</t>
  </si>
  <si>
    <t>Cu/PVC/PVC (3x1.5)mm2</t>
  </si>
  <si>
    <t>Cáp điện 0,6kV, lõi đồng, vỏ PVC, tiết diện:</t>
  </si>
  <si>
    <t>Cu/PVC (1x4.0)mm2</t>
  </si>
  <si>
    <t>Cu/PVC (1x2.5)mm2</t>
  </si>
  <si>
    <t>Cu/PVC (1x1.5)mm2</t>
  </si>
  <si>
    <t>V</t>
  </si>
  <si>
    <t>Cu/PVC  (1x50)mm2</t>
  </si>
  <si>
    <t>VI</t>
  </si>
  <si>
    <t>Ống luồn dây PVC:</t>
  </si>
  <si>
    <t>D40 (lắp đặt nổi)</t>
  </si>
  <si>
    <t>D40 (lắp đặt chìm tường, bê tông)</t>
  </si>
  <si>
    <t>D32 (lắp đặt nổi)</t>
  </si>
  <si>
    <t>D32 (lắp đặt chìm tường, bê tông)</t>
  </si>
  <si>
    <t>D25 (lắp đặt nổi)</t>
  </si>
  <si>
    <t>D25 (lắp đặt chìm tường, bê tông)</t>
  </si>
  <si>
    <t>D20 (lắp đặt nổi)</t>
  </si>
  <si>
    <t>D20 (lắp đặt chìm tường, bê tông)</t>
  </si>
  <si>
    <t>HDPE 32/25</t>
  </si>
  <si>
    <t>Ống luồn dây mềm:</t>
  </si>
  <si>
    <t>D20</t>
  </si>
  <si>
    <t>Phần căn hộ</t>
  </si>
  <si>
    <t>TỦ ĐIỆN CĂN HỘ</t>
  </si>
  <si>
    <t>TỦ ĐIỆN CĂN HỘ LOẠI 3 PHÒNG NGỦ CH-A, CH-01</t>
  </si>
  <si>
    <t>Tủ module âm tường  (14MCB)</t>
  </si>
  <si>
    <t xml:space="preserve">Cái </t>
  </si>
  <si>
    <t>RCCB 1P+N 40A 30mA</t>
  </si>
  <si>
    <t>RCBO 1P+N 32A 6kA 30mA</t>
  </si>
  <si>
    <t>Vật liệu phụ, nhân công lắp đặt hoàn thiện</t>
  </si>
  <si>
    <t>TỦ ĐIỆN CĂN HỘ LOẠI 2 PHÒNG NGỦ (M1) CH-B1, CH-B3.1, CH-B3.2, CH-B3.4</t>
  </si>
  <si>
    <t>Tủ module âm tường (14MCB)</t>
  </si>
  <si>
    <t>MCB 1P 20 6kA</t>
  </si>
  <si>
    <t>RCCB 1P+N 32A 30mA</t>
  </si>
  <si>
    <t>TỦ ĐIỆN CĂN HỘ LOẠI 2 PHÒNG NGỦ (M2) CH-B2.1, CH-B2.2, CH-B2.3, CH-B3.3, CH-B4</t>
  </si>
  <si>
    <t>TỦ ĐIỆN CĂN HỘ LOẠI 2 PHÒNG NGỦ (M3) CH-02, CH-03</t>
  </si>
  <si>
    <t>MCB 2P 40A 6kA</t>
  </si>
  <si>
    <t>TỦ ĐIỆN CĂN HỘ LOẠI 1 PHÒNG NGỦ (M1) CH-04, CH-05</t>
  </si>
  <si>
    <t>RCCB 1P+N 32A 6kA 30mA</t>
  </si>
  <si>
    <t>TỦ ĐIỆN CĂN HỘ LOẠI 1 PHÒNG NGỦ (M2) CH-06A.1, CH-06A.2, CH-06A.3, CH-06B, CH-06C, CH-07A.1, CH-07A.2, CH-07B</t>
  </si>
  <si>
    <t>RCCB 1P+N 32A  30mA</t>
  </si>
  <si>
    <t>RCBO1P+N 32A 6KA 30mA</t>
  </si>
  <si>
    <t>TỦ ĐIỆN CĂN HỘ LOẠI PENHOUSE 4 PHÒNG NGỦ P-01, P-03, P-04</t>
  </si>
  <si>
    <t>Tủ module âm tường (23 MCB)</t>
  </si>
  <si>
    <t>RCCB 1P+N 25A 30mA</t>
  </si>
  <si>
    <t>TỦ ĐIỂN CĂN HỘ LOẠI PENHOUSE 3PN (M1) P-02</t>
  </si>
  <si>
    <t>Tủ module âm tường (20 MCB)</t>
  </si>
  <si>
    <t>RCCB 3P+N 25A 30mA</t>
  </si>
  <si>
    <t>TỦ ĐIỂN CĂN HỘ LOẠI PENHOUSE 3PN (M2) P-05</t>
  </si>
  <si>
    <t>Tủ module âm tường (21 MCB)</t>
  </si>
  <si>
    <t>CHIẾU SÁNG VÀ Ổ CẮM</t>
  </si>
  <si>
    <t>ĐÈN</t>
  </si>
  <si>
    <t>Đèn dowlight, 220V/9W, lắp âm trần</t>
  </si>
  <si>
    <t>Đèn dowlight, 220V/7W, loại chụp chống ẩm ,lắp âm trần</t>
  </si>
  <si>
    <t>Đèn led ốp trần, 220V/12W, lắp nổi</t>
  </si>
  <si>
    <t xml:space="preserve">Đèn chùm trang trí </t>
  </si>
  <si>
    <t xml:space="preserve">Đèn thả bàn ăn </t>
  </si>
  <si>
    <t>Đèn led rọi gương 220V/13W</t>
  </si>
  <si>
    <t>Đèn led dây 5W/m</t>
  </si>
  <si>
    <t>CÔNG TẮC, THIẾT BỊ</t>
  </si>
  <si>
    <t>Công tắc đơn, một chiều 220V/10A, kiểu lắp chìm (Mặt+Hạt+Hộp âm)</t>
  </si>
  <si>
    <t>Công tắc đôi, một chiều 220V/10A, kiểu lắp chìm (Mặt+Hạt+Hộp âm)</t>
  </si>
  <si>
    <t>Công tắc ba, một chiều 220V/10A, kiểu lắp chìm (Mặt+Hạt+Hộp âm)</t>
  </si>
  <si>
    <t>Công tắc đơn 2 chiều 220V/10A, loại đơn, kiểu lắp chìm (Mặt + hộp âm + hạt)</t>
  </si>
  <si>
    <t>Công tắc đôi 2 chiều 220V/10A, loại đơn, kiểu lắp chìm (Mặt + hộp âm + hạt)</t>
  </si>
  <si>
    <t>Công tắc 2 cực cho bình nước nóng , 250V/20A,  kiểu lắp chìm</t>
  </si>
  <si>
    <t>Chuông điện</t>
  </si>
  <si>
    <t>Ổ CẮM</t>
  </si>
  <si>
    <t>Ổ cắm điện 3 cực (2P+E), 250V/16A, loại đôi kiểu lắp chìm (Mặt+Hộp âm)</t>
  </si>
  <si>
    <t>Ổ cắm điện 3 cực (2P+E), 250V/16A, loại đơn kiểu lắp chìm (Mặt+Hộp âm)</t>
  </si>
  <si>
    <t>Ổ cắm điện 3 cực (2P+E), 250V/16A, loại đôi, kiểu lắp chìm, chống nước (Mặt+Hộp âm)</t>
  </si>
  <si>
    <t>Ổ cắm điện đa năng, 250V/16A, kiểu lắp chìm (Mặt+Hộp âm)</t>
  </si>
  <si>
    <t>Ổ cắm điện 3 cực (2P+E), 250V/16A, loại đôi kiểu lắp âm sàn (Mặt+Hộp âm)</t>
  </si>
  <si>
    <t>Hộp đấu chờ 80x80x50</t>
  </si>
  <si>
    <t>Dây điện 0.6kV lõi đồng cách điện PVC (Cu.PVC/PVC), tiết diện:</t>
  </si>
  <si>
    <t>Dây điện 0.6kV lõi đồng cách điện PVC (Cu.PVC), tiết diện:</t>
  </si>
  <si>
    <t>Cu/PVC (1x4.0)mm3</t>
  </si>
  <si>
    <t>Cu/PVC (1x10.0)mm2</t>
  </si>
  <si>
    <t>Ống luồn dây PVC cứng:</t>
  </si>
  <si>
    <t>Ống luồn dây PVC cứng D20 (lắp đặt nổi)</t>
  </si>
  <si>
    <t>Ống luồn dây PVC cứng D20 (lắp đặt ngầm tường, ngầm bê tông)</t>
  </si>
  <si>
    <t>Ống luồn dây PVC cứng D25 (lắp đặt nổi)</t>
  </si>
  <si>
    <t>Ống luồn dây PVC cứng D25 (lắp đặt ngầm tường, ngầm bê tông)</t>
  </si>
  <si>
    <t>Ống luồn dây PVC cứng D32 (lắp đặt nổi)</t>
  </si>
  <si>
    <t>Ống luồn dây PVC cứng D32 (lắp đặt ngầm tường, ngầm bê tông)</t>
  </si>
  <si>
    <t>Ống luồn dây mềm D20</t>
  </si>
  <si>
    <t>Phụ kiến lấp đặt (hộp nối , mang xông, kẹp ống,….theo 1 phòng)</t>
  </si>
  <si>
    <t>Thiết bị chung</t>
  </si>
  <si>
    <t xml:space="preserve">ĐÈN CHIẾU SÁNG </t>
  </si>
  <si>
    <t>Đèn Led Tube 220V/2x18W, loại máng trần, lắp treo thả, có chụp chống bụi, nhiệt độ màu 4000K, tuổi thọ đèn trên 20000h</t>
  </si>
  <si>
    <t>Đèn Led Tube 220V/1x18W, loại máng trần, lắp treo thả, có chụp chống ẩm, nhiệt độ màu 4000K, tuổi thọ đèn trên 20000h</t>
  </si>
  <si>
    <t>Đèn Led Tube 220V/2x18W, loại máng trần, lắp nổi, nhiệt độ màu 4000K, tuổi thọ đèn trên 20000h</t>
  </si>
  <si>
    <t>Đèn Led Tube 220V/1x18W, loại máng trần, lắp nổi, nhiệt độ màu 4000K, tuổi thọ đèn trên 20000h</t>
  </si>
  <si>
    <t>Đèn Led Tube 220V/1x10W, loại máng trần, lắp nổi, nhiệt độ màu 4000K, tuổi thọ đèn trên 20000h</t>
  </si>
  <si>
    <t>Đèn Led Tube 220V/2x18W, loại có chụp chống ẩm, lắp nổi, nhiệt độ màu 4000K, tuổi thọ đèn trên 20000h</t>
  </si>
  <si>
    <t>Đèn Led Tube 220V/1x18W, loại có chụp chống ẩm, lắp nổi, nhiệt độ màu 4000K, tuổi thọ đèn trên 20000h</t>
  </si>
  <si>
    <t>Đèn Led Tube 220V/1x10W, loại có chụp chống ẩm, lắp nổi, nhiệt độ màu 4000K, tuổi thọ đèn trên 20000h</t>
  </si>
  <si>
    <t>Đèn LED Panel  (600x600)mm 220V/40W,  lắp âm trần,loại chịu nhiệt, nhiệt độ màu 4000K, tuổi thọ đèn trên 20000h</t>
  </si>
  <si>
    <t>Đèn LED Downlight  220V/20W,  lắp âm trần, nhiệt độ màu 4000K, tuổi thọ đèn trên 20000h</t>
  </si>
  <si>
    <t>Đèn LED Downlight  220V/9W,  lắp âm trần, nhiệt độ màu 4000K, tuổi thọ đèn trên 20000h</t>
  </si>
  <si>
    <t>Đèn LED Downlight  220V/7W chống ẩm, lắp âm trần, nhiệt độ màu 4000K, tuổi thọ đèn trên 20000h</t>
  </si>
  <si>
    <t>Đèn LED ốp trần,  220V/12W, lắp nổi, nhiệt độ màu 4000K, tuổi thọ đèn trên 20000h</t>
  </si>
  <si>
    <t>Đèn rọi ray,  220V/7W</t>
  </si>
  <si>
    <t>Đèn thả,  220V/15W</t>
  </si>
  <si>
    <t>Đèn nấm cao 800mm, bóng compact, 220V/18W</t>
  </si>
  <si>
    <t>Đèn cột ngoài trời</t>
  </si>
  <si>
    <t>Đèn báo không , loại nhấp nháy, LED 220V/10W</t>
  </si>
  <si>
    <t>Đèn LED  220V/5W, Dẫn lối ram dốc</t>
  </si>
  <si>
    <t>Đèn chùm treo thả</t>
  </si>
  <si>
    <t>Đèn LED  dây 220V/5W/1m</t>
  </si>
  <si>
    <t>Bộ đổi nguồn 220VAC/24VDC/200W</t>
  </si>
  <si>
    <t>Đèn LED Downlight 3 bóng âm trần 3x9W</t>
  </si>
  <si>
    <t>Ti treo thép M6</t>
  </si>
  <si>
    <t>Bu lông nở</t>
  </si>
  <si>
    <t>Gói</t>
  </si>
  <si>
    <t>CÔNG TẮC</t>
  </si>
  <si>
    <t>Công tắc đơn, một chiều 250V/10A, kiểu lắp chìm (Mặt+Hạt+Hộp âm)</t>
  </si>
  <si>
    <t>Công tắc đôi, một chiều 250V/10A, kiểu lắp chìm (Mặt+Hạt+Hộp âm)</t>
  </si>
  <si>
    <t>Công tắc ba, một chiều 250V/10A, kiểu lắp chìm (Mặt+Hạt+Hộp âm)</t>
  </si>
  <si>
    <t>Công tắc đơn, hai chiều 250V/10A, kiểu lắp chìm (Mặt+Hạt+Hộp âm)</t>
  </si>
  <si>
    <t>Ổ cắm điện 3 cực 2P+N  220V/16A, loại đôi, lắp âm tường  (Mặt+Hộp âm)</t>
  </si>
  <si>
    <t>Ổ cắm điện 3 cực 2P+N  220V/16A, loại đôi, lắp âm tường, loại chống nước
 (Mặt+Hộp âm)</t>
  </si>
  <si>
    <t>Ổ cắm điện 3 cực 2P+N  220V/16A, loại đôi, lắp âm sàn  (Mặt+Hộp âm)</t>
  </si>
  <si>
    <t>Hộp nối dây 80x80x50mm</t>
  </si>
  <si>
    <t>VII</t>
  </si>
  <si>
    <t>Thang cáp WxH=(1000x150)mm (loại sơn tĩnh điện dày 2.0mm)</t>
  </si>
  <si>
    <t>Chuyển hướng ngang 90 độ thang cáp WxH=(1000x150)mm</t>
  </si>
  <si>
    <t>Chuyển hướng 4 ngả thang cáp WxH=(1000x150)mm</t>
  </si>
  <si>
    <t>Tê nối thang cáp WxH=(1000x150)mm</t>
  </si>
  <si>
    <t>Côn thu W1000-W300</t>
  </si>
  <si>
    <t>Côn thu W1000-W200</t>
  </si>
  <si>
    <t>Côn thu thang cáp W1000-W600</t>
  </si>
  <si>
    <t>Côn thu thang cáp W1000-W800</t>
  </si>
  <si>
    <t>Z thang cáp WxH=(1000x150)</t>
  </si>
  <si>
    <t>Thang cáp WxH=(800x150)mm (loại sơn tĩnh điện dày 2.0mm)</t>
  </si>
  <si>
    <t>Chuyển hướng ngang 90 độ thang cáp WxH=(800x150)mm</t>
  </si>
  <si>
    <t>Chuyển hướng dọc 90 độ thang cáp WxH=(800x150)mm</t>
  </si>
  <si>
    <t>Tê nối thang cáp WxH=(800x150)mm</t>
  </si>
  <si>
    <t>Côn thu W800-W300</t>
  </si>
  <si>
    <t>Tê nối thang cáp WxH=(800x150-300x150)mm</t>
  </si>
  <si>
    <t>Tê nối thang cáp WxH=(800x150-400x150)mm</t>
  </si>
  <si>
    <t>Chuyển hướng 4 ngả thang cáp WxH=(800x150)mm</t>
  </si>
  <si>
    <t>Côn thu thang cáp W800-W600</t>
  </si>
  <si>
    <t>Z thang cáp WxH=(800x150)</t>
  </si>
  <si>
    <t>Thang cáp WxH=(600x150)mm (loại sơn tĩnh điện dày 2.0mm)</t>
  </si>
  <si>
    <t>Chuyển hướng ngang 90 độ thang cáp WxH=(600x150)mm</t>
  </si>
  <si>
    <t>Chuyển hướng ngang 90 độ thang cáp WxH=(600x100)mm</t>
  </si>
  <si>
    <t>Tê nối thang cáp WxH=(600x150)mm</t>
  </si>
  <si>
    <t>Côn thu thang cáp W600-W300</t>
  </si>
  <si>
    <t>Thang cáp WxH=(400x150)mm (loại sơn tĩnh điện dày 2.0mm)</t>
  </si>
  <si>
    <t>Thang cáp WxH=(300x150)mm (loại sơn tĩnh điện dày 2.0mm)</t>
  </si>
  <si>
    <t>Máng cáp WxH=(400x100)mm (loại sơn tĩnh điện dày 2.0mm)</t>
  </si>
  <si>
    <t>Chuyển hướng ngang 90 độ máng cáp WxH=(400x100-200x100)mm</t>
  </si>
  <si>
    <t>Chuyển hướng ngang 90 độ máng cáp WxH=(400x100)mm</t>
  </si>
  <si>
    <t>Tê nối máng cáp WxH=(400x100-200x100)mm</t>
  </si>
  <si>
    <t>Tê nối máng cáp WxH=(400x100)mm</t>
  </si>
  <si>
    <t>Chuyển hướng 4 ngả máng cáp WxH=(400x100-200x100)mm</t>
  </si>
  <si>
    <t>Chuyển hướng 4 ngả máng cáp WxH=(400x100-300x100)mm</t>
  </si>
  <si>
    <t>Z máng cáp WxH=(400x100)</t>
  </si>
  <si>
    <t>Côn thu máng cáp W400-W200</t>
  </si>
  <si>
    <t>Côn thu máng cáp W400-W300</t>
  </si>
  <si>
    <t xml:space="preserve">Máng cáp WxH=(300x100)mm, tôn dày 1.5mm, sơn tĩnh điện </t>
  </si>
  <si>
    <t>Chuyển hướng ngang 90 độ máng cáp WxH=(300x100)mm</t>
  </si>
  <si>
    <t>Chuyển hướng dọc 90 độ máng cáp WxH=(300x100)mm</t>
  </si>
  <si>
    <t>Tê nối máng cáp WxH=(300x100)mm</t>
  </si>
  <si>
    <t>Chuyển hướng 4 ngả thang cáp WxH=(300x100)mm</t>
  </si>
  <si>
    <t>Côn thu W300-W200</t>
  </si>
  <si>
    <t>Z máng cáp WxH=(300x100)</t>
  </si>
  <si>
    <t>Tê nối máng cáp WxH=(300x100-200x100)mm</t>
  </si>
  <si>
    <t xml:space="preserve">Máng cáp WxH=(200x100)mm, tôn dày 1.5mm, sơn tĩnh điện </t>
  </si>
  <si>
    <t>Chuyển hướng ngang 90 độ máng cáp WxH=(200x100)mm</t>
  </si>
  <si>
    <t>Chuyển hướng dọc 90 độ máng cáp WxH=(200x100)mm</t>
  </si>
  <si>
    <t>Tê nối máng cáp WxH=(200x100)mm</t>
  </si>
  <si>
    <t>Z máng cáp WxH=(200x100)</t>
  </si>
  <si>
    <t xml:space="preserve">Máng cáp WxH=(300x50)mm, tôn dày 1.5mm, sơn tĩnh điện </t>
  </si>
  <si>
    <t>Chuyển hướng ngang 90 độ máng cáp WxH=(300x50)mm</t>
  </si>
  <si>
    <t>Chuyển hướng dọc 90 độ máng cáp WxH=(300x50)mm</t>
  </si>
  <si>
    <t>Tê nối máng cáp WxH=(300x50)mm</t>
  </si>
  <si>
    <t>Tê nối máng cáp WxH=(300x50-200x50)mm</t>
  </si>
  <si>
    <t xml:space="preserve">Máng cáp WxH=(200x50)mm, tôn dày 1.5mm, sơn tĩnh điện </t>
  </si>
  <si>
    <t>Chuyển hướng ngang 90 độ máng cáp WxH=(200x50)mm</t>
  </si>
  <si>
    <t>Chuyển hướng dọc 90 độ máng cáp WxH=(200x50)mm</t>
  </si>
  <si>
    <t>Tê nối máng cáp WxH=(200x50)mm</t>
  </si>
  <si>
    <t>Giá đỡ thang cáp trục đứng</t>
  </si>
  <si>
    <t>Thanh đỡ thép L50x50x5</t>
  </si>
  <si>
    <t>Ti treo thép M12</t>
  </si>
  <si>
    <t>HỆ THỐNG BUSDUCT</t>
  </si>
  <si>
    <t>Thanh dẫn nhôm tiếp xúc đồng (Copper contact busway) 3200A 100kA/s 3P4W 
(3P+100%N+50%E by housing), IP65, Mylar Class B, Fire Resistance - Từ tủ LV-G.3 đến tủ MSB1.2</t>
  </si>
  <si>
    <t>Thanh dẫn không có lỗ mở 
Feeder</t>
  </si>
  <si>
    <t>Chuyển hướng 90ᴼ (Phí gia công)
Elbow 90ᴼ (Labor cost)</t>
  </si>
  <si>
    <t>Vị trí</t>
  </si>
  <si>
    <t>Đấu nối với tủ điện (Phí gia công)
Flanged End (Labor cost)</t>
  </si>
  <si>
    <t>Giá treo trục ngang 
Horizontal Hanger</t>
  </si>
  <si>
    <t>Thanh dẫn nhôm tiếp xúc đồng (Copper contact busway) 1600A 65kA/s 3P4W 
(3P+100%N+50%E by housing), IP65, Mylar Class B, Fire Resistance - Từ tủ LV-G.6 đến tủ MSB2.2</t>
  </si>
  <si>
    <t>Đấu nối với tủ điện
Flanged End</t>
  </si>
  <si>
    <t>Thanh dẫn nhôm tiếp xúc đồng (Copper contact busway) 2000A 65kA/s 3P4W 
(3P+100%N+50%E by housing), IP65, Mylar Class B - Từ tủ MSB1.4 đến tủ tầng 25</t>
  </si>
  <si>
    <t>Thanh dẫn có lỗ mở 
Feeder</t>
  </si>
  <si>
    <t>Lỗ mở lấy điện (Phí gia công)
Plug In Opening (Labor cost)</t>
  </si>
  <si>
    <t>Đầu che cuối thanh dẫn 
End Closure</t>
  </si>
  <si>
    <t>Giá treo lò xo trục đứng 
Spring Hanger</t>
  </si>
  <si>
    <t>Bộ chia điện kèm MCCB 3P 160A 36kA
Plug-in Unit with MCCB 3P 160A 36kA</t>
  </si>
  <si>
    <t>Bộ chia điện kèm MCCB 3P 100A 36kA
Plug-in Unit with MCCB 3P 100A 36kA</t>
  </si>
  <si>
    <t>Thanh dẫn nhôm tiếp xúc đồng (Copper contact busway) 2000A 65kA/s 3P4W 
(3P+100%N+50%E by housing), IP65, Mylar Class B - Từ tủ MSB1.3 đến tủ tầng 22</t>
  </si>
  <si>
    <t>Thang máng cáp</t>
  </si>
  <si>
    <t>VIII</t>
  </si>
  <si>
    <t>Hệ thống chống sét - nối đất</t>
  </si>
  <si>
    <t xml:space="preserve">Kim thu sét, loại phát tia tiên đạo, bán kính bảo vệ 97m                                                   </t>
  </si>
  <si>
    <t>Gía đỡ kim thu sét, bộ chân trụ đỡ, đai cố định thép, kẹp cáp, cột thép</t>
  </si>
  <si>
    <t xml:space="preserve">Dây dẫn sét đồng trần 70mm2                                                                                          </t>
  </si>
  <si>
    <t>Dây thu sét, thanh đồng (25x3)mm</t>
  </si>
  <si>
    <t xml:space="preserve">Dây nối đất đồng trần 70mm2                                                                                          </t>
  </si>
  <si>
    <t xml:space="preserve">Dây nối đất đồng trần (1x16)mm2                                                                                          </t>
  </si>
  <si>
    <t xml:space="preserve">Dây nối đất đồng trần (1x120)mm2                                                                                          </t>
  </si>
  <si>
    <t xml:space="preserve">Dây nối đất đồng trần (1x240)mm2                                                                                          </t>
  </si>
  <si>
    <t xml:space="preserve">Dây nối đất Cu/PVC (1x120)mm2                                                                                          </t>
  </si>
  <si>
    <t xml:space="preserve">Dây nối đất Cu/PVC (1x16)mm2                                                                                          </t>
  </si>
  <si>
    <t>Tấm nối đất (150x50x5)mm</t>
  </si>
  <si>
    <t xml:space="preserve">Cọc nối đất                                          </t>
  </si>
  <si>
    <t>Hộp kiểm tra tiếp địa</t>
  </si>
  <si>
    <t>Vật liệu phụ, nhân công hoàn thiện</t>
  </si>
  <si>
    <t>Ống luồn dây PVC cứng D40</t>
  </si>
  <si>
    <t>Hạng mục: HỆ THỐNG ĐIỆN NHẸ</t>
  </si>
  <si>
    <t>Stt</t>
  </si>
  <si>
    <t>1</t>
  </si>
  <si>
    <t>Thang cáp kim loại WxH-500x100mm</t>
  </si>
  <si>
    <t>Thang cáp kim loại WxH-400x100mm</t>
  </si>
  <si>
    <t>2</t>
  </si>
  <si>
    <t>5</t>
  </si>
  <si>
    <t>Máng cáp kim loại WxH-200x100mm</t>
  </si>
  <si>
    <t>3</t>
  </si>
  <si>
    <t>Máng cáp kim loại WxH-200x50mm</t>
  </si>
  <si>
    <t>Máng cáp kim loại WxH-150x50mm</t>
  </si>
  <si>
    <t>Tê nối máng cáp WxH=(150x50)mm</t>
  </si>
  <si>
    <t>Chuyển hướng ngang 90 độ máng cáp WxH=(150x50)mm</t>
  </si>
  <si>
    <t>Vật tư phụ hoàn thiện toàn bộ hệ thống</t>
  </si>
  <si>
    <t>cái</t>
  </si>
  <si>
    <t>Ổ cắm mạng đơn 1xRJ45, bao gồm mặt và hạt</t>
  </si>
  <si>
    <t>Ống PVC D20</t>
  </si>
  <si>
    <t>PHẦN VẬT TƯ THIẾT BỊ ĐẦU TƯ CHO CĂN HỘ</t>
  </si>
  <si>
    <t>Ổ cắm mạng đơn 1xRJ45, bao gồm cả mặt và hạt</t>
  </si>
  <si>
    <t>Ổ cắm truyền hình, bao gồm mặt cả hạt</t>
  </si>
  <si>
    <t>NT chỉ cung cấp và lắp đặt đế âm</t>
  </si>
  <si>
    <t>Hạng mục: HỆ THỐNG CẤP THOÁT NƯỚC</t>
  </si>
  <si>
    <t>GHI CHÚ</t>
  </si>
  <si>
    <t>Bơm thoát nước sàn hầm ( thông số 1 bơm Q=12m3/h. H=15m, N=2,5KW), ( bao gồm phụ kiện : khớp nối nhanh, xích kéo, thanh dẫn hướng…)</t>
  </si>
  <si>
    <t>Cụm</t>
  </si>
  <si>
    <t>Bơm hố pít thang máy ( thông số 1 bơm Q=10m3/h. H=15m, N=1,5KW), ( bao gồm phụ kiện : khớp nối nhanh, xích kéo, thanh dẫn hướng…)</t>
  </si>
  <si>
    <t>Bơm bể bơm trung chuyển ( thông số  bơm Q=6m3/h. H=6m), ( bao gồm phụ kiện : khớp nối nhanh, xích kéo, thanh dẫn hướng…)</t>
  </si>
  <si>
    <t>Bơm cấp nước lên mái khối A ( thông số 1 bơm Q=40m3/h. H=130m, N=22KW), ( bao gồm phụ kiện )</t>
  </si>
  <si>
    <t>Bơm cấp nước lên mái khối B ( thông số 1 bơm Q=40m3/h. H=120m, N=22KW), ( bao gồm phụ kiện )</t>
  </si>
  <si>
    <t>Cảm biến mực nước</t>
  </si>
  <si>
    <t>Van búa nước DN80</t>
  </si>
  <si>
    <t>PN16</t>
  </si>
  <si>
    <t>Van chống va xả áp lực dư DN80</t>
  </si>
  <si>
    <t>Van phao cơ DN100</t>
  </si>
  <si>
    <t>Van xả khí tự động DN25</t>
  </si>
  <si>
    <t>Cụm van giảm áp DN100 (gồm 4 van khóa, 02 van giảm áp)</t>
  </si>
  <si>
    <t>Cụm van giảm áp DN80 (gồm 4 van khóa, 02 van giảm áp)</t>
  </si>
  <si>
    <t xml:space="preserve">Cửa thăm </t>
  </si>
  <si>
    <t>Cửa thăm vuông có bản lề hapulico hoặc tương đương</t>
  </si>
  <si>
    <t>Tấm ghi đậy rãnh B300,  KN12,5</t>
  </si>
  <si>
    <t>Bể Inox lắp ghép mái tháp B 32m3 (AxBxH=4x4x2.5)</t>
  </si>
  <si>
    <t>Bể Inox lắp ghép mái tháp A 36m3 (AxBxH=6x3x2.5)</t>
  </si>
  <si>
    <t>Nắp ghi gang ga thu sàn 400x600</t>
  </si>
  <si>
    <t>Nội dung công việc</t>
  </si>
  <si>
    <t>Quy cách</t>
  </si>
  <si>
    <t>Cấp Nước/Supply Water</t>
  </si>
  <si>
    <t>Ống thép mạ kẽm nhúng nóng (SCH10)</t>
  </si>
  <si>
    <t>DN200</t>
  </si>
  <si>
    <t>DN150</t>
  </si>
  <si>
    <t>DN125</t>
  </si>
  <si>
    <t>DN100</t>
  </si>
  <si>
    <t>DN80</t>
  </si>
  <si>
    <t>Ống PPR PN10  / Pipe PPR PN10</t>
  </si>
  <si>
    <t>D140</t>
  </si>
  <si>
    <t>PPR PN10</t>
  </si>
  <si>
    <t>D110</t>
  </si>
  <si>
    <t>D90</t>
  </si>
  <si>
    <t>D75</t>
  </si>
  <si>
    <t>D63</t>
  </si>
  <si>
    <t>D50</t>
  </si>
  <si>
    <t>D40</t>
  </si>
  <si>
    <t>D32</t>
  </si>
  <si>
    <t>D25</t>
  </si>
  <si>
    <t>Ống PPR PN16  / Pipe PPR PN16</t>
  </si>
  <si>
    <t>PPR PN16</t>
  </si>
  <si>
    <t>Ống HDPE PN10</t>
  </si>
  <si>
    <t>HDPE PN10</t>
  </si>
  <si>
    <t>Tê PPR / Tee PPR</t>
  </si>
  <si>
    <t>D140/90</t>
  </si>
  <si>
    <t>D110/90</t>
  </si>
  <si>
    <t>D110/75</t>
  </si>
  <si>
    <t>D110/63</t>
  </si>
  <si>
    <t>D90/75</t>
  </si>
  <si>
    <t>D90/63</t>
  </si>
  <si>
    <t>D90/50</t>
  </si>
  <si>
    <t>D90/40</t>
  </si>
  <si>
    <t>D75/40</t>
  </si>
  <si>
    <t>D63/50</t>
  </si>
  <si>
    <t>D63/40</t>
  </si>
  <si>
    <t>D63/32</t>
  </si>
  <si>
    <t>D63/25</t>
  </si>
  <si>
    <t>D63/20</t>
  </si>
  <si>
    <t>D50/40</t>
  </si>
  <si>
    <t>D50/32</t>
  </si>
  <si>
    <t>D50/25</t>
  </si>
  <si>
    <t>D50/20</t>
  </si>
  <si>
    <t>D40/32</t>
  </si>
  <si>
    <t>D40/25</t>
  </si>
  <si>
    <t>D40/20</t>
  </si>
  <si>
    <t>D32/25</t>
  </si>
  <si>
    <t>D32/20</t>
  </si>
  <si>
    <t>D25/20</t>
  </si>
  <si>
    <t>Cút PPR / Elbow PPR</t>
  </si>
  <si>
    <t>Côn thu PPR</t>
  </si>
  <si>
    <t>Măng xông ren trong PPR/ Female Socket</t>
  </si>
  <si>
    <t>D65</t>
  </si>
  <si>
    <t>Măng xông PPR / Socket</t>
  </si>
  <si>
    <t>Phụ kiện HDPE</t>
  </si>
  <si>
    <t>Cút D110</t>
  </si>
  <si>
    <t>Tê D110</t>
  </si>
  <si>
    <t>Bích D110</t>
  </si>
  <si>
    <t>Phụ kiện thép mạ kẽm</t>
  </si>
  <si>
    <t>Cút DN150</t>
  </si>
  <si>
    <t>Cút DN100</t>
  </si>
  <si>
    <t>Cút DN80</t>
  </si>
  <si>
    <t>Tê DN150</t>
  </si>
  <si>
    <t>Tê DN150/100</t>
  </si>
  <si>
    <t>Tê DN150/80</t>
  </si>
  <si>
    <t>Tê DN100</t>
  </si>
  <si>
    <t>Tê DN80</t>
  </si>
  <si>
    <t>Van cửa</t>
  </si>
  <si>
    <t>DN65</t>
  </si>
  <si>
    <t>DN50</t>
  </si>
  <si>
    <t>DN40</t>
  </si>
  <si>
    <t>DN32</t>
  </si>
  <si>
    <t>DN25</t>
  </si>
  <si>
    <t>DN20</t>
  </si>
  <si>
    <t>DN15</t>
  </si>
  <si>
    <t>Van giảm áp</t>
  </si>
  <si>
    <t>Van 1 chiều</t>
  </si>
  <si>
    <t>Vòi rửa (kèm phụ kiện)</t>
  </si>
  <si>
    <t xml:space="preserve">DN15 </t>
  </si>
  <si>
    <t>Vật tư phụ theo ống (ti treo, giá đỡ ống, băng keo…)</t>
  </si>
  <si>
    <t xml:space="preserve">Phòng bơm cấp nước SH tầng hầm, phòng bơm tăng áp mái </t>
  </si>
  <si>
    <t>Cút thép mạ kẽm</t>
  </si>
  <si>
    <t>Cút DN200</t>
  </si>
  <si>
    <t>Cút DN32</t>
  </si>
  <si>
    <t>Tê thép mạ kẽm</t>
  </si>
  <si>
    <t>Tê DN200</t>
  </si>
  <si>
    <t>Tê DN200/100</t>
  </si>
  <si>
    <t>Y lọc</t>
  </si>
  <si>
    <t>Mối nối mềm</t>
  </si>
  <si>
    <t>Bích đặc</t>
  </si>
  <si>
    <t>Bích rỗng</t>
  </si>
  <si>
    <t>Đồng hồ đo áp</t>
  </si>
  <si>
    <t>Crefin (rọ hút)</t>
  </si>
  <si>
    <t>Hệ Thống trục thoát nước thải + bếp + thông hơi (cả tầng gom, từ điểm khởi đầu kết nối đến các bể chức năng). Ống chờ thoát nước cho công nghệ bếp</t>
  </si>
  <si>
    <t xml:space="preserve">Ống thoát nước uPVC </t>
  </si>
  <si>
    <t>Ống D280</t>
  </si>
  <si>
    <t>UPVC PN10</t>
  </si>
  <si>
    <t>Ống D250</t>
  </si>
  <si>
    <t>Ống D200</t>
  </si>
  <si>
    <t>Ống D180</t>
  </si>
  <si>
    <t>Ống D160</t>
  </si>
  <si>
    <t>Ống D140</t>
  </si>
  <si>
    <t>Ống D125</t>
  </si>
  <si>
    <t>UPVC PN8</t>
  </si>
  <si>
    <t>Ống D110</t>
  </si>
  <si>
    <t>Ống D90</t>
  </si>
  <si>
    <t>Ống D75</t>
  </si>
  <si>
    <t>Ống D60</t>
  </si>
  <si>
    <t>Ống thông hơi Upvc</t>
  </si>
  <si>
    <t>UPVC PN6</t>
  </si>
  <si>
    <t>Ống D48</t>
  </si>
  <si>
    <t>Ống HDPE</t>
  </si>
  <si>
    <t>PN10</t>
  </si>
  <si>
    <t>Ống D63</t>
  </si>
  <si>
    <t>Ống thép mạ kẽm (sch10)</t>
  </si>
  <si>
    <t>Ống DN100</t>
  </si>
  <si>
    <t>Ống DN50</t>
  </si>
  <si>
    <t>Y 45⁰</t>
  </si>
  <si>
    <t>D280</t>
  </si>
  <si>
    <t>D280/250</t>
  </si>
  <si>
    <t>D250</t>
  </si>
  <si>
    <t>D250/200</t>
  </si>
  <si>
    <t>D250/180</t>
  </si>
  <si>
    <t>D200</t>
  </si>
  <si>
    <t>D200/180</t>
  </si>
  <si>
    <t>D200/125</t>
  </si>
  <si>
    <t>D180</t>
  </si>
  <si>
    <t>D180/160</t>
  </si>
  <si>
    <t>D180/140</t>
  </si>
  <si>
    <t>D160</t>
  </si>
  <si>
    <t>D160/125</t>
  </si>
  <si>
    <t>D160/110</t>
  </si>
  <si>
    <t>D160/90</t>
  </si>
  <si>
    <t>D140/125</t>
  </si>
  <si>
    <t>D140/110</t>
  </si>
  <si>
    <t>D125</t>
  </si>
  <si>
    <t>D125/110</t>
  </si>
  <si>
    <t>D125/90</t>
  </si>
  <si>
    <t>D110/60</t>
  </si>
  <si>
    <t>D75/42</t>
  </si>
  <si>
    <t>D140 HDPE</t>
  </si>
  <si>
    <t>Cút 135 (Chếch)</t>
  </si>
  <si>
    <t>D60</t>
  </si>
  <si>
    <t>D48</t>
  </si>
  <si>
    <t>D42</t>
  </si>
  <si>
    <t>D140 - HDPE</t>
  </si>
  <si>
    <t>D75 - HDPE</t>
  </si>
  <si>
    <t>Cút 90⁰</t>
  </si>
  <si>
    <t>D250 thông hơi</t>
  </si>
  <si>
    <t>D200 thông hơi</t>
  </si>
  <si>
    <t>D140 thông hơi</t>
  </si>
  <si>
    <t>D110 thông hơi</t>
  </si>
  <si>
    <t>D90 thông hơi</t>
  </si>
  <si>
    <t>D48 thông hơi</t>
  </si>
  <si>
    <t>Tê 90⁰</t>
  </si>
  <si>
    <t>D280/140 thông hơi</t>
  </si>
  <si>
    <t>D200/140 thông hơi</t>
  </si>
  <si>
    <t>D140/110 thông hơi</t>
  </si>
  <si>
    <t>D140/90 thông hơi</t>
  </si>
  <si>
    <t>D110/90 thông hơi</t>
  </si>
  <si>
    <t>D90/75 thông hơi</t>
  </si>
  <si>
    <t>D90/48 thông hơi</t>
  </si>
  <si>
    <t>D75 HDPE</t>
  </si>
  <si>
    <t>DN50 thép</t>
  </si>
  <si>
    <t>Măng xông</t>
  </si>
  <si>
    <t xml:space="preserve">Bạc chuyển bậc </t>
  </si>
  <si>
    <t>D280/125</t>
  </si>
  <si>
    <t>D250/125</t>
  </si>
  <si>
    <t xml:space="preserve">D160/140 </t>
  </si>
  <si>
    <t>Nút bịt</t>
  </si>
  <si>
    <t>Tê thông tắc (kiểm tra) trục đứng</t>
  </si>
  <si>
    <t>Phễu thu sàn</t>
  </si>
  <si>
    <t xml:space="preserve">Van khóa </t>
  </si>
  <si>
    <t>Vật tư phụ</t>
  </si>
  <si>
    <t>D200/160</t>
  </si>
  <si>
    <t>D200/140</t>
  </si>
  <si>
    <t>Cầu chắn rác</t>
  </si>
  <si>
    <t>KHỐI LƯỢNG CẤP NƯỚC</t>
  </si>
  <si>
    <t>Ống nước lạnh PPR PN10</t>
  </si>
  <si>
    <t>Ống nước nóng PPR PN20</t>
  </si>
  <si>
    <t>PPR PN20</t>
  </si>
  <si>
    <t>4</t>
  </si>
  <si>
    <t>Tê nhựa</t>
  </si>
  <si>
    <t>Cút nhựa</t>
  </si>
  <si>
    <t>6</t>
  </si>
  <si>
    <t>Côn thu</t>
  </si>
  <si>
    <t>Van cửa PPR</t>
  </si>
  <si>
    <t>7</t>
  </si>
  <si>
    <t>8</t>
  </si>
  <si>
    <t>Cút ren trong D20</t>
  </si>
  <si>
    <t>9</t>
  </si>
  <si>
    <t xml:space="preserve">Bịt ren ngoài </t>
  </si>
  <si>
    <t>10</t>
  </si>
  <si>
    <t>Kép thép D20</t>
  </si>
  <si>
    <t>Vật tư phụ  kèm ống (ti treo, giá đỡ ống, băng keo…)</t>
  </si>
  <si>
    <t>KHỐI LƯỢNG THOÁT NƯỚC</t>
  </si>
  <si>
    <t xml:space="preserve">Ống thoát nước  Upvc PN8 </t>
  </si>
  <si>
    <t>Ống thông hơi UPVC PN6</t>
  </si>
  <si>
    <t>D110/D75</t>
  </si>
  <si>
    <t>D90/D75</t>
  </si>
  <si>
    <t>D90/D42</t>
  </si>
  <si>
    <t>D75/D42</t>
  </si>
  <si>
    <t>Cút 135⁰</t>
  </si>
  <si>
    <t>D110/48</t>
  </si>
  <si>
    <t>D90/48</t>
  </si>
  <si>
    <t>D75/48</t>
  </si>
  <si>
    <t>P tráp</t>
  </si>
  <si>
    <t>Xi phông</t>
  </si>
  <si>
    <t>Bạc chuyển bậc</t>
  </si>
  <si>
    <t>11</t>
  </si>
  <si>
    <t>Vật tư phụ, phụ kiện kèm ống (ti treo, giá đỡ ống, băng keo…)</t>
  </si>
  <si>
    <t>KHỐI LƯỢNG THIẾT BỊ VỆ SINH</t>
  </si>
  <si>
    <t>Sen tắm</t>
  </si>
  <si>
    <t>Xi (kèm phụ kiện)</t>
  </si>
  <si>
    <t>Lavabo (kèm dây nối mềm, vòi, van góc)</t>
  </si>
  <si>
    <t>Chậu bếp</t>
  </si>
  <si>
    <t>Bồn tắm</t>
  </si>
  <si>
    <t xml:space="preserve">Thoát sàn D75 </t>
  </si>
  <si>
    <t>Bồn lọc cát ∅900 Qmax=30M3/H</t>
  </si>
  <si>
    <t>Kèm phụ kiện</t>
  </si>
  <si>
    <t>Bơm lọc p=2,2 kw,Qmax=30M3/H X 3-15m H2O</t>
  </si>
  <si>
    <t>Hệ thống Clo, PH</t>
  </si>
  <si>
    <t>Bơm hóa chất 7-18 (l/h)</t>
  </si>
  <si>
    <t>Bồn hóa chất PE 300L</t>
  </si>
  <si>
    <t>Đầu trả nước QMAX=150L/MIN</t>
  </si>
  <si>
    <t>Đầu dọn vệ sinh QMAX=150L/MIN</t>
  </si>
  <si>
    <t>Đầu thoát tràn QMAX=558L/MIN</t>
  </si>
  <si>
    <t>Đầu hút đáy QMAX=900L/MIN</t>
  </si>
  <si>
    <t>Đèn led chiếu sáng 1-20w/12V/50HZ</t>
  </si>
  <si>
    <t xml:space="preserve">Ống uPVC </t>
  </si>
  <si>
    <t>PN8</t>
  </si>
  <si>
    <t>Tê</t>
  </si>
  <si>
    <t xml:space="preserve">Cút </t>
  </si>
  <si>
    <t>Chếch</t>
  </si>
  <si>
    <t xml:space="preserve">Măng xông </t>
  </si>
  <si>
    <t xml:space="preserve">Van khoá </t>
  </si>
  <si>
    <t>Bịt ren ngoài D15</t>
  </si>
  <si>
    <t xml:space="preserve">Vật tư phụ </t>
  </si>
  <si>
    <t>Vật tư phụ (theo ống)</t>
  </si>
  <si>
    <t>Ống UPVC PN8</t>
  </si>
  <si>
    <t>D140/75</t>
  </si>
  <si>
    <t>D125/190</t>
  </si>
  <si>
    <t>D60/42</t>
  </si>
  <si>
    <t>D75/60</t>
  </si>
  <si>
    <t>D140/48</t>
  </si>
  <si>
    <t>D125/48</t>
  </si>
  <si>
    <t xml:space="preserve">THÔNG TẮC </t>
  </si>
  <si>
    <t>Nhà thầu lắp đặt, CĐT cấp thiết bị</t>
  </si>
  <si>
    <t>Xi ( vòi xịt, ...)</t>
  </si>
  <si>
    <t>Lavabo (kèm van góc)</t>
  </si>
  <si>
    <t>Tiểu nam</t>
  </si>
  <si>
    <t>Thoát sàn D90</t>
  </si>
  <si>
    <t>Bình nóng lạnh 50L</t>
  </si>
  <si>
    <t>Hạng mục: Ngăn cháy lan</t>
  </si>
  <si>
    <t xml:space="preserve">I </t>
  </si>
  <si>
    <t>Trục điện - Điện nhẹ
(theo phạm vi tính toán)</t>
  </si>
  <si>
    <t>Vữa ngăn cháy lan (Mô tả lắp đặt: vữa + rockwool)</t>
  </si>
  <si>
    <t>Bao</t>
  </si>
  <si>
    <t>15 kg/ 1 bao</t>
  </si>
  <si>
    <t>Keo ngăn cháy lan trương nở (mô tả lắp đặt: Keo + rockwool)</t>
  </si>
  <si>
    <t>Lít</t>
  </si>
  <si>
    <t>Nhân công thi công xuyên sàn và vật tư phụ (lập là thép mạ kẽm điện phân 30x3, bông khoáng &gt;=100kg/m3, tôn mạ kẽm &gt;=0.42, dây thít, bulong, vít…). Tính theo diện tích lỗ mở không trừ thiết bị chiếm chỗ</t>
  </si>
  <si>
    <t>m2</t>
  </si>
  <si>
    <t>Hệ CTN
(theo phạm vi tính toán)</t>
  </si>
  <si>
    <t>Băng quấn ngăn cháy lan FR pipe wrap</t>
  </si>
  <si>
    <t>Keo ngăn cháy FR ASF (mô tả lắp đặt: keo + rockwool)
(dùng kết hợp băng cuốn ngăn cháy với ống nhựa xuyên tường)</t>
  </si>
  <si>
    <t>Keo ngăn cháy lan trương nở (mô tả lắp đặt: Keo + rockwool)
(có thể dùng cho ống nhựa D&lt;=75mm xuyên tường), khe quanh ống &gt;=20mm, chi tiết theo tính toán</t>
  </si>
  <si>
    <t>Nhân công thi công và vật tư phụ (đường ống tròn xuyên tường). Tính theo vị trí</t>
  </si>
  <si>
    <t>Hệ Duct - HVAC (xuyên tường)
(theo phạm vi tính toán)</t>
  </si>
  <si>
    <t>Keo ngăn cháy lan trương nở Specseal LCI (mô tả lắp đặt: keo + rockwool)
(dùng cho ống Duct bảo ôn hoặc không bảo ôn)</t>
  </si>
  <si>
    <t>Keo ngăn cháy Protecta FR ASF (mô tả lắp đặt: keo + rockwool)
(dùng cho ống Duct trần, Duct EI)</t>
  </si>
  <si>
    <t>Nhân công thi công và vật tư phụ (ống Duct xuyên tường). Tính theo chu vi ống Duct</t>
  </si>
  <si>
    <t>Hạng mục: HỆ THỐNG HVAC</t>
  </si>
  <si>
    <t>TẦNGH2</t>
  </si>
  <si>
    <t>TẦNGH1</t>
  </si>
  <si>
    <t>TẦNG1</t>
  </si>
  <si>
    <t>TẦNG2</t>
  </si>
  <si>
    <t>TẦNG3</t>
  </si>
  <si>
    <t>TẦNG4</t>
  </si>
  <si>
    <t>TẦNG5</t>
  </si>
  <si>
    <t>TẦNG23</t>
  </si>
  <si>
    <t>Công suất lạnh
Kw</t>
  </si>
  <si>
    <t>Lưu lượng gió 
(m3/min)</t>
  </si>
  <si>
    <t>Cột áp
(Pa)</t>
  </si>
  <si>
    <t>Công suất điện
(W)</t>
  </si>
  <si>
    <t>Điên áp
(P/V/Hz)</t>
  </si>
  <si>
    <t>Môi chất lạnh</t>
  </si>
  <si>
    <t>THIẾT BỊ ĐIỀU HOÀ KHÔNG KHÍ</t>
  </si>
  <si>
    <t>I. THIẾT BỊ ĐIỀU HÒA VRV (VRF)</t>
  </si>
  <si>
    <t>1. DÀN LẠNH ĐIỀU HÒA VRV, VRF</t>
  </si>
  <si>
    <t>Dàn lạnh 1 chiều lạnh loại âm trần nối ống gió</t>
  </si>
  <si>
    <t>--</t>
  </si>
  <si>
    <t>16/13/11</t>
  </si>
  <si>
    <t>50-200</t>
  </si>
  <si>
    <t>1P/220/50</t>
  </si>
  <si>
    <t>R410A</t>
  </si>
  <si>
    <t>Đồng bộ với dàn nóng kèm điều khiển từ xa loại có dây</t>
  </si>
  <si>
    <t>18/16,5/15</t>
  </si>
  <si>
    <t>19.5/17.5/16</t>
  </si>
  <si>
    <t>25/22,2/20</t>
  </si>
  <si>
    <t>32/27/23</t>
  </si>
  <si>
    <t>39/33/28</t>
  </si>
  <si>
    <t>16/39/32</t>
  </si>
  <si>
    <t>Dàn lạnh 1 chiều lạnh loại treo tường</t>
  </si>
  <si>
    <t>Dàn lạnh 1 chiều lạnh loại cassette âm trần</t>
  </si>
  <si>
    <t>9,5/8/7</t>
  </si>
  <si>
    <t>2. DÀN NÓNG ĐIỀU HÒA VRV, VRF</t>
  </si>
  <si>
    <t>Dàn nóng 1 chiều lạnh  (22HP).</t>
  </si>
  <si>
    <t>3P/380/50</t>
  </si>
  <si>
    <t>Trọn bộ</t>
  </si>
  <si>
    <t>Dàn nóng 1 chiều lạnh  (24HP).</t>
  </si>
  <si>
    <t>Dàn nóng 1 chiều lạnh  (26HP).</t>
  </si>
  <si>
    <t>Dàn nóng 1 chiều lạnh  (32HP).</t>
  </si>
  <si>
    <t>Dàn nóng 1 chiều lạnh  (34HP).</t>
  </si>
  <si>
    <t>Dàn nóng 1 chiều lạnh  (36HP).</t>
  </si>
  <si>
    <t>Dàn nóng 1 chiều lạnh  (38HP).</t>
  </si>
  <si>
    <t>Dàn nóng 1 chiều lạnh  (40HP).</t>
  </si>
  <si>
    <t>Dàn nóng 1 chiều lạnh  (42HP).</t>
  </si>
  <si>
    <t>Dàn nóng 1 chiều lạnh  (44HP).</t>
  </si>
  <si>
    <t>Dàn nóng 1 chiều lạnh  (46HP).</t>
  </si>
  <si>
    <t>Dàn nóng 1 chiều lạnh  (50HP).</t>
  </si>
  <si>
    <t>Dàn nóng 1 chiều lạnh  (58HP).</t>
  </si>
  <si>
    <t>Dàn nóng 1 chiều lạnh  (60HP).</t>
  </si>
  <si>
    <t>II. THIẾT BỊ ĐIỀU HÒA CỤC BỘ</t>
  </si>
  <si>
    <t>1. HỆ THỐNG ĐIỀU HÒA CỤC BỘ</t>
  </si>
  <si>
    <t>Điều hòa cục bộ loai treo tường</t>
  </si>
  <si>
    <t>18000 BTU/H</t>
  </si>
  <si>
    <t>Điều hòa cục bộ 1 chiều lạnh loai trần nối ống gió</t>
  </si>
  <si>
    <t>18/15/12,5</t>
  </si>
  <si>
    <t>1P/220/51</t>
  </si>
  <si>
    <t>48000 BTU/H</t>
  </si>
  <si>
    <t>23/19,5/16</t>
  </si>
  <si>
    <t>24000 BTU/H</t>
  </si>
  <si>
    <t>III. THIẾT BỊ ĐIỀU KHIỂN</t>
  </si>
  <si>
    <t>Bộ điều khiển Trung tâm VRV/VRF</t>
  </si>
  <si>
    <t>DANH MỤC QUẠT THÔNG GIÓ</t>
  </si>
  <si>
    <t>KÍ HIỆU</t>
  </si>
  <si>
    <t>LƯU LƯỢNG</t>
  </si>
  <si>
    <t>CỘP ÁP</t>
  </si>
  <si>
    <t>QUY CÁCH</t>
  </si>
  <si>
    <t>NHIỆT ĐỘ LÀM VIỆC</t>
  </si>
  <si>
    <t>CÔNG SUẤT ĐIỆN</t>
  </si>
  <si>
    <t>NGUỒN ĐIỆN</t>
  </si>
  <si>
    <t>ĐỘ ỒN</t>
  </si>
  <si>
    <t>HIỆU SUẤT</t>
  </si>
  <si>
    <t>Tốc độ 
vòng quay</t>
  </si>
  <si>
    <t>Pa</t>
  </si>
  <si>
    <t>oC</t>
  </si>
  <si>
    <t>kW</t>
  </si>
  <si>
    <t>V/Ph/Hz</t>
  </si>
  <si>
    <t>dBA @ 3M</t>
  </si>
  <si>
    <t>B</t>
  </si>
  <si>
    <t>QUẠT THÔNG GIÓ CẤP, HÚT TẦNG HẦM - TUM</t>
  </si>
  <si>
    <t>Tầng hầm 2</t>
  </si>
  <si>
    <t>QUẠT HÚT PHÒNG QUẠT HÚT 1</t>
  </si>
  <si>
    <t>TH2/EF-03</t>
  </si>
  <si>
    <t>Fan wall mounted</t>
  </si>
  <si>
    <t>220/1/50</t>
  </si>
  <si>
    <t>≤ 2900 rpm</t>
  </si>
  <si>
    <t>QUẠT HÚT PHÒNG QUẠT HÚT 2</t>
  </si>
  <si>
    <t>TH2/EF-04</t>
  </si>
  <si>
    <t>QUẠT HÚT PHÒNG QUẠT HÚT 3</t>
  </si>
  <si>
    <t>TH2/EF-05</t>
  </si>
  <si>
    <t>QUẠT HÚT PHÒNG QUẠT CẤP</t>
  </si>
  <si>
    <t>TH2/EF-06</t>
  </si>
  <si>
    <t>QUẠT HÚT KHO 1</t>
  </si>
  <si>
    <t>TH2/EF-08</t>
  </si>
  <si>
    <t>QUẠT HÚT KHO 2</t>
  </si>
  <si>
    <t>TH2/EF-09</t>
  </si>
  <si>
    <t>QUẠT HÚT KHO 3</t>
  </si>
  <si>
    <t>TH2/EF-10</t>
  </si>
  <si>
    <t>QUẠT HÚT KHO 4</t>
  </si>
  <si>
    <t>TH2/EF-11</t>
  </si>
  <si>
    <t>QUẠT CẤP GIÓ TẦNG HẦM ZONE 1</t>
  </si>
  <si>
    <t>TH2/SF-01.1,2</t>
  </si>
  <si>
    <t>Axial Fan/In-Line Fan/ Cabinet Fan</t>
  </si>
  <si>
    <t>380/3/50</t>
  </si>
  <si>
    <t>QUẠT CẤP GIÓ TẦNG HẦM ZONE 2</t>
  </si>
  <si>
    <t>TH2/SF-02</t>
  </si>
  <si>
    <t>Tầng hầm 1</t>
  </si>
  <si>
    <t>TH1/EF-03</t>
  </si>
  <si>
    <t>TH1/EF-04</t>
  </si>
  <si>
    <t>TH1/EF-05</t>
  </si>
  <si>
    <t>TH1/EF-06</t>
  </si>
  <si>
    <t>QUẠT HÚT PHÒNG BƠM PCCC</t>
  </si>
  <si>
    <t>TH1/EF-07</t>
  </si>
  <si>
    <t>QUẠT HÚT PHÒNG HẠ THẾ</t>
  </si>
  <si>
    <t>TH1/EF-08</t>
  </si>
  <si>
    <t>QUẠT HÚT PHÒNG KĨ THUẬT</t>
  </si>
  <si>
    <t>TH1/EF-09</t>
  </si>
  <si>
    <t>QUẠT HÚT NHÀ ĐIỀU HÀNH XLNT</t>
  </si>
  <si>
    <t>TH1/EF-10</t>
  </si>
  <si>
    <t>QUẠT HÚT PHÒNG BƠM SINH HOẠT</t>
  </si>
  <si>
    <t>TH1/EF-11</t>
  </si>
  <si>
    <t>QUẠT HÚT PHÒNG RÁC THÁP A</t>
  </si>
  <si>
    <t>TH1/EF-12</t>
  </si>
  <si>
    <t>TH1/SF-01.1,2</t>
  </si>
  <si>
    <t>TH1/SF-02</t>
  </si>
  <si>
    <t>Tầng 1</t>
  </si>
  <si>
    <t>QUẠT HÚT KHO HÀNG</t>
  </si>
  <si>
    <t>T1/EF-01</t>
  </si>
  <si>
    <t>QUẠT HÚT MÙI WC</t>
  </si>
  <si>
    <t>T1/EF-02,03</t>
  </si>
  <si>
    <t>Fan ceiling</t>
  </si>
  <si>
    <t>QUẠT HÚT MÙI WC TM</t>
  </si>
  <si>
    <t>T1/EF-04</t>
  </si>
  <si>
    <t>QUẠT CẤP GIÓ TƯƠI TẦNG 1</t>
  </si>
  <si>
    <t>T1/SF-01</t>
  </si>
  <si>
    <t>T1/SF-02</t>
  </si>
  <si>
    <t>T1/SF-03</t>
  </si>
  <si>
    <t>T1/SF-04</t>
  </si>
  <si>
    <t>Tầng 2</t>
  </si>
  <si>
    <t>T2/EF-01</t>
  </si>
  <si>
    <t>QUẠT HÚT MÙI KHO+QUẦY CHẾ BIẾN</t>
  </si>
  <si>
    <t>T2/EF-02</t>
  </si>
  <si>
    <t>QUẠT HÚT KHO</t>
  </si>
  <si>
    <t>T2/EF-03</t>
  </si>
  <si>
    <t>QUẠT CẤP GIÓ TƯƠI TẦNG 2</t>
  </si>
  <si>
    <t>T2/SF-01</t>
  </si>
  <si>
    <t>T2/SF-02</t>
  </si>
  <si>
    <t>T2/SF-03</t>
  </si>
  <si>
    <t>T2/SF-04</t>
  </si>
  <si>
    <t>T2/SF-05</t>
  </si>
  <si>
    <t>Tầng 3</t>
  </si>
  <si>
    <t>T3/EF-01</t>
  </si>
  <si>
    <t>T3/EF-02</t>
  </si>
  <si>
    <t>QUẠT CẤP GIÓ TƯƠI TẦNG 3</t>
  </si>
  <si>
    <t>T3/SF-01,02</t>
  </si>
  <si>
    <t>T3/SF-03</t>
  </si>
  <si>
    <t>T3/SF-04</t>
  </si>
  <si>
    <t>T3/SF-05,06</t>
  </si>
  <si>
    <t>T3/SF-07</t>
  </si>
  <si>
    <t>T3/SF-08</t>
  </si>
  <si>
    <t>Tầng 4</t>
  </si>
  <si>
    <t>QUẠT HÚT MÙI WC 1</t>
  </si>
  <si>
    <t>T4/EF-01</t>
  </si>
  <si>
    <t>QUẠT HÚT MÙI WC 2</t>
  </si>
  <si>
    <t>T4/EF-02</t>
  </si>
  <si>
    <t>T4/EF-03</t>
  </si>
  <si>
    <t>T4/EF-04,05,06</t>
  </si>
  <si>
    <t>QUẠT CẤP GIÓ TƯƠI TẦNG 4</t>
  </si>
  <si>
    <t>T4/SF-01</t>
  </si>
  <si>
    <t>T4/SF-02</t>
  </si>
  <si>
    <t>T4/SF-03</t>
  </si>
  <si>
    <t>T4/SF-04</t>
  </si>
  <si>
    <t>T4/SF-05</t>
  </si>
  <si>
    <t>Tầng 5</t>
  </si>
  <si>
    <t>T5/EF-01</t>
  </si>
  <si>
    <t>T5/EF-02</t>
  </si>
  <si>
    <t>QUẠT HÚT MÙI WC 3</t>
  </si>
  <si>
    <t>T5/EF-03</t>
  </si>
  <si>
    <t>QUẠT HÚT MÙI KHU SƠ CHẾ</t>
  </si>
  <si>
    <t>T5/EF-04</t>
  </si>
  <si>
    <t>QUẠT HÚT MÙI WC 4</t>
  </si>
  <si>
    <t>T5/EF-05</t>
  </si>
  <si>
    <t>QUẠT HÚT MÙI KHU NHÀ HÀNG</t>
  </si>
  <si>
    <t>T5/EF-06</t>
  </si>
  <si>
    <t>QUẠT CẤP GIÓ TƯƠI TẦNG 5</t>
  </si>
  <si>
    <t>T5/SF-01</t>
  </si>
  <si>
    <t>T5/SF-02</t>
  </si>
  <si>
    <t>T5/SF-03</t>
  </si>
  <si>
    <t>T5/SF-04,05</t>
  </si>
  <si>
    <t>QUẠT CẤP GIÓ TƯƠI BẾP TẦNG 5</t>
  </si>
  <si>
    <t>T5/SF-06</t>
  </si>
  <si>
    <t>Tầng 23</t>
  </si>
  <si>
    <t>QUẠT HÚT PHÒNG KT</t>
  </si>
  <si>
    <t>T23/EF-01</t>
  </si>
  <si>
    <t>QUẠT CẤP KHÍ TƯƠI CF</t>
  </si>
  <si>
    <t>T23/SF-01</t>
  </si>
  <si>
    <t>QUẠT HÚT WC</t>
  </si>
  <si>
    <t>T23/EF-02,03,04</t>
  </si>
  <si>
    <t>Tầng 24</t>
  </si>
  <si>
    <t>QUẠT HÚT PHÒNG KTTM</t>
  </si>
  <si>
    <t>T24/EF-01</t>
  </si>
  <si>
    <t>Tầng 25</t>
  </si>
  <si>
    <t>QUẠT HÚT MÙI PHÒNG RÁC</t>
  </si>
  <si>
    <t>B-T24/EF-1.01,1.02</t>
  </si>
  <si>
    <t>Centrifugal Fan</t>
  </si>
  <si>
    <t>Tầng Tum</t>
  </si>
  <si>
    <t>QUẠT HÚT PHÒNG KT1</t>
  </si>
  <si>
    <t>TT/EF-01</t>
  </si>
  <si>
    <t>QUẠT HÚT PHÒNG KT2</t>
  </si>
  <si>
    <t>TT/EF-02</t>
  </si>
  <si>
    <t>TT/EF-03,04</t>
  </si>
  <si>
    <t>QUẠT HÚT MÙI BẾP THƯƠNG MẠI T5</t>
  </si>
  <si>
    <t>A-TT/KEF-01,01,1</t>
  </si>
  <si>
    <t>Tầng Mái</t>
  </si>
  <si>
    <t>QUẠT HÚT MÙI BẾP ẨM THỰC T3</t>
  </si>
  <si>
    <t>A-TM/KEF-01,01,1</t>
  </si>
  <si>
    <t>A-TM/EF-01</t>
  </si>
  <si>
    <t>QUẠT TĂNG ÁP - HÚT KHÓI TẦNG HẦM - MÁI</t>
  </si>
  <si>
    <t>QUẠT THÔNG GIÓ TẦNG HẦM (02 CẤP TỐC ĐỘ, TỐC ĐỘ CAO KHI CÓ CHÁY)</t>
  </si>
  <si>
    <t>TH2/EF-01,1,01,2</t>
  </si>
  <si>
    <t>20500/31000</t>
  </si>
  <si>
    <t>400/900</t>
  </si>
  <si>
    <t>Centrifugal fan</t>
  </si>
  <si>
    <t>300oC / 2hrs</t>
  </si>
  <si>
    <t>7,5/30,0</t>
  </si>
  <si>
    <t>≤  90 dBA</t>
  </si>
  <si>
    <t xml:space="preserve"> ≥ 60 %</t>
  </si>
  <si>
    <t>≤ 1450 rpm</t>
  </si>
  <si>
    <t>TH2/EF-02</t>
  </si>
  <si>
    <t>39000/58500</t>
  </si>
  <si>
    <t>450/1012</t>
  </si>
  <si>
    <t>15,0/55,0</t>
  </si>
  <si>
    <t>QUẠT TĂNG ÁP BUỒNG ĐỆM</t>
  </si>
  <si>
    <t>TH2/PSF-01</t>
  </si>
  <si>
    <t>TH1/EF-01,1,01,2</t>
  </si>
  <si>
    <t>TH1/EF-02</t>
  </si>
  <si>
    <t>41000/62000</t>
  </si>
  <si>
    <t>QUẠT HÚT KHÓI HÀNH LANG KHỐI ĐẾ</t>
  </si>
  <si>
    <t>TH1/SEF-01,02</t>
  </si>
  <si>
    <t>QUẠT TĂNG ÁP SẢNH CĂN HỘ</t>
  </si>
  <si>
    <t>TH1/PSF-01</t>
  </si>
  <si>
    <t>QUẠT TĂNG ÁP SẢNH TM</t>
  </si>
  <si>
    <t>TH1/PSF-02</t>
  </si>
  <si>
    <t>TH1/PSF-03</t>
  </si>
  <si>
    <t>QUẠT TĂNG ÁP RAM DỐC TẦNG HẦM</t>
  </si>
  <si>
    <t>T1/PSF-01</t>
  </si>
  <si>
    <t>QUẠT TĂNG ÁP CẦU THANG BỘ</t>
  </si>
  <si>
    <t>T5/PSF-01</t>
  </si>
  <si>
    <t xml:space="preserve">QUẠT TĂNG ÁP GIẾNG THANG MÁY </t>
  </si>
  <si>
    <t>T5/PSF-02</t>
  </si>
  <si>
    <t>T5/PSF-03,04</t>
  </si>
  <si>
    <t>QUẠT TĂNG ÁP BUỒNG ĐỆM THANG PCCC</t>
  </si>
  <si>
    <t>T5/PSF-05,06</t>
  </si>
  <si>
    <t>QUẠT HÚT KHÓI KHU CINEMA VÀ SHCD</t>
  </si>
  <si>
    <t>T5/SEF-01</t>
  </si>
  <si>
    <t>QUẠT HÚT KHÓI KHU DVTM</t>
  </si>
  <si>
    <t>T5/SEF-02</t>
  </si>
  <si>
    <t>B-T24/PSF-01</t>
  </si>
  <si>
    <t>QUẠT TĂNG ÁP PHÒNG ĐỆM</t>
  </si>
  <si>
    <t>B-T24/PSF-03</t>
  </si>
  <si>
    <t>QUẠT TĂNG ÁP PHÒNG ĐỆM + THANG BỘ</t>
  </si>
  <si>
    <t>B-T24/PSF-02</t>
  </si>
  <si>
    <t>QUẠT HÚT KHÓI HÀNH LANG KHỐI THÁP</t>
  </si>
  <si>
    <t>B-T24/SEF-01</t>
  </si>
  <si>
    <t>B-T25/PSF-01</t>
  </si>
  <si>
    <t>QUẠT TĂNG ÁP GIẾNG THANG MÁY</t>
  </si>
  <si>
    <t>B-T25/PSF-02,04</t>
  </si>
  <si>
    <t>B-T25/PSF-03</t>
  </si>
  <si>
    <t>QUẠT TĂNG ÁP SẢNG THANG MÁY</t>
  </si>
  <si>
    <t>B-T25/PSF-05</t>
  </si>
  <si>
    <t>B-T25/SEF-01</t>
  </si>
  <si>
    <t>A-TT/PSF-02</t>
  </si>
  <si>
    <t>A-TT/PSF-01</t>
  </si>
  <si>
    <t>A-TT/SEF-01</t>
  </si>
  <si>
    <t>QUẠT TĂNG ÁP BUỒNG THANG BỘ</t>
  </si>
  <si>
    <t>A-TM/PSF-04</t>
  </si>
  <si>
    <t>A-TM/PSF-05</t>
  </si>
  <si>
    <t>A-TM/PSF-01</t>
  </si>
  <si>
    <t>A-TM/PSF-02</t>
  </si>
  <si>
    <t>QUẠT TĂNG ÁP BUỒNG THANG BỘ + PHÒNG ĐỆM</t>
  </si>
  <si>
    <t>A-TM/PSF-03</t>
  </si>
  <si>
    <t>A-TM/SEF-01</t>
  </si>
  <si>
    <t>QUẠT HÚT KHÓI THƯƠNG MẠI</t>
  </si>
  <si>
    <t>A-TM/SEF-02</t>
  </si>
  <si>
    <t>QUẠT THÔNG GIÓ CẤP, HÚT</t>
  </si>
  <si>
    <t>≤ 65 dBA</t>
  </si>
  <si>
    <t xml:space="preserve"> ≥  50 %</t>
  </si>
  <si>
    <t>THIẾT BỊ &amp; VẬT TƯ LẮP ĐẶT ĐIỀU HÒA KHÔNG KHÍ &amp; THÔNG GIÓ PHẦN CHUNG</t>
  </si>
  <si>
    <t>Ống gió gió tôn tráng kẽm có giới hạn chịu lửa EI 60</t>
  </si>
  <si>
    <t>KT 600x300</t>
  </si>
  <si>
    <t>M</t>
  </si>
  <si>
    <t>KT 900x300</t>
  </si>
  <si>
    <t>KT 1200x300</t>
  </si>
  <si>
    <t>KT 1200x350</t>
  </si>
  <si>
    <t>KT 1400x300</t>
  </si>
  <si>
    <t>KT 1400x350</t>
  </si>
  <si>
    <t>KT 1600x300</t>
  </si>
  <si>
    <t>KT 1600x350</t>
  </si>
  <si>
    <t>KT 1700x3200</t>
  </si>
  <si>
    <t>KT 1800x300</t>
  </si>
  <si>
    <t>KT 1800x350</t>
  </si>
  <si>
    <t>KT 2500x1000</t>
  </si>
  <si>
    <t>1.2</t>
  </si>
  <si>
    <t>Cút 90 độ ống gió tôn tráng kẽm có giới hạn chịu lửa EI 60</t>
  </si>
  <si>
    <t xml:space="preserve">Cái  </t>
  </si>
  <si>
    <t>1.3</t>
  </si>
  <si>
    <t xml:space="preserve"> Côn thu ống gió tôn tráng kẽm có giới hạn chịu lửa EI 60</t>
  </si>
  <si>
    <t>KT 900x300/600x300</t>
  </si>
  <si>
    <t>KT 1200x300/900x300</t>
  </si>
  <si>
    <t>KT 1200x300/1200x200</t>
  </si>
  <si>
    <t>KT 1200x350/900x300</t>
  </si>
  <si>
    <t>KT 1400x300/900x300</t>
  </si>
  <si>
    <t>KT 1400x300/1200x300</t>
  </si>
  <si>
    <t>KT 1400x350/1200x300</t>
  </si>
  <si>
    <t>KT 1400x350/1200x350</t>
  </si>
  <si>
    <t>KT 1600x300/1400x300</t>
  </si>
  <si>
    <t>KT 1600x350/1400x350</t>
  </si>
  <si>
    <t>KT 1800x350/1400x300</t>
  </si>
  <si>
    <t>Chạc ba ống gió tôn tráng kẽm có giới hạn chịu lửa EI 60</t>
  </si>
  <si>
    <t>KT 1400x300/900x300/600x300</t>
  </si>
  <si>
    <t>KT 1400x300/1200x300/600x300</t>
  </si>
  <si>
    <t>KT 1800x350/1400x300/1200x300</t>
  </si>
  <si>
    <t>KT 2500x450/1800x300/1600x300</t>
  </si>
  <si>
    <t>Cửa gió hút khói nhôm sơn tĩnh điện</t>
  </si>
  <si>
    <t>KT 1000x300+Van điều chỉnh lưu lượng OBD</t>
  </si>
  <si>
    <t>Van 1 chiều (NRD)</t>
  </si>
  <si>
    <t>KT 1000x1000</t>
  </si>
  <si>
    <t>KT 1100x600</t>
  </si>
  <si>
    <t>KT 1200x1000</t>
  </si>
  <si>
    <t>Van chặn lửa kèm động cơ (MFD)</t>
  </si>
  <si>
    <t>Van điều chỉnh lưu lượng bằng tay (VD)</t>
  </si>
  <si>
    <t>Tiêu âm đường ống trước quạt bằng tôn soi lỗ dày 0.5mm + Vải thủy tinh + Rockwool dày 50-100mm, tỷ trọng 48kg/m3 (Chiều dày tiêu âm được điều chỉnh theo vật liệu được phê duyệt bởi CĐT)</t>
  </si>
  <si>
    <t>KT 1900x450,L1500</t>
  </si>
  <si>
    <t>Kích thước tiêu âm là kích thước trong lòng ống gió</t>
  </si>
  <si>
    <t>KT 2600x550,L2000</t>
  </si>
  <si>
    <t>Khớp nối mềm chống cháy, kèm mặt bích</t>
  </si>
  <si>
    <t>Ống gió gió tôn tráng kẽm có giới hạn chịu lửa EI 45</t>
  </si>
  <si>
    <t>KT 600x250</t>
  </si>
  <si>
    <t>KT 800x300</t>
  </si>
  <si>
    <t>KT 800x400</t>
  </si>
  <si>
    <t>KT 1000x300</t>
  </si>
  <si>
    <t>KT 1200x400</t>
  </si>
  <si>
    <t>KT 1250x300</t>
  </si>
  <si>
    <t>KT 1400x400</t>
  </si>
  <si>
    <t>KT 1500x500</t>
  </si>
  <si>
    <t>KT 1600x550</t>
  </si>
  <si>
    <t>KT 1600x600</t>
  </si>
  <si>
    <t>2.2</t>
  </si>
  <si>
    <t>Cút 90 độ ống gió tôn tráng kẽm có giới hạn chịu lửa EI 45</t>
  </si>
  <si>
    <t>2.3</t>
  </si>
  <si>
    <t xml:space="preserve"> Côn thu ống gió tôn tráng kẽm có giới hạn chịu lửa EI 45</t>
  </si>
  <si>
    <t>KT 1200x400/800x400</t>
  </si>
  <si>
    <t>KT 1400x400/800x400</t>
  </si>
  <si>
    <t>KT 1400x400/1250x300</t>
  </si>
  <si>
    <t>KT 1600x550/1400x400</t>
  </si>
  <si>
    <t>2.4</t>
  </si>
  <si>
    <t>Chạc ba ống gió tôn tráng kẽm có giới hạn chịu lửa EI 45</t>
  </si>
  <si>
    <t>KT 1250x300/800x300/800x300</t>
  </si>
  <si>
    <t>KT 1600x600/1600x400/1200x400</t>
  </si>
  <si>
    <t>KT 600x600 kèm van điều chỉnh lưu lượng OBD</t>
  </si>
  <si>
    <t>KT 1000x600 kèm van điều chỉnh lưu lượng OBD</t>
  </si>
  <si>
    <t>Van chặn lửa kèm động cơ (MFD) có giới hạn chịu lửa EI45</t>
  </si>
  <si>
    <t>Vật tư phụ làm ty treo giá đỡ đường ống</t>
  </si>
  <si>
    <t>Ống gió gió tôn tráng kẽm có giới hạn chịu lửa EI120</t>
  </si>
  <si>
    <t>KT 1250x350</t>
  </si>
  <si>
    <t>Ống gió gió tôn tráng kẽm có giới hạn chịu lửa EI30</t>
  </si>
  <si>
    <t>KT 550x400,</t>
  </si>
  <si>
    <t>KT 800x200</t>
  </si>
  <si>
    <t>KT 750x600</t>
  </si>
  <si>
    <t>KT 800x550</t>
  </si>
  <si>
    <t>KT 800x600</t>
  </si>
  <si>
    <t>KT 850x700</t>
  </si>
  <si>
    <t>KT 900x250</t>
  </si>
  <si>
    <t>KT 1000x200</t>
  </si>
  <si>
    <t>KT 1000x600</t>
  </si>
  <si>
    <t>KT 1250x500</t>
  </si>
  <si>
    <t>3.2</t>
  </si>
  <si>
    <t>Cút 90 độ ống gió tôn tráng kẽm có giới hạn chịu lửa EI30</t>
  </si>
  <si>
    <t xml:space="preserve"> Côn thu ống gió tôn tráng kẽm có giới hạn chịu lửa EI30</t>
  </si>
  <si>
    <t>Chạc ba ống gió tôn tráng kẽm có giới hạn chịu lửa EI30</t>
  </si>
  <si>
    <t>KT 900x250/700x200/700x200</t>
  </si>
  <si>
    <t>KT 900x250/900x250/700x200</t>
  </si>
  <si>
    <t>KT 900x250/900x250/900x250</t>
  </si>
  <si>
    <t>Cút cong 45 độ kèm lưới chắn côn trùng</t>
  </si>
  <si>
    <t>KT 800x550,</t>
  </si>
  <si>
    <t>Van chặn lửa kèm động cơ (MFD) có giới hạn chịu lửa EI30</t>
  </si>
  <si>
    <t>KT 700x200</t>
  </si>
  <si>
    <t>KT 1000x250</t>
  </si>
  <si>
    <t>KT 550x400</t>
  </si>
  <si>
    <t>KT 400x300</t>
  </si>
  <si>
    <t>KT 700x300</t>
  </si>
  <si>
    <t>KT 1000x350</t>
  </si>
  <si>
    <t>KT 1100x350</t>
  </si>
  <si>
    <t>KT 1800x450</t>
  </si>
  <si>
    <t>Ống gió gió tôn tráng kẽm có giới hạn chịu lửa EI 30</t>
  </si>
  <si>
    <t>KT 500x200</t>
  </si>
  <si>
    <t>KT 500x500</t>
  </si>
  <si>
    <t>KT 550x450</t>
  </si>
  <si>
    <t>KT 550x550</t>
  </si>
  <si>
    <t>KT 600x400</t>
  </si>
  <si>
    <t>KT 700x350</t>
  </si>
  <si>
    <t>KT 700x400</t>
  </si>
  <si>
    <t>KT 750x500</t>
  </si>
  <si>
    <t>KT 700x600</t>
  </si>
  <si>
    <t>KT 800x450</t>
  </si>
  <si>
    <t>KT 800x500</t>
  </si>
  <si>
    <t>KT 850x400</t>
  </si>
  <si>
    <t>KT 900x350</t>
  </si>
  <si>
    <t>KT 900x600</t>
  </si>
  <si>
    <t>KT 1000x500</t>
  </si>
  <si>
    <t>KT 1000x550</t>
  </si>
  <si>
    <t>KT 1200x250</t>
  </si>
  <si>
    <t>KT 1200x600</t>
  </si>
  <si>
    <t>Cút 90 độ ống gió tôn tráng kẽm có giới hạn chịu lửa EI 30</t>
  </si>
  <si>
    <t xml:space="preserve"> Côn thu ống gió tôn tráng kẽm có giới hạn chịu lửa EI 30</t>
  </si>
  <si>
    <t>KT 1000x300/Đường kính quạt</t>
  </si>
  <si>
    <t>KT 1000x500/Đường kính quạt</t>
  </si>
  <si>
    <t>KT 1200x1000/Đường kính quạt</t>
  </si>
  <si>
    <t>Chạc ba ống gió tôn tráng kẽm có giới hạn chịu lửa EI 30</t>
  </si>
  <si>
    <t>KT 900x350/700x350/700x350</t>
  </si>
  <si>
    <t>Cửa gió cấp nhôm sơn tĩnh điện, kiểu khe nan thẳng</t>
  </si>
  <si>
    <t>KT: 350x350 kèm van điều chỉnh OBD</t>
  </si>
  <si>
    <t>KT: 400x400 kèm van điều chỉnh OBD</t>
  </si>
  <si>
    <t>KT: 600x600 kèm van điều chỉnh OBD</t>
  </si>
  <si>
    <t>KT: 1000x600 kèm van điều chỉnh OBD</t>
  </si>
  <si>
    <t>Van chặn lửa (FD) có giới hạn chịu lửa EI 30</t>
  </si>
  <si>
    <t>Van chặn lửa kèm động cơ (MFD) có giới hạn chịu lửa EI 30</t>
  </si>
  <si>
    <t>Van xả áp cơ khí kiểu đổi trọng (P.R.D)  (Pmax = 50 Pa)</t>
  </si>
  <si>
    <t>KT 200x200</t>
  </si>
  <si>
    <t>KT 1500x800</t>
  </si>
  <si>
    <t>KT 1800x1000</t>
  </si>
  <si>
    <t>KT 400x200</t>
  </si>
  <si>
    <t>KT 550x300</t>
  </si>
  <si>
    <t>Cửa lấy gió ngoài , nhôm sơn tĩnh điện, kèm chớp chống hắt &amp; lưới chắn côn trùng (OAL), tiết diện sống yêu cầu max 45%</t>
  </si>
  <si>
    <t>KT: 3000x500</t>
  </si>
  <si>
    <t>KT: 3500x700</t>
  </si>
  <si>
    <t>Khớp nối mềm, kèm mặt bích</t>
  </si>
  <si>
    <t>Ống gió tôn tráng kẽm</t>
  </si>
  <si>
    <t>KT 900x300 độ dày tôn 0.95mm</t>
  </si>
  <si>
    <t>KT 1400x300 độ dày tôn 1.15mm</t>
  </si>
  <si>
    <t>KT 1400x350 độ dày tôn 1.15mm</t>
  </si>
  <si>
    <t>KT 1600x350 độ dày tôn 1.15mm</t>
  </si>
  <si>
    <t>KT 1700x600 độ dày tôn 1.15mm</t>
  </si>
  <si>
    <t>KT 1700x3200 độ dày tôn 1.15mm</t>
  </si>
  <si>
    <t>KT 1800x350 độ dày tôn 1.15mm</t>
  </si>
  <si>
    <t>KT 1800x400 độ dày tôn 1.15mm</t>
  </si>
  <si>
    <t>KT 2000x400 độ dày tôn 1.15mm</t>
  </si>
  <si>
    <t>KT 2500x450 độ dày tôn 1.15mm</t>
  </si>
  <si>
    <t>Cút 90 độ ống gió tôn tráng kẽm.</t>
  </si>
  <si>
    <t xml:space="preserve"> Côn thu ống gió tôn tráng kẽm </t>
  </si>
  <si>
    <t>KT 1400x300/900x300 độ dày tôn 0.95mm</t>
  </si>
  <si>
    <t>KT 1400x350/900x300 độ dày tôn 1.15mm</t>
  </si>
  <si>
    <t>KT 1600x350/1400x350 độ dày tôn 1.15mm</t>
  </si>
  <si>
    <t>KT 1800x350/1400x300 độ dày tôn 1.15mm</t>
  </si>
  <si>
    <t>KT 1800x350/1400x350 độ dày tôn 1.15mm</t>
  </si>
  <si>
    <t>KT 1800x400/1600x350 độ dày tôn 1.15mm</t>
  </si>
  <si>
    <t>KT 2000x400/1800x350 độ dày tôn 1.15mm</t>
  </si>
  <si>
    <t>KT: 1000x300 , Kèm van điều chỉnh VD</t>
  </si>
  <si>
    <t>KT 2000x400</t>
  </si>
  <si>
    <t>KT 1800x400</t>
  </si>
  <si>
    <t>KT 1500x550,L1500</t>
  </si>
  <si>
    <t>Van chặn lửa (FD)</t>
  </si>
  <si>
    <t>KT 1400x450</t>
  </si>
  <si>
    <t>KT 1700x600</t>
  </si>
  <si>
    <t>KT 1200x900</t>
  </si>
  <si>
    <t>KT D100 độ dày tôn 0.48mm</t>
  </si>
  <si>
    <t>KT D150 độ dày tôn 0.48mm</t>
  </si>
  <si>
    <t>KT 150x150 độ dày tôn 0.48mm</t>
  </si>
  <si>
    <t>KT 200x150 độ dày tôn 0.58mm</t>
  </si>
  <si>
    <t>KT 200x200 độ dày tôn 0.58mm</t>
  </si>
  <si>
    <t>KT 250x200 độ dày tôn 0.58mm</t>
  </si>
  <si>
    <t>KT 300x200 độ dày tôn 0.58mm</t>
  </si>
  <si>
    <t>KT 300x300 độ dày tôn 0.58mm</t>
  </si>
  <si>
    <t>KT 350x200 độ dày tôn 0.58mm</t>
  </si>
  <si>
    <t>KT 400x200 độ dày tôn 0.58mm</t>
  </si>
  <si>
    <t>KT 400x250 độ dày tôn 0.58mm</t>
  </si>
  <si>
    <t>KT 400x300 độ dày tôn 0.58mm</t>
  </si>
  <si>
    <t>KT 500x200 độ dày tôn 0.58mm</t>
  </si>
  <si>
    <t>KT 500x250 độ dày tôn 0.58mm</t>
  </si>
  <si>
    <t>KT 500x300 độ dày tôn 0.58mm</t>
  </si>
  <si>
    <t>KT 500x400 độ dày tôn 0.58mm</t>
  </si>
  <si>
    <t>KT 600x200 độ dày tôn 0.75mm</t>
  </si>
  <si>
    <t>KT 600x300 độ dày tôn 0.75mm</t>
  </si>
  <si>
    <t>KT 600x400 độ dày tôn 0.75mm</t>
  </si>
  <si>
    <t>KT 500x400 độ dày tôn 0.75mm</t>
  </si>
  <si>
    <t>KT 700x300 độ dày tôn 0.75mm</t>
  </si>
  <si>
    <t>KT 700x400 độ dày tôn 0.75mm</t>
  </si>
  <si>
    <t>KT 850x300 độ dày tôn 0.95mm</t>
  </si>
  <si>
    <t>KT 900x400 độ dày tôn 0.95mm</t>
  </si>
  <si>
    <t>KT 1000x350 độ dày tôn 0.95mm</t>
  </si>
  <si>
    <t>KT 1000x450 độ dày tôn 0.95mm</t>
  </si>
  <si>
    <t>KT 2000x600 độ dày tôn 1.15mm</t>
  </si>
  <si>
    <t>KT 250x200/200x200 độ dày tôn 0.58mm</t>
  </si>
  <si>
    <t>KT 300x200/200x200 độ dày tôn 0.58mm</t>
  </si>
  <si>
    <t>KT 400x200/200x200 độ dày tôn 0.58mm</t>
  </si>
  <si>
    <t>KT 400x200/300x200 độ dày tôn 0.58mm</t>
  </si>
  <si>
    <t>KT 600x300/400x300 độ dày tôn 0.75mm</t>
  </si>
  <si>
    <t>KT 700x300/500x250 độ dày tôn 0.75mm</t>
  </si>
  <si>
    <t>KT 850x300/600x300 độ dày tôn 0.95mm</t>
  </si>
  <si>
    <t>KT 900x300/700x300 độ dày tôn 0.95mm</t>
  </si>
  <si>
    <t>KT 1200x400/900x400 độ dày tôn 0.95mm</t>
  </si>
  <si>
    <t>KT 1400x450/1000x450 độ dày tôn 1.15mm</t>
  </si>
  <si>
    <t>Chạc ba ống gió tôn tráng kẽm</t>
  </si>
  <si>
    <t>KT 200x200/200x150/200x150 độ dày tôn 0.58mm</t>
  </si>
  <si>
    <t>KT  250x200/250x150/250x150 độ dày tôn 0.58mm</t>
  </si>
  <si>
    <t>KT  350x200/250x200/250x200 độ dày tôn 0.58mm</t>
  </si>
  <si>
    <t>KT  700x350/500x250/500x250 độ dày tôn 0.75mm</t>
  </si>
  <si>
    <t>KT  900x400/600x400/500x300 độ dày tôn 0.95mm</t>
  </si>
  <si>
    <t>KT  1000x350/900x350/700x350 độ dày tôn 0.95mm</t>
  </si>
  <si>
    <t>KT  1000x450/700x400/600x400 độ dày tôn 0.95mm</t>
  </si>
  <si>
    <t>Ống gió mềm</t>
  </si>
  <si>
    <t>KT D150</t>
  </si>
  <si>
    <t>KT D100</t>
  </si>
  <si>
    <t>Cửa hút gió nhôm sơn tĩnh điện, kiểu nan sọt.</t>
  </si>
  <si>
    <t>KT: 200x200, Kèm van điều chỉnh OBD và Hộp gió</t>
  </si>
  <si>
    <t>KT: 250x250, Kèm van điều chỉnh OBD và  Hộp gió</t>
  </si>
  <si>
    <t>KT: 300x300, Kèm van điều chỉnh OBD và Hộp gió</t>
  </si>
  <si>
    <t>KT: 350x350, Kèm van điều chỉnh OBD và Hộp gió</t>
  </si>
  <si>
    <t>KT: 450x450, Kèm van điều chỉnh OBD  và Hộp gió</t>
  </si>
  <si>
    <t>KT: 600x600, Kèm van điều chỉnh OBD và Hộp gió</t>
  </si>
  <si>
    <t>KT: 200x200</t>
  </si>
  <si>
    <t>Cửa thải gió ngoài nhôm sơn tĩnh điện, kèm chớp chống hắt &amp; lưới chắn côn trùng (EAL), tiết diện sống yêu cầu max 45%</t>
  </si>
  <si>
    <t>KT: 400x200</t>
  </si>
  <si>
    <t>KT: 500x300</t>
  </si>
  <si>
    <t>KT: 700x300</t>
  </si>
  <si>
    <t>KT: 1000x350</t>
  </si>
  <si>
    <t>KT: 1500x300</t>
  </si>
  <si>
    <t>KT 600x300,L1200</t>
  </si>
  <si>
    <t>KT 1100x450,L1500</t>
  </si>
  <si>
    <t>KT 500x300</t>
  </si>
  <si>
    <t>KT 250x200</t>
  </si>
  <si>
    <t>KT 300x200</t>
  </si>
  <si>
    <t>KT 350x200</t>
  </si>
  <si>
    <t>KT 850x300</t>
  </si>
  <si>
    <t>Khớp nối mềm , kèm mặt bích</t>
  </si>
  <si>
    <t>Ống gió tôn tráng kẽm, Kèm bích, bọc cách nhiệt bằng cao su lưu hóa có cấu trúc ô kín, tỷ trọng 40-70 kg/m3, hệ số dẫn nhiệt k = 0.036W/mK tại 23oC , tiêu chuẩn chống cháy BS476 phần 6&amp;7 cấp độ 0.</t>
  </si>
  <si>
    <t>KT D250 độ dày tôn 0.58mm</t>
  </si>
  <si>
    <t>KT D300 độ dày tôn 0.58mm</t>
  </si>
  <si>
    <t>KT D350 độ dày tôn 0.58mm</t>
  </si>
  <si>
    <t>KT 600x250 độ dày tôn 0.75mm</t>
  </si>
  <si>
    <t>KT 600x350 độ dày tôn 0.75mm</t>
  </si>
  <si>
    <t>Côn thu ống gió tôn tráng kẽm, bọc cách nhiệt bằng cao su lưu hóa có cấu trúc ô kín, tỷ trọng 40-70 kg/m3, hệ số dẫn nhiệt k = 0.036W/mK tại 23oC , tiêu chuẩn chống cháy BS476 phần 6&amp;7 cấp độ 0.</t>
  </si>
  <si>
    <t>KT 600x250/400x250, độ dày tôn 0,75mm</t>
  </si>
  <si>
    <t>KT 600x300/400x300, độ dày tôn 0,75mm</t>
  </si>
  <si>
    <t>1.4</t>
  </si>
  <si>
    <t>Ống mềm bọc bọc bảo ôn bông thủy tinh (Glasswood ) 1 mặt bạc, tỷ trọng 32kg/m3, dày 25mm</t>
  </si>
  <si>
    <t xml:space="preserve"> KT D250</t>
  </si>
  <si>
    <t xml:space="preserve"> KT D300</t>
  </si>
  <si>
    <t xml:space="preserve"> KT D350</t>
  </si>
  <si>
    <t xml:space="preserve"> KT D400</t>
  </si>
  <si>
    <t>Cửa cấp gió nhôm sơn tĩnh điện bọc cách nhiệt tỷ trọng 40-70 kg/m3, hệ số dẫn nhiệt k = 0.036W/mK tại 23oC , tiêu chuẩn chống cháy BS476 phần 6&amp;7 cấp độ 0.</t>
  </si>
  <si>
    <t>KT (600x600), kiểu khuếch tán, kèm hộp gió KT: 600x600xH250</t>
  </si>
  <si>
    <t>KT (1200x250), kiểu khuếch tán, kèm hộp gió KT: 1200x250xH250</t>
  </si>
  <si>
    <t>KT (D600), kiểu khuếch tán, kèm hộp gió KT: 1200x250xH250</t>
  </si>
  <si>
    <t>Cửa gió hồi nhôm sơn tĩnh điện bọc cách nhiệt tỷ trọng 40-70 kg/m3, hệ số dẫn nhiệt k = 0.036W/mK tại 23oC , tiêu chuẩn chống cháy BS476 phần 6&amp;7 cấp độ 0.</t>
  </si>
  <si>
    <t>KT (600x600),Kiểu nan sọt, kèm hộp gió KT: 600x600xH250</t>
  </si>
  <si>
    <t>KT (1200x250), kiểu nan sọt, kèm hộp gió KT: 1200x250xH250</t>
  </si>
  <si>
    <t>KT (D600), kiểu nan sọt, kèm hộp gió</t>
  </si>
  <si>
    <t>Van gió điều chỉnh bằng tay (VD) bọc cách nhiệt tỷ trọng 40-70 kg/m3, hệ số dẫn nhiệt k = 0.036W/mK tại 23oC , tiêu chuẩn chống cháy BS476 phần 6&amp;7 cấp độ 0.</t>
  </si>
  <si>
    <t>KT D250</t>
  </si>
  <si>
    <t>KT D300</t>
  </si>
  <si>
    <t>KT D350</t>
  </si>
  <si>
    <t>Tiêu âm trước và sau dàn lạnh âm trần nối ống gió bằng tấm dán có cấu trúc bán ô hở (semi open) với Tỷ trọng lớp foam tiêu âm: 60 kg/m3, Hệ số hấp thụ âm thanh ISO 354: 0.4-0.5</t>
  </si>
  <si>
    <t>Dàn lạnh FCU có công suất nhỏ hơn bằng 7.1 kw, lớp tiêu âm có chiều dày 15mm</t>
  </si>
  <si>
    <t>Dàn lạnh FCU có công suất lớn hơn 7.1 kw,lớp tiêu âm có chiều dày 25mm</t>
  </si>
  <si>
    <t>KT 100x100 độ dày tôn 0.48mm</t>
  </si>
  <si>
    <t>KT 150x100 độ dày tôn 0.48mm</t>
  </si>
  <si>
    <t>KT 200x100 độ dày tôn 0.58mm</t>
  </si>
  <si>
    <t>KT 250x150 độ dày tôn 0.58mm</t>
  </si>
  <si>
    <t>KT 250x250 độ dày tôn 0.58mm</t>
  </si>
  <si>
    <t>KT 350x250 độ dày tôn 0.58mm</t>
  </si>
  <si>
    <t>KT 450x200 độ dày tôn 0.58mm</t>
  </si>
  <si>
    <t>KT 450x250 độ dày tôn 0.58mm</t>
  </si>
  <si>
    <t>KT 450x300 độ dày tôn 0.58mm</t>
  </si>
  <si>
    <t>KT 500x350 độ dày tôn 0.58mm</t>
  </si>
  <si>
    <t>KT 650x300 độ dày tôn 0.75mm</t>
  </si>
  <si>
    <t>KT 700x350 độ dày tôn 0.75mm</t>
  </si>
  <si>
    <t>KT 800x300 độ dày tôn 0.95mm</t>
  </si>
  <si>
    <t>KT 1000x300 độ dày tôn 0.95mm</t>
  </si>
  <si>
    <t>KT 1200x400 độ dày tôn 0.95mm</t>
  </si>
  <si>
    <t>KT 1300x600 độ dày tôn 0.95mm</t>
  </si>
  <si>
    <t>KT 200x200/100x100 độ dày tôn 0.58mm</t>
  </si>
  <si>
    <t>KT 300x200/250x200 độ dày tôn 0.58mm</t>
  </si>
  <si>
    <t>KT 350x250/200x150 độ dày tôn 0.58mm</t>
  </si>
  <si>
    <t>KT 400x200/250x200 độ dày tôn 0.58mm</t>
  </si>
  <si>
    <t>KT 400x250/200x150 độ dày tôn 0.58mm</t>
  </si>
  <si>
    <t>KT 400x250/250x200 độ dày tôn 0.58mm</t>
  </si>
  <si>
    <t>KT 400x250/300x200 độ dày tôn 0.58mm</t>
  </si>
  <si>
    <t>KT 400x250/350x200 độ dày tôn 0.58mm</t>
  </si>
  <si>
    <t>KT 450x200/300x200 độ dày tôn 0.58mm</t>
  </si>
  <si>
    <t>KT 500x200/300x200 độ dày tôn 0.58mm</t>
  </si>
  <si>
    <t>KT 500x250/300x250 độ dày tôn 0.58mm</t>
  </si>
  <si>
    <t>KT 500x250/350x250 độ dày tôn 0.58mm</t>
  </si>
  <si>
    <t>KT 500x250/400x250 độ dày tôn 0.58mm</t>
  </si>
  <si>
    <t>KT 500x300/300x200 độ dày tôn 0.58mm</t>
  </si>
  <si>
    <t>KT 500x300/400x300 độ dày tôn 0.58mm</t>
  </si>
  <si>
    <t>KT 500x350/250x200 độ dày tôn 0.58mm</t>
  </si>
  <si>
    <t>KT 600x250/500x250 độ dày tôn 0.75mm</t>
  </si>
  <si>
    <t>KT 600x300/400x250 độ dày tôn 0.75mm</t>
  </si>
  <si>
    <t>KT 700x350/500x350 độ dày tôn 0.75mm</t>
  </si>
  <si>
    <t>KT 800x300/700x300 độ dày tôn 0.95mm</t>
  </si>
  <si>
    <t>KT 200x200/200x150/150x150 độ dày tôn 0.58mm</t>
  </si>
  <si>
    <t>KT 250x200/200x150/200x150 độ dày tôn 0.58mm</t>
  </si>
  <si>
    <t>KT 300x200/250x200/250x200 độ dày tôn 0.58mm</t>
  </si>
  <si>
    <t>KT 400x250/250x200/250x200 độ dày tôn 0.58mm</t>
  </si>
  <si>
    <t>KT 500x250/250x200/250x200 độ dày tôn 0.58mm</t>
  </si>
  <si>
    <t>KT 500x250/400x200/200x200 độ dày tôn 0.58mm</t>
  </si>
  <si>
    <t>KT 500x250/400x250/200x150 độ dày tôn 0.58mm</t>
  </si>
  <si>
    <t>KT 500x300/350x200/350x200 độ dày tôn 0.58mm</t>
  </si>
  <si>
    <t>KT 600x300/400x250/400x250 độ dày tôn 0.75mm</t>
  </si>
  <si>
    <t>KT 600x300/450x200/350x250 độ dày tôn 0.75mm</t>
  </si>
  <si>
    <t>KT 650x300/500x300/250x150 độ dày tôn 0.75mm</t>
  </si>
  <si>
    <t>KT 700x300/400x250/400x250 độ dày tôn 0.75mm</t>
  </si>
  <si>
    <t>KT 900x400/500x300/500x300 độ dày tôn 0.95mm</t>
  </si>
  <si>
    <t>KT 1000x300/500x250/500x250 độ dày tôn 0.95mm</t>
  </si>
  <si>
    <t>KT 1200x400/700x100/700x400 độ dày tôn 0.95mm</t>
  </si>
  <si>
    <t>KT D200</t>
  </si>
  <si>
    <t>KT: 600x400</t>
  </si>
  <si>
    <t>KT: 800x500</t>
  </si>
  <si>
    <t>KT: 1000x300</t>
  </si>
  <si>
    <t>KT: 1000x500</t>
  </si>
  <si>
    <t>KT: 1200x350</t>
  </si>
  <si>
    <t>KT: 1200x400</t>
  </si>
  <si>
    <t>KT: 1500x500</t>
  </si>
  <si>
    <t>KT: 3600x350</t>
  </si>
  <si>
    <t>KT: 1800x350</t>
  </si>
  <si>
    <t>KT: 2000x350</t>
  </si>
  <si>
    <t>KT: 2000x500</t>
  </si>
  <si>
    <t>KT: 3000x350</t>
  </si>
  <si>
    <t>KT: 3300x350</t>
  </si>
  <si>
    <t>KT: 7200x350</t>
  </si>
  <si>
    <t>KT: 4000x500</t>
  </si>
  <si>
    <t>KT: 4500x700</t>
  </si>
  <si>
    <t>KT 500x350,L1000</t>
  </si>
  <si>
    <t>KT 600x300,L1000</t>
  </si>
  <si>
    <t>KT 600x350,L1000</t>
  </si>
  <si>
    <t>KT 700x350,L1000</t>
  </si>
  <si>
    <t>KT 700x400,L1200</t>
  </si>
  <si>
    <t>KT 700x300,L1200</t>
  </si>
  <si>
    <t>KT 750x500,L1500</t>
  </si>
  <si>
    <t>KT 800x400,L1000</t>
  </si>
  <si>
    <t>KT 900x400,L1000</t>
  </si>
  <si>
    <t>KT 1100x400,L1500</t>
  </si>
  <si>
    <t>KT 500x250</t>
  </si>
  <si>
    <t>KT 650x300</t>
  </si>
  <si>
    <t>Ống INOX 304 dày 1,0mm</t>
  </si>
  <si>
    <t>KT 1500x550</t>
  </si>
  <si>
    <t>KT 1200x700</t>
  </si>
  <si>
    <t>Cút 90 độ ống INOX 304 dày 1,0mm</t>
  </si>
  <si>
    <t>Chạc ba ống INOX 304 dày 1,0mm</t>
  </si>
  <si>
    <t>KT 1200x700/1200x700/1200x700</t>
  </si>
  <si>
    <t>VẬT TƯ PHẦN ỐNG GAS/DỊCH</t>
  </si>
  <si>
    <t>1.1</t>
  </si>
  <si>
    <t>Bộ chia gas/dịch dàn lạnh, kèm bảo ôn</t>
  </si>
  <si>
    <t>Cho hệ thống ĐH VRV/VRF</t>
  </si>
  <si>
    <t>Bộ chia gas/dịch dàn nóng, kèm bảo ôn</t>
  </si>
  <si>
    <t>ống đồng dẫn tác nhân lạnh ø 6.4, t=0.71mm, bọc bảo ôn dày 13mm</t>
  </si>
  <si>
    <t>Cho hệ thống ĐH Cục bộ</t>
  </si>
  <si>
    <t>ống đồng dẫn tác nhân lạnh ø 9.5, t=0.71mm, bọc bảo ôn dày 13mm</t>
  </si>
  <si>
    <t>ống đồng dẫn tác nhân lạnh ø 12.7, t=0.81mm, bọc bảo ôn dày 19mm</t>
  </si>
  <si>
    <t>1.5</t>
  </si>
  <si>
    <t>ống đồng dẫn tác nhân lạnh ø 15.9, t=0.81mm, bọc bảo ôn dày 19mm</t>
  </si>
  <si>
    <t>1.6</t>
  </si>
  <si>
    <t>ống đồng dẫn tác nhân lạnh ø 6.4, t=0.81mm, bọc bảo ôn dày 13mm</t>
  </si>
  <si>
    <t>1.7</t>
  </si>
  <si>
    <t>ống đồng dẫn tác nhân lạnh ø 9.5, t=0.81mm, bọc bảo ôn dày 13mm</t>
  </si>
  <si>
    <t>1.8</t>
  </si>
  <si>
    <t>1.9</t>
  </si>
  <si>
    <t>ống đồng dẫn tác nhân lạnh ø 15.9, t=1mm, bọc bảo ôn dày 19mm</t>
  </si>
  <si>
    <t>1.10</t>
  </si>
  <si>
    <t>ống đồng dẫn tác nhân lạnh ø 19.1, t=1mm, bọc bảo ôn dày 19mm</t>
  </si>
  <si>
    <t>1.11</t>
  </si>
  <si>
    <t>ống đồng dẫn tác nhân lạnh ø 22.2, t=1mm, bọc bảo ôn dày 25mm</t>
  </si>
  <si>
    <t>1.12</t>
  </si>
  <si>
    <t>ống đồng dẫn tác nhân lạnh ø 28.6, t=1.2mm, bọc bảo ôn dày 25mm</t>
  </si>
  <si>
    <t>1.13</t>
  </si>
  <si>
    <t>ống đồng dẫn tác nhân lạnh ø 34.9, t=1.2mm, bọc bảo ôn dày 25mm</t>
  </si>
  <si>
    <t>1.14</t>
  </si>
  <si>
    <t>ống đồng dẫn tác nhân lạnh ø 41.3, t=1.43mm, bọc bảo ôn dày 25mm</t>
  </si>
  <si>
    <t>1.15</t>
  </si>
  <si>
    <t>Lượng tác nhân lạnh R-410a bổ sung vào hệ thống</t>
  </si>
  <si>
    <t>kg</t>
  </si>
  <si>
    <t>1.16</t>
  </si>
  <si>
    <t>Vật tư phụ (cút, bulông, đai ốc, sơn, băng dính…)</t>
  </si>
  <si>
    <t>VẬT TƯ PHẦN ỐNG THOÁT NƯỚC NGƯNG ĐIỀU HÒA</t>
  </si>
  <si>
    <t>Ống uPVC (PN10) dẫn nước ngưng tụ D21, bọc dày 13mm</t>
  </si>
  <si>
    <t>Ống uPVC (PN10) dẫn nước ngưng tụ D27, bọc dày 13mm</t>
  </si>
  <si>
    <t>Ống uPVC (PN10) dẫn nước ngưng tụ D34, bọc dày 13mm</t>
  </si>
  <si>
    <t>Ống uPVC (PN10) dẫn nước ngưng tụ D42, bọc dày 13mm</t>
  </si>
  <si>
    <t>Ống uPVC (PN6) dẫn nước ngưng tụ D48, bọc dày 13mm</t>
  </si>
  <si>
    <t>Ống uPVC (PN6) dẫn nước ngưng tụ D60, bọc dày 13mm</t>
  </si>
  <si>
    <t>Ống uPVC (PN6) dẫn nước ngưng tụ D76, bọc dày 13mm</t>
  </si>
  <si>
    <t>Ống uPVC (PN6) dẫn nước ngưng tụ D90, bọc dày 13mm</t>
  </si>
  <si>
    <t>Ống uPVC (PN6) dẫn nước ngưng tụ D110, bọc dày 13mm</t>
  </si>
  <si>
    <t>Ống uPVC (PN6) dẫn nước ngưng tụ D125, bọc dày 15mm</t>
  </si>
  <si>
    <t>Ống uPVC (PN6) dẫn nước ngưng tụ D140, bọc dày 15mm</t>
  </si>
  <si>
    <t>Ống uPVC (PN6) dẫn nước ngưng tụ D160, bọc dày 15mm</t>
  </si>
  <si>
    <t>2.10</t>
  </si>
  <si>
    <t>Vật tư phụ (côn, cút, bulông, đai ốc, sơn, băng dính…)</t>
  </si>
  <si>
    <t>VẬT TƯ PHẦN CÁP ĐIỆN ĐIỀU KHIỂN ĐIỀU HÒA</t>
  </si>
  <si>
    <t>Cáp điều khiển dùng kết nối dàn nóng với dàn lạnh (2x1.5)mm2 cho hệ thống điều hòa trung tâm VRF</t>
  </si>
  <si>
    <t>Cáp điều khiển dùng kết nối dàn lạnh với bộ điều khiển từ xa (2x0.75)mm2 cho hệ thống điều hòa trung tâm VRF</t>
  </si>
  <si>
    <t>Cáp điều khiển dùng kết nối dàn nóng với dàn lạnh (4x1.5)mm2 cho hệ thống điều hòa cục bộ</t>
  </si>
  <si>
    <t>Ống nhựa luồn cáp điều khiển PVC - D20</t>
  </si>
  <si>
    <t>Vật tư phụ (đai ốc, sơn, băng dính…)</t>
  </si>
  <si>
    <t>THIẾT BỊ &amp; VẬT TƯ LẮP ĐẶT ĐIỀU HÒA KHÔNG KHÍ &amp; THÔNG GIÓ PHẦN CĂN HỘ</t>
  </si>
  <si>
    <t>PHẦN THIẾT BỊ ĐIỀU HÒA CỤC BỘ</t>
  </si>
  <si>
    <t>Dàn lạnh loại treo tường 1 chiều lạnh
+ Công suất lạnh: 2.5Kw
+ Công suất điện: 0.8 kw (1Ph/220V/50Hz)</t>
  </si>
  <si>
    <t xml:space="preserve">Cái      </t>
  </si>
  <si>
    <t>Dàn lạnh loại treo tường 1 chiều lạnh
+ Công suất lạnh: 5.3Kw
+ Công suất điện: 1.55 kw (1Ph/220V/50Hz)</t>
  </si>
  <si>
    <t>Dàn lạnh loại treo tường 1 chiều lạnh
+ Công suất lạnh: 7.1Kw
+ Công suất điện: 2.52 kw (1Ph/220V/50Hz)</t>
  </si>
  <si>
    <t>PHẦN THIẾT BỊ ĐIỀU HÒA MULTI</t>
  </si>
  <si>
    <t>a</t>
  </si>
  <si>
    <t>PHẦN DÀN LẠNH</t>
  </si>
  <si>
    <t>Dàn lạnh loại treo tường 1 chiều lạnh
+ Công suất lạnh: 2,5KW</t>
  </si>
  <si>
    <t>Dàn lạnh loại treo tường 1 chiều lạnh
+ Công suất lạnh: 3,5KW</t>
  </si>
  <si>
    <t>Dàn lạnh loại treo tường 1 chiều lạnh
+ Công suất lạnh: 5,0KW</t>
  </si>
  <si>
    <t>b</t>
  </si>
  <si>
    <t>PHẦN DÀN NÓNG</t>
  </si>
  <si>
    <t>Dàn nóng 1 chiều làm lạnh
+ Công suất lạnh: 5,3KW</t>
  </si>
  <si>
    <t>Dàn nóng 1 chiều làm lạnh
+ Công suất lạnh: 6,8KW</t>
  </si>
  <si>
    <t>Dàn nóng 1 chiều làm lạnh
+ Công suất lạnh: 8,0KW</t>
  </si>
  <si>
    <t>Dàn nóng 1 chiều làm lạnh
+ Công suất lạnh: 10,0KW</t>
  </si>
  <si>
    <t>PHẦN THIẾT BỊ THÔNG GIÓ</t>
  </si>
  <si>
    <t>Quạt hút khí gắn trần nối ống gió
+ Lưu lượng: 100 m3/h
+ Áp suất : 50 Pa
+ Công suất điện:  30w (1Ph/220V/50Hz)</t>
  </si>
  <si>
    <t>Kèm van 1 chiều</t>
  </si>
  <si>
    <t>Chụp hút bếp kèm quạt
+ Lưu lượng: 500 m3/h
+ Áp suất : -- Pa</t>
  </si>
  <si>
    <t>PHẦN VẬT TƯ LẮP ĐẶT</t>
  </si>
  <si>
    <t>PHẦN ỐNG GIÓ</t>
  </si>
  <si>
    <t>+ Kích thước 400x200</t>
  </si>
  <si>
    <t>Ống nhựa uPVC PN6</t>
  </si>
  <si>
    <t xml:space="preserve"> + Kích thước Ø90</t>
  </si>
  <si>
    <t xml:space="preserve"> + Kích thước Ø125</t>
  </si>
  <si>
    <t xml:space="preserve"> + Kích thước Ø140</t>
  </si>
  <si>
    <t xml:space="preserve"> + Cút 90 độ Ø90</t>
  </si>
  <si>
    <t xml:space="preserve"> + Cút 90 độ Ø125</t>
  </si>
  <si>
    <t xml:space="preserve"> + Cút 90 độ Ø140</t>
  </si>
  <si>
    <t xml:space="preserve"> + Tê cong D125/D125/D90</t>
  </si>
  <si>
    <t xml:space="preserve"> + Côn thu D125/D90</t>
  </si>
  <si>
    <t>Ống gió mềm không bọc bảo ôn</t>
  </si>
  <si>
    <t>+ kích thước Ø100</t>
  </si>
  <si>
    <t xml:space="preserve">m </t>
  </si>
  <si>
    <t>+ kích thước Ø150</t>
  </si>
  <si>
    <t>Vật tư phụ (Quang treo, ti treo…)</t>
  </si>
  <si>
    <t>PHẦN ỐNG GAS/DỊCH ĐIỀU HÒA</t>
  </si>
  <si>
    <t>Ống đồng dẫn tác nhân lạnh  bọc cách nhiệt bằng cao su lưu hóa có cấu trúc ô kín, tỷ trọng 40-70 kg/m3, hệ số dẫn nhiệt k = 0.036W/mK tại 23oC , tiêu chuẩn chống cháy BS476 phần 6&amp;7 cấp độ 0.</t>
  </si>
  <si>
    <t>Kích thước  ø 6,4, t=0.71mm, bọc bảo ôn dày 13mm</t>
  </si>
  <si>
    <t>Kích thước và độ dày ống, chiều dày bảo ôn có thể thay đổi theo thực tế thiết bị được lựa chọn để phù hợp với tiêu chuẩn hãng sản xuất</t>
  </si>
  <si>
    <t>Kích thước  ø 9,5, t=0.71mm, bọc bảo ôn dày 13mm</t>
  </si>
  <si>
    <t>Kích thước  ø 12,7, t=0.81mm, bọc bảo ôn dày 19mm</t>
  </si>
  <si>
    <t>Kích thước  ø 15,9, t=0.81mm, bọc bảo ôn dày 19mm</t>
  </si>
  <si>
    <t>Vật tư phụ (mút xốp, bu lông, đai ốc, băng dính, côn, cút…)</t>
  </si>
  <si>
    <t>c</t>
  </si>
  <si>
    <t>PHẦN ỐNG NƯỚC NGƯNG uPVC</t>
  </si>
  <si>
    <t>Ống nước ngưng uPVC bọc cách nhiệt bằng cao su lưu hóa có cấu trúc ô kín, tỷ trọng 40-70 kg/m3, hệ số dẫn nhiệt k = 0.036W/mK tại 23oC , tiêu chuẩn chống cháy BS476 phần 6&amp;7 cấp độ 0.</t>
  </si>
  <si>
    <t xml:space="preserve"> Ống uPVC - D21 (PN10)  bọc bảo ôn dày 13mm</t>
  </si>
  <si>
    <t>Chiều dày của bảo ôn sẽ được điều chỉnh  theo vật tư được phê duyệt thực tế bởi CDT sau này.</t>
  </si>
  <si>
    <t xml:space="preserve"> Ống uPVC - D27 (PN10)  bọc bảo ôn dày 13mm</t>
  </si>
  <si>
    <t>d</t>
  </si>
  <si>
    <t>PHẦN ĐIỀU KHIỂN ĐIỀU HÒA</t>
  </si>
  <si>
    <t>Dây điều khiển dùng kết nối cục ngoài, cục trong</t>
  </si>
  <si>
    <t>CU/PVC/PVC (1X1.5mm2)</t>
  </si>
  <si>
    <t>Vật tư phụ (Bulong,vít,…)</t>
  </si>
  <si>
    <t>THIẾT BỊ &amp; VẬT TƯ LẮP ĐẶT ĐIỀU HÒA KHÔNG KHÍ &amp; THÔNG GIÓ PHẦN CĂN HỘ PENTHOUSE</t>
  </si>
  <si>
    <t>PHẦN THIẾT BỊ ĐIỀU HÒA VRV-s, Multi V-s,....</t>
  </si>
  <si>
    <t>Dàn lạnh loại âm trần nối ống gió 1 chiều làm lạnh
+ Công suất lạnh: 2,2KW</t>
  </si>
  <si>
    <t>Dàn lạnh loại âm trần nối ống gió 1 chiều làm lạnh
+ Công suất lạnh: 2,8KW</t>
  </si>
  <si>
    <t>Dàn lạnh loại âm trần nối ống gió 1 chiều làm lạnh
+ Công suất lạnh: 3.5KW</t>
  </si>
  <si>
    <t>Dàn lạnh loại âm trần nối ống gió 1 chiều làm lạnh
+ Công suất lạnh: 4.5KW</t>
  </si>
  <si>
    <t>Dàn lạnh loại âm trần nối ống gió 1 chiều làm lạnh
+ Công suất lạnh: 7.1KW</t>
  </si>
  <si>
    <t>Dàn lạnh loại âm trần nối ống gió 1 chiều làm lạnh
+ Công suất lạnh: 9.0KW</t>
  </si>
  <si>
    <t>Dàn lạnh loại âm trần nối ống gió 1 chiều làm lạnh
+ Công suất lạnh: 11.2KW</t>
  </si>
  <si>
    <t>Dàn lạnh loại âm trần nối ống gió 1 chiều làm lạnh
+ Công suất lạnh: 14.0KW</t>
  </si>
  <si>
    <t>Dàn nóng 1 chiều làm lạnh
+ Công suất lạnh: 11.2KW</t>
  </si>
  <si>
    <t>Dàn nóng 1 chiều làm lạnh
+ Công suất lạnh: 16.0KW</t>
  </si>
  <si>
    <t>Dàn nóng 1 chiều làm lạnh
+ Công suất lạnh: 22.4KW</t>
  </si>
  <si>
    <t>Dàn nóng 1 chiều làm lạnh
+ Công suất lạnh: 24.0KW</t>
  </si>
  <si>
    <t>Quạt hút khí gắn trần nối ống gió
+ Lưu lượng: 100 m3/h
+ Áp suất : 30 Pa</t>
  </si>
  <si>
    <t>Quạt cấp khí tươi
+ Lưu lượng: 700 m3/h
+ Áp suất : 200 Pa</t>
  </si>
  <si>
    <t>Hệ thống gió tươi (OA)</t>
  </si>
  <si>
    <t>KT 150x100/100x100 độ dày tôn 0.48mm</t>
  </si>
  <si>
    <t>KT 150x150/100x100 độ dày tôn 0.48mm</t>
  </si>
  <si>
    <t>KT 200x150/150x100 độ dày tôn 0.48mm</t>
  </si>
  <si>
    <t>Ống gió mềm không bọc cách nhiệt</t>
  </si>
  <si>
    <t>KT: 500x250</t>
  </si>
  <si>
    <t xml:space="preserve"> + Tê cong D125/D90/D90</t>
  </si>
  <si>
    <t xml:space="preserve"> + Tê cong D140/D125/D90</t>
  </si>
  <si>
    <t>+ kích thước Ø200</t>
  </si>
  <si>
    <t>+ kích thước Ø250</t>
  </si>
  <si>
    <t>KT (1200x150), kiểu khuếch tán, kèm hộp gió KT: 1200x150xH250</t>
  </si>
  <si>
    <t>KT (1500x150), kiểu khuếch tán, kèm hộp gió KT: 1500x150xH250</t>
  </si>
  <si>
    <t>KT (1200x150), kiểu nan sọt, kèm hộp gió KT: 1200x150xH250</t>
  </si>
  <si>
    <t>KT (1500x150), kiểu nan sọt, kèm hộp gió KT: 1500x150xH250</t>
  </si>
  <si>
    <t>Bộ chia Gas/dịch dàn lạnh</t>
  </si>
  <si>
    <t>Kích thước  ø 6,4, t=0.81mm, bọc bảo ôn dày 13mm</t>
  </si>
  <si>
    <t>Kích thước  ø 9,5, t=0.81mm, bọc bảo ôn dày 13mm</t>
  </si>
  <si>
    <t>Kích thước  ø 15,9, t=1.0mm, bọc bảo ôn dày 19mm</t>
  </si>
  <si>
    <t>Kích thước  ø 19.1, t=1.0mm, bọc bảo ôn dày 19mm</t>
  </si>
  <si>
    <t>Kích thước  ø 22.2, t=1.0mm, bọc bảo ôn dày 25mm</t>
  </si>
  <si>
    <t>Khối lượng tác nhân lạnh bổ xung</t>
  </si>
  <si>
    <t xml:space="preserve"> Ống uPVC - D34 (PN10)  bọc bảo ôn dày 13mm</t>
  </si>
  <si>
    <t>Mã hiệu</t>
  </si>
  <si>
    <t>Thương hiệu</t>
  </si>
  <si>
    <t>Xuất xứ</t>
  </si>
  <si>
    <t>VL chính</t>
  </si>
  <si>
    <t>Lợi nhuận</t>
  </si>
  <si>
    <t>Tủ điện hạ thế</t>
  </si>
  <si>
    <t>Vật tư thiết bị đầu tư cho BQL tòa nhà</t>
  </si>
  <si>
    <t>Hệ thống nối đất thông tin</t>
  </si>
  <si>
    <t>Phần thiết bị + phụ kiện chính</t>
  </si>
  <si>
    <t>Phần cấp nước mặt bằng + trục đứng</t>
  </si>
  <si>
    <t xml:space="preserve">Phần bể bơi  </t>
  </si>
  <si>
    <t xml:space="preserve">WCCC công cộng   </t>
  </si>
  <si>
    <t>VL phụ</t>
  </si>
  <si>
    <t>HỆ THỐNG GAS/DỊCH, NƯỚC NGƯNG KHỐI THƯƠNG MẠI</t>
  </si>
  <si>
    <t>KL BIM</t>
  </si>
  <si>
    <t>D110-40</t>
  </si>
  <si>
    <t>D110-50</t>
  </si>
  <si>
    <t>KHỐI LƯỢNG MỜI THẦU</t>
  </si>
  <si>
    <t>Diễn giải</t>
  </si>
  <si>
    <t>KL
Mời thầu
Lần 2</t>
  </si>
  <si>
    <t>KL
Nhà thầu
chào</t>
  </si>
  <si>
    <t>THÔNG TIN VỀ VẬT LIỆU CHÍNH</t>
  </si>
  <si>
    <t>ĐƠN GIÁ (chưa bao gồm VAT)</t>
  </si>
  <si>
    <t>Thành tiền
BOQ</t>
  </si>
  <si>
    <t>Mô tả/ Quy cách</t>
  </si>
  <si>
    <t>NC&amp;M</t>
  </si>
  <si>
    <t xml:space="preserve">CF quản lý  </t>
  </si>
  <si>
    <t>ĐG tổng hợp</t>
  </si>
  <si>
    <t>Thành tiền
KLMT</t>
  </si>
  <si>
    <t>Thành tiền
Nhà thầu chào</t>
  </si>
  <si>
    <t>16=11+12+13+14+15</t>
  </si>
  <si>
    <t>17=4*16</t>
  </si>
  <si>
    <t>18=6*16</t>
  </si>
  <si>
    <t>KL
Mời thầu
Lần 1</t>
  </si>
  <si>
    <t>Đơn 
vị</t>
  </si>
  <si>
    <t>Phát sinh ngoài KLMT Nhà thầu bổ sung</t>
  </si>
  <si>
    <t>PN25</t>
  </si>
  <si>
    <t>inox 304</t>
  </si>
  <si>
    <t>Vỏ tủ form 3B</t>
  </si>
  <si>
    <t>Tủ điện TĐ-CSNN</t>
  </si>
  <si>
    <t>Chi tiết Tủ theo SĐNL</t>
  </si>
  <si>
    <t xml:space="preserve">Cu/FR (3x1.5)mm2 </t>
  </si>
  <si>
    <t>Cu/FR/XLPE (4x10)mm3</t>
  </si>
  <si>
    <t>Cu/PVC  (1x95)mm2</t>
  </si>
  <si>
    <t>Ống luồn dây GI</t>
  </si>
  <si>
    <t>Ống luồn dây GI D25 (lắp đặt nổi)</t>
  </si>
  <si>
    <t>Ống luồn dây GI D32 (lắp đặt nổi)</t>
  </si>
  <si>
    <t>Ống luồn dây GI D40 (lắp đặt nổi)</t>
  </si>
  <si>
    <t>Ống luồn dây mềm GI D25 (lắp đặt nổi)</t>
  </si>
  <si>
    <t>Ống luồn dây mềm GI D32 (lắp đặt nổi)</t>
  </si>
  <si>
    <t>Ống luồn dây mềm GI D40 (lắp đặt nổi)</t>
  </si>
  <si>
    <t>Khối lượng cọc tiếp địa cho khu vực Trạm biến áp
(Nhà thầu Xây dựng đã thi công xong các Bãi cọc tiếp địa trong tầng hầm)</t>
  </si>
  <si>
    <t>Bao gồm các mối hàn hóa nhiệt</t>
  </si>
  <si>
    <t>Cu/PVC  (1x120)mm1</t>
  </si>
  <si>
    <t>Ống PVC lực nén 1250N</t>
  </si>
  <si>
    <t>D20 (lắp đặt ngầm tường, bê tông)</t>
  </si>
  <si>
    <t>Tê nối thang cáp WxH=(500x100)mm</t>
  </si>
  <si>
    <t>Chuyển hướng ngang 90 độ thang cáp WxH=(500x100)mm</t>
  </si>
  <si>
    <t>Chuyển hướng dọc 90 độ thang cáp WxH=(500x100)mm</t>
  </si>
  <si>
    <t>Chữ thập  nối  thang cáp WxH=(400x100)mm</t>
  </si>
  <si>
    <t>Chuyển hướng ngang 90 độ  thang cáp WxH=(400x100)mm</t>
  </si>
  <si>
    <t>Chuyển hướng dọc 90 độ  thang cáp WxH=(400x100)mm</t>
  </si>
  <si>
    <t>Chuyển hướng dọc 90 độ máng cáp WxH=(150x50)mm</t>
  </si>
  <si>
    <t>Thang cáp WxH=(400x50)mm</t>
  </si>
  <si>
    <t>Chuyển hướng ngang 90 độ thang cáp WxH=(400x50)mm</t>
  </si>
  <si>
    <t>Chuyển hướng dọc 90 độ thang cáp WxH=(400x50)mm</t>
  </si>
  <si>
    <t>Tê nối thang cáp WxH=(400x50)mm</t>
  </si>
  <si>
    <t>Cụm đồng hồ nước DN80 (gồm 01 đồng hồ, 02 van khóa, kèm phụ kiện)</t>
  </si>
  <si>
    <t>Hộp đồng hồ tổng</t>
  </si>
  <si>
    <t>Bích PPR D140</t>
  </si>
  <si>
    <t>Bích PPR D110</t>
  </si>
  <si>
    <t>Bích PPR D90</t>
  </si>
  <si>
    <t>Mối nối mềm inox</t>
  </si>
  <si>
    <t>PN25 , tầng mái PN16</t>
  </si>
  <si>
    <t>Bích rỗng DN125</t>
  </si>
  <si>
    <t>Tê DN150/125</t>
  </si>
  <si>
    <t>Tê DN80/32</t>
  </si>
  <si>
    <t>PN16, Đường đẩy bơm sinh hoạt PN25</t>
  </si>
  <si>
    <t>Bích đặc DN150</t>
  </si>
  <si>
    <t>Bích rỗng DN150</t>
  </si>
  <si>
    <t>Van phao thủy lực</t>
  </si>
  <si>
    <t xml:space="preserve">Sleeve inox </t>
  </si>
  <si>
    <t>Sleeve inox DN200 - L350</t>
  </si>
  <si>
    <t>Sleeve inox DN100 - L350</t>
  </si>
  <si>
    <t>Sleeve inox DN80 - L350</t>
  </si>
  <si>
    <t>Côn giảm DN100/80</t>
  </si>
  <si>
    <t>Côn giảm DN80/65</t>
  </si>
  <si>
    <t>D180/90 thông hơi</t>
  </si>
  <si>
    <t>D160/90 thông hơi</t>
  </si>
  <si>
    <t>D125/90 thông hơi</t>
  </si>
  <si>
    <t>Mặt bích HDPE D280</t>
  </si>
  <si>
    <t>Mặt bích HDPE D200</t>
  </si>
  <si>
    <t>Mặt bích uPVC D280</t>
  </si>
  <si>
    <t>Mặt bích uPVC D200</t>
  </si>
  <si>
    <t>Đặt ống chờ xuyên sàn ống uPVC D90, thoát nước phễu thu, chậu rửa D60</t>
  </si>
  <si>
    <t>Đào lấp đất</t>
  </si>
  <si>
    <t>m3</t>
  </si>
  <si>
    <t>Hạng mục khác</t>
  </si>
  <si>
    <t>Mặt bích HDPE D250</t>
  </si>
  <si>
    <t>Mặt bích uPVC D250</t>
  </si>
  <si>
    <t>Đặt ống chờ xuyên vách hố ga ống uPVC D280, ống thoát D250</t>
  </si>
  <si>
    <t>Đặt ống chờ xuyên vách hố ga ống uPVC D250, ống thoát D200</t>
  </si>
  <si>
    <t>Đặt ống chờ xuyên vách hố ga ống uPVC D90, ống thoát D75</t>
  </si>
  <si>
    <t>Đặt ống chờ xuyên dầm ống uPVC D140, ống thoát D110</t>
  </si>
  <si>
    <t>Đặt ống chờ xuyên dầm ống uPVC D60-L=300, ống thoát bồn cây</t>
  </si>
  <si>
    <t>Đào đất</t>
  </si>
  <si>
    <t>Bịt xả thông tắc</t>
  </si>
  <si>
    <t>Gương soi</t>
  </si>
  <si>
    <t>Hộp giấy vệ sinh</t>
  </si>
  <si>
    <t>Hộp xà phòng</t>
  </si>
  <si>
    <t>Thanh vắt khăn</t>
  </si>
  <si>
    <t>Kệ kính</t>
  </si>
  <si>
    <t>Kệ cốc</t>
  </si>
  <si>
    <t>Móc treo áo</t>
  </si>
  <si>
    <t>Kèm phụ kiện, vật liệu lọc</t>
  </si>
  <si>
    <t xml:space="preserve">Thanh chắn máng tràn </t>
  </si>
  <si>
    <t xml:space="preserve">Biến áp đèn </t>
  </si>
  <si>
    <t>Đặt sleeve xuyên thành D140</t>
  </si>
  <si>
    <t>Lỗ</t>
  </si>
  <si>
    <t>Đặt sleeve xuyên thành D110</t>
  </si>
  <si>
    <t>Đặt sleeve xuyên thành &lt;=D110</t>
  </si>
  <si>
    <t>thông hơi, PN6</t>
  </si>
  <si>
    <t>D125/75</t>
  </si>
  <si>
    <t>Máy sấy tay</t>
  </si>
  <si>
    <t>Tay vịn inox WC người khuyết tật</t>
  </si>
  <si>
    <t>Bơm trục đứng, đa tầng cánh, nguyên cụm (bao gồm 02 bơm)</t>
  </si>
  <si>
    <t>Bơm thả chìm, nguyên cụm (bao gồm 02 bơm)</t>
  </si>
  <si>
    <t>Phụ kiện PPR</t>
  </si>
  <si>
    <t>Bình nóng lạnh 30L (kèm phụ kiện, van khóa, van 1 chiều, dây cấp nước nóng lạnh...)</t>
  </si>
  <si>
    <t>Bình nóng lạnh 50L (kèm phụ kiện, van khóa, van 1 chiều, dây cấp nước nóng lạnh...)</t>
  </si>
  <si>
    <t>QUẠT CẤP GIÓ TƯƠI PHÒNG NHÂN VIÊN</t>
  </si>
  <si>
    <t>T2/SF-**</t>
  </si>
  <si>
    <t>KT: 1100x600</t>
  </si>
  <si>
    <t>KT: 900x300</t>
  </si>
  <si>
    <t>KT: 1600x350</t>
  </si>
  <si>
    <t>KT: 1800x300</t>
  </si>
  <si>
    <t>KT: 1000x300/900x300</t>
  </si>
  <si>
    <t>KT: 1200x300/1000x300</t>
  </si>
  <si>
    <t>KT: 1800x300/1600x300</t>
  </si>
  <si>
    <t>KT: 1800x350/1000x1000</t>
  </si>
  <si>
    <t>KT: 2500x450/1000x1000</t>
  </si>
  <si>
    <t>Gót miệng gió tôn tráng kẽm có giới hạn chịu lửa EI 60</t>
  </si>
  <si>
    <t>KT: 1000x300/1000x300</t>
  </si>
  <si>
    <t>Lượn tôn tráng kẽm có giới hạn chịu lửa EI 60</t>
  </si>
  <si>
    <t>KT: 300x900-lệch tâm 150mm</t>
  </si>
  <si>
    <t>KT: 300x900-lệch tâm 300mm</t>
  </si>
  <si>
    <t>KT: 300x1600-lệch tâm 300mm</t>
  </si>
  <si>
    <t>KT: 1500x800</t>
  </si>
  <si>
    <t>KT: 1400x500</t>
  </si>
  <si>
    <t>KT: 1400x600</t>
  </si>
  <si>
    <t>KT: 1000x400</t>
  </si>
  <si>
    <t>KT: 1000x550</t>
  </si>
  <si>
    <t>Ống gió gió tôn tráng kẽm có giới hạn chịu lửa E45</t>
  </si>
  <si>
    <t>Cút cong 45 độ kèm lưới chắn côn trùng E45</t>
  </si>
  <si>
    <t>KT:1000x1000</t>
  </si>
  <si>
    <t>Ống gió gió tôn tráng kẽm tole 1.15mm trục đứng</t>
  </si>
  <si>
    <t>KT: 1600x600/1250x300</t>
  </si>
  <si>
    <t>KT: 1600x600/1200x300</t>
  </si>
  <si>
    <t>KT: 1200x300/800x300</t>
  </si>
  <si>
    <t>KT: 1250x300/800x300</t>
  </si>
  <si>
    <t>KT: 1500x300/1000x300</t>
  </si>
  <si>
    <t>KT: 1000x300/800x250</t>
  </si>
  <si>
    <t>KT: 1000x300/800x300</t>
  </si>
  <si>
    <t>KT: 1600x600/1400x500</t>
  </si>
  <si>
    <t>KT: 1400x500/1200x300</t>
  </si>
  <si>
    <t>KT: 800x300/600x250</t>
  </si>
  <si>
    <t>KT: 1000x300/600x250</t>
  </si>
  <si>
    <t>KT: 1200x300/600x250</t>
  </si>
  <si>
    <t>KT: 1600x600/1400x400</t>
  </si>
  <si>
    <t>KT: 1400x400/1200x300</t>
  </si>
  <si>
    <t>KT: 1400x400/1000x400</t>
  </si>
  <si>
    <t>KT: 1400x400/1000x350</t>
  </si>
  <si>
    <t>KT: 1400x400/1000x550</t>
  </si>
  <si>
    <t>KT: 1600x600/1000x1000</t>
  </si>
  <si>
    <t>KT 1400x500/1400x400/800x300</t>
  </si>
  <si>
    <t>KT 1400x400/1200x350/1200x350</t>
  </si>
  <si>
    <t>KT 1200x300/800x300/600x250</t>
  </si>
  <si>
    <t>KT 1400x400/1400x400/1400x400</t>
  </si>
  <si>
    <t>Gót miệng gió tôn tráng kẽm có giới hạn chịu lửa EI 45</t>
  </si>
  <si>
    <t>KT: 600x600/600x600</t>
  </si>
  <si>
    <t>KT: 1000x600/1000x600</t>
  </si>
  <si>
    <t>Lượn ống gió tôn tráng kẽm có giới hạn chịu lửa EI 45</t>
  </si>
  <si>
    <t>KT: 1400x400-lệch tâm 200mm</t>
  </si>
  <si>
    <t>KT: 1400x300-lệch tâm 200mm</t>
  </si>
  <si>
    <t>KT: 800x300-lệch tâm 200mm</t>
  </si>
  <si>
    <t>KT: 600x250-lệch tâm 200mm</t>
  </si>
  <si>
    <t>KT: 1200x350-lệch tâm 200mm</t>
  </si>
  <si>
    <t>Vuông tròn tôn tráng kẽm có giới hạn chịu lửa EI 45</t>
  </si>
  <si>
    <t>KT:1000x550/D1000</t>
  </si>
  <si>
    <t>KT:1400x400/D1000</t>
  </si>
  <si>
    <t>KT:550x400</t>
  </si>
  <si>
    <t>KT:900x250</t>
  </si>
  <si>
    <t>KT:1600x600</t>
  </si>
  <si>
    <t>KT:1400x400</t>
  </si>
  <si>
    <t>Cút ống gió tôn tráng kẽm có giới hạn chịu lửa EI120</t>
  </si>
  <si>
    <t>KT:1200x350</t>
  </si>
  <si>
    <t>Vuông tròn tôn tráng kẽm có giới hạn chịu lửa EI120</t>
  </si>
  <si>
    <t>KT:1200x350/800</t>
  </si>
  <si>
    <t>Van 1 chiều tôn tráng kẽm có giới hạn chịu lửa EI120</t>
  </si>
  <si>
    <t>Chạc ba ống gió tôn tráng kẽm có giới hạn chịu lửa EI120</t>
  </si>
  <si>
    <t>KT:900x250/900x250/800x200</t>
  </si>
  <si>
    <t>Van chặn lửa kèm động cơ (MFD) có giới hạn chịu lửa EI120</t>
  </si>
  <si>
    <t>KT:850x250</t>
  </si>
  <si>
    <t>KT:800x250</t>
  </si>
  <si>
    <t>KT:800x200</t>
  </si>
  <si>
    <t>KT: 1000x600</t>
  </si>
  <si>
    <t>KT:1250x500</t>
  </si>
  <si>
    <t>KT:850x250/800x200</t>
  </si>
  <si>
    <t>KT:900x250/800x200</t>
  </si>
  <si>
    <t>KT:1250x500/850x700</t>
  </si>
  <si>
    <t>KT:1000x200/800x200/800x200</t>
  </si>
  <si>
    <t>KT:900x250/800x200/800x200</t>
  </si>
  <si>
    <t>Gót ống gió tôn tráng kẽm có giới hạn chịu lửa EI30</t>
  </si>
  <si>
    <t>KT 1000x600/1000x600</t>
  </si>
  <si>
    <t>KT: 1200x550</t>
  </si>
  <si>
    <t>KT: 1200x250</t>
  </si>
  <si>
    <t>KT: 1000x200</t>
  </si>
  <si>
    <t>KT: 800x350</t>
  </si>
  <si>
    <t>KT: 800x300</t>
  </si>
  <si>
    <t>KT: 750x500</t>
  </si>
  <si>
    <t>KT: 600x300</t>
  </si>
  <si>
    <t>Van chặn lửa (FD) có giới hạn chịu lửa EI 60</t>
  </si>
  <si>
    <t>KT: 1400x350</t>
  </si>
  <si>
    <t>KT: 1100x350</t>
  </si>
  <si>
    <t>KT: 1000x250</t>
  </si>
  <si>
    <t>Van chặn lửa kèm động cơ (MFD) có giới hạn chịu lửa EI 60</t>
  </si>
  <si>
    <t>Cút 90 độ ống gió tôn tráng kẽm có giới hạn chịu lửa EI 120</t>
  </si>
  <si>
    <t>Cút 90 độ ống gió tôn tráng kẽm</t>
  </si>
  <si>
    <t>KT: 1400x350/1000x350</t>
  </si>
  <si>
    <t>KT: 1200x250/1000x200</t>
  </si>
  <si>
    <t>KT: 800x300/600x300</t>
  </si>
  <si>
    <t>Gót ống gió tôn tráng kẽm có giới hạn chịu lửa EI 60</t>
  </si>
  <si>
    <t>KT: 1100x350/1000x250</t>
  </si>
  <si>
    <t>KT: 1100x350/1000x250/800x350</t>
  </si>
  <si>
    <t>Bọc hộp thạch cao quạt GHCL EI60</t>
  </si>
  <si>
    <t>KT: 1500x1500x1500</t>
  </si>
  <si>
    <t>KT: 1200x600 kèm van điều chỉnh OBD</t>
  </si>
  <si>
    <t>KT: 700x700 kèm van điều chỉnh OBD</t>
  </si>
  <si>
    <t>KT: 200x200 kèm van điều chỉnh OBD</t>
  </si>
  <si>
    <t>KT: 1200x500</t>
  </si>
  <si>
    <t>KT 1150x950</t>
  </si>
  <si>
    <t>KT 1150x750</t>
  </si>
  <si>
    <t>KT: 1050x1050</t>
  </si>
  <si>
    <t>KT: 1050x900</t>
  </si>
  <si>
    <t>KT 1050x500</t>
  </si>
  <si>
    <t>KT: 900x700</t>
  </si>
  <si>
    <t>KT 600x600</t>
  </si>
  <si>
    <t>KT 500x600</t>
  </si>
  <si>
    <t>KT: 550x300</t>
  </si>
  <si>
    <t>KT: 400x400</t>
  </si>
  <si>
    <t>KT: 300x250</t>
  </si>
  <si>
    <t>KT: 500x200</t>
  </si>
  <si>
    <t>KT: 400x300</t>
  </si>
  <si>
    <t>KT 550x300/Đường kính quạt</t>
  </si>
  <si>
    <t>KT 700x400/Đường kính quạt</t>
  </si>
  <si>
    <t>KT 850x400/Đường kính quạt</t>
  </si>
  <si>
    <t>KT 900x350/Đường kính quạt</t>
  </si>
  <si>
    <t>KT: 700x600</t>
  </si>
  <si>
    <t>KT: 900x600</t>
  </si>
  <si>
    <t>KT: 1150x950</t>
  </si>
  <si>
    <t>KT: 300x200</t>
  </si>
  <si>
    <t>KT: 500x500</t>
  </si>
  <si>
    <t>KT: 600x600</t>
  </si>
  <si>
    <t>KT: 750x400</t>
  </si>
  <si>
    <t>KT: 850x400</t>
  </si>
  <si>
    <t>KT: 1800x1000 kèm chớp chống hắt</t>
  </si>
  <si>
    <t>KT: 600x400 kèm chớp chống hắt</t>
  </si>
  <si>
    <t>Van xả áp kèm động cơ  (Pmax = 50 Pa)</t>
  </si>
  <si>
    <t>Gót ống gió tôn tráng kẽm có giới hạn chịu lửa EI 30</t>
  </si>
  <si>
    <t>KT: 200x200/200x200</t>
  </si>
  <si>
    <t>KT: 350x350/350x350</t>
  </si>
  <si>
    <t>KT: 400x400/400x400</t>
  </si>
  <si>
    <t>KT: 500x200/500x200</t>
  </si>
  <si>
    <t>Box miệng gió tôn tráng kẽm có giới hạn chịu lửa EI 30</t>
  </si>
  <si>
    <t>KT 2270x2370</t>
  </si>
  <si>
    <t>KT: 1350x3000 độ dày tôn 1.15mm</t>
  </si>
  <si>
    <t>KT: 1700x3000 độ dày tôn 1.15mm</t>
  </si>
  <si>
    <t>KT 1000x600 độ dày tôn 0.95mm</t>
  </si>
  <si>
    <t>KT 1400x350 độ dày tôn 0.95mm</t>
  </si>
  <si>
    <t>KT 1400x350/900x300 độ dày tôn 0.95mm</t>
  </si>
  <si>
    <t>Lớp bảo vệ cho ống gió chống cháy đi ngoài trời, vật liệu inox dày tối thiểu 0.3mm</t>
  </si>
  <si>
    <t>KT 1050x1050</t>
  </si>
  <si>
    <t>KT 1200x500</t>
  </si>
  <si>
    <t xml:space="preserve"> Lượn ống gió tôn tráng kẽm </t>
  </si>
  <si>
    <t>KT 2500x450-lệch tâm 200, độ dày tôn 1.15mm</t>
  </si>
  <si>
    <t>KT 900x300-lệch tâm 200, độ dày tôn 0.95mm</t>
  </si>
  <si>
    <t>KT 1400x500 độ dày tôn 1.15mm</t>
  </si>
  <si>
    <t>KT 850x300 độ dày tôn 0.75mm</t>
  </si>
  <si>
    <t>KT 500x400</t>
  </si>
  <si>
    <t>Cút hướng dòng ống gió tôn tráng kẽm.</t>
  </si>
  <si>
    <t>KT 3800x700 độ dày tôn 1.15mm</t>
  </si>
  <si>
    <t>KT 3200x700 độ dày tôn 1.15mm</t>
  </si>
  <si>
    <t>KT 2600x700 độ dày tôn 1.15mm</t>
  </si>
  <si>
    <t>KT 2200x700 độ dày tôn 1.15mm</t>
  </si>
  <si>
    <t>KT 2000x700 độ dày tôn 1.15mm</t>
  </si>
  <si>
    <t>Box ống gió tôn tráng kẽm</t>
  </si>
  <si>
    <t>KT 1000x350 độ dày tôn 0.75mm</t>
  </si>
  <si>
    <t xml:space="preserve">Khớp nối mềm Canvas Simily </t>
  </si>
  <si>
    <t>Dàn lạnh FCU có công suất nhỏ hơn bằng 7.1 kw</t>
  </si>
  <si>
    <t>Dàn lạnh FCU có công suất lớn hơn 7.1 kw</t>
  </si>
  <si>
    <t>Gót ống gió tôn tráng kẽm, bọc cách nhiệt bằng cao su lưu hóa có cấu trúc ô kín, tỷ trọng 40-70 kg/m3, hệ số dẫn nhiệt k = 0.036W/mK tại 23oC , tiêu chuẩn chống cháy BS476 phần 6&amp;7 cấp độ 0.</t>
  </si>
  <si>
    <t>KT 450x250/D250 độ dày tôn 0.58mm</t>
  </si>
  <si>
    <t>KT 500x300/D300 độ dày tôn 0.58mm</t>
  </si>
  <si>
    <t>KT 300x250 độ dày tôn 0.58mm</t>
  </si>
  <si>
    <t>KT 350x300 độ dày tôn 0.58mm</t>
  </si>
  <si>
    <t>KT 800x250 độ dày tôn 0.95mm</t>
  </si>
  <si>
    <t>KT 150x150 độ dày tôn 0.58mm</t>
  </si>
  <si>
    <t>KT 800x300 độ dày tôn 0.75mm</t>
  </si>
  <si>
    <t>KT 250x250/200x200 độ dày tôn 0.58mm</t>
  </si>
  <si>
    <t>KT 650x300/500x250 độ dày tôn 0.75mm</t>
  </si>
  <si>
    <t>KT 350x200/150x150 độ dày tôn 0.58mm</t>
  </si>
  <si>
    <t>KT 350x200/250x200 độ dày tôn 0.58mm</t>
  </si>
  <si>
    <t>KT 300x250/250x200 độ dày tôn 0.58mm</t>
  </si>
  <si>
    <t>KT 400x300/350x200 độ dày tôn 0.58mm</t>
  </si>
  <si>
    <t>KT 400x250/250x250 độ dày tôn 0.58mm</t>
  </si>
  <si>
    <t>KT 450x250/300x250 độ dày tôn 0.58mm</t>
  </si>
  <si>
    <t>KT 450x250/350x250 độ dày tôn 0.58mm</t>
  </si>
  <si>
    <t>KT 500x250/200x150 độ dày tôn 0.58mm</t>
  </si>
  <si>
    <t>KT 600x300/300x250 độ dày tôn 0.75mm</t>
  </si>
  <si>
    <t>KT 700x300/400x250 độ dày tôn 0.75mm</t>
  </si>
  <si>
    <t>KT 700x300/600x300 độ dày tôn 0.75mm</t>
  </si>
  <si>
    <t>KT 800x300/500x250 độ dày tôn 0.95mm</t>
  </si>
  <si>
    <t>KT 200x150/150x150/150x150 độ dày tôn 0.58mm</t>
  </si>
  <si>
    <t>KT 350x250/250x200/250x200 độ dày tôn 0.58mm</t>
  </si>
  <si>
    <t>Box miệng gió tôn tráng kẽm</t>
  </si>
  <si>
    <t>KT 800x500 độ dày tôn 0.75mm</t>
  </si>
  <si>
    <t>KT 1000x500 độ dày tôn 0.95mm</t>
  </si>
  <si>
    <t>KT 1200x350 độ dày tôn 0.95mm</t>
  </si>
  <si>
    <t>KT 1500x500 độ dày tôn 1.15mm</t>
  </si>
  <si>
    <t>KT 2000x350 độ dày tôn 1.15mm</t>
  </si>
  <si>
    <t>KT 2000x500 độ dày tôn 1.15mm</t>
  </si>
  <si>
    <t>KT 3000x350 độ dày tôn 1.15mm</t>
  </si>
  <si>
    <t>KT 3300x350 độ dày tôn 1.15mm</t>
  </si>
  <si>
    <t>KT 3600x350 độ dày tôn 1.15mm</t>
  </si>
  <si>
    <t>KT 4000x500 độ dày tôn 1.15mm</t>
  </si>
  <si>
    <t>KT 4500x700 độ dày tôn 1.15mm</t>
  </si>
  <si>
    <t>KT 7200x350 độ dày tôn 1.15mm</t>
  </si>
  <si>
    <t>Gót ống gió tôn tráng kẽm</t>
  </si>
  <si>
    <t>KT 350x150/150x150 độ dày tôn 0.58mm</t>
  </si>
  <si>
    <t>KT 400x100/200x100 độ dày tôn 0.58mm</t>
  </si>
  <si>
    <t>KT 400x150/200x150 độ dày tôn 0.58mm</t>
  </si>
  <si>
    <t>KT 450x200/D250 độ dày tôn 0.58mm</t>
  </si>
  <si>
    <t>KT 450x200/250x200 độ dày tôn 0.58mm</t>
  </si>
  <si>
    <t>KT 450x250/250x250 độ dày tôn 0.58mm</t>
  </si>
  <si>
    <t>KT 550x200/350x200 độ dày tôn 0.58mm</t>
  </si>
  <si>
    <t>KT 600x250/400x250 độ dày tôn 0.58mm</t>
  </si>
  <si>
    <t>KT 700x300/500x300 độ dày tôn 0.58mm</t>
  </si>
  <si>
    <t>KT 400x250</t>
  </si>
  <si>
    <t>KT 800x250</t>
  </si>
  <si>
    <t>Box gió 400x200</t>
  </si>
  <si>
    <t>KT 200x200 độ dày tôn 0.48mm</t>
  </si>
  <si>
    <t>KT 200x100/150x100 độ dày tôn 0.48mm</t>
  </si>
  <si>
    <t>KT 300x200/200x200 độ dày tôn 0.48mm</t>
  </si>
  <si>
    <t>KT 300x200/200x100 độ dày tôn 0.48mm</t>
  </si>
  <si>
    <t xml:space="preserve"> Gót ống gió tôn tráng kẽm </t>
  </si>
  <si>
    <t>KT 200x100/100x100 độ dày tôn 0.48mm</t>
  </si>
  <si>
    <t>KT 250x100/150x100 độ dày tôn 0.48mm</t>
  </si>
  <si>
    <t>KT 250x150/150x150 độ dày tôn 0.48mm</t>
  </si>
  <si>
    <t>KT 300x100/200x100 độ dày tôn 0.48mm</t>
  </si>
  <si>
    <t>KT 300x150/200x150 độ dày tôn 0.48mm</t>
  </si>
  <si>
    <t xml:space="preserve"> Vuông tròn ống gió tôn tráng kẽm </t>
  </si>
  <si>
    <t>KT 100x100/D100 độ dày tôn 0.48mm</t>
  </si>
  <si>
    <t>KT 200x100/D200 độ dày tôn 0.48mm</t>
  </si>
  <si>
    <t>KT 200x150/D200 độ dày tôn 0.48mm</t>
  </si>
  <si>
    <t>KT 300x200/D400 độ dày tôn 0.48mm</t>
  </si>
  <si>
    <t xml:space="preserve">Box ống gió tôn tráng kẽm </t>
  </si>
  <si>
    <t>KT 500x250 độ dày tôn 0.48mm</t>
  </si>
  <si>
    <t>KT 400x200 độ dày tôn 0.48mm</t>
  </si>
  <si>
    <t>PHÂN VẬT TƯ LẮP ĐẶT ỐNG GIÓ</t>
  </si>
  <si>
    <t>HỆ THỐNG THÔNG GIÓ SỰ CỐ</t>
  </si>
  <si>
    <t>HỆ THỐNG THÔNG GIÓ HÚT TẦNG HẦM</t>
  </si>
  <si>
    <t xml:space="preserve"> 1. </t>
  </si>
  <si>
    <t>A1</t>
  </si>
  <si>
    <t xml:space="preserve">2. </t>
  </si>
  <si>
    <t>HỆ THỐNG HÚT KHÓI CÁC KHÔNG GIAN CÔNG CỘNG  CÓ DIỆN TÍCH LỚN HƠN 200M2</t>
  </si>
  <si>
    <t xml:space="preserve">3. </t>
  </si>
  <si>
    <t xml:space="preserve">HỆ THỐNG HÚT KHÓI HÀNH LANG </t>
  </si>
  <si>
    <t xml:space="preserve">4. </t>
  </si>
  <si>
    <t>HỆ THỐNG TĂNG ÁP THANG BỘ, THANG MÁY, PHÒNG ĐỆM THANG BỘ</t>
  </si>
  <si>
    <t>HỆ THỐNG THÔNG GIÓ CHUNG</t>
  </si>
  <si>
    <t xml:space="preserve">1. </t>
  </si>
  <si>
    <t>HỆ THỐNG THÔNG GIÓ CẤP TẦNG HẦM</t>
  </si>
  <si>
    <t xml:space="preserve"> 2. </t>
  </si>
  <si>
    <t>HỆ THỐNG  THÔNG GIÓ HÚT MÙI, HÚT MÙI VỆ SINH + PHÒNG KỸ THUẬT</t>
  </si>
  <si>
    <t>HỆ THỐNG ỐNG GIÓ LẠNH ĐIỀU HÒA</t>
  </si>
  <si>
    <t>HỆ THỐNG ỐNG GIÓ TƯƠI (OA)</t>
  </si>
  <si>
    <t>HỆ THỐNG HÚT BẾP</t>
  </si>
  <si>
    <t>PHÂN VẬT TƯ LẮP ĐẶT ỐNG ĐỒNG, NƯỚC NGƯNG</t>
  </si>
  <si>
    <t>A.2</t>
  </si>
  <si>
    <t>2.1</t>
  </si>
  <si>
    <t>2.5</t>
  </si>
  <si>
    <t>2.6</t>
  </si>
  <si>
    <t>2.7</t>
  </si>
  <si>
    <t>3.1</t>
  </si>
  <si>
    <t>4.1</t>
  </si>
  <si>
    <t>4.2</t>
  </si>
  <si>
    <t>4.3</t>
  </si>
  <si>
    <t>4.4</t>
  </si>
  <si>
    <t>4.5</t>
  </si>
  <si>
    <t>4.6</t>
  </si>
  <si>
    <t>4.7</t>
  </si>
  <si>
    <t>4.8</t>
  </si>
  <si>
    <t>4.9</t>
  </si>
  <si>
    <t>4.10</t>
  </si>
  <si>
    <t>Wilo</t>
  </si>
  <si>
    <t>Sơn Hà</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</si>
  <si>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</si>
  <si>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</si>
  <si>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</si>
  <si>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</si>
  <si>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</si>
  <si>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</si>
  <si>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</si>
  <si>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</si>
  <si>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</si>
  <si>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</si>
  <si>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</si>
  <si>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</si>
  <si>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</si>
  <si>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</si>
  <si>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</si>
  <si>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</si>
  <si>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</si>
  <si>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</si>
  <si>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</si>
  <si>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</si>
  <si>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</si>
  <si>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</si>
  <si>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</si>
  <si>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</si>
  <si>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</si>
  <si>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</si>
  <si>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</si>
  <si>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</si>
  <si>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</si>
  <si>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</si>
  <si>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</si>
  <si>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</si>
  <si>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CHI TIẾT CĂN HỘ</t>
  </si>
  <si>
    <t>Ống luồn dây HDPE</t>
  </si>
  <si>
    <t>HDPE 160/125</t>
  </si>
  <si>
    <t>Cảm biến áp suất</t>
  </si>
  <si>
    <t>Hệ thống trục thoát nước mưa</t>
  </si>
  <si>
    <t>DÂY CÁP ĐIỆN</t>
  </si>
  <si>
    <t>C</t>
  </si>
  <si>
    <t>TỔNG CỘNG TRƯỚC VAT: C = A + B</t>
  </si>
  <si>
    <t>Nhà thầu bổ sung công việc 1</t>
  </si>
  <si>
    <t>Nhà thầu bổ sung công việc 2</t>
  </si>
  <si>
    <t>Nhà thầu bổ sung công việc 3</t>
  </si>
  <si>
    <t>….......................</t>
  </si>
  <si>
    <t>Mặt bích</t>
  </si>
  <si>
    <t>Vòi rửa DN15</t>
  </si>
  <si>
    <t>Vòi rửa DN15 (kèm phụ kiện) cho máy giặt</t>
  </si>
  <si>
    <t xml:space="preserve">Tủ điện điều khiển hệ thống bơm hệ lọc, hệ bơm nhiệt, massage bao gồm các cảm biến, timer, mạch điều khiền ….. </t>
  </si>
  <si>
    <t>Chống thấm cổ ống D110</t>
  </si>
  <si>
    <t>Chống thấm cổ ống D90</t>
  </si>
  <si>
    <t xml:space="preserve">Đặt ống chờ xuyên sàn ống uPVC D140, thoát phễu thu sàn D110 </t>
  </si>
  <si>
    <t xml:space="preserve">Đặt ống chờ xuyên sàn ống uPVC D110, thoát phễu thu sàn D90 </t>
  </si>
  <si>
    <t>Chống thấm cổ ống D60</t>
  </si>
  <si>
    <t xml:space="preserve">Đặt ống chờ xuyên sàn ống uPVC D140, thoát nước bồn cầu ống D110 </t>
  </si>
  <si>
    <t>Đặt ống chờ xuyên sàn ống D140, thoát nước bồn cầu ống D110</t>
  </si>
  <si>
    <t>Đặt ống chờ xuyên sàn ống D110, thoát nước bồn cầu ống D90</t>
  </si>
  <si>
    <t>Đặt ống chờ xuyên sàn ống D90, thoát nước bồn cầu ống D60</t>
  </si>
  <si>
    <t>Mẫu số 03.1</t>
  </si>
  <si>
    <t>Mô tả công việc mời thầu</t>
  </si>
  <si>
    <t>Thành tiền</t>
  </si>
  <si>
    <t>Theo KLMT</t>
  </si>
  <si>
    <t>Nhà thầu chào</t>
  </si>
  <si>
    <t>HẠNG MỤC: ĐIỆN</t>
  </si>
  <si>
    <t>HẠNG MỤC: ĐIỆN NHẸ</t>
  </si>
  <si>
    <t>HẠNG MỤC: CẤP THOÁT NƯỚC</t>
  </si>
  <si>
    <t>HẠNG MỤC: HVAC</t>
  </si>
  <si>
    <t>HẠNG MỤC: NGĂN CHÁY LAN</t>
  </si>
  <si>
    <t>ĐẦU MỤC CÔNG VIỆC PHÁT SINH NGOÀI KLMT</t>
  </si>
  <si>
    <t>TỔNG CỘNG GIÁ CHÀO TRƯỚC THUẾ: (C = A + B)</t>
  </si>
  <si>
    <t>D</t>
  </si>
  <si>
    <t>TỔNG CỘNG GIÁ CHÀO SAU THUẾ</t>
  </si>
  <si>
    <t>BẢNG CHÀO GIÁ TỔNG HỢP</t>
  </si>
  <si>
    <t>CÔNG TY TNHH XÂY LẮP VÀ THƯƠNG MẠI LINH ANH</t>
  </si>
  <si>
    <t>Thiết bị đóng cắt: Schneider
Nhà sản xuất vỏ tủ điện: ACIT
Chi tiết cấu tạo theo danh mục tủ điện đính kèm</t>
  </si>
  <si>
    <t>ACIT</t>
  </si>
  <si>
    <t>Việt Nam</t>
  </si>
  <si>
    <t>Cu/Mica/XLPE/LSZH 1x240mm2, 0.6/1kV</t>
  </si>
  <si>
    <t>Taisin</t>
  </si>
  <si>
    <t>Cu/Mica/XLPE/LSZH (3x240+1x120)mm2, 0.6/1kV</t>
  </si>
  <si>
    <t>Cu/Mica/XLPE/LSZH 1x185mm2, 0.6/1kV</t>
  </si>
  <si>
    <t>Cu/Mica/XLPE/LSZH 1x120mm2, 0.6/1kV</t>
  </si>
  <si>
    <t>Cu/Mica/XLPE/LSZH 1x70mm2, 0.6/1kV</t>
  </si>
  <si>
    <t>Cu/Mica/XLPE/LSZH 4x50mm2, 0.6/1kV</t>
  </si>
  <si>
    <t>Cu/Mica/XLPE/LSZH 4x35mm2, 0.6/1kV</t>
  </si>
  <si>
    <t>Cu/Mica/XLPE/LSZH 4x25mm2, 0.6/1kV</t>
  </si>
  <si>
    <t>Cu/Mica/XLPE/LSZH 4x10mm2, 0.6/1kV</t>
  </si>
  <si>
    <t>Cu/Mica/XLPE/LSZH 4x6mm2, 0.6/1kV</t>
  </si>
  <si>
    <t>Cu/Mica/XLPE/LSZH 4x4mm2, 0.6/1kV</t>
  </si>
  <si>
    <t>Cu/Mica/XLPE/LSZH 4x16mm2, 0.6/1kV</t>
  </si>
  <si>
    <t>Cu/XLPE/PVC (3x240+1x120)mm2, 0.6/1kV</t>
  </si>
  <si>
    <t>Cu/XLPE/PVC (3x185+1x95)mm2, 0.6/1kV</t>
  </si>
  <si>
    <t>Cu/XLPE/PVC (3x120+1x70)mm2, 0.6/1kV</t>
  </si>
  <si>
    <t>Cu/XLPE/PVC 1x185mm2, 0.6/1kV</t>
  </si>
  <si>
    <t>Cu/XLPE/PVC 1x120mm2, 0.6/1kV</t>
  </si>
  <si>
    <t>Cu/XLPE/PVC 1x95mm2, 0.6/1kV</t>
  </si>
  <si>
    <t>Cu/XLPE/PVC 1x70mm2, 0.6/1kV</t>
  </si>
  <si>
    <t>Cu/XLPE/PVC 4x50mm2, 0.6/1kV</t>
  </si>
  <si>
    <t>Cu/XLPE/PVC 4x35mm2, 0.6/1kV</t>
  </si>
  <si>
    <t>Cu/XLPE/PVC 4x25mm2, 0.6/1kV</t>
  </si>
  <si>
    <t>Cu/XLPE/PVC 4x16mm2, 0.6/1kV</t>
  </si>
  <si>
    <t>Cu/XLPE/PVC 4x10mm2, 0.6/1kV</t>
  </si>
  <si>
    <t>Cu/XLPE/PVC 4x6mm2, 0.6/1kV</t>
  </si>
  <si>
    <t>Cu/XLPE/PVC 4x4mm2, 0.6/1kV</t>
  </si>
  <si>
    <t>Cu/PVC 1x185mm2, 0.6/1kV</t>
  </si>
  <si>
    <t>Cu/PVC 1x120mm2, 0.6/1kV</t>
  </si>
  <si>
    <t>Cu/PVC 1x95mm2, 0.6/1kV</t>
  </si>
  <si>
    <t>Cu/PVC 1x70mm2, 0.6/1kV</t>
  </si>
  <si>
    <t>Cu/PVC 1x50mm2, 0.6/1kV</t>
  </si>
  <si>
    <t>Cu/PVC  1x35mm2, 0.6/1kV</t>
  </si>
  <si>
    <t>Cu/PVC  1x25mm2, 0.6/1kV</t>
  </si>
  <si>
    <t>Cu/PVC  1x16mm2, 0.6/1kV</t>
  </si>
  <si>
    <t>Cu/PVC 1x10mm2, 0.6/1kV</t>
  </si>
  <si>
    <t>Cu/PVC 1x6mm2, 0.6/1kV</t>
  </si>
  <si>
    <t>Cu/PVC 1x4mm2, 0.6/1kV</t>
  </si>
  <si>
    <t>PHD160125</t>
  </si>
  <si>
    <t>Sam Phú</t>
  </si>
  <si>
    <t xml:space="preserve">Legrand </t>
  </si>
  <si>
    <t>FLUSH CABINET 12M SMOKED DOOR</t>
  </si>
  <si>
    <t>Poland</t>
  </si>
  <si>
    <t>RXE SEA MCB 2P C50 6000A</t>
  </si>
  <si>
    <t>403816</t>
  </si>
  <si>
    <t>China</t>
  </si>
  <si>
    <t>RXE SEA RCBO 1PN C40 6000A 30MA A TYPE</t>
  </si>
  <si>
    <t>403842</t>
  </si>
  <si>
    <t>RXE SEA MCB 1P C16 6000A</t>
  </si>
  <si>
    <t>403802</t>
  </si>
  <si>
    <t>RXE SEA MCB 1P C10 6000A</t>
  </si>
  <si>
    <t>403801</t>
  </si>
  <si>
    <t>Asia</t>
  </si>
  <si>
    <t>Cu/Mica/XLPE/LSZH 3x35mm2, 0.6/1kV</t>
  </si>
  <si>
    <t>Cu/Mica/XLPE/LSZH 3x25mm2, 0.6/1kV</t>
  </si>
  <si>
    <t>Cu/Mica/XLPE/LSZH 3x10mm2, 0.6/1kV</t>
  </si>
  <si>
    <t>Cu/Mica/XLPE/LSZH 3x6mm2, 0.6/1kV</t>
  </si>
  <si>
    <t>Cu/Mica/XLPE/LSZH 3x4mm2, 0.6/1kV</t>
  </si>
  <si>
    <t>Cu/Mica/XLPE/LSZH 3x2.5mm2, 0.6/1kV</t>
  </si>
  <si>
    <t>Cu/Mica/XLPE/LSZH 3x1.5mm2, 0.6/1kV</t>
  </si>
  <si>
    <t>Cu/Mica/XLPE/LSZH 2x10mm2, 0.6/1kV</t>
  </si>
  <si>
    <t>Cu/Mica/XLPE/LSZH 2x6mm2, 0.6/1kV</t>
  </si>
  <si>
    <t>Cu/Mica/XLPE/LSZH 2x4mm2, 0.6/1kV</t>
  </si>
  <si>
    <t>Cu/Mica/LSZH 1x2.5mm2, 0.6/1kV</t>
  </si>
  <si>
    <t>Cu/XLPE/PVC 1x240mm2, 0.6/1kV</t>
  </si>
  <si>
    <t>Cu/XLPE/PVC 3x25mm2, 0.6/1kV</t>
  </si>
  <si>
    <t>Cu/XLPE/PVC 3x10mm2, 0.6/1kV</t>
  </si>
  <si>
    <t>Cu/XLPE/PVC 3x6mm2, 0.6/1kV</t>
  </si>
  <si>
    <t>Cu/XLPE/PVC 3x4mm2, 0.6/1kV</t>
  </si>
  <si>
    <t>Cu/XLPE/PVC 3x2.5mm2, 0.6/1kV</t>
  </si>
  <si>
    <t>Cu/PVC/PVC 4x16mm2, 0.6/1kV</t>
  </si>
  <si>
    <t>Cu/PVC/PVC 4x10mm2, 0.6/1kV</t>
  </si>
  <si>
    <t>Cu/PVC/PVC 4x4mm2, 0.6/1kV</t>
  </si>
  <si>
    <t>Cu/PVC/PVC 2x16mm2, 0.6/1kV</t>
  </si>
  <si>
    <t>Cu/PVC/PVC 2x10mm2, 0.6/1kV</t>
  </si>
  <si>
    <t>Cu/PVC/PVC 2x6mm2, 0.6/1kV</t>
  </si>
  <si>
    <t>Cu/PVC/PVC 2x2.5mm2, 0.6/1kV</t>
  </si>
  <si>
    <t>Cu/PVC/PVC 3x1.5mm2, 0.6/1kV</t>
  </si>
  <si>
    <t>Cu/PVC 1x2.5mm2, 0.6/1kV</t>
  </si>
  <si>
    <t>Cu/PVC 1x1.5mm2, 0.6/1kV</t>
  </si>
  <si>
    <t>Cu/Mica/XLPE/LSZH 3x16mm2, 0.6/1kV</t>
  </si>
  <si>
    <t>Lực nén 1250N</t>
  </si>
  <si>
    <t>HD40</t>
  </si>
  <si>
    <t>Lực nén 750N</t>
  </si>
  <si>
    <t>MD32</t>
  </si>
  <si>
    <t>HD32</t>
  </si>
  <si>
    <t>MD25</t>
  </si>
  <si>
    <t>HD25</t>
  </si>
  <si>
    <t>MD20</t>
  </si>
  <si>
    <t>HD20</t>
  </si>
  <si>
    <t>PHD3225</t>
  </si>
  <si>
    <t>Đơn giá đã bao gồm phụ kiện</t>
  </si>
  <si>
    <t>PM20</t>
  </si>
  <si>
    <t>Đèn downlight liền khối viền trắng đơn sắc Điện áp: 110-245VAC/50Hz
Công suất: 9W
Hiệu suất phát quang: 95lm/w
Nhiệt độ màu: 4000K
Chỉ số IP: 20
CRI≥ 80
Lỗ khoét (mm): 90
Kích thước: 110*35mm
Tuổi thọ: 30.000h</t>
  </si>
  <si>
    <t>SPD2030/9D(SI0139SPD)</t>
  </si>
  <si>
    <t>Simon</t>
  </si>
  <si>
    <t>Đèn ốp nổi
Điện áp: 110-245V
Công suất: 12W
Ánh sáng: 4000K
Góc chiếu 180 độ
Hiệu suất phát quang: 95lm/w
IP: 54
CRI: &gt;80
Kích thước: 170*42mm
Tuổi thọ: 30.000h</t>
  </si>
  <si>
    <t>SPT1001/12D(SI0040SPT)</t>
  </si>
  <si>
    <t>Bộ Công tắc đơn, 1 chiều + Đế âm KT: 77x77x51mm</t>
  </si>
  <si>
    <t>Legrand + Sam Phú</t>
  </si>
  <si>
    <t>China + Việt Nam</t>
  </si>
  <si>
    <t>Bộ Công tắc đôi, 1 chiều + Đế âm KT: 77x77x51mm</t>
  </si>
  <si>
    <t>Bộ Công tắc ba, 1 chiều + Đế âm KT: 77x77x51mm</t>
  </si>
  <si>
    <t>Bộ Công tắc đơn, 2 chiều + Đế âm KT: 77x77x51mm</t>
  </si>
  <si>
    <t>Bộ Công tắc đôi, 2 chiều + Đế âm KT: 77x77x51mm</t>
  </si>
  <si>
    <t>Bộ công tắc 20A 2 cực 1 chiều + Đế âm KT: 77x77x51mm</t>
  </si>
  <si>
    <t>Bộ Công tắc chuông cửa + Bộ Chuông cửa + Đế âm KT: 77x77x51mm</t>
  </si>
  <si>
    <t>Bộ ổ cắm đôi 3 chấu 16A + Đế âm KT: 77x77x51mm</t>
  </si>
  <si>
    <t>Bộ ổ cắm đơn 3 chấu 16A + Đế âm KT: 77x77x51mm</t>
  </si>
  <si>
    <t>Bộ ổ cắm đôi 3 chấu 16A + Mặt che nước cho ổ cắm (loại vuông) + Đế âm KT: 77x77x51mm</t>
  </si>
  <si>
    <t>Bộ ổ cắm đôi 3 chấu 16A âm sàn + Đế ổ cắm âm sàn</t>
  </si>
  <si>
    <t>054010 + 054000 + 572133</t>
  </si>
  <si>
    <t>Legrand</t>
  </si>
  <si>
    <t>KT: 107x107x54mm</t>
  </si>
  <si>
    <t>PA2</t>
  </si>
  <si>
    <t>FLUSH CABINET 18M SMOKED DOOR</t>
  </si>
  <si>
    <t>137156</t>
  </si>
  <si>
    <t>RXE SEA MCB 1P C20 6000A</t>
  </si>
  <si>
    <t>403803</t>
  </si>
  <si>
    <t>RXE SEA RCBO 1PN C32 6000A 30MA A TYPE</t>
  </si>
  <si>
    <t>403841</t>
  </si>
  <si>
    <t>RXE SEA MCB 2P C40 6000A</t>
  </si>
  <si>
    <t>403815</t>
  </si>
  <si>
    <t>FLUSH CABINET 24M SMOKED DOOR</t>
  </si>
  <si>
    <t>135152</t>
  </si>
  <si>
    <t>RXE SEA MCB 3P C50 6000A</t>
  </si>
  <si>
    <t>403825</t>
  </si>
  <si>
    <t>RXE SEA MCB 3P C20 6000A</t>
  </si>
  <si>
    <t>403821</t>
  </si>
  <si>
    <t>RXE SEA MCB 1P C25 6000A</t>
  </si>
  <si>
    <t>403804</t>
  </si>
  <si>
    <t>RXE SEA RCBO 1PN C25 6000A 30MA A TYPE</t>
  </si>
  <si>
    <t>403840</t>
  </si>
  <si>
    <t>DX3 RCBO 3PN C25 6000A 30MA</t>
  </si>
  <si>
    <t>France</t>
  </si>
  <si>
    <t>Đèn led Tube chống ẩm
Công suất: 2*20W
Ánh sáng: 4000K
Hs phát sáng: 110lm/w
Góc chiếu: 120D
CRI: 80
IP: 54
Kích thước: 1286*158*92mm
Tuổi thọ: 30.000h</t>
  </si>
  <si>
    <t>2*SPL1001/20D
+ 
SPL9003/120.2</t>
  </si>
  <si>
    <t>Đèn led Tube chống ẩm
Công suất: 20W
Ánh sáng: 4000K
Hs phát sáng: 110lm/w
Góc chiếu: 120D
CRI: 80
IP: 54
Kích thước: 1286*158*92mm
Tuổi thọ: 30.000h</t>
  </si>
  <si>
    <t>SPL1001/20D
+ 
SPL9003/120.1</t>
  </si>
  <si>
    <t>Đèn led tube đôi
Công suất: 2*20W
Ánh sáng: 4000K
Hs phát sáng: 120lm/w
Góc chiếu: 120D
CRI: 80
IP: 20
Kích thước: 1227*45*28mm
Tuổi thọ: 30.000h</t>
  </si>
  <si>
    <t>2*SPL1001/20D
+
SPL9001/DT120.2</t>
  </si>
  <si>
    <t>Đèn led tube đơn
Công suất: 20W
Ánh sáng: 4000K
Hs phát sáng: 120lm/w
Góc chiếu: 120D
CRI: 80
IP: 20
Kích thước: 1227*45*28mm
Tuổi thọ: 30.000h</t>
  </si>
  <si>
    <t>SPL1001/20D
+
SPL9001/DT120.1</t>
  </si>
  <si>
    <t>Đèn led tube đơn
Công suất: 10W
Ánh sáng: 4000K
Hs phát sáng: 95lm/w
Góc chiếu: 120D
CRI: 80
IP: 20
Kích thước: 627*45*28mm
Tuổi thọ: 30.000h</t>
  </si>
  <si>
    <t>SPL1001-10D
+ 
SPL9001/DT60.1</t>
  </si>
  <si>
    <t>Đèn led tube chống ẩm
Công suất: 10W
Ánh sáng: 4000K
Hs phát sáng: 95lm/w
Góc chiếu: 120D
CRI: 80
IP: 54
Kích thước: 660*95*92mm
Tuổi thọ: 30.000h</t>
  </si>
  <si>
    <t>SPL1001/10D
+
SPL9003/60.1</t>
  </si>
  <si>
    <t>Đèn panel âm trần
Công suất: 40W
Ánh sáng: 4000K
Hs phát sáng: 100lm/w
PF: 0.9
CRI: 80
IP: 40
Kích thước: 600*600*30mm
Lỗ khoét: 585*585mm
Tuổi thọ: 30.000h</t>
  </si>
  <si>
    <t>SPP1001/060640D</t>
  </si>
  <si>
    <t>N03E0-1026</t>
  </si>
  <si>
    <t>Đèn báo không 
Nhiệt độ màu: 6500K
HS phát quang: 70 Lm/W
Kiểu nhấp nháy, 15-60 lần/phút, có thể điều chỉnh
Kích thước: 210x450mm</t>
  </si>
  <si>
    <t>SPO1001/10W</t>
  </si>
  <si>
    <t>Đèn âm tường
Công suất: 5W 
Hs phát sáng: 40lm/w 
Ánh sáng: 3000K 
CRI: 80 
IP 65 
Kích thước: 170*70*55mm 
Lỗ khoét: 155*55mm 
Tuổi thọ: 50000h</t>
  </si>
  <si>
    <t>SPC9001/5W</t>
  </si>
  <si>
    <t>LED dây 24VDC, công suất 7W/m, 3000K , IP 20</t>
  </si>
  <si>
    <t>SPS1007/7W</t>
  </si>
  <si>
    <t xml:space="preserve">Bộ đổi nguồn 24VDC 150W cho LED dây </t>
  </si>
  <si>
    <t>N6524-0343</t>
  </si>
  <si>
    <t>Đèn spotlight KC1 Module
Công suất: 3* 9W
Nhiệt độ màu: 4000K
Góc chiếu: 36° 
Quang thông: 2150lm
Hiệu suất phát quang: 80lm/W
CRI&gt;90
Tuổi thọ: 50000h</t>
  </si>
  <si>
    <t>3*N0424-2052
+
N0424-0281</t>
  </si>
  <si>
    <t>Mạ kẽm điện phân</t>
  </si>
  <si>
    <t>Mạ kẽm nhúng nóng</t>
  </si>
  <si>
    <t>50 cái/gói</t>
  </si>
  <si>
    <t>Feeder</t>
  </si>
  <si>
    <t>BFC2532GM65FR</t>
  </si>
  <si>
    <t>Schneider</t>
  </si>
  <si>
    <t>Elbow</t>
  </si>
  <si>
    <t>BFC2532GELM65FR</t>
  </si>
  <si>
    <t>Flanged Ends</t>
  </si>
  <si>
    <t>BFC2532GFECM65FR</t>
  </si>
  <si>
    <t>Edgewise Horizontal hanger</t>
  </si>
  <si>
    <t>HF16E</t>
  </si>
  <si>
    <t>BFC2516GM65FR</t>
  </si>
  <si>
    <t>BFC2516GELM65FR</t>
  </si>
  <si>
    <t>BFC2516GFECM65FR</t>
  </si>
  <si>
    <t>HF78E</t>
  </si>
  <si>
    <t>BFC2520GM65N</t>
  </si>
  <si>
    <t>BFC2520GM54N</t>
  </si>
  <si>
    <t>Plug-in Opening</t>
  </si>
  <si>
    <t>BPIO3M</t>
  </si>
  <si>
    <t>BFC2520GELM65N</t>
  </si>
  <si>
    <t>BFC2520GFECM65N</t>
  </si>
  <si>
    <t>End closure</t>
  </si>
  <si>
    <t>ACD88EC5M65</t>
  </si>
  <si>
    <t>HF88E</t>
  </si>
  <si>
    <t>Vertical Spring Hanger</t>
  </si>
  <si>
    <t>HFVS1</t>
  </si>
  <si>
    <t xml:space="preserve">160A NSXF 3P Breaker I-LINE II PIU </t>
  </si>
  <si>
    <t>PL1NSXF160GN1M54</t>
  </si>
  <si>
    <t xml:space="preserve">100A NSXF 3P Breaker I-LINE II PIU </t>
  </si>
  <si>
    <t>PL1NSXF100GN1M54</t>
  </si>
  <si>
    <t>Kim thu sét phát xạ sớm XPRO Rp=107m</t>
  </si>
  <si>
    <t>ALR-04</t>
  </si>
  <si>
    <t>Kalre</t>
  </si>
  <si>
    <t>Turkey</t>
  </si>
  <si>
    <t>Giá đỡ kim thu sét cao 5m bao gồm dây neo và phụ kiện</t>
  </si>
  <si>
    <t>Kumwell</t>
  </si>
  <si>
    <t>Thailand</t>
  </si>
  <si>
    <t>Cu 70mm2</t>
  </si>
  <si>
    <t>Thanh đông 25x3mm</t>
  </si>
  <si>
    <t>COBCT 253</t>
  </si>
  <si>
    <t>Cu 16mm2</t>
  </si>
  <si>
    <t>Cu 120mm2</t>
  </si>
  <si>
    <t>Cu 240mm2</t>
  </si>
  <si>
    <t>Cu/PVC  1x120mm2, 0.6/1kV</t>
  </si>
  <si>
    <t>Thanh bar tiếp địa
KT: 350x100x6mm</t>
  </si>
  <si>
    <t>GBPGSS-6D</t>
  </si>
  <si>
    <t>Cọc tiếp địa D17.2 dài 2.4m, lớp mạ dày 254micron
+ Thuốc hàn 115g/lọ</t>
  </si>
  <si>
    <t>GRCBU 348
+ KW115</t>
  </si>
  <si>
    <t>Hộp kiểm tra tiếp địa
KT (LxWxH): 265x159x70mm</t>
  </si>
  <si>
    <t>GYATB</t>
  </si>
  <si>
    <t>Đơn giá đã bao gồm phụ kiện
Đơn giá đi âm</t>
  </si>
  <si>
    <t>PM25</t>
  </si>
  <si>
    <t>PM32</t>
  </si>
  <si>
    <t>Ống luồn dây mềm D25</t>
  </si>
  <si>
    <t>Ống luồn dây mềm D32</t>
  </si>
  <si>
    <t>Cơ điện Hải Dương</t>
  </si>
  <si>
    <t>MEC21001WH + PAV5</t>
  </si>
  <si>
    <t>MEC21005WH + PAV5</t>
  </si>
  <si>
    <t>MEC21008WH + PAV5</t>
  </si>
  <si>
    <t>MEC22002WH + PAV5</t>
  </si>
  <si>
    <t>MEC22006WH + PAV5</t>
  </si>
  <si>
    <t>MEC21025WH + PAV5</t>
  </si>
  <si>
    <t>MEC23023WH + 74NT + PAV5</t>
  </si>
  <si>
    <t>MEC31049WH + PAV5</t>
  </si>
  <si>
    <t>MEC32045WH + PAV5</t>
  </si>
  <si>
    <t>MEC31049WH + 617636 + PAV5</t>
  </si>
  <si>
    <t>MEC21001WH+ PAV5</t>
  </si>
  <si>
    <t>IMCN100</t>
  </si>
  <si>
    <t>IMCN114</t>
  </si>
  <si>
    <t>TV-HMB-28</t>
  </si>
  <si>
    <t>TV-HMB-36</t>
  </si>
  <si>
    <t>TV-HMB-42</t>
  </si>
  <si>
    <t>Ống ruột gà lõi thép bọc nhựa PVC 1"</t>
  </si>
  <si>
    <t>Ống ruột gà lõi thép bọc nhựa PVC 1-1/4"</t>
  </si>
  <si>
    <t>Ống ruột gà lõi thép bọc nhựa PVC 1-1/2"</t>
  </si>
  <si>
    <t>Ống thép luồn dây điện ren IMC 1-1/4" (Nhúng nóng)</t>
  </si>
  <si>
    <t>Ống thép luồn dây điện ren IMC 1" (Nhúng nóng)</t>
  </si>
  <si>
    <t>Ống thép luồn dây điện ren IMC 1-1/2" (Nhúng nóng)</t>
  </si>
  <si>
    <t>IMCN112</t>
  </si>
  <si>
    <t>BẢNG TỔNG HỢP THÔNG TIN</t>
  </si>
  <si>
    <t>GÓI THẦU: CUNG CẤP VTTB VÀ THI CÔNG LẮP ĐẶT HỆ THỐNG CƠ ĐIỆN</t>
  </si>
  <si>
    <t>DỰ ÁN: TÒA NHÀ HỖN HỢP HACOM MALL</t>
  </si>
  <si>
    <t>ĐIỀU KIỆN THƯƠNG MẠI</t>
  </si>
  <si>
    <t>ĐỀ XUẤT CÁC ĐIỀU KHOẢN THƯƠNG MẠI CỦA NHÀ THẦU</t>
  </si>
  <si>
    <t xml:space="preserve">Tiến độ thi công </t>
  </si>
  <si>
    <t>540 ngày ~ 18 tháng</t>
  </si>
  <si>
    <t>Hình thức Hợp đồng</t>
  </si>
  <si>
    <t>Đơn giá cố định, khối lượng nghiệm thu theo thực tế</t>
  </si>
  <si>
    <t>Bảo lãnh thực hiện HĐ</t>
  </si>
  <si>
    <t>2% GTHĐ</t>
  </si>
  <si>
    <t>Tạm ứng</t>
  </si>
  <si>
    <t>20% GTHĐ trước thuế</t>
  </si>
  <si>
    <t>Bảo lãnh tạm ứng</t>
  </si>
  <si>
    <t>Thư Bão Lãnh Tạm Ứng có giá trị hiệu lực cho đến khi Bên A thu hồi hết khoản tiền tạm ứng đạt 80% giá trị Hợp Đồng đã ký. Trước ngày Thư bảo lãnh hết hạn tối đa 10 ngày mà Bên A vẫn chưa thu hồi hết khoản tiền tạm ứng nêu trên thì Bên B có trách nhiệm gia hạn Thư Bão Lãnh Tạm Ứng.</t>
  </si>
  <si>
    <t>Thanh toán vật tư</t>
  </si>
  <si>
    <t>Đến 70% Giá trị vật tư (Được nghiệm thu)</t>
  </si>
  <si>
    <t>Thanh toán Khối lượng hoàn thành</t>
  </si>
  <si>
    <t>Đến 90% KLHT</t>
  </si>
  <si>
    <t>Quyết toán</t>
  </si>
  <si>
    <t>Đến 100% KLHT</t>
  </si>
  <si>
    <t>Thời gian bảo hành (≥ 24 tháng)</t>
  </si>
  <si>
    <t>24 tháng</t>
  </si>
  <si>
    <t>Bằng chứng thư bảo lãnh vô điều kiện, không hủy ngang, thanh toán ngay lập tức của ngân hàng uy tín có giá trị bằng 5% giá trị quyết toán.</t>
  </si>
  <si>
    <t>Đế âm KT: 77x77x51mm</t>
  </si>
  <si>
    <t>PAV5</t>
  </si>
  <si>
    <t>Bao gồm cả ống nổi + âm</t>
  </si>
  <si>
    <t>Eusduct</t>
  </si>
  <si>
    <t>Vữa chống cháy tỷ trọng nặng</t>
  </si>
  <si>
    <t>VIT-MFH</t>
  </si>
  <si>
    <t>VitSiL</t>
  </si>
  <si>
    <t>Keo chèn bịt làm kín chống cháy trương nở</t>
  </si>
  <si>
    <t>VIT-XF</t>
  </si>
  <si>
    <t>Nhân công thi công xuyên sàn và vật tư phụ (lập là thép mạ kẽm điện phân 30x3mm, bông khoáng &gt;=100kg/m3, tôn mạ kẽm &gt;=0.48mm, dây thít, bulong, vít…). Tính theo diện tích lỗ mở không trừ thiết bị chiếm chỗ</t>
  </si>
  <si>
    <t>Băng quấn (Đai) chống cháy lan trương nở</t>
  </si>
  <si>
    <t>VIT-WSF</t>
  </si>
  <si>
    <t>Đơn giá vật liệu đã bao gồm nhân công</t>
  </si>
  <si>
    <t>R410A/ R32</t>
  </si>
  <si>
    <t>IV.1</t>
  </si>
  <si>
    <t>IV.2</t>
  </si>
  <si>
    <t>IV.3</t>
  </si>
  <si>
    <t>HVAC - ĐH VRV</t>
  </si>
  <si>
    <t>HVAC - QUẠT</t>
  </si>
  <si>
    <t>HVAC - ĐHKK &amp; TG</t>
  </si>
  <si>
    <t>Wolter</t>
  </si>
  <si>
    <t>CPM 1515</t>
  </si>
  <si>
    <t>TH VINASUN</t>
  </si>
  <si>
    <t>VNS-AV6-25</t>
  </si>
  <si>
    <t>VNS-AV6-15</t>
  </si>
  <si>
    <t>VNS-AV6-20</t>
  </si>
  <si>
    <t>VNS-AF5-7T
Động cơ ATT IE1</t>
  </si>
  <si>
    <t>VNS-AF5-8T
Động cơ ATT IE1</t>
  </si>
  <si>
    <t>VNS-AF9-4T</t>
  </si>
  <si>
    <t>VNS-AF5-9T
Động cơ ATT IE1</t>
  </si>
  <si>
    <t>VNS-AF5-5T
Động cơ ATT IE1</t>
  </si>
  <si>
    <t xml:space="preserve">VNS-DP200 </t>
  </si>
  <si>
    <t>VNS-FPC-450T
Động cơ ATT IE1</t>
  </si>
  <si>
    <t>VNS-AV6-30</t>
  </si>
  <si>
    <t>VNS-CF1-9T
Động cơ ATT IE1</t>
  </si>
  <si>
    <t>VNS-AF5-6T
Động cơ ATT IE1</t>
  </si>
  <si>
    <t>VNS-AF5-10.5T
Động cơ ATT IE1</t>
  </si>
  <si>
    <t>VNS-AF5-9T
động cơ ATT IE1</t>
  </si>
  <si>
    <t>VNS-AF5-8T
động cơ ATT IE1</t>
  </si>
  <si>
    <t>VNS-AF5-10.5T
động cơ ATT IE1</t>
  </si>
  <si>
    <t>THUẾ VAT</t>
  </si>
  <si>
    <t>Bơm biến tần tăng áp khối đế (thông số 1 bơm Q=40m3/h. H=56m,N=11KW), ( bao gồm phụ kiện )</t>
  </si>
  <si>
    <t>Bơm biến tần tăng áp mái khối A (thông số 1 bơm Q=27m3/h. H=25m,N=3.7KW), ( bao gồm phụ kiện )</t>
  </si>
  <si>
    <t>Bình tích áp 500L (bao gồm đồng hồ đo áp, công tắc áp lực liên động bơm tăng áp), ( bao gồm phụ kiện)</t>
  </si>
  <si>
    <t>Cụm đồng hồ nước DN100 (gồm 01 đồng hồ, 02 van bướm, 01 mối nối mềm)</t>
  </si>
  <si>
    <t>Cụm đồng hồ nước DN50 (gồm 01 đồng hồ, 02 van khóa, kèm phụ kiện)</t>
  </si>
  <si>
    <t>Cụm đồng hồ nước DN40 (gồm 01 đồng hồ, 02 van khóa, kèm phụ kiện)</t>
  </si>
  <si>
    <t>Cụm đồng hồ nước DN32 (gồm 01 đồng hồ, 02 van khóa, kèm phụ kiện)</t>
  </si>
  <si>
    <t>Cụm đồng hồ nước DN25 (gồm 01 đồng hồ, 02 van khóa, kèm phụ kiện)</t>
  </si>
  <si>
    <t>Cụm đồng hồ nước DN20 (gồm 01 đồng hồ, 02 van khóa, kèm phụ kiện)</t>
  </si>
  <si>
    <t>Cụm đồng hồ nước DN15 (gồm 01 đồng hồ, 02 van khóa, kèm phụ kiện)</t>
  </si>
  <si>
    <t>Bơm biến tần tăng áp mái khối B (thông số 1 bơm Q=30m3/h. H=25m,N=3.7KW), ( bao gồm phụ kiện )</t>
  </si>
  <si>
    <t>Bơm chìm nước thải Q=12m3/h, H=15m, 1.5kW, 380V/3P/50Hz, 2Pole, Thân và cánh gang, trục thép không gỉ
Bao gồm khớp nối nhanh chính hãng, xích kéo và thanh dẫn hướng Việt Nam, van phao điện Mac3 Italia…</t>
  </si>
  <si>
    <t>FAG 50C 20.30/15</t>
  </si>
  <si>
    <t>Bơm chìm nước thải Q=10m3/h, H=15m, 1.5kW, 380V/3P/50Hz, 2Pole, Thân và cánh gang, trục thép không gỉ
Bao gồm khớp nối nhanh chính hãng, xích kéo và thanh dẫn hướng Việt Nam, van phao điện Mac3 Italia…</t>
  </si>
  <si>
    <t>Bơm chìm nước thải Q=6m3/h, H=6m, 0.45kW, 380V/3P/50Hz, 2Pole, Thân gang, cánh gang, trục thép không gỉ
Bao gồm xích kéo và thanh dẫn hướng Việt Nam, van phao điện Mac3 Italia…</t>
  </si>
  <si>
    <t>FAG 50Z 11.14/4.5</t>
  </si>
  <si>
    <t>Bơm cấp nước ly tâm, trục đứng, đa tầng cánh, Q=40m3/h, H=130m, 22kW, 380V/3P/50Hz, 2Pole, Thân gang, cánh và trục thép không gỉ</t>
  </si>
  <si>
    <t>Helix FIRST V 3608-5/25/E/KS/400-50</t>
  </si>
  <si>
    <t>Bơm cấp nước ly tâm, trục đứng, đa tầng cánh, Q=40m3/h, H=120m, 22kW, 380V/3P/50Hz, 2Pole, Thân gang, cánh và trục thép không gỉ</t>
  </si>
  <si>
    <t>Helix FIRST V 3607-5/25/E/KS/400-50</t>
  </si>
  <si>
    <t>SIBOOST-B-2-HELIX V3604/2-VRS-N</t>
  </si>
  <si>
    <t>SIBOOST-B-2-HELIX V2203-VRS-N</t>
  </si>
  <si>
    <t>Đã bao gồm trong cụm bơm tăng áp</t>
  </si>
  <si>
    <t>Công tắc mực nước 3 cực</t>
  </si>
  <si>
    <t>61F-GAP</t>
  </si>
  <si>
    <t>Omron</t>
  </si>
  <si>
    <t>Japan + China</t>
  </si>
  <si>
    <t>Van búa nước, nối bích</t>
  </si>
  <si>
    <t>Flowsure</t>
  </si>
  <si>
    <t>Van xả áp, nối bích</t>
  </si>
  <si>
    <t>Van phao, nối bích</t>
  </si>
  <si>
    <t>FSFL.16</t>
  </si>
  <si>
    <t>Van xả khí đồng thau, nối ren</t>
  </si>
  <si>
    <t>F.725.16</t>
  </si>
  <si>
    <t>Công tắc áp suất kèm van bi tay gạt Việt Nam, áp lực làm việc PN2-PN14</t>
  </si>
  <si>
    <t>KP36</t>
  </si>
  <si>
    <t>Danfoss</t>
  </si>
  <si>
    <t>India</t>
  </si>
  <si>
    <t>Bể Inox 304 lắp ghép
- Kích thước: D4.0(2.0+2.0) x R4.0 x C2.5 (m);
- Dung tích bể: 32m3;
- Chia ngăn: Không chia ngăn;
- Trọng lượng: Khoảng 1.8 tấn;
- Vật liệu: Inox SUS 304; Tấm panel đáy bể dày 3.0mm dập chỏm cầu tăng cứng tại nhà máy, quy cách giống tấm thành và nóc, tấm panel thành 1 (1000x500) dày 2.5mm; Tấm panel thành 2 dày 2.0mm; thành 3 dày 1.5mm; Tấm móc bể dày 1.2mm; Sản xuất theo tiêu chuẩn JIS G4305:2012/ASTM-A240; Hệ giằng, chống trong bể V30x2.0-2.5mm; Hệ U100x45x4.0 chấn mạ kẽm nhúng nóng, lắp đặt bằng bulong mạ kẽm;
- Sản xuất theo tiêu chuẩn hệ thống ISO 9001:2015;
- Phương pháp lắp đặt: Hàn TIG tại hiện trường.</t>
  </si>
  <si>
    <t>Bể Inox 304 lắp ghép
- Kích thước: D6.0(3.0+3.0) x R3.0 x C2.5 (m);
- Dung tích bể: 36m3;
- Chia ngăn: Không chia ngăn;
- Trọng lượng: Khoảng 2.2 tấn;
- Vật liệu: Inox SUS 304; Tấm panel đáy bể dày 3.0mm dập chỏm cầu tăng cứng tại nhà máy, quy cách giống tấm thành và nóc, tấm panel thành 1 (1000x500) dày 2.5mm; Tấm panel thành 2 dày 2.0mm; thành 3 dày 1.5mm; Tấm móc bể dày 1.2mm; Sản xuất theo tiêu chuẩn JIS G4305:2012/ASTM-A240; Hệ giằng, chống trong bể V30x2.0-2.5mm; Hệ U100x45x4.0 chấn mạ kẽm nhúng nóng, lắp đặt bằng bulong mạ kẽm;
- Sản xuất theo tiêu chuẩn hệ thống ISO 9001:2015;
- Phương pháp lắp đặt: Hàn TIG tại hiện trường.</t>
  </si>
  <si>
    <t>Đồng hồ đo nước thân gang, nối bích
+ Van bướm tay gạt, nối kẹp
+ Khớp nối mềm inox, nối bích</t>
  </si>
  <si>
    <t>Đồng hồ đo nước thân đồng, nối ren
+ Van cổng đồng thau, nối ren</t>
  </si>
  <si>
    <t>Ống inox CN tròn 304 D168.28 dày 3.4mm, SCH10s theo tiêu chuẩn ASTM A312</t>
  </si>
  <si>
    <t>Ống inox CN tròn 304 D141.3 dày 3.4mm, SCH10s theo tiêu chuẩn ASTM A312</t>
  </si>
  <si>
    <t>Ống inox CN tròn 304 D114.3 dày 3.0mm, SCH10s theo tiêu chuẩn ASTM A312</t>
  </si>
  <si>
    <t>Ống inox CN tròn 304 D88.9 dày 3.0mm, SCH10s theo tiêu chuẩn ASTM A312</t>
  </si>
  <si>
    <t>Ống PPR D110 x 10mm, PN10</t>
  </si>
  <si>
    <t>Đệ Nhất</t>
  </si>
  <si>
    <t>Ống PPR D90 x 8.2mm, PN10</t>
  </si>
  <si>
    <t>Ống PPR D63 x 5.8mm, PN10</t>
  </si>
  <si>
    <t>Ống PPR D50 x 4.6mm, PN10</t>
  </si>
  <si>
    <t>Ống PPR D40 x 3.7mm, PN10</t>
  </si>
  <si>
    <t>Ống PPR D32 x 2.9mm, PN10</t>
  </si>
  <si>
    <t>Ống PPR D25 x 2.8mm, PN10</t>
  </si>
  <si>
    <t>Ống PPR D20 x 2.3mm, PN10</t>
  </si>
  <si>
    <t>Ống PPR D140 x 19.2mm, PN16</t>
  </si>
  <si>
    <t>Ống PPR D110 x 15.1mm, PN16</t>
  </si>
  <si>
    <t>Ống PPR D90 x 12.3mm, PN16</t>
  </si>
  <si>
    <t>Ống PPR D25 x 3.5mm, PN16</t>
  </si>
  <si>
    <t>Ống HDPE D110 x 6.6mm, PN10</t>
  </si>
  <si>
    <t>Tê giảm PPR D140/110 + Nối giảm PPR D110/90</t>
  </si>
  <si>
    <t>Tê PPR D110</t>
  </si>
  <si>
    <t>Tê giảm PPR D110/90</t>
  </si>
  <si>
    <t>Tê giảm PPR D110/63</t>
  </si>
  <si>
    <t>Tê giảm PPR D90/63</t>
  </si>
  <si>
    <t>Tê PPR D63</t>
  </si>
  <si>
    <t>Tê giảm PPR D63/50</t>
  </si>
  <si>
    <t>Tê giảm PPR D63/40</t>
  </si>
  <si>
    <t>Tê giảm PPR D63/32</t>
  </si>
  <si>
    <t>Tê giảm PPR D63/25</t>
  </si>
  <si>
    <t>Tê giảm PPR D63/20</t>
  </si>
  <si>
    <t>Tê PPR D50</t>
  </si>
  <si>
    <t>Tê giảm PPR D50/40</t>
  </si>
  <si>
    <t>Tê giảm PPR D50/32</t>
  </si>
  <si>
    <t>Tê giảm PPR D50/25</t>
  </si>
  <si>
    <t>Tê giảm PPR D40/32</t>
  </si>
  <si>
    <t>Tê giảm PPR D40/25</t>
  </si>
  <si>
    <t>Tê giảm PPR D40/20</t>
  </si>
  <si>
    <t>Tê PPR D32</t>
  </si>
  <si>
    <t>Tê giảm PPR D32/25</t>
  </si>
  <si>
    <t>Tê giảm PPR D32/20</t>
  </si>
  <si>
    <t>Tê PPR D25</t>
  </si>
  <si>
    <t>Tê giảm PPR D25/20</t>
  </si>
  <si>
    <t>Tê giảm PPR D50/20</t>
  </si>
  <si>
    <t>Tê PPR D40</t>
  </si>
  <si>
    <t>Tê PPR D90</t>
  </si>
  <si>
    <t>Co90 PPR D140</t>
  </si>
  <si>
    <t>Co90 PPR D110</t>
  </si>
  <si>
    <t>Co90 PPR D90</t>
  </si>
  <si>
    <t>Co90 PPR D50</t>
  </si>
  <si>
    <t>Co90 PPR D40</t>
  </si>
  <si>
    <t>Co90 PPR D32</t>
  </si>
  <si>
    <t>Co90 PPR D25</t>
  </si>
  <si>
    <t>Co90 PPR D20</t>
  </si>
  <si>
    <t>Co90 PPR D63</t>
  </si>
  <si>
    <t>Nối giảm PPR D140/110 + Nối giảm PPR D110/90</t>
  </si>
  <si>
    <t>Nối giảm PPR D110/90</t>
  </si>
  <si>
    <t>Nối giảm PPR D110/75</t>
  </si>
  <si>
    <t>Nối giảm PPR D40/32</t>
  </si>
  <si>
    <t>Nối giảm PPR D40/25</t>
  </si>
  <si>
    <t>Nối giảm PPR D32/25</t>
  </si>
  <si>
    <t>Nối giảm PPR D32/20</t>
  </si>
  <si>
    <t>Nối giảm PPR D25/20</t>
  </si>
  <si>
    <t>Nối giảm PPR D40/20</t>
  </si>
  <si>
    <t>Nối giảm PPR D50/40</t>
  </si>
  <si>
    <t>Nối giảm PPR D50/32</t>
  </si>
  <si>
    <t>Nối giảm PPR D50/25</t>
  </si>
  <si>
    <t>Nối giảm PPR D63/40</t>
  </si>
  <si>
    <t>Nối giảm PPR D63/25</t>
  </si>
  <si>
    <t>Nối giảm PPR D63/32</t>
  </si>
  <si>
    <t>Nối giảm PPR D63/50</t>
  </si>
  <si>
    <t>Nối giảm PPR D60/50</t>
  </si>
  <si>
    <t>Nối giảm PPR D90/40</t>
  </si>
  <si>
    <t>Nối giảm PPR D75/40</t>
  </si>
  <si>
    <t>Nối RT PPR D63 x 2''</t>
  </si>
  <si>
    <t>Nối RT PPR D50 x 1 1/2''</t>
  </si>
  <si>
    <t>Nối RT PPR D40 x 1 1/4''</t>
  </si>
  <si>
    <t>Nối RT PPR D32 x 1''</t>
  </si>
  <si>
    <t>Nối RT PPR D25 x 3/4''</t>
  </si>
  <si>
    <t>Nối RT PPR D20 x 1/2''</t>
  </si>
  <si>
    <t>Nối PPR D140</t>
  </si>
  <si>
    <t>Nối PPR D110</t>
  </si>
  <si>
    <t>Nối PPR D90</t>
  </si>
  <si>
    <t>Nối PPR D63</t>
  </si>
  <si>
    <t>Nối PPR D50</t>
  </si>
  <si>
    <t>Nối PPR D40</t>
  </si>
  <si>
    <t>Nối PPR D32</t>
  </si>
  <si>
    <t>Nối PPR D25</t>
  </si>
  <si>
    <t>Nối PPR D20</t>
  </si>
  <si>
    <t>Co90 HDPE D110</t>
  </si>
  <si>
    <t>Mặt bích HDPE D110 + Bích inox 304 lồng DN100</t>
  </si>
  <si>
    <t>Tê HDPE D110</t>
  </si>
  <si>
    <t>Mặt bích PPR D140 + Bích inox 304 lồng DN125</t>
  </si>
  <si>
    <t>Mặt bích PPR D110 + Bích inox 304 lồng DN100</t>
  </si>
  <si>
    <t>Mặt bích PPR D90 + Bích inox 304 lồng DN80</t>
  </si>
  <si>
    <t>Cút inox 304</t>
  </si>
  <si>
    <t>Tê inox 304</t>
  </si>
  <si>
    <t xml:space="preserve">Van cổng ty chìm, nối bích </t>
  </si>
  <si>
    <t>FSNG.16</t>
  </si>
  <si>
    <t xml:space="preserve">Van cổng đồng thau, nối ren </t>
  </si>
  <si>
    <t>FSGT.16</t>
  </si>
  <si>
    <t>Van giảm áp đồng thau, nối ren</t>
  </si>
  <si>
    <t>F.840.16</t>
  </si>
  <si>
    <t>Van một chiều lá lật, nối bích</t>
  </si>
  <si>
    <t>FSSC.16</t>
  </si>
  <si>
    <t>Vòi nước rửa
Chất liệu: Đồng mạ nikel</t>
  </si>
  <si>
    <t>BC-01S</t>
  </si>
  <si>
    <t>Thủy Sanh</t>
  </si>
  <si>
    <t>Quạt hút mùi hướng trục
T4/EF-02, Q=600m3/h, 150Pa, CSĐ: 0.13kW, Điện áp 1P/220V/50Hz, Độ ồn 43 dBA (dBA @ 3m), Tốc độ vòng quay 2P, IP44, Nhựa ABS</t>
  </si>
  <si>
    <t>Quạt cấp gió tươi hướng trục
T4/SF-01, Q=600m3/h, 150Pa, CSĐ: 0.13kW, Điện áp 1P/220V/50Hz, Độ ồn 43 dBA (dBA @ 3m), Tốc độ vòng quay 2P, IP44, Nhựa ABS</t>
  </si>
  <si>
    <t>Quạt hút mùi hướng trục
T5/EF-03, Q=750m3/h, 250Pa, CSĐ: 0.13kW, Điện áp 1P/220V/50Hz, Độ ồn 43 dBA (dBA @ 3m), Tốc độ vòng quay 2P, IP44, Nhựa ABS</t>
  </si>
  <si>
    <t>Quạt hút mùi hướng trục
T5/È-05, Q=700m3/h, 250Pa, CSĐ: 0.13kW, Điện áp 1P/220V/50Hz, Độ ồn 43 dBA (dBA @ 3m), Tốc độ vòng quay 2P, IP44, Nhựa ABS</t>
  </si>
  <si>
    <t>Quạt cấp gió tươi hướng trục
T23/SF-01, Q=710m3/h, 150Pa, CSĐ: 0.13kW, Điện áp 1P/220V/50Hz, Độ ồn 43 dBA (dBA @ 3m), Tốc độ vòng quay 2P, IP44, Nhựa ABS</t>
  </si>
  <si>
    <t>VNS-CF1-8T
Động cơ ATT IE1</t>
  </si>
  <si>
    <t>VNS-CF4-10T
Động cơ ATT IE1</t>
  </si>
  <si>
    <t>VNS-FPC-820T
Động cơ ATT IE1</t>
  </si>
  <si>
    <t>VNS-FPC-900T
Động cơ ATT IE1</t>
  </si>
  <si>
    <t>Ống inox CN tròn 304 D219.08 dày 3.5mm, SCH10s theo tiêu chuẩn ASTM A312</t>
  </si>
  <si>
    <t>Ống inox CN tròn 304 D42.16 dày 2.5mm, SCH10s theo tiêu chuẩn ASTM A312</t>
  </si>
  <si>
    <t>FSNG.25</t>
  </si>
  <si>
    <t>Y lọc, nối bích</t>
  </si>
  <si>
    <t>FSY.25</t>
  </si>
  <si>
    <t>Van một chiều là lật, nối bích</t>
  </si>
  <si>
    <t>FSSC.25</t>
  </si>
  <si>
    <t>Khớp nối mềm inox, nối bích</t>
  </si>
  <si>
    <t>FSSEF.25</t>
  </si>
  <si>
    <t>Bích đặc inox 304</t>
  </si>
  <si>
    <t>Bích rỗng inox 304</t>
  </si>
  <si>
    <t>Đồng hồ đo áp suất kèm van bi tay gạt và siphong Việt Nam, giải đo 0- 25Kg/cm2</t>
  </si>
  <si>
    <t xml:space="preserve">F.1520 </t>
  </si>
  <si>
    <t>Rọ hút, nối bích</t>
  </si>
  <si>
    <t>Côn lệch inox 304</t>
  </si>
  <si>
    <t>Ống uPVC D280 x 13.4mm, PN10</t>
  </si>
  <si>
    <t>Ống uPVC D250 x 11.9mm, PN10</t>
  </si>
  <si>
    <t>Ống uPVC D200 x 9.6mm, PN10</t>
  </si>
  <si>
    <t>Ống uPVC D180 x 8.6mm, PN10</t>
  </si>
  <si>
    <t>Ống uPVC D160 x 7.7mm, PN10</t>
  </si>
  <si>
    <t>Ống uPVC D140 x 6.7mm, PN10</t>
  </si>
  <si>
    <t>Ống uPVC D125 x 6mm, PN10</t>
  </si>
  <si>
    <t>Ống uPVC D125 x 4.8mm, PN8</t>
  </si>
  <si>
    <t>Ống uPVC D110 x 5.3mm, PN10</t>
  </si>
  <si>
    <t>Ống uPVC D110 x 4.2mm, PN8</t>
  </si>
  <si>
    <t>Ống uPVC D90 x 3.5mm, PN8</t>
  </si>
  <si>
    <t>Ống uPVC D250 x 7.3mm, PN6</t>
  </si>
  <si>
    <t>Ống uPVC D140 x 4.1mm, PN6</t>
  </si>
  <si>
    <t>Ống uPVC D110 x 3.2mm, PN6</t>
  </si>
  <si>
    <t>Ống uPVC D90 x 2.7mm, PN6</t>
  </si>
  <si>
    <t>Ống uPVC D90 x 4.3mm, PN10</t>
  </si>
  <si>
    <t>Ống uPVC D75 x 2.2mm, PN6</t>
  </si>
  <si>
    <t>Ống uPVC D48 x 1.6mm, PN6</t>
  </si>
  <si>
    <t>Ống HDPE D140 x 8.3mm, PN10</t>
  </si>
  <si>
    <t>Ống HDPE D75 x 4.5mm, PN10</t>
  </si>
  <si>
    <t>Ống HDPE D280 x 16.6mm, PN10</t>
  </si>
  <si>
    <t>Ống HDPE D200 x 11.9mm, PN10</t>
  </si>
  <si>
    <t>Hòa Phát</t>
  </si>
  <si>
    <t>Ống thép mạ kẽm DN100 dày 4.5mm, theo tiêu chuẩn BS EN 10255:2004 (BS 1387:1985)</t>
  </si>
  <si>
    <t>Y uPVC D280, PN12.5</t>
  </si>
  <si>
    <t>Y giảm uPVC D280/250, PN12.5</t>
  </si>
  <si>
    <t>Y uPVC D250, PN12.5</t>
  </si>
  <si>
    <t>Y giảm uPVC D250/200, PN12.5</t>
  </si>
  <si>
    <t>Y giảm uPVC D250/180, PN12.5</t>
  </si>
  <si>
    <t>Y uPVC D200, PN12.5</t>
  </si>
  <si>
    <t>Y giảm uPVC D200/180, PN12.5</t>
  </si>
  <si>
    <t>Y giảm uPVC D200/160, PN12.5 + Nối giảm uPVC D160/125, PN12.5</t>
  </si>
  <si>
    <t>Y uPVC D180, PN12.5</t>
  </si>
  <si>
    <t>Y giảm uPVC D180/160, PN12.5</t>
  </si>
  <si>
    <t>Y giảm uPVC D180/140, PN12.5</t>
  </si>
  <si>
    <t>Y uPVC D160, PN12.5</t>
  </si>
  <si>
    <t>Y uPVC D160, PN12.5 + Nối giảm uPVC D160/125, PN12.5</t>
  </si>
  <si>
    <t>Y giảm uPVC D160/90, PN12.5</t>
  </si>
  <si>
    <t>Y uPVC D140, PN12.5</t>
  </si>
  <si>
    <t>Y uPVC D140, PN12.5 + Nối giảm uPVC D140/125, PN12.5</t>
  </si>
  <si>
    <t>Y giảm uPVC D140/90, PN12.5</t>
  </si>
  <si>
    <t>Y uPVC D125, PN12.5</t>
  </si>
  <si>
    <t>Y giảm uPVC D125/110, PN12.5</t>
  </si>
  <si>
    <t>Y giảm uPVC D110/90, PN12.5</t>
  </si>
  <si>
    <t>Y giảm uPVC 110/75, PN12.5</t>
  </si>
  <si>
    <t>Y HDPE D140, PN16</t>
  </si>
  <si>
    <t>Y uPVC D90, PN10</t>
  </si>
  <si>
    <t>Y uPVC D110, PN12.5</t>
  </si>
  <si>
    <t>Y giảm uPVC D125/90, PN12.5</t>
  </si>
  <si>
    <t>Y giảm uPVC D140/110, PN12.5</t>
  </si>
  <si>
    <t>Y giảm uPVC D160/110, PN12.5</t>
  </si>
  <si>
    <t>Co45 uPVC D280, PN12.5</t>
  </si>
  <si>
    <t>Co45 uPVC D250, PN12.5</t>
  </si>
  <si>
    <t>Co45 uPVC D200, PN12.5</t>
  </si>
  <si>
    <t>Co45 uPVC D180, PN12.5</t>
  </si>
  <si>
    <t>Co45 uPVC D160, PN12.5</t>
  </si>
  <si>
    <t>Co45 uPVC D140, PN12.5</t>
  </si>
  <si>
    <t>Co45 uPVC D125, PN12.5</t>
  </si>
  <si>
    <t>Co45 uPVC D110, PN12.5</t>
  </si>
  <si>
    <t>Co45 uPVC D90, PN12.5</t>
  </si>
  <si>
    <t>Co45 HDPE D140, PN16</t>
  </si>
  <si>
    <t>Co90 uPVC D250, PN8</t>
  </si>
  <si>
    <t>Co90 uPVC D200, PN8</t>
  </si>
  <si>
    <t>Co90 uPVC D140, PN8</t>
  </si>
  <si>
    <t>Co90 uPVC D90, PN8</t>
  </si>
  <si>
    <t>Co90 HDPE D75, PN16</t>
  </si>
  <si>
    <t>Co90 uPVC D48, PN8</t>
  </si>
  <si>
    <t>Co90 uPVC D110, PN8</t>
  </si>
  <si>
    <t>Tê giảm uPVC D280/140, PN8</t>
  </si>
  <si>
    <t>Tê uPVC D200, PN8 + Nối giảm uPVC D200/140, PN8</t>
  </si>
  <si>
    <t>Tê uPVC D140, PN8</t>
  </si>
  <si>
    <t>Tê giảm uPVC D140/110, PN8</t>
  </si>
  <si>
    <t>Tê uPVC D140, PN8 + Bạc CB uPVC D140/90, PN10</t>
  </si>
  <si>
    <t>Tê uPVC D110, PN8</t>
  </si>
  <si>
    <t>Tê giảm uPVC D110/90, PN8</t>
  </si>
  <si>
    <t>Tê uPVC D90, PN8</t>
  </si>
  <si>
    <t>Tê giảm uPVC D90/75, PN8</t>
  </si>
  <si>
    <t>Tê giảm uPVC D90/49, PN8</t>
  </si>
  <si>
    <t>Tê HDPE D75, PN16</t>
  </si>
  <si>
    <t>Nối uPVC D280, PN12.5</t>
  </si>
  <si>
    <t>Nối uPVC D250, PN12.5</t>
  </si>
  <si>
    <t>Nối uPVC D200, PN12.5</t>
  </si>
  <si>
    <t>Nối uPVC D180, PN12.5</t>
  </si>
  <si>
    <t>Nối uPVC D160, PN12.5</t>
  </si>
  <si>
    <t>Nối uPVC D140, PN12.5</t>
  </si>
  <si>
    <t>Nối uPVC D125, PN12.5</t>
  </si>
  <si>
    <t>Nối uPVC D110, PN12.5</t>
  </si>
  <si>
    <t>Nối uPVC D90, PN12.5</t>
  </si>
  <si>
    <t>Bạc CB uPVC D280/125, PN12.5</t>
  </si>
  <si>
    <t>Bạc CB uPVC D250/125, PN12.5</t>
  </si>
  <si>
    <t>Bạc CB uPVC D200/125, PN12.5</t>
  </si>
  <si>
    <t>Nối giảm uPVC D140/110, PN12.5</t>
  </si>
  <si>
    <t>Nối giảm uPVC D110/90, PN12.5</t>
  </si>
  <si>
    <t>Bạc CB uPVC D160/140, PN12.5</t>
  </si>
  <si>
    <t>Nút bịt uPVC D280, PN10</t>
  </si>
  <si>
    <t>Nút bịt uPVC D250, PN12.5</t>
  </si>
  <si>
    <t>Nút bịt uPVC D200, PN8</t>
  </si>
  <si>
    <t>Nút bịt uPVC D160, PN8</t>
  </si>
  <si>
    <t>Nút bịt uPVC D140, PN8</t>
  </si>
  <si>
    <t>Nút bịt uPVC D125, PN12.5</t>
  </si>
  <si>
    <t>Nút bịt uPVC D90, PN8</t>
  </si>
  <si>
    <t>Nút bịt uPVC D110, PN8</t>
  </si>
  <si>
    <t>Tê thông tắc (kiểm tra) trục đứng D280, PN12.5</t>
  </si>
  <si>
    <t>Tê thông tắc (kiểm tra) trục đứng D250, PN12.5</t>
  </si>
  <si>
    <t>Tê uPVC D200, PN12.5 + Bịt xả uPVC D200, PN4</t>
  </si>
  <si>
    <t>Tê thông tắc (kiểm tra) trục đứng D180, PN12.5</t>
  </si>
  <si>
    <t>Tê uPVC D125, PN12.5 + Bịt xả uPVC D125, PN6</t>
  </si>
  <si>
    <t>Tê uPVC D110, PN12.5 + Bịt xả uPVC D110, PN4</t>
  </si>
  <si>
    <t>Tê uPVC D90, PN12.5 + Bịt xả uPVC D90, PN4</t>
  </si>
  <si>
    <t>Tê uPVC D160, PN12.5 + Bịt xả uPVC D160, PN6</t>
  </si>
  <si>
    <t>Tê uPVC D140, PN12.5 + Bịt xả uPVC D140, PN6</t>
  </si>
  <si>
    <t>Phễu thu sàn DN80
Có ngăn mùi
Mặt 120x120mm
Inox 304</t>
  </si>
  <si>
    <t>F02ST DN65/80L</t>
  </si>
  <si>
    <t xml:space="preserve">Đệ Nhất </t>
  </si>
  <si>
    <t>Ống uPVC D75 x 2.9mm, PN8</t>
  </si>
  <si>
    <t>Ống uPVC D60 x 2.4mm, PN8</t>
  </si>
  <si>
    <t>Ống HDPE D63 x 3.8mm, PN10</t>
  </si>
  <si>
    <t>Ống HDPE D250 x 14.8mm, PN10</t>
  </si>
  <si>
    <t>Ống thép mạ kẽm DN50 dày 3.6mm, theo tiêu chuẩn BS EN 10255:2004 (BS 1387:1985)</t>
  </si>
  <si>
    <t>Y giảm uPVC D200/160, PN12.5</t>
  </si>
  <si>
    <t>Y giảm uPVC D200/140, PN12.5</t>
  </si>
  <si>
    <t>Y giảm uPVC D160/140, PN12.5</t>
  </si>
  <si>
    <t>Y uPVC D90, PN12.5</t>
  </si>
  <si>
    <t>Y uPVC D75, PN10</t>
  </si>
  <si>
    <t>Y giảm uPVC D200/160, PN12.5 + Bạc CB uPVC D160/125, PN12.5</t>
  </si>
  <si>
    <t>Co45 uPVC D60, PN10</t>
  </si>
  <si>
    <t>Co45 uPVC D75, PN10</t>
  </si>
  <si>
    <t>Co45 HDPE D60, PN16</t>
  </si>
  <si>
    <t>Co90 HDPE D140, PN16</t>
  </si>
  <si>
    <t>Tê uPVC D160, PN12.5 + Bịt xả uPVC D160, PN4</t>
  </si>
  <si>
    <t>Tê uPVC D140, PN12.5 + Bịt xả uPVC D140, PN4</t>
  </si>
  <si>
    <t>Phễu thu sàn DN100
Có ngăn mùi
Mặt 150x150mm
Inox 304</t>
  </si>
  <si>
    <t>F02ST DN100/125</t>
  </si>
  <si>
    <t>Cầu thu nước mưa DN150
Chất liệu: thân gang, mặt inox 304</t>
  </si>
  <si>
    <t>R21 DN150</t>
  </si>
  <si>
    <t>Ống PPR D20 x 3.4mm, PN20</t>
  </si>
  <si>
    <t>Tê PPR D20</t>
  </si>
  <si>
    <t>Van cửa PPR D40</t>
  </si>
  <si>
    <t>Van cửa PPR D32</t>
  </si>
  <si>
    <t>Van cửa PPR D25</t>
  </si>
  <si>
    <t>Van cửa PPR D20</t>
  </si>
  <si>
    <t>Co90 RT PPR D20 x 1/2"</t>
  </si>
  <si>
    <t>Nút bịt ren ngoài uPVC D21 (1/2")</t>
  </si>
  <si>
    <t>Kép inox 304</t>
  </si>
  <si>
    <t>RAPIDO
30HE</t>
  </si>
  <si>
    <t>Ferroli</t>
  </si>
  <si>
    <t>HBO 50</t>
  </si>
  <si>
    <t>Kiểu: CO
Thanh đốt đồng
Chống giật ELCB
Thiết kế hiện đại - Tiết kiệm điện
Thanh Magê lớn
Công suất: 2500W
Nguồn điện: 220-240V/50Hz
Kích thước: 600x325x330mm
Kèm đầy đủ phụ kiện</t>
  </si>
  <si>
    <t>Kiểu: ELCB_CO
Thanh đốt đồng
Đồng hồ đo nhiệt
Thiết kế hiện đại - Tiết kiệm điện
Thanh Magê lớn
Công suất: 2.5KW
Nguồn điện: 220-240V/50Hz
Kích thước (DxC): 690x368mm
Kèm đầy đủ phụ kiện</t>
  </si>
  <si>
    <t>Ống uPVC D42 x 1.8mm, PN8</t>
  </si>
  <si>
    <t>Ống uPVC D48 x 2.0mm, PN8</t>
  </si>
  <si>
    <t>Bộ lọc cát V900
Thông số : Qmax= 31,20 m3/h
D= 900 mm, H= 1300 mm..
 Kết nối 60 mm (2inch)
Kèm van 1 chiều rắc co 2 đầu + van bướm</t>
  </si>
  <si>
    <t>V900</t>
  </si>
  <si>
    <t>Emaux
+ Vanfit</t>
  </si>
  <si>
    <t>Bơm EPH300 3HP
Q=32 m3/h ( H=10m) 
220V 50Hz, 1 pha
Kết nối: 60 mm (2 inch)
Kích thước: 770x370x260mm
Kèm van 1 chiều rắc co 2 đầu + van bướm</t>
  </si>
  <si>
    <t>EPH300</t>
  </si>
  <si>
    <t>Bộ châm hóa chất tự động, điều khiển 2 thông số pH và Clo
Dải đo: pH = 0-14; OPR = 0-1500mV
Phụ kiện đi kèm: đầu dò pH; đầu dò Clo; dung dịch đệm pH, Clo; Phụ kiện kết nối
Kèm van bướm</t>
  </si>
  <si>
    <t>WT500PR</t>
  </si>
  <si>
    <t>Ap lực bơm 5-4 bar; lưu lượng bơm 20-32 l/h
Kèm van bướm</t>
  </si>
  <si>
    <t>CTRL20</t>
  </si>
  <si>
    <t>Vật liệu: nhựa công nghiệp chịu hóa chất
Dung tích: 300l
Kèm van bướm</t>
  </si>
  <si>
    <t>Tân Á
+ Vanfit</t>
  </si>
  <si>
    <t>Lưu lượng 150-240 l/phút</t>
  </si>
  <si>
    <t>EM4409</t>
  </si>
  <si>
    <t>Emaux</t>
  </si>
  <si>
    <t>EM2848</t>
  </si>
  <si>
    <t>Đường kính 195mm
Lưu lượng 558 l/phút</t>
  </si>
  <si>
    <t>EM2830</t>
  </si>
  <si>
    <t>Kích thước: 300x300
Lưu lượng: 850 l/phút</t>
  </si>
  <si>
    <t>EM2812</t>
  </si>
  <si>
    <t>Ống uPVC D200 x 7.7mm, PN8</t>
  </si>
  <si>
    <t>Ống uPVC D160 x 6.2mm, PN8</t>
  </si>
  <si>
    <t>Ống uPVC D140 x 5.4mm, PN8</t>
  </si>
  <si>
    <t>Tê uPVC D200, PN12.5</t>
  </si>
  <si>
    <t>Tê giảm uPVC D140/110, PN12.5</t>
  </si>
  <si>
    <t>Tê uPVC D110, PN12.5</t>
  </si>
  <si>
    <t>Tê giảm uPVC D110/49, PN12.5</t>
  </si>
  <si>
    <t>Tê giảm uPVC D110/60, PN12.5</t>
  </si>
  <si>
    <t>Tê giảm uPVC D90/49, PN12.5</t>
  </si>
  <si>
    <t>Co90 uPVC D200, PN12.5</t>
  </si>
  <si>
    <t>Co90 uPVC D160, PN12.5</t>
  </si>
  <si>
    <t>Co90 uPVC D140, PN12.5</t>
  </si>
  <si>
    <t>Co90 uPVC D110, PN12.5</t>
  </si>
  <si>
    <t>Co90 uPVC D90, PN12.5</t>
  </si>
  <si>
    <t>Co90 uPVC D60, PN10</t>
  </si>
  <si>
    <t>Co90 uPVC D49, PN10</t>
  </si>
  <si>
    <t>Co45 uPVC D49, PN10</t>
  </si>
  <si>
    <t>Nối uPVC D60, PN10</t>
  </si>
  <si>
    <t>Nối uPVC D49, PN10</t>
  </si>
  <si>
    <t>Ống PPR D25 x 4.2mm, PN20</t>
  </si>
  <si>
    <t>Y giảm uPVC D140/90, PN12.5 + Bạc CB uPVC D90/75, PN10</t>
  </si>
  <si>
    <t>Y giảm uPVC D125/110, PN10</t>
  </si>
  <si>
    <t>Y giảm uPVC D125/90, PN10</t>
  </si>
  <si>
    <t>Y giảm uPVC D110/90, PN10</t>
  </si>
  <si>
    <t>Y giảm uPVC D110/60, PN10</t>
  </si>
  <si>
    <t>Y giảm uPVC 90/75, PN10</t>
  </si>
  <si>
    <t>Y giảm uPVC 90/42, PN10</t>
  </si>
  <si>
    <t>Y uPVC D75, PN12.5</t>
  </si>
  <si>
    <t>Y uPVC D75, PN12.5 + Bạc CB uPVC D75/42, PN10</t>
  </si>
  <si>
    <t>Co45 uPVC D75, PN12.5</t>
  </si>
  <si>
    <t>Co45 uPVC D42, PN10</t>
  </si>
  <si>
    <t>Nối giảm uPVC D60/42, PN10</t>
  </si>
  <si>
    <t>Nối giảm uPVC D75/60, PN12.5</t>
  </si>
  <si>
    <t>Tê giảm uPVC D140/90, PN12.5 + Nối giảm uPVC D90/49, PN12.5</t>
  </si>
  <si>
    <t>Tê uPVC D125, PN12.5 + Bạc CB uPVC D125/75, PN10 + Nối giảm uPVC D75/49, PN12.5</t>
  </si>
  <si>
    <t>Tê giảm uPVC D75/49, PN12.5</t>
  </si>
  <si>
    <t>Tê uPVC D49, PN10</t>
  </si>
  <si>
    <t>Nối uPVC D75, PN12.5</t>
  </si>
  <si>
    <t>Nối uPVC D42, PN10</t>
  </si>
  <si>
    <t>Con thỏ uPVC D42, PN10</t>
  </si>
  <si>
    <t>Con thỏ uPVC D90, PN16</t>
  </si>
  <si>
    <t>Nút bịt uPVC D75, PN10</t>
  </si>
  <si>
    <t>Nút bịt uPVC D60, PN10</t>
  </si>
  <si>
    <t>Nút bịt uPVC D42, PN10</t>
  </si>
  <si>
    <t>Bịt xả uPVC D140, PN4</t>
  </si>
  <si>
    <t>Bịt xả uPVC D125, PN6</t>
  </si>
  <si>
    <t>Bịt xả uPVC D110, PN4</t>
  </si>
  <si>
    <t>Bịt xả uPVC D90, PN4</t>
  </si>
  <si>
    <t>Bịt xả uPVC D75, PN4</t>
  </si>
  <si>
    <t>Y giảm uPVC 110/75, PN10</t>
  </si>
  <si>
    <t>Co90 uPVC D42, PN10</t>
  </si>
  <si>
    <t>Con thỏ uPVC D75, PN6</t>
  </si>
  <si>
    <t>Bạc CB uPVC D110/60, PN10 + Nối giảm uPVC D60/49, PN10</t>
  </si>
  <si>
    <t>Bạc CB uPVC D75/42, PN10</t>
  </si>
  <si>
    <t>Bạc CB uPVC D75/49, PN10</t>
  </si>
  <si>
    <t>Bạc CB uPVC D75/60, PN10</t>
  </si>
  <si>
    <t>Tê giảm uPVC D180/90, PN8</t>
  </si>
  <si>
    <t>Y giảm uPVC D75/60, PN10</t>
  </si>
  <si>
    <t>Tê uPVC D250, PN12.5 + Bịt xả uPVC D250, PN4</t>
  </si>
  <si>
    <t>Nút bịt uPVC D42, PN8</t>
  </si>
  <si>
    <t>Nút bịt uPVC D49, PN8</t>
  </si>
  <si>
    <t>Bịt xả  UPVC D110, PN4</t>
  </si>
  <si>
    <t>Bịt xả  UPVC D75, PN4</t>
  </si>
  <si>
    <t>Tê giảm uPVC D110/75, PN12.5</t>
  </si>
  <si>
    <t>Đồng hồ đo nước thân gang, nối bích
+ Van cổng ty chìm, nối bích
+ Khớp nối mềm inox, nối bích</t>
  </si>
  <si>
    <t>FSQR.25</t>
  </si>
  <si>
    <t>Van cổng ty chìm, nối bích
+ Khớp nối mềm inox, nối bích
+ Van giảm áp, nối bích</t>
  </si>
  <si>
    <t>FSNG.16
+ FSSEF.16
+ FSPR.16</t>
  </si>
  <si>
    <t>Van phao thủy lực, nối bích</t>
  </si>
  <si>
    <t>Thang cáp 500x100mm, dày 2.0mm, mạ kẽm nhúng nóng không bao gồm nắp</t>
  </si>
  <si>
    <t>Tê nối thang cáp 500x100mm, dày 2.0mm, mạ kẽm nhúng nóng không bao gồm nắp</t>
  </si>
  <si>
    <t>Chuyển hướng ngang 90 độ thang cáp 500x100mm, dày 2.0mm, mạ kẽm nhúng nóng không bao gồm nắp</t>
  </si>
  <si>
    <t>Chuyển hướng dọc 90 độ thang cáp 500x100mm, dày 2.0mm, mạ kẽm nhúng nóng không bao gồm nắp</t>
  </si>
  <si>
    <t>Thang cáp 400x100mm, dày 2.0mm, mạ kẽm nhúng nóng không bao gồm nắp</t>
  </si>
  <si>
    <t>Chuyển hướng 4 ngả thang cáp 400x100mm, dày 2.0mm, mạ kẽm nhúng nóng không bao gồm nắp</t>
  </si>
  <si>
    <t>Chuyển hướng ngang 90 độ thang cáp 400x100mm, dày 2.0mm, mạ kẽm nhúng nóng không bao gồm nắp</t>
  </si>
  <si>
    <t>Chuyển hướng dọc 90 độ thang cáp 400x100mm, dày 2.0mm, mạ kẽm nhúng nóng không bao gồm nắp</t>
  </si>
  <si>
    <t>Máng cáp 200x50mm, dày 1.5mm, mạ kẽm nhúng nóng bao gồm nắp</t>
  </si>
  <si>
    <t>Chuyển hướng ngang 90 độ máng cáp 200x50mm, dày 1.5mm, mạ kẽm nhúng nóng bao gồm nắp</t>
  </si>
  <si>
    <t>Chuyển hướng dọc 90 độ máng cáp 200x50mm, dày 1.5mm, mạ kẽm nhúng nóng bao gồm nắp</t>
  </si>
  <si>
    <t>Tê nối máng cáp 200x50mm, dày 1.5mm, mạ kẽm nhúng nóng bao gồm nắp</t>
  </si>
  <si>
    <t>Máng cáp 150x50mm, dày 1.5mm, mạ kẽm nhúng nóng bao gồm nắp</t>
  </si>
  <si>
    <t>Tê nối máng cáp 150x50mm, dày 1.5mm, mạ kẽm nhúng nóng bao gồm nắp</t>
  </si>
  <si>
    <t>Chuyển hướng ngang 90 độ máng cáp 150x50mm, dày 1.5mm, mạ kẽm nhúng nóng bao gồm nắp</t>
  </si>
  <si>
    <t>Chuyển hướng dọc 90 độ máng cáp 150x50mm, dày 1.5mm, mạ kẽm nhúng nóng bao gồm nắp</t>
  </si>
  <si>
    <t>Thang cáp 400x50mm, dày 2.0mm, mạ kẽm nhúng nóng không bao gồm nắp</t>
  </si>
  <si>
    <t>Chuyển hướng ngang 90 độ thang cáp 400x50mm, dày 2.0mm, mạ kẽm nhúng nóng không bao gồm nắp</t>
  </si>
  <si>
    <t>Chuyển hướng dọc 90 độ thang cáp 400x50mm, dày 2.0mm, mạ kẽm nhúng nóng không bao gồm nắp</t>
  </si>
  <si>
    <t>Tê nối thang cáp 400x50mm, dày 2.0mm, mạ kẽm nhúng nóng không bao gồm nắp</t>
  </si>
  <si>
    <t>Thang cáp 1000x150mm, dày 2.5mm, mạ kẽm nhúng nóng không bao gồm nắp</t>
  </si>
  <si>
    <t>Chuyển hướng ngang 90 độ thang cáp 1000x150mm, dày 2.5mm, mạ kẽm nhúng nóng không bao gồm nắp</t>
  </si>
  <si>
    <t>Chuyển hướng 4 ngả thang cáp 1000x150mm, dày 2.5mm, mạ kẽm nhúng nóng không bao gồm nắp</t>
  </si>
  <si>
    <t>Tê nối thang cáp 1000x150mm, dày 2.5mm, mạ kẽm nhúng nóng không bao gồm nắp</t>
  </si>
  <si>
    <t>Côn thu thang cáp 1000x150/600x150mm, dày 2.5mm, mạ kẽm nhúng nóng không bao gồm nắp</t>
  </si>
  <si>
    <t>Côn thu thang cáp 1000x150/800x150mm, dày 2.5mm, mạ kẽm nhúng nóng không bao gồm nắp</t>
  </si>
  <si>
    <t>Z thang cáp 1000x150mm, dày 2.5mm, mạ kẽm nhúng nóng không bao gồm nắp</t>
  </si>
  <si>
    <t>Thang cáp 800x150mm, dày 2.5mm, mạ kẽm nhúng nóng không bao gồm nắp</t>
  </si>
  <si>
    <t>Chuyển hướng ngang 90 độ thang cáp 800x150mm, dày 2.5mm, mạ kẽm nhúng nóng không bao gồm nắp</t>
  </si>
  <si>
    <t>Chuyển hướng dọc 90 độ thang cáp 800x150mm, dày 2.5mm, mạ kẽm nhúng nóng không bao gồm nắp</t>
  </si>
  <si>
    <t>Tê nối thang cáp 800x150mm, dày 2.5mm, mạ kẽm nhúng nóng không bao gồm nắp</t>
  </si>
  <si>
    <t>Tê nối thang cáp 800x150/300x150/800x150mm, dày 2.5mm, mạ kẽm nhúng nóng không bao gồm nắp</t>
  </si>
  <si>
    <t>Tê nối thang cáp 800x150/400x150/800x150mm, dày 2.5mm, mạ kẽm nhúng nóng không bao gồm nắp</t>
  </si>
  <si>
    <t>Chuyển hướng 4 ngả thang cáp 800x150mm, dày 2.5mm, mạ kẽm nhúng nóng không bao gồm nắp</t>
  </si>
  <si>
    <t>Côn thu thang cáp 800x150/600x150mm, dày 2.5mm, mạ kẽm nhúng nóng không bao gồm nắp</t>
  </si>
  <si>
    <t>Z thang cáp 800x150mm, dày 2.5mm, mạ kẽm nhúng nóng không bao gồm nắp</t>
  </si>
  <si>
    <t>Thang cáp 600x150mm, dày 2.0mm, mạ kẽm nhúng nóng không bao gồm nắp</t>
  </si>
  <si>
    <t>Chuyển hướng ngang 90 độ thang cáp 600x150mm, dày 2.0mm, mạ kẽm nhúng nóng không bao gồm nắp</t>
  </si>
  <si>
    <t>Chuyển hướng ngang 90 độ thang cáp 600x150/600x100mm, dày 2.0mm, mạ kẽm nhúng nóng không bao gồm nắp</t>
  </si>
  <si>
    <t>Tê nối thang cáp 600x150mm, dày 2.0mm, mạ kẽm nhúng nóng không bao gồm nắp</t>
  </si>
  <si>
    <t>Côn thu thang cáp 600x150/300x150mm, dày 2.0mm, mạ kẽm nhúng nóng không bao gồm nắp</t>
  </si>
  <si>
    <t>Thang cáp 400x150mm, dày 2.0mm, mạ kẽm nhúng nóng không bao gồm nắp</t>
  </si>
  <si>
    <t>Thang cáp 300x150mm, dày 2.0mm, mạ kẽm nhúng nóng không bao gồm nắp</t>
  </si>
  <si>
    <t>Máng cáp 400x100mm, dày 2.0mm, mạ kẽm nhúng nóng bao gồm nắp</t>
  </si>
  <si>
    <t>Chuyển hướng ngang 90 độ máng cáp 400x100/200x100mm, dày 2.0mm, mạ kẽm nhúng nóng bao gồm nắp</t>
  </si>
  <si>
    <t>Chuyển hướng ngang 90 độ máng cáp 400x100mm, dày 2.0mm, mạ kẽm nhúng nóng bao gồm nắp</t>
  </si>
  <si>
    <t>Tê nối máng cáp 400x100/200x100/400x100mm, dày 2.0mm, mạ kẽm nhúng nóng bao gồm nắp</t>
  </si>
  <si>
    <t>Tê nối máng cáp 400x100mm, dày 2.0mm, mạ kẽm nhúng nóng bao gồm nắp</t>
  </si>
  <si>
    <t>Chuyển hướng 4 ngả máng cáp 400x100/200x100/200x100/200x100mm, dày 2.0mm, mạ kẽm nhúng nóng bao gồm nắp</t>
  </si>
  <si>
    <t>Chuyển hướng 4 ngả máng cáp 400x100/300x100/300x100/300x100mm, dày 2.0mm, mạ kẽm nhúng nóng bao gồm nắp</t>
  </si>
  <si>
    <t>Z máng cáp 400x100mm, dày 2.0mm, mạ kẽm nhúng nóng bao gồm nắp</t>
  </si>
  <si>
    <t>Côn thu máng cáp 400x100/200x100mm, dày 2.0mm, mạ kẽm nhúng nóng bao gồm nắp</t>
  </si>
  <si>
    <t>Côn thu máng cáp 400x100/300x100mm, dày 2.0mm, mạ kẽm nhúng nóng bao gồm nắp</t>
  </si>
  <si>
    <t>Máng cáp 300x100mm, dày 1.5mm, mạ kẽm nhúng nóng bao gồm nắp</t>
  </si>
  <si>
    <t>Chuyển hướng ngang 90 độ máng cáp 300x100mm, dày 1.5mm, mạ kẽm nhúng nóng bao gồm nắp</t>
  </si>
  <si>
    <t>Chuyển hướng dọc 90 độ máng cáp 300x100mm, dày 1.5mm, mạ kẽm nhúng nóng bao gồm nắp</t>
  </si>
  <si>
    <t>Tê nối máng cáp 300x100mm, dày 1.5mm, mạ kẽm nhúng nóng bao gồm nắp</t>
  </si>
  <si>
    <t>Chuyển hướng 4 ngả máng cáp 300x100mm, dày 1.5mm, mạ kẽm nhúng nóng bao gồm nắp</t>
  </si>
  <si>
    <t>Côn thu máng cáp 300x100/200x100mm, dày 1.5mm, mạ kẽm nhúng nóng bao gồm nắp</t>
  </si>
  <si>
    <t>Z máng cáp 300x100mm, dày 1.5mm, mạ kẽm nhúng nóng bao gồm nắp</t>
  </si>
  <si>
    <t>Tê nối máng cáp 300x100/200x100/300x100mm, dày 1.5mm, mạ kẽm nhúng nóng bao gồm nắp</t>
  </si>
  <si>
    <t>Máng cáp 200x100mm, dày 1.5mm, mạ kẽm nhúng nóng bao gồm nắp</t>
  </si>
  <si>
    <t>Chuyển hướng ngang 90 độ máng cáp 200x100mm, dày 1.5mm, mạ kẽm nhúng nóng bao gồm nắp</t>
  </si>
  <si>
    <t>Chuyển hướng dọc 90 độ máng cáp 200x100mm, dày 1.5mm, mạ kẽm nhúng nóng bao gồm nắp</t>
  </si>
  <si>
    <t>Tê nối máng cáp 200x100mm, dày 1.5mm, mạ kẽm nhúng nóng bao gồm nắp</t>
  </si>
  <si>
    <t>Z máng cáp 200x100mm, dày 1.5mm, mạ kẽm nhúng nóng bao gồm nắp</t>
  </si>
  <si>
    <t>Máng cáp 300x50mm, dày 1.5mm, mạ kẽm nhúng nóng bao gồm nắp</t>
  </si>
  <si>
    <t>Chuyển hướng ngang 90 độ máng cáp 300x50mm, dày 1.5mm, mạ kẽm nhúng nóng bao gồm nắp</t>
  </si>
  <si>
    <t>Chuyển hướng dọc 90 độ máng cáp 300x50mm, dày 1.5mm, mạ kẽm nhúng nóng bao gồm nắp</t>
  </si>
  <si>
    <t>Tê nối máng cáp 300x50mm, dày 1.5mm, mạ kẽm nhúng nóng bao gồm nắp</t>
  </si>
  <si>
    <t>Tê nối máng cáp 300x50/200x50/300x50mm, dày 1.5mm, mạ kẽm nhúng nóng bao gồm nắp</t>
  </si>
  <si>
    <t>Côn thu máng cáp 300x50/200x50mm, dày 1.5mm, mạ kẽm nhúng nóng bao gồm nắp</t>
  </si>
  <si>
    <t>Bích HDPE D280 + Bích lồng inox 304</t>
  </si>
  <si>
    <t>Bích HDPE D200 + Bích lồng inox 304</t>
  </si>
  <si>
    <t>Bích uPVC D280 + Bích lồng inox 304</t>
  </si>
  <si>
    <t>Bích uPVC D200 + Bích lồng inox 304</t>
  </si>
  <si>
    <t>Bích HDPE D250 + Bích lồng inox 304</t>
  </si>
  <si>
    <t>Bích uPVC D250 + Bích lồng inox 304</t>
  </si>
  <si>
    <t>Tôn mạ kẽm Z08 dày 0.75mm + lớp tấm chống cháy SMD60 dày 5.5mm</t>
  </si>
  <si>
    <t>Cửa gió nan thẳng 1 lớp nan 1 khung cố định kèm van OBD</t>
  </si>
  <si>
    <t>Tôn mạ kẽm Z08 dày 1.15mm</t>
  </si>
  <si>
    <t>Tôn mạ kẽm Z08 dày 1.15mm, bọc EI60, động cơ  NENUTEC NASA1-20, 20N.m/24V/230V, ON/OFF, thời gian đóng mở 20s</t>
  </si>
  <si>
    <t>Bích thép V30x30x2 kèm bạt chống cháy dày 0.6mm</t>
  </si>
  <si>
    <t>Tôn mạ kẽm Z08 dày 0.75mm + lớp tấm chống cháy SMD45 dày 5.5mm</t>
  </si>
  <si>
    <t>Chất liệu: Nhựa ABS/ PVC
Màu: Trắng</t>
  </si>
  <si>
    <t>Vỏ tủ điện: Việt Nam
Thiết bị đóng cắt: Schneider</t>
  </si>
  <si>
    <t>Bộ chuyển đổi nguồn 220V-12VDC, công suất 150V</t>
  </si>
  <si>
    <t>Đèn treo tường 
Được làm từ vật liệu nhựa ABS - Bóng đèn Led 20W-12V
Đường kính: Ø262
Độ nổi sau khi hoàn thiện: 45mm
Cường độ ánh sáng: 415 lux
Màu ánh sáng: warm white</t>
  </si>
  <si>
    <t>TRA 150VA</t>
  </si>
  <si>
    <t>E-Lumen 252
88045561</t>
  </si>
  <si>
    <t>Omega
+ Flowsure
+ Flowsure</t>
  </si>
  <si>
    <t>OMF.80
+ FSB.16
+ FSSEF.16</t>
  </si>
  <si>
    <t>OMF.100
+ FSB.16
+ FSSEF.16</t>
  </si>
  <si>
    <t>Omega
+ Flowsure</t>
  </si>
  <si>
    <t>OM.T01
+ FSGT.16</t>
  </si>
  <si>
    <t>FSWH.20</t>
  </si>
  <si>
    <t>PN20</t>
  </si>
  <si>
    <t>F.440.25</t>
  </si>
  <si>
    <t>FSFL.25</t>
  </si>
  <si>
    <t>FSSEF.16</t>
  </si>
  <si>
    <t>Van cổng ty chìm, nối bích</t>
  </si>
  <si>
    <t>Tôn mạ kẽm Z08 dày 0.75mm kèm lưới chắn côn trùng + lớp tấm chống cháy SMD45 dày 5.5mm</t>
  </si>
  <si>
    <t>Tôn mạ kẽm Z08 dày 0.75mm + lớp tấm chống cháy SMD120 dày 20mm</t>
  </si>
  <si>
    <t>Tôn mạ kẽm Z08 dày 0.75mm + lớp tấm chống cháy SMD120 dày 120mm</t>
  </si>
  <si>
    <t>Tôn mạ kẽm Z08 dày 0.75mm kèm lưới chắn côn trùng</t>
  </si>
  <si>
    <t>Tôn mạ kẽm Z08 dày 0.95mm kèm lưới chắn côn trùng</t>
  </si>
  <si>
    <t>Tê giảm PPR D110/63 + nối giảm PPR D63/50</t>
  </si>
  <si>
    <t>Tê giảm PPR D110/63 + nối giảm PPR D63/40</t>
  </si>
  <si>
    <t>Tê giảm uPVC D160/90, PN12.5</t>
  </si>
  <si>
    <t>Tê uPVC D125, PN12.5 + Bạc CB uPVC D125/90, PN10</t>
  </si>
  <si>
    <t>Tê uPVC D75, PN12.5 + Bịt xả uPVC D75, PN4</t>
  </si>
  <si>
    <t>Co90 uPVC D75, PN12.5</t>
  </si>
  <si>
    <t>Tê uPVC D125, PN12.5 + Bạc CB uPVC D125/75, PN10</t>
  </si>
  <si>
    <t>Tê giảm uPVC D90/75, PN12.5</t>
  </si>
  <si>
    <t>Tê uPVC D75, PN12.5</t>
  </si>
  <si>
    <t xml:space="preserve"> Bích rỗng inox 304</t>
  </si>
  <si>
    <t>Tôn mạ kẽm Z08 dày 0.58mm</t>
  </si>
  <si>
    <t>Tôn mạ kẽm Z08, dày 1.15mm</t>
  </si>
  <si>
    <t>Cửa gió nan Z kèm lưới chắn côn trùng</t>
  </si>
  <si>
    <t>Ống đồng 06.35x0.71mm + Bảo ôn CSLH dày 13mm</t>
  </si>
  <si>
    <t>Taisei + Aeroflex</t>
  </si>
  <si>
    <t>Việt Nam + Thailand</t>
  </si>
  <si>
    <t>Ống đồng 09.52x0.71mm + Bảo ôn CSLH dày 13mm</t>
  </si>
  <si>
    <t>Ống đồng 12.70x0.81mm + Bảo ôn CSLH dày 19mm</t>
  </si>
  <si>
    <t>Ống đồng 15.88x0.81mm + Bảo ôn CSLH dày 19mm</t>
  </si>
  <si>
    <t>Ống đồng 06.35x0.81mm + Bảo ôn CSLH dày 13mm</t>
  </si>
  <si>
    <t>Ống đồng 09.52x0.81mm + Bảo ôn CSLH dày 13mm</t>
  </si>
  <si>
    <t>Ống đồng 15.88x1.00mm + Bảo ôn CSLH dày 19mm</t>
  </si>
  <si>
    <t>Ống đồng 19.05x1.00mm + Bảo ôn CSLH dày 19mm</t>
  </si>
  <si>
    <t>Ống đồng 22.22x1.00mm + Bảo ôn CSLH dày 25mm</t>
  </si>
  <si>
    <t>Ống đồng 28.58x1.20mm + Bảo ôn CSLH dày 25mm</t>
  </si>
  <si>
    <t>Ống đồng 34.93x1.20mm + Bảo ôn CSLH dày 25mm</t>
  </si>
  <si>
    <t>Ống đồng 41.28x1.43mm + Bảo ôn CSLH dày 25mm</t>
  </si>
  <si>
    <t>Gas lạnh R410A</t>
  </si>
  <si>
    <t>Taisei</t>
  </si>
  <si>
    <t>Ống uPVC D21 x 1.2mm, PN10 + Bảo ôn CSLH dày 13mm</t>
  </si>
  <si>
    <t>Đệ Nhất + Aeroflex</t>
  </si>
  <si>
    <t>Ống uPVC D27 x 1.3mm, PN10 + Bảo ôn CSLH dày 13mm</t>
  </si>
  <si>
    <t>Ống uPVC D34 x 1.6mm, PN10 + Bảo ôn CSLH dày 13mm</t>
  </si>
  <si>
    <t>Ống uPVC D42 x 2.1mm, PN12 + Bảo ôn CSLH dày 13mm</t>
  </si>
  <si>
    <t>Ống uPVC D48 x 1.6mm, PN6 + Bảo ôn CSLH dày 13mm</t>
  </si>
  <si>
    <t>Ống uPVC D60 x 1.8mm, PN6 + Bảo ôn CSLH dày 13mm</t>
  </si>
  <si>
    <t>Ống uPVC D75 x 2.2mm, PN6 + Bảo ôn CSLH dày 13mm</t>
  </si>
  <si>
    <t>Ống uPVC D90 x 2.7mm, PN6 + Bảo ôn CSLH dày 13mm</t>
  </si>
  <si>
    <t>Ống uPVC D110 x 3.2mm, PN6 + Bảo ôn CSLH dày 13mm</t>
  </si>
  <si>
    <t>Ống uPVC D125 x 3.7mm, PN6 + Bảo ôn CSLH dày 16mm</t>
  </si>
  <si>
    <t>Ống uPVC D140 x 4.1mm, PN6 + Bảo ôn CSLH dày 16mm</t>
  </si>
  <si>
    <t>Cu/PVC/OS/PVC 2x1.5mm2, 300/500V</t>
  </si>
  <si>
    <t>Cu/PVC/OS/PVC 2x1mm2, 300/500V</t>
  </si>
  <si>
    <t>Cu/PVC/OS/PVC 4x1.5mm2, 300/500V</t>
  </si>
  <si>
    <t>Thuộc phạm vi gói thầu hoàn thiện nội thất</t>
  </si>
  <si>
    <t>CĐT cấp, nhà thầu lắp đặt</t>
  </si>
  <si>
    <t>CĐT cấp, Nhà thầu lắp đặt</t>
  </si>
  <si>
    <t>Không thuộc phạm vi của Nhà thầu</t>
  </si>
  <si>
    <t>Thuộc phạm vi Nhà thầu xây dựng</t>
  </si>
  <si>
    <t>Ống uPVC D125 x 3.7mm, PN6</t>
  </si>
  <si>
    <t>Co90 uPVC D125, PN12.5</t>
  </si>
  <si>
    <t>Tê cong uPVC D125, PN12.5 + Bạc CB uPVC D125/90, PN10</t>
  </si>
  <si>
    <t>Nối giảm uPVC D125/90, PN8</t>
  </si>
  <si>
    <t>Ống gió mềm không cách nhiệt, D100</t>
  </si>
  <si>
    <t>Ống gió mềm không cách nhiệt, D150</t>
  </si>
  <si>
    <t>Quạt cấp khí tươi hướng trục
EAF-700, Q=700m3/h, 200Pa, CSĐ: 0.13kW, Điện áp 1P/220V/50Hz, Độ ồn 43 dBA (dBA @ 3m), Tốc độ vòng quay 2P, IP44, Nhựa ABS</t>
  </si>
  <si>
    <t>Gas lạnh R410A/ R32</t>
  </si>
  <si>
    <t>Đơn giá đã bao gồm phụ kiện
Bao gồm cả ống nổi + âm</t>
  </si>
  <si>
    <t>Quạt hút mùi gắn trần nối ống gió kèm van 1 chiều
T1/EF-02,03, Q=105m3/h, 50Pa, CSĐ: 0.016kW, Điện áp 1P/220V/50Hz, Độ ồn 34 dBA (dBA @ 1m), Tốc độ vòng quay 670 rpm, IP21, Nhựa ABS</t>
  </si>
  <si>
    <t>Quạt hút mùi gắn trần nối ống gió kèm van 1 chiều
T23/EF-02,03,04, Q=105m3/h, 50Pa, CSĐ: 0.016kW, Điện áp 1P/220V/50Hz, Độ ồn 34 dBA (dBA @ 1m), Tốc độ vòng quay 670 rpm, IP21, Nhựa ABS</t>
  </si>
  <si>
    <t>Quạt hút gắn tường
TH2/EF-03, Q=650m3/h, 25Pa, CSĐ: 0.034kW, Điện áp 1P/220V/50Hz, Độ ồn 48 dBA (dBA @ 1m), Tốc độ vòng quay 4P, IP44, Nhựa PP</t>
  </si>
  <si>
    <t>Quạt hút gắn tường
TH2/EF-04, Q=650m3/h, 25Pa, CSĐ: 0.034kW, Điện áp 1P/220V/50Hz, Độ ồn 48 dBA (dBA @ 1m), Tốc độ vòng quay 4P, IP44, Nhựa PP</t>
  </si>
  <si>
    <t>Quạt hút gắn tường
TH2/EF-05, Q=1000m3/h, 50Pa, CSĐ: 0.034kW, Điện áp 1P/220V/50Hz, Độ ồn 48 dBA (dBA @ 1m), Tốc độ vòng quay 4P, IP44, Nhựa PP</t>
  </si>
  <si>
    <t>Quạt hút gắn tường
TH2/EF-06, Q=650m3/h, 25Pa, CSĐ: 0.034kW, Điện áp 1P/220V/50Hz, Độ ồn 48 dBA (dBA @ 1m), Tốc độ vòng quay 4P, IP44, Nhựa PP</t>
  </si>
  <si>
    <t>Quạt hút gắn tường
TH2/EF-08, Q=650m3/h, 25Pa, CSĐ: 0.034kW, Điện áp 1P/220V/50Hz, Độ ồn 48 dBA (dBA @ 1m), Tốc độ vòng quay 4P, IP44, Nhựa PP</t>
  </si>
  <si>
    <t>Quạt hút gắn tường
TH1/EF-03, Q=1000m3/h, 50Pa, CSĐ: 0.034kW, Điện áp 1P/220V/50Hz, Độ ồn 48 dBA (dBA @ 1m), Tốc độ vòng quay 4P, IP44, Nhựa PP</t>
  </si>
  <si>
    <t>Quạt hút gắn tường
TH1/EF-04, Q=650m3/h, 25Pa, CSĐ: 0.034kW, Điện áp 1P/220V/50Hz, Độ ồn 48 dBA (dBA @ 1m), Tốc độ vòng quay 4P, IP44, Nhựa PP</t>
  </si>
  <si>
    <t>Quạt hút gắn tường
TH1/EF-05, Q=1000m3/h, 50Pa, CSĐ: 0.034kW, Điện áp 1P/220V/50Hz, Độ ồn 48 dBA (dBA @ 1m), Tốc độ vòng quay 4P, IP44, Nhựa PP</t>
  </si>
  <si>
    <t>Quạt hút gắn tường
TH1/EF-06, Q=650m3/h, 25Pa, CSĐ: 0.034kW, Điện áp 1P/220V/50Hz, Độ ồn 48 dBA (dBA @ 1m), Tốc độ vòng quay 4P, IP44, Nhựa PP</t>
  </si>
  <si>
    <t>Quạt hút gắn tường
TH1/EF-07, Q=1000m3/h, 50Pa, CSĐ: 0.034kW, Điện áp 1P/220V/50Hz, Độ ồn 48 dBA (dBA @ 1m), Tốc độ vòng quay 4P, IP44, Nhựa PP</t>
  </si>
  <si>
    <t>Quạt hút gắn tường
TH1/EF-11, Q=1000m3/h, 50Pa, CSĐ: 0.034kW, Điện áp 1P/220V/50Hz, Độ ồn 48 dBA (dBA @ 1m), Tốc độ vòng quay 4P, IP44, Nhựa PP</t>
  </si>
  <si>
    <t>Quạt hút gắn tường
T1/EF-01, Q=1000m3/h, 50Pa, CSĐ: 0.034kW, Điện áp 1P/220V/50Hz, Độ ồn 48 dBA (dBA @ 1m), Tốc độ vòng quay 4P, IP44, Nhựa PP</t>
  </si>
  <si>
    <t>Quạt hút gắn tường
T4/EF-04,05,06, Q=1000m3/h, 50Pa, CSĐ: 0.034kW, Điện áp 1P/220V/50Hz, Độ ồn 48 dBA (dBA @ 1m), Tốc độ vòng quay 4P, IP44, Nhựa PP</t>
  </si>
  <si>
    <t>Quạt hút gắn tường
T23/EF-01, Q=650m3/h, 25Pa, CSĐ: 0.034kW, Điện áp 1P/220V/50Hz, Độ ồn 48 dBA (dBA @ 1m), Tốc độ vòng quay 4P, IP44, Nhựa PP</t>
  </si>
  <si>
    <t>Quạt hút gắn tường
TH2/EF-09, Q=250m3/h, 20Pa, CSĐ: 0.029kW, Điện áp 1P/220V/50Hz, Độ ồn 45 dBA (dBA @ 1m), Tốc độ vòng quay 4P, IP44, Nhựa PP</t>
  </si>
  <si>
    <t>Quạt hút gắn tường
TH2/EF-10, Q=350m3/h, 25Pa, CSĐ: 0.031kW, Điện áp 1P/220V/50Hz, Độ ồn 47 dBA (dBA @ 1m), Tốc độ vòng quay 4P, IP44, Nhựa PP</t>
  </si>
  <si>
    <t>Quạt hút gắn tường
TH2/EF-11, Q=150m3/h, 20Pa, CSĐ: 0.029kW, Điện áp 1P/220V/50Hz, Độ ồn 45 dBA (dBA @ 1m), Tốc độ vòng quay 4P, IP44, Nhựa PP</t>
  </si>
  <si>
    <t>Quạt hút mùi ly tâm
A-TT/KEF-01,01.1, Q=30000m3/h, 550Pa, CSĐ: 11kW, Điện áp 3P/380V/50Hz, Độ ồn 74 dBA (dBA @ 3m), Tốc độ vòng quay 4P, IP55, Thép SS400 mạ kẽm nhúng nóng</t>
  </si>
  <si>
    <t>Quạt thông gió ly tâm 02 cấp độ, chịu nhiệt 300°C/2hrs
TH2/EF-01.1,01.2, Q=20500/31000m3/h, 400/900Pa, CSĐ: 5.5/111kW, Điện áp 3P/380V/50Hz, Độ ồn 69/76 dBA (dBA @ 3m), Tốc độ vòng quay 6P/4P, IP55, Thép SS400 mạ kẽm nhúng nóng</t>
  </si>
  <si>
    <t>Quạt thông gió ly tâm 02 cấp độ, chịu nhiệt 300°C/2hrs
TH2/EF-02, Q=39000/58500m3/h, 450/1012Pa, CSĐ: 11/30kW, Điện áp 3P/380V/50Hz, Độ ồn 72/80 dBA (dBA @ 3m), Tốc độ vòng quay 6P/4P, IP55, Thép SS400 mạ kẽm nhúng nóng</t>
  </si>
  <si>
    <t>Quạt thông gió ly tâm 02 cấp độ, chịu nhiệt 300°C/2hrs
TH1/EF-01.1,01.2, Q=20500/31000m3/h, 400/900Pa, CSĐ: 5.5/11kW, Điện áp 3P/380V/50Hz, Độ ồn 69/76 dBA (dBA @ 3m), Tốc độ vòng quay 6P/4P, IP55, Thép SS400 mạ kẽm nhúng nóng</t>
  </si>
  <si>
    <t>Quạt thông gió ly tâm 02 cấp độ, chịu nhiệt 300°C/2hrs
TH1/EF-02, Q=41000/62000m3/h, 450/1012Pa, CSĐ: 11/30kW, Điện áp 3P/380V/50Hz, Độ ồn 72/80 dBA (dBA @ 3m), Tốc độ vòng quay 6P/4P, IP55, Thép SS400 mạ kẽm nhúng nóng</t>
  </si>
  <si>
    <t>Quạt tăng áp hướng trục
T1/PSF-01, Q=10000m3/h, 200Pa, CSĐ: 1.5kW, Điện áp 3P/380V/50Hz, Độ ồn 71 dBA (dBA @ 3m), Tốc độ vòng quay 4P, IP55, Thép SS400 mạ kẽm nhúng nóng</t>
  </si>
  <si>
    <t>Quạt tăng áp hướng trục
T5/PSF-01, Q=17000m3/h, 450Pa, CSĐ: 4W, Điện áp 3P/380V/50Hz, Độ ồn 73 dBA (dBA @ 3m), Tốc độ vòng quay 4P, IP55, Thép SS400 mạ kẽm nhúng nóng</t>
  </si>
  <si>
    <t>Quạt tăng áp hướng trục
T5/PSF-03,04, Q=18500m3/h, 400Pa, CSĐ: 4W, Điện áp 3P/380V/50Hz, Độ ồn 73 dBA (dBA @ 3m), Tốc độ vòng quay 4P, IP55, Thép SS400 mạ kẽm nhúng nóng</t>
  </si>
  <si>
    <t>Quạt hút khói hướng trục, chịu nhiệt 300°C/2hrs
T5/SEF-01, Q=33500m3/h, 650Pa, CSĐ: 11kW, Điện áp 3P/380V/50Hz, Độ ồn 76 dBA (dBA @ 3m), Tốc độ vòng quay 4P, IP55, Thép SS400 mạ kẽm nhúng nóng</t>
  </si>
  <si>
    <t>Quạt khút khói ly tâm, chịu nhiệt 300°C/2hrs
T5/SEF-02, Q=54000m3/h, 650Pa, CSĐ: 15kW, Điện áp 3P/380V/50Hz, Độ ồn 77 dBA (dBA @ 3m), Tốc độ vòng quay 4P, IP55, Thép SS400 mạ kẽm nhúng nóng</t>
  </si>
  <si>
    <t>Quạt tăng áp hướng trục
B-T24/PSF-02, Q=62000m3/h, 800Pa, CSĐ: 22kW, Điện áp 3P/380V/50Hz, Độ ồn 73 dBA (dBA @ 3m), Tốc độ vòng quay 4P, IP55, Thép SS400 mạ kẽm nhúng nóng</t>
  </si>
  <si>
    <t>Quạt khút khói ly tâm, chịu nhiệt 300°C/2hrs
B-T24/SEF-01, Q=43000m3/h, 900Pa, CSĐ: 15kW, Điện áp 3P/380V/50Hz, Độ ồn 79 dBA (dBA @ 3m), Tốc độ vòng quay 4P, IP55, Thép SS400 mạ kẽm nhúng nóng</t>
  </si>
  <si>
    <t>Quạt tăng áp hướng trục
B-T25/PSF-05, Q=32500m3/h, 700Pa, CSĐ: 11kW, Điện áp 3P/380V/50Hz, Độ ồn 76 dBA (dBA @ 3m), Tốc độ vòng quay 4P, IP55, Thép SS400 mạ kẽm nhúng nóng</t>
  </si>
  <si>
    <t>Quạt khút khói ly tâm, chịu nhiệt 300°C/2hrs
B-T25/SEF-01, Q=43000m3/h, 900Pa, CSĐ: 15kW, Điện áp 3P/380V/50Hz, Độ ồn 79 dBA (dBA @ 3m), Tốc độ vòng quay 4P, IP55, Thép SS400 mạ kẽm nhúng nóng</t>
  </si>
  <si>
    <t>Quạt tăng áp hướng trục
A-TT/PSF-01, Q=32500m3/h, 700Pa, CSĐ: 11kW, Điện áp 3P/380V/50Hz, Độ ồn 76 dBA (dBA @ 3m), Tốc độ vòng quay 4P, IP55, Thép SS400 mạ kẽm nhúng nóng</t>
  </si>
  <si>
    <t>Quạt khút khói ly tâm, chịu nhiệt 300°C/2hrs
A-TT/SEF-01, Q=43000m3/h, 900Pa, CSĐ: 15kW, Điện áp 3P/380V/50Hz, Độ ồn 79 dBA (dBA @ 3m), Tốc độ vòng quay 4P, IP55, Thép SS400 mạ kẽm nhúng nóng</t>
  </si>
  <si>
    <t>Quạt tăng áp hướng trục
A-TM/PSF-04, Q=36000m3/h, 700Pa, CSĐ: 11kW, Điện áp 3P/380V/50Hz, Độ ồn 76 dBA (dBA @ 3m), Tốc độ vòng quay 4P, IP55, Thép SS400 mạ kẽm nhúng nóng</t>
  </si>
  <si>
    <t>Quạt tăng áp hướng trục
A-TM/PSF-03, Q=62000m3/h, 800Pa, CSĐ: 22kW, Điện áp 3P/380V/50Hz, Độ ồn 73 dBA (dBA @ 3m), Tốc độ vòng quay 4P, IP55, Thép SS400 mạ kẽm nhúng nóng</t>
  </si>
  <si>
    <t>Quạt khút khói ly tâm, chịu nhiệt 300°C/2hrs
A-TM/SEF-01, Q=43000m3/h, 900Pa, CSĐ: 15kW, Điện áp 3P/380V/50Hz, Độ ồn 79 dBA (dBA @ 3m), Tốc độ vòng quay 4P, IP55, Thép SS400 mạ kẽm nhúng nóng</t>
  </si>
  <si>
    <t>Quạt hút gắn tường
TH1/EF-09, Q=450m3/h, 25Pa, CSĐ: 0.031kW, Điện áp 1P/220V/50Hz, Độ ồn 47 dBA (dBA @ 1m), Tốc độ vòng quay 4P, IP44, Nhựa PP</t>
  </si>
  <si>
    <t>Quạt hút gắn tường
TH1/EF-10, Q=450m3/h, 25Pa, CSĐ: 0.031kW, Điện áp 1P/220V/50Hz, Độ ồn 47 dBA (dBA @ 1m), Tốc độ vòng quay 4P, IP44, Nhựa PP</t>
  </si>
  <si>
    <t>VNS-VF-315SI</t>
  </si>
  <si>
    <t>VNS-VF-355SI</t>
  </si>
  <si>
    <t>VNS-VF-380S
Động cơ ATT IE1</t>
  </si>
  <si>
    <t>VNS-VF-320S
Động cơ ATT IE1</t>
  </si>
  <si>
    <t>VNS-VF-400S
Động cơ ATT IE1</t>
  </si>
  <si>
    <t>Quạt hút gắn tường
T2/EF-03, Q=150m3/h, 20Pa, CSĐ: 0.029kW, Điện áp 1P/220V/50Hz, Độ ồn 45 dBA (dBA @ 1m), Tốc độ vòng quay 4P, IP44, Nhựa PP</t>
  </si>
  <si>
    <t>Quạt hút gắn tường
T3/EF-02, Q=150m3/h, 20Pa, CSĐ: 0.029kW, Điện áp 1P/220V/50Hz, Độ ồn 45 dBA (dBA @ 1m), Tốc độ vòng quay 4P, IP44, Nhựa PP</t>
  </si>
  <si>
    <t xml:space="preserve">VNS-VF-355SI </t>
  </si>
  <si>
    <t xml:space="preserve">VNS-VF-315SI </t>
  </si>
  <si>
    <t>Quạt hút gắn tường
T4/EF-03, Q=150m3/h, 20Pa, CSĐ: 0.029kW, Điện áp 1P/220V/50Hz, Độ ồn 45 dBA (dBA @ 1m), Tốc độ vòng quay 4P, IP44, Nhựa PP</t>
  </si>
  <si>
    <t>Quạt hút gắn tường
TT/EF-01, Q=1200m3/h, 50Pa, CSĐ: 0.035kW, Điện áp 1P/220V/50Hz, Độ ồn 50 dBA (dBA @ 1m), Tốc độ vòng quay 4P, IP44, Nhựa PP</t>
  </si>
  <si>
    <t>VNS-AF5B-7T
Động cơ ATT IE1</t>
  </si>
  <si>
    <t>VNS-CF2-10T
Động cơ ATT IE1</t>
  </si>
  <si>
    <t>VNS-AF5-6.5T
Động cơ ATT IE1</t>
  </si>
  <si>
    <t>VNS-AF5-6.5T
động cơ ATT IE1</t>
  </si>
  <si>
    <t>Quạt tăng áp hướng trục 
T5/PSF-02, Q=8000m3/h, 350Pa, CSĐ: 1.5W, Điện áp 3P/380V/50Hz, Độ ồn 71 dBA (dBA @ 3m), Tốc độ vòng quay 4P, IP55, Thép SS400 mạ kẽm nhúng nóng</t>
  </si>
  <si>
    <t>Quạt tăng áp hướng trục
T5/PSF-05,06, Q=15500m3/h, 450Pa, CSĐ: 4W, Điện áp 3P/380V/50Hz, Độ ồn 73 dBA (dBA @ 3m), Tốc độ vòng quay 2P, IP55, Thép SS400 mạ kẽm nhúng nóng</t>
  </si>
  <si>
    <t>Quạt tăng áp hướng trục
B-T25/PSF-01, Q=15500m3/h, 450Pa, CSĐ: 4W, Điện áp 3P/380V/50Hz, Độ ồn 73 dBA (dBA @ 3m), Tốc độ vòng quay 2P, IP55, Thép SS400 mạ kẽm nhúng nóng</t>
  </si>
  <si>
    <t>Quạt tăng áp hướng trục
A-TM/PSF-01, Q=15500m3/h, 450Pa, CSĐ: 4W, Điện áp 3P/380V/50Hz, Độ ồn 73 dBA (dBA @ 3m), Tốc độ vòng quay 2P, IP55, Thép SS400 mạ kẽm nhúng nóng</t>
  </si>
  <si>
    <t>Quạt tăng áp hướng trục
TH2/PSF-01, Q=13500m3/h, 450Pa, CSĐ: 3kW, Điện áp 3P/380V/50Hz, Độ ồn 72 dBA (dBA @ 3m), Tốc độ vòng quay 2P, IP55, Thép SS400 mạ kẽm nhúng nóng</t>
  </si>
  <si>
    <t>Quạt tăng áp hướng trục
TH1/PSF-01, Q=27000m3/h, 500Pa, CSĐ: 7.5W, Điện áp 3P/380V/50Hz, Độ ồn 75 dBA (dBA @ 3m), Tốc độ vòng quay 4P, IP55, Thép SS400 mạ kẽm nhúng nóng</t>
  </si>
  <si>
    <t>Quạt tăng áp hướng trục
TH1/PSF-02, Q=20500m3/h, 450Pa, CSĐ: 5.5W, Điện áp 3P/380V/50Hz, Độ ồn 74 dBA (dBA @ 3m), Tốc độ vòng quay 4P, IP55, Thép SS400 mạ kẽm nhúng nóng</t>
  </si>
  <si>
    <t>Quạt tăng áp hướng trục
TH1/PSF-03, Q=21000m3/h, 450Pa, CSĐ: 5.5W, Điện áp 3P/380V/50Hz, Độ ồn 74 dBA (dBA @ 3m), Tốc độ vòng quay 4P, IP55, Thép SS400 mạ kẽm nhúng nóng</t>
  </si>
  <si>
    <t>Quạt tăng áp hướng trục
B-T24/PSF-01, Q=36000m3/h, 700Pa, CSĐ: 11kW, Điện áp 3P/380V/50Hz, Độ ồn 76 dBA (dBA @ 3m), Tốc độ vòng quay 4P, IP55, Thép SS400 mạ kẽm nhúng nóng</t>
  </si>
  <si>
    <t>Quạt tăng áp hướng trục
B-T25/PSF-03, Q=58000m3/h, 700Pa, CSĐ: 18.5kW, Điện áp 3P/380V/50Hz, Độ ồn 79 dBA (dBA @ 3m), Tốc độ vòng quay 4P, IP55, Thép SS400 mạ kẽm nhúng nóng</t>
  </si>
  <si>
    <t>Quạt hút khói hướng trục, cánh ly tâm, chịu nhiệt 300°C/2hrs
TH1/SEF-01,02, Q=23000m3/h, 900Pa, CSĐ: 11kW, Điện áp 3P/380V/50Hz, Độ ồn 75 dBA (dBA @ 3m), Tốc độ vòng quay 4P,  IP55, Thép SS400 mạ kẽm nhúng nóng</t>
  </si>
  <si>
    <t>Quạt tăng áp hướng trục
B-T24/PSF-03, Q=26000m3/h, 700Pa, CSĐ: 7.5kW, Điện áp 3P/380V/50Hz, Độ ồn 75 dBA (dBA @ 3m), Tốc độ vòng quay 4P, IP55, Thép SS400 mạ kẽm nhúng nóng</t>
  </si>
  <si>
    <t>Quạt tăng áp hướng trục
B-T25/PSF-02,04, Q=29000m3/h, 700Pa, CSĐ: 7.5kW, Điện áp 3P/380V/50Hz, Độ ồn 75 dBA (dBA @ 3m), Tốc độ vòng quay 4P, IP55, Thép SS400 mạ kẽm nhúng nóng</t>
  </si>
  <si>
    <t>Quạt tăng áp hướng trục
A-TM/PSF-05, Q=26000m3/h, 700Pa, CSĐ: 7.5kW, Điện áp 3P/380V/50Hz, Độ ồn 75 dBA (dBA @ 3m), Tốc độ vòng quay 4P, IP55, Thép SS400 mạ kẽm nhúng nóng</t>
  </si>
  <si>
    <t>Quạt hút mùi ly tâm
A-TM/KEF-01,01.1, Q=50000m3/h, 600Pa, CSĐ: 15kW, Điện áp 3P/380V/50Hz, Độ ồn 79 dBA (dBA @ 3m), Tốc độ vòng quay 4P, IP55, Thép SS400 mạ kẽm nhúng nóng</t>
  </si>
  <si>
    <t>Quạt hút khói ly tâm, chịu nhiệt 300°C/2hrs
A-TM/SEF-02, Q=54000m3/h, 1200Pa, CSĐ: 30kW, Điện áp 3P/380V/50Hz, Độ ồn 82 dBA (dBA @ 3m), Tốc độ vòng quay 4P, IP55, Thép SS400 mạ kẽm nhúng nóng</t>
  </si>
  <si>
    <t>VNS-CF4-8T
Động cơ ATT IE1</t>
  </si>
  <si>
    <t>Quạt hút mùi ly tâm
A-TM/EF-01, Q=4500m3/h, 400Pa, CSĐ: 2.2kW, Điện áp 3P/380V/50Hz, Độ ồn 70 dBA (dBA @ 3m), Tốc độ vòng quay 4P, IP55, Thép SS400 mạ kẽm nhúng nóng</t>
  </si>
  <si>
    <t>Quạt hút mùi ly tâm dạng hộp
T2/EF-03, Q=3000m3/h, 250Pa, CSĐ: 0.75kW, Điện áp 3P/380V/50Hz, Độ ồn 62 dBA (dBA @ 3m), Tốc độ vòng quay 6P, IP55, Thép SS400 mạ kẽm</t>
  </si>
  <si>
    <t>Quạt cấp gió tươi ly tâm dạng hộp
T1/SF-01, Q=1800m3/h, 250Pa, CSĐ: 0.115kW, Điện áp 1P/220V/50Hz, Độ ồn 63 dBA (dBA @ 3m), Tốc độ vòng quay 4P, IP54, Thép SS400 mạ kẽm</t>
  </si>
  <si>
    <t>Quạt cấp gió tươi ly tâm dạng hộp
T2/SF-05, Q=500m3/h, 150Pa, CSĐ: 0.065kW, Điện áp 1P/220V/50Hz, Độ ồn 51 dBA (dBA @ 3m), Tốc độ vòng quay 6P, IP54, Thép SS400 mạ kẽm</t>
  </si>
  <si>
    <t>Quạt cấp gió tươi ly tâm dạng hộp
T2/SF-05, Q=600m3/h, 150Pa, CSĐ: 0.065kW, Điện áp 1P/220V/50Hz, Độ ồn 51 dBA (dBA @ 3m), Tốc độ vòng quay 6P, IP54, Thép SS400 mạ kẽm</t>
  </si>
  <si>
    <t>Quạt cấp gió tươi ly tâm dạng hộp
T3/SF-08, Q=600m3/h, 150Pa, CSĐ: 0.065kW, Điện áp 1P/220V/50Hz, Độ ồn 51 dBA (dBA @ 3m), Tốc độ vòng quay 6P, IP54, Thép SS400 mạ kẽm</t>
  </si>
  <si>
    <t>Quạt cấp gió tươi ly tâm dạng hộp
T1/SF-04, Q=5000m3/h, 300Pa, CSĐ: 1.5kW, Điện áp 3P/380V/50Hz, Độ ồn 63 dBA (dBA @ 3m), Tốc độ vòng quay 6P, IP55, Thép SS400 mạ kẽm</t>
  </si>
  <si>
    <t>Quạt cấp gió tươi ly tâm dạng hộp
T2/SF-03, Q=4000m3/h, 300Pa, CSĐ: 1.5kW, Điện áp 3P/380V/50Hz, Độ ồn 63 dBA (dBA @ 3m), Tốc độ vòng quay 6P, IP55, Thép SS400 mạ kẽm</t>
  </si>
  <si>
    <t>Quạt cấp gió tươi ly tâm dạng hộp
T3/SF-03, Q=3800m3/h, 300Pa, CSĐ: 1.5kW, Điện áp 3P/380V/50Hz, Độ ồn 63 dBA (dBA @ 3m), Tốc độ vòng quay 6P, IP55, Thép SS400 mạ kẽm</t>
  </si>
  <si>
    <t>Quạt cấp gió tươi ly tâm dạng hộp
T3/SF-05,06, Q=4000m3/h, 300Pa, CSĐ: 1.5kW, Điện áp 3P/380V/50Hz, Độ ồn 63 dBA (dBA @ 3m), Tốc độ vòng quay 6P, IP55, Thép SS400 mạ kẽm</t>
  </si>
  <si>
    <t>Quạt cấp gió tươi ly tâm dạng hộp
T3/SF-03, Q=3500m3/h, 300Pa, CSĐ: 0.75kW, Điện áp 3P/380V/50Hz, Độ ồn 63 dBA (dBA @ 3m), Tốc độ vòng quay 6P, IP55, Thép SS400 mạ kẽm</t>
  </si>
  <si>
    <t>Quạt cấp gió tươi ly tâm dạng hộp
T4/SF-03, Q=4500m3/h, 300Pa, CSĐ: 1.5kW, Điện áp 3P/380V/50Hz, Độ ồn 63 dBA (dBA @ 3m), Tốc độ vòng quay 6P, IP55, Thép SS400 mạ kẽm</t>
  </si>
  <si>
    <t>Quạt cấp gió tươi ly tâm dạng hộp
T4/SF-05, Q=5000m3/h, 350Pa, CSĐ: 1.5W, Điện áp 3P/380V/50Hz, Độ ồn 63 dBA (dBA @ 3m), Tốc độ vòng quay 6P, IP55, Thép SS400 mạ kẽm</t>
  </si>
  <si>
    <t>Quạt cấp gió tươi ly tâm dạng hộp
T1/SF-02, Q=2000m3/h, 250Pa, CSĐ: 0.165kW, Điện áp 1P/220V/50Hz, Độ ồn 63 dBA (dBA @ 3m), Tốc độ vòng quay 4P, IP54, Thép SS400 mạ kẽm</t>
  </si>
  <si>
    <t>Quạt cấp gió tươi ly tâm dạng hộp
T1/SF-03, Q=2200m3/h, 300Pa, CSĐ: 0.165kW, Điện áp 3P/380V/50Hz, Độ ồn 63 dBA (dBA @ 3m), Tốc độ vòng quay 4P, IP54, Thép SS400 mạ kẽm</t>
  </si>
  <si>
    <t>Quạt cấp gió tươi ly tâm dạng trục
T3/SF-01,02, Q=2500m3/h, 250Pa, CSĐ: 0.165kW, Điện áp 3P/380V/50Hz, Độ ồn 63 dBA (dBA @ 3m), Tốc độ vòng quay 4P, IP54, Thép SS400 mạ kẽm</t>
  </si>
  <si>
    <t>Quạt cấp gió tươi ly tâm dạng hộp
T3/SF-04, Q=2000m3/h, 200Pa, CSĐ: 0.165kW, Điện áp 3P/380V/50Hz, Độ ồn 63 dBA (dBA @ 3m), Tốc độ vòng quay 4P, IP54, Thép SS400 mạ kẽm</t>
  </si>
  <si>
    <t>Quạt cấp gió tươi ly tâm dạng hộp
T4/SF-02, Q=2200m3/h, 250Pa, CSĐ: 0.165kW, Điện áp 3P/380V/50Hz, Độ ồn 63 dBA (dBA @ 3m), Tốc độ vòng quay 4P, IP54, Thép SS400 mạ kẽm</t>
  </si>
  <si>
    <t>Quạt hút mùi ly tâm dạng hộp
T5/EF-02, Q=2000m3/h, 250Pa, CSĐ: 0.165kW, Điện áp 1P/220V/50Hz, Độ ồn 63 dBA (dBA @ 3m), Tốc độ vòng quay 4P, IP54, Thép SS400 mạ kẽm</t>
  </si>
  <si>
    <t>Quạt cấp gió tươi ly tâm dạng hộp
T5/SF-01, Q=2200m3/h, 300Pa, CSĐ: 0.165kW, Điện áp 3P/380V/50Hz, Độ ồn 63 dBA (dBA @ 3m), Tốc độ vòng quay 4P, IP54, Thép SS400 mạ kẽm</t>
  </si>
  <si>
    <t>Quạt hút ly tâm dạng hộp
TH1/EF-12, Q=6500m3/h, 400Pa, CSĐ: 1.5W, Điện áp 3P/380V/50Hz, Độ ồn 65 dBA (dBA @ 3m), Tốc độ vòng quay 6P, IP55, Thép SS400 mạ kẽm</t>
  </si>
  <si>
    <t>Quạt cấp gió tươi ly tâm dạng hộp
T5/SF-02, Q=4500m3/h, 300Pa, CSĐ: 1.5kW, Điện áp 3P/380V/50Hz, Độ ồn 63 dBA (dBA @ 3m), Tốc độ vòng quay 6P, IP55, Thép SS400 mạ kẽm</t>
  </si>
  <si>
    <t>Quạt cấp gió tươi ly tâm dạng hộp
T5/SF-04,05, Q=4000m3/h, 300Pa, CSĐ: 1.5kW, Điện áp 3P/380V/50Hz, Độ ồn 63 dBA (dBA @ 3m), Tốc độ vòng quay 6P, IP55, Thép SS400 mạ kẽm</t>
  </si>
  <si>
    <t>Tôn mạ kẽm Z08, dày 0.95mm</t>
  </si>
  <si>
    <t>Cửa gió nan thẳng 1 lớp nan 1 khung cố định kèm van VD</t>
  </si>
  <si>
    <t>Tôn mạ kẽm Z08 dày 1.15mm, Tiêu âm tôn soi lỗ dày 0.48mm bông khoáng dày 50mm tỷ trọng 50 kg/m3</t>
  </si>
  <si>
    <t>Bích thép V30x30x2 kèm bạt thường</t>
  </si>
  <si>
    <t>Inox 304 dày 1.0mm</t>
  </si>
  <si>
    <t>Inox 304 dày 0.6mm</t>
  </si>
  <si>
    <t>Tôn mạ kẽm Z08, dày 0.58mm</t>
  </si>
  <si>
    <t>Tôn mạ kẽm Z08, dày 0.75mm</t>
  </si>
  <si>
    <t>Cửa gió nan sọt trứng kèm van OBD và hộp gió</t>
  </si>
  <si>
    <t>Tôn mạ kẽm Z08 dày 0.75mm, Tiêu âm tôn soi lỗ dày 0.48mm bông khoáng dày 50mm tỷ trọng 50 kg/m3</t>
  </si>
  <si>
    <t>Tôn mạ kẽm Z08 dày 0.95mm, Tiêu âm tôn soi lỗ dày 0.48mm bông khoáng dày 50mm tỷ trọng 50 kg/m3</t>
  </si>
  <si>
    <t>Tôn mạ kẽm Z08, dày 0.58mm + Bảo ôn CSLH dày 19mm 1 mặt bạc, 1 mặt keo</t>
  </si>
  <si>
    <t>Tôn mạ kẽm Z08, dày 0.75mm + Bảo ôn CSLH dày 19mm 1 mặt bạc, 1 mặt keo</t>
  </si>
  <si>
    <t>Ống gió mềm cách nhiệt bông thủy tinh tỷ trọng 32kg/m3, dày 25mm, D250</t>
  </si>
  <si>
    <t>Ống gió mềm cách nhiệt bông thủy tinh tỷ trọng 32kg/m3, dày 25mm, D300</t>
  </si>
  <si>
    <t>Ống gió mềm cách nhiệt bông thủy tinh tỷ trọng 32kg/m3, dày 25mm, D350</t>
  </si>
  <si>
    <t>Ống gió mềm cách nhiệt bông thủy tinh tỷ trọng 32kg/m3, dày 25mm, D400</t>
  </si>
  <si>
    <t>Cửa gió khuếch tán kèm hộp gió + Bảo ôn CSLH dày 19mm 1 mặt bạc, 1 mặt keo</t>
  </si>
  <si>
    <t>Cửa gió sọt trúng kèm hộp gió + Bảo ôn CSLH dày 19mm 1 mặt bạc, 1 mặt keo</t>
  </si>
  <si>
    <t>Tôn mạ kẽm Z08, dày 1.15mm + Bảo ôn CSLH dày 19mm 1 mặt bạc, 1 mặt keo</t>
  </si>
  <si>
    <t>Ống gió mềm không cách nhiệt, D200</t>
  </si>
  <si>
    <t>Ống gió mềm không cách nhiệt, D250</t>
  </si>
  <si>
    <t>Ống gió mềm không cách nhiệt, D300</t>
  </si>
  <si>
    <t>Tôn mạ kẽm Z08 dày 0.58mm, Tiêu âm tôn soi lỗ dày 0.48mm bông khoáng dày 50mm tỷ trọng 50 kg/m3</t>
  </si>
  <si>
    <t>Tôn mạ kẽm Z08 dày 0.75mm, Tiêu âm tôn soi lỗ dày 0.48mm bông khoáng dày 50mm tỷ trọng 50 kg/m5</t>
  </si>
  <si>
    <t>Tôn mạ kẽm Z08 dày 0.75mm, Tiêu âm tôn soi lỗ dày 0.48mm bông khoáng dày 50mm tỷ trọng 50 kg/m7</t>
  </si>
  <si>
    <t>Tôn mạ kẽm Z08 dày 0.75mm, Tiêu âm tôn soi lỗ dày 0.48mm bông khoáng dày 50mm tỷ trọng 50 kg/m8</t>
  </si>
  <si>
    <t>Tôn mạ kẽm Z08 dày 0.75mm, Tiêu âm tôn soi lỗ dày 0.48mm bông khoáng dày 50mm tỷ trọng 50 kg/m9</t>
  </si>
  <si>
    <t>Tôn mạ kẽm Z08 dày 0.75mm, Tiêu âm tôn soi lỗ dày 0.48mm bông khoáng dày 50mm tỷ trọng 50 kg/m10</t>
  </si>
  <si>
    <t>Tôn mạ kẽm Z08 dày 0.95mm, Tiêu âm tôn soi lỗ dày 0.48mm bông khoáng dày 50mm tỷ trọng 50 kg/m11</t>
  </si>
  <si>
    <t>Tôn mạ kẽm Z08 dày 0.95mm, Tiêu âm tôn soi lỗ dày 0.48mm bông khoáng dày 50mm tỷ trọng 50 kg/m12</t>
  </si>
  <si>
    <t>Tôn mạ kẽm Z08 dày 0.95mm, Tiêu âm tôn soi lỗ dày 0.48mm bông khoáng dày 50mm tỷ trọng 50 kg/m13</t>
  </si>
  <si>
    <t>Inox 304 dày 1.0mm kèm lưới chắn côn trùng</t>
  </si>
  <si>
    <t>Tê cong giảm uPVC D140/90, PN12.5 + Bạc CB uPVC D140/125, PN12.5</t>
  </si>
  <si>
    <t>Ống gió mềm cách nhiệt bông thủy tinh tỷ trọng 32kg/m3, dày 25mm, D200</t>
  </si>
  <si>
    <t>Cửa gió sọt trứng kèm hộp gió + Bảo ôn CSLH dày 19mm 1 mặt bạc, 1 mặt keo</t>
  </si>
  <si>
    <t>Eusduct + Aeroflex</t>
  </si>
  <si>
    <t>Eusduct + Aeroflex + Superlon</t>
  </si>
  <si>
    <t>Việt Nam + Thailand + Malaysia</t>
  </si>
  <si>
    <t>Tôn mạ kẽm Z08, dày 0.95mm + Bảo ôn CSLH dày 19mm 1 mặt bạc, 1 mặt keo + Tiêu âm sọt trứng Class 0 dày 16mm 1 mặt keo</t>
  </si>
  <si>
    <t>Tôn mạ kẽm Z08, dày 1.15mm + Bảo ôn CSLH dày 19mm 1 mặt bạc, 1 mặt keo +  Tiêu âm sọt trứng Class 0 dày 25mm 1 mặt keo</t>
  </si>
  <si>
    <t>Bơm tăng áp ly tâm, trục ngang, Q=2x40m3/h, H=56m, 11kW, 380V/3P/50Hz, 2Pole, Thân, cánh và trục thép không gỉ
Tủ điện điều khiển bơm bằng biến tần, TBĐC: Schneider,  phụ kiện cấu thành nguyên cụm được sản xuất và lắp ráp nguyên cụm tại Việt Nam</t>
  </si>
  <si>
    <t>Bơm tăng áp ly tâm, trục ngang, Q=2x27m3/h, H=25m, 4kW, 380V/3P/50Hz, 2Pole, Thân, cánh và trục thép không gỉ
Tủ điện điều khiển bơm bằng biến tần, TBĐC: Schneider,  phụ kiện cấu thành nguyên cụm được sản xuất và lắp ráp nguyên cụm tại  Việt Nam</t>
  </si>
  <si>
    <t>Bơm tăng áp ly tâm, trục ngang, Q=2x30m3/h, H=25m, 4kW, 380V/3P/50Hz, 2Pole, Thân, cánh và trục thép không gỉ
Tủ điện điều khiển bơm bằng biến tần, TBĐC: Schneider,  phụ kiện cấu thành nguyên cụm được sản xuất và lắp ráp nguyên cụm tại  Việt Nam</t>
  </si>
  <si>
    <t>Tôn mạ kẽm Z08 dày 0.75mm, Tiêu âm tôn soi lỗ dày 0.48mm bông khoáng dày 50mm tỷ trọng 50 kg/m3 + lớp tấm chống cháy SMD60 dày 5.5mm</t>
  </si>
  <si>
    <t>Tôn mạ kẽm Z08 dày 1.5mm, bọc EI120, động cơ Belimo FSNF 230US, 7,9N.m, đóng mở có lò xo phản hồi</t>
  </si>
  <si>
    <t>Tôn mạ kẽm Z08 dày 1.5mm + lớp tấm chống cháy SMD120 dày 20mm</t>
  </si>
  <si>
    <t>Tôn mạ kẽm Z08 dày 1.5mm, bọc EI60, Cầu chì Elise 74 độ C</t>
  </si>
  <si>
    <t>Đèn Downlight chống ẩm
Điện áp: 110-245V
Công suất: 8W
Ánh sáng: 4000K
Hiệu suất phát quang: 95lm/w
IP: 44
Lỗ khoét: 90mm
Kích thước: 110*35mm
CRI: 80
Tuổi thọ: 30.000h</t>
  </si>
  <si>
    <t>SPD2030/8D(SI0143SPD)</t>
  </si>
  <si>
    <t>Wave- Đèn downlight viền phẳng 20W, Ánh sáng 4000K 
HS phát quang đèn (Lm/W) 90
PF 0.9
Góc chiếu: 90°
Kích thước: 244×84
Kích thước lỗ khoét: 195-210
Tuổi thọ: 50.000h
CRI&gt;80
IP 20</t>
  </si>
  <si>
    <t>Việt Nam + China</t>
  </si>
  <si>
    <t>Bao gồm dàn nóng và dàn lạnh</t>
  </si>
  <si>
    <t>Quạt hút mùi gắn trần nối ống gió kèm van 1 Q=105m3/h, 50Pa, CSĐ: 0.016kW, Điện áp 1P/220V/50Hz, Độ ồn 34 dBA (dBA @ 1m), Tốc độ vòng quay 670 rpm, IP21, Nhựa ABS</t>
  </si>
  <si>
    <t>CPM 1512</t>
  </si>
  <si>
    <t>Quạt hút mùi gắn trần nối ống gió kèm van 1 Q=110m3/h, 30Pa, CSĐ: 0.016kW, Điện áp 1P/220V/50Hz, Độ ồn 33 dBA (dBA @ 1m), Tốc độ vòng quay 830 rpm, IP21, Nhựa ABS</t>
  </si>
  <si>
    <t>Bao gồm điều khiển dây gắn tường</t>
  </si>
  <si>
    <t>PHẦN CẤP NƯỚC MẶT BẰNG, TRỤC ĐỨNG</t>
  </si>
  <si>
    <t>A2</t>
  </si>
  <si>
    <t>Phụ kiện inox</t>
  </si>
  <si>
    <t>Côn lệch DN100/65</t>
  </si>
  <si>
    <t>Côn lệch DN80/50</t>
  </si>
  <si>
    <t>Công tắc dòng chảy</t>
  </si>
  <si>
    <t>PHẦN BỂ BƠI</t>
  </si>
  <si>
    <t>D200/110</t>
  </si>
  <si>
    <t>D90/60</t>
  </si>
  <si>
    <t>PHẠM VI KHÁC</t>
  </si>
  <si>
    <t>Slab joint</t>
  </si>
  <si>
    <t>Đầu nối thông sàn D42</t>
  </si>
  <si>
    <t>Côn thu uPVC D48/42</t>
  </si>
  <si>
    <t>Đầu nối thông sàn D60</t>
  </si>
  <si>
    <t>Đầu nối thông sàn D75</t>
  </si>
  <si>
    <t>Côn thu uPVC D75/48</t>
  </si>
  <si>
    <t>Đầu nối thông sàn D90</t>
  </si>
  <si>
    <t>Đầu nối thông sàn D110</t>
  </si>
  <si>
    <t>Đầu nối thông sàn D160</t>
  </si>
  <si>
    <t>Bích lồng inox 304</t>
  </si>
  <si>
    <t>Công tắc dòng chảy dạng cùm</t>
  </si>
  <si>
    <t>F1500</t>
  </si>
  <si>
    <t>Đầu nối thông sàn uPVC D48, nối giảm uPVC D48/42 kèm băng trương nở và vật tư phụ</t>
  </si>
  <si>
    <t>Nối giảm uPVC D48/42, PN8</t>
  </si>
  <si>
    <t>Đầu nối thông sàn uPVC D60 kèm băng trương nở và vật tư phụ</t>
  </si>
  <si>
    <t>Đầu nối thông sàn uPVC D75 kèm băng trương nở và vật tư phụ</t>
  </si>
  <si>
    <t>Nối giảm uPVC D75/48, PN8</t>
  </si>
  <si>
    <t>Đầu nối thông sàn uPVC D90 kèm băng trương nở và vật tư phụ</t>
  </si>
  <si>
    <t>Đầu nối thông sàn uPVC D110 kèm băng trương nở và vật tư phụ</t>
  </si>
  <si>
    <t>Đầu nối thông sàn uPVC D160 kèm băng trương nở và vật tư phụ</t>
  </si>
  <si>
    <t>Khối lượng theo thực tế</t>
  </si>
  <si>
    <t>I - HỆ THỐNG GAS/DỊCH, NƯỚC NGƯNG KHỐI THƯƠNG MẠI</t>
  </si>
  <si>
    <t>E</t>
  </si>
  <si>
    <t>F</t>
  </si>
  <si>
    <t>KT 2500x450/Dquạt</t>
  </si>
  <si>
    <t>KT 1000x1000/Dquạt</t>
  </si>
  <si>
    <t>KT 1800x350/Dquạt</t>
  </si>
  <si>
    <t>KT 1100x600/Dquạt</t>
  </si>
  <si>
    <t>KT 1800x350/Ktquạt
-KT quạt tạm tính 600x600</t>
  </si>
  <si>
    <t>KT 1500x800/Ktquạt
-tạm tính 600x600</t>
  </si>
  <si>
    <t>Chân rẽ KT 800x300/600x300</t>
  </si>
  <si>
    <t>Chân rẽ KT 1000x260/960x260</t>
  </si>
  <si>
    <t>KT 1100x900</t>
  </si>
  <si>
    <t>KT 1300x750</t>
  </si>
  <si>
    <t>KT 1000x550/Dquạt</t>
  </si>
  <si>
    <t>KT 1300x750/Dquạt</t>
  </si>
  <si>
    <t>KT 900x1100/Ktquạt</t>
  </si>
  <si>
    <t>KT 1000x1000/1600x600</t>
  </si>
  <si>
    <t>Chân rẽ KT 800x250/600x250</t>
  </si>
  <si>
    <t>Chân rẽ KT 1700x500/1500x500</t>
  </si>
  <si>
    <t>Chân rẽ KT 1800x600/1600x600</t>
  </si>
  <si>
    <t>Chân rẽ 1600x400/1400x400</t>
  </si>
  <si>
    <t>Chân rẽ KT 1600x500/1400x500</t>
  </si>
  <si>
    <t>Chân rẽ KT 1200x300/1000x300</t>
  </si>
  <si>
    <t>Chân rẽ KT 1000x300/800x300</t>
  </si>
  <si>
    <t>Chân rẽ KT 1400x300/1200x300</t>
  </si>
  <si>
    <t>Chân rẽ KT 960/560</t>
  </si>
  <si>
    <t>Chân rẽ KT 560x560</t>
  </si>
  <si>
    <t>Chân rẽ KT 1600x800/1600x600</t>
  </si>
  <si>
    <t>1500x500</t>
  </si>
  <si>
    <t>1500x800</t>
  </si>
  <si>
    <t>KT 1000x600/Dquạt</t>
  </si>
  <si>
    <t>KT 1250x500/Dquạt</t>
  </si>
  <si>
    <t>Chân rẽ KT 1100x250/900x250</t>
  </si>
  <si>
    <t>Chân rẽ KT 750x350/900x250</t>
  </si>
  <si>
    <t>Chân rẽ KT 800x350/900x250</t>
  </si>
  <si>
    <t>Chân rẽ KT 550x500/550x400</t>
  </si>
  <si>
    <t>Chân rẽ KT 960x560</t>
  </si>
  <si>
    <t xml:space="preserve"> Phụ kiện ống gió tôn tráng kẽm có giới hạn chịu lửa EI 120</t>
  </si>
  <si>
    <t>Côn thu KT 1200x350/Dquạt</t>
  </si>
  <si>
    <t>Côn thu KT 1200x350/550x800</t>
  </si>
  <si>
    <t>Côn thu KT 1200x350/600x750</t>
  </si>
  <si>
    <t>Côn thu KT 750x600/900x250</t>
  </si>
  <si>
    <t>Z kt 350x1200 LT600 L1120</t>
  </si>
  <si>
    <t>Z kt 350x1200 LT850 L1120</t>
  </si>
  <si>
    <t>Chân rẽ KT 550x600/550x400</t>
  </si>
  <si>
    <t>Phụ kiện Ống gió tôn tráng kẽm tole 1.15mm trục đứng</t>
  </si>
  <si>
    <t>Côn thu 850x700/750x600</t>
  </si>
  <si>
    <t>Chân rẽ KT 900x350/900x250</t>
  </si>
  <si>
    <t>Chân rẽ KT 1000x400/1000x200</t>
  </si>
  <si>
    <t>KT 1200x250/Dquạt</t>
  </si>
  <si>
    <t>KT 1100x350/Dquạt</t>
  </si>
  <si>
    <t>Chân rẽ KT 1300x350/1100x350</t>
  </si>
  <si>
    <t>Chân rẽ KT 700x450/1000x250</t>
  </si>
  <si>
    <t>Chân rẽ KT1200x250/1000x250</t>
  </si>
  <si>
    <t>Chân rẽ KT 900x300/700x300</t>
  </si>
  <si>
    <t>Chân rẽ KT 1200x200/1000x200</t>
  </si>
  <si>
    <t>Chân rẽ KT 1160x560</t>
  </si>
  <si>
    <t>Z 1000x300 LT400 L1120</t>
  </si>
  <si>
    <t>Z 1100x350 LT500 L1300</t>
  </si>
  <si>
    <t>Z 350x1400 LT300 L700</t>
  </si>
  <si>
    <t>Z 350x1100 LT400 L700</t>
  </si>
  <si>
    <t>Z KT 200x200 LT130 L1200</t>
  </si>
  <si>
    <t>Z 250x1000 LT200 L500</t>
  </si>
  <si>
    <t>KT 800x300/Dquạt</t>
  </si>
  <si>
    <t>KT 750x400/Dquạt</t>
  </si>
  <si>
    <t>KT 1200x500/Dquạt</t>
  </si>
  <si>
    <t>KT 1050x1050/Dquạt</t>
  </si>
  <si>
    <t>KT 850x700/Dquạt</t>
  </si>
  <si>
    <t>KT 850x700/700x850</t>
  </si>
  <si>
    <t>KT 1000x300/1200x250</t>
  </si>
  <si>
    <t>KT 1150x950/Dquạt</t>
  </si>
  <si>
    <t>KT 700x600/Dquạt</t>
  </si>
  <si>
    <t>KT 900x600/Dquạt</t>
  </si>
  <si>
    <t>KT 900x600/600x900</t>
  </si>
  <si>
    <t>Chân rẽ KT 600x300/400x300</t>
  </si>
  <si>
    <t>Chân rẽ KT 1100x350/900x350</t>
  </si>
  <si>
    <t>Chân rẽ KT 700x250/500x250</t>
  </si>
  <si>
    <t>Chân rẽ KT 1200x500/1000x500</t>
  </si>
  <si>
    <t>Z KT 700x400 LT400 L1120</t>
  </si>
  <si>
    <t>Z KT 500x1000 LT800 L1120</t>
  </si>
  <si>
    <t>Z KT 1150x950 LT600 L1500</t>
  </si>
  <si>
    <t>KT 1200x600 kèm van điều chỉnh OBD</t>
  </si>
  <si>
    <t>KT 1150x950/1150x750</t>
  </si>
  <si>
    <t>KT 1150x750/1000x550</t>
  </si>
  <si>
    <t>KT 1050x1050/1050x900</t>
  </si>
  <si>
    <t>KT 1050x900/900x700</t>
  </si>
  <si>
    <t>KT 900x700/800x450</t>
  </si>
  <si>
    <t>KT 800x450/700x300</t>
  </si>
  <si>
    <t>KT 1200x250/900x250</t>
  </si>
  <si>
    <t>KT 850x700/800x500</t>
  </si>
  <si>
    <t>KT 800x500/500x500</t>
  </si>
  <si>
    <t>KT 1000x550/800x450</t>
  </si>
  <si>
    <t>KT 800x300/600x300</t>
  </si>
  <si>
    <t>KT 1200x500/900x600</t>
  </si>
  <si>
    <t>KT 900x600/750x600</t>
  </si>
  <si>
    <t>KT 900x600/800x600</t>
  </si>
  <si>
    <t>KT 800x600/700x600</t>
  </si>
  <si>
    <t>KT 750x600/600x600</t>
  </si>
  <si>
    <t>KT 600x600/500x600</t>
  </si>
  <si>
    <t>KT 1000x500/700x600</t>
  </si>
  <si>
    <t>KT 600x600/550x550</t>
  </si>
  <si>
    <t>KT 550x550/550x450</t>
  </si>
  <si>
    <t>KT 700x600/600x600</t>
  </si>
  <si>
    <t>KT 600x600/700x300</t>
  </si>
  <si>
    <t>KT 600x600/600x500</t>
  </si>
  <si>
    <t>KT 600x500/500x500</t>
  </si>
  <si>
    <t>KT 500x500/400x300</t>
  </si>
  <si>
    <t>Côn thu Ống gió tôn tráng kẽm tole 1.15mm trục đứng</t>
  </si>
  <si>
    <t>Chạc ba Ống gió tôn tráng kẽm tole 1.15mm trục đứng</t>
  </si>
  <si>
    <t>KT 800x450/800x450/800x450</t>
  </si>
  <si>
    <t>KT 700x400/1200x250/900x250</t>
  </si>
  <si>
    <t>KT 1200x900/Dquạt</t>
  </si>
  <si>
    <t>KT 250x200/150x150</t>
  </si>
  <si>
    <t>KT 350x200/250x200</t>
  </si>
  <si>
    <t>KT 200x200/150x150</t>
  </si>
  <si>
    <t>KT 2000x600/1400x500</t>
  </si>
  <si>
    <t>KT 1400x500/1000x450</t>
  </si>
  <si>
    <t>KT 1400x500/1200x400</t>
  </si>
  <si>
    <t>Chân rẽ 600x300/500x300</t>
  </si>
  <si>
    <t xml:space="preserve">Chân rẽ 800x400/600x400 </t>
  </si>
  <si>
    <t>Chân rẽ KT 1550x500/1400x500</t>
  </si>
  <si>
    <t>Chân rẽ KT 300x100/200x100</t>
  </si>
  <si>
    <t>Chân rẽ 150x100/D100</t>
  </si>
  <si>
    <t>Chân rẽ 225x150/150x150</t>
  </si>
  <si>
    <t>Chân rẽ KT 1000x350/800x350</t>
  </si>
  <si>
    <t>Chân rẽ KT 450x200/250x200</t>
  </si>
  <si>
    <t>Chân rẽ KT 225x150/D150</t>
  </si>
  <si>
    <t>Chân rẽ 200x100/D100</t>
  </si>
  <si>
    <t>Chân rẽ KT 600x250/400x250</t>
  </si>
  <si>
    <t>Chân rẽ KT 260x260</t>
  </si>
  <si>
    <t>Chân rẽ KT 400x200/300x200</t>
  </si>
  <si>
    <t>Chân rẽ KT 300x200/200x200</t>
  </si>
  <si>
    <t>KT 1000x350/Dquạt
-Tạm tính 1000x350/D500</t>
  </si>
  <si>
    <t>KT 250x200/Dquat
-Tạm tinh s250x200/D250</t>
  </si>
  <si>
    <t>KT 600x400/Dquạt
-Tạm tính 600x400/D800</t>
  </si>
  <si>
    <t>KT 400x200/Dquạt
-Tạm tính 400x200/D250</t>
  </si>
  <si>
    <t>KT 300x200/Dquạt
-Tạm tính 300x200/D250</t>
  </si>
  <si>
    <t>KT 350x200/Dquạt
-Tạm tính 350x200/D250</t>
  </si>
  <si>
    <t>KT 500x200/Dquạt
-Tạm tính 500x200/D250</t>
  </si>
  <si>
    <t>KT 1700x600/Dquạt</t>
  </si>
  <si>
    <t>KT 500x400/Dquạt</t>
  </si>
  <si>
    <t>Z 300x500 LT1150 L2000</t>
  </si>
  <si>
    <t>KT 600x300/600x200</t>
  </si>
  <si>
    <t xml:space="preserve"> Chân rẽ KT 250x300/250x200</t>
  </si>
  <si>
    <t>Chân rẽ 600x200/400x200</t>
  </si>
  <si>
    <t>Chân rẽ KT 400x300/D300</t>
  </si>
  <si>
    <t>Chân rẽ KT 350x250/D250</t>
  </si>
  <si>
    <t>Chân rẽ KT 450x350/D350</t>
  </si>
  <si>
    <t xml:space="preserve">Côn thu đầu cấp KT tạm tính: </t>
  </si>
  <si>
    <t>760x215</t>
  </si>
  <si>
    <t>1400x215</t>
  </si>
  <si>
    <t>1210x215</t>
  </si>
  <si>
    <t>1210x215/600x250</t>
  </si>
  <si>
    <t>1210x215/600x350</t>
  </si>
  <si>
    <t>1210x215/600x300</t>
  </si>
  <si>
    <t>Hộp đầu hồi KT tạm tính:</t>
  </si>
  <si>
    <t>KT 960x250</t>
  </si>
  <si>
    <t>1400x250</t>
  </si>
  <si>
    <t>Tôn mạ kẽm Z08, dày 0.95mm + Bảo ôn CSLH dày 19mm 1 mặt bạc, 1 mặt keo</t>
  </si>
  <si>
    <t>KT 800x450, L1200</t>
  </si>
  <si>
    <t>KT 900x350 L1200</t>
  </si>
  <si>
    <t>KT 750x400, L1200</t>
  </si>
  <si>
    <t>KT 700x450, L1500</t>
  </si>
  <si>
    <t>KT 1400x700, L1500</t>
  </si>
  <si>
    <t>Tôn mạ kẽm Z08 dày 1.5mm, Tiêu âm tôn soi lỗ dày 0.48mm bông khoáng dày 50mm tỷ trọng 50 kg/m8</t>
  </si>
  <si>
    <t>Côn thu 1000x300/Dquạt
-Tạm tính 1000x300/D500</t>
  </si>
  <si>
    <t>Côn thu KT 600x300/Dquạt
-Tạm tính 600x300/D300</t>
  </si>
  <si>
    <t>Côn thu KT 600x350/Dquạt
-Tạm tính 600x350/D300</t>
  </si>
  <si>
    <t>Côn thu 800x300/Dquạt
-Tạm tính 800x300/D500</t>
  </si>
  <si>
    <t>Côn thu 700x350/Dquạt
-Tạm tính 700x350/D500</t>
  </si>
  <si>
    <t>Côn thu 400x250/Dquạt
-Tạm tính 400x250/D300</t>
  </si>
  <si>
    <t>Côn thu 500x250/Dquạt
-Tạm tính 500x250/D300</t>
  </si>
  <si>
    <t>Côn thu KT 250x200/Dquạt
-Tạm tính 250x200/D300</t>
  </si>
  <si>
    <t>Côn thu 700x300/Dquạt
-Tạm tính 700x300/D500</t>
  </si>
  <si>
    <t>Côn thu 300x200/Dquạt
-Tạm tính 300x200/D300</t>
  </si>
  <si>
    <t>Côn thu KT 1200x700/Dquạt
-Tạm tính 1200x700/D800</t>
  </si>
  <si>
    <t>Côn thu ống INOX 304 dày 1,0mm</t>
  </si>
  <si>
    <t xml:space="preserve">Z ống gió tôn tráng kẽm </t>
  </si>
  <si>
    <t>Z 250x400 Lt200 L300</t>
  </si>
  <si>
    <t>Z 250x200 LT320 L860</t>
  </si>
  <si>
    <t>Z 600x300 LT740 L1400</t>
  </si>
  <si>
    <t>Z 300x300 Lt480 L1000</t>
  </si>
  <si>
    <t>Z 300x300 LT750 L1100</t>
  </si>
  <si>
    <t>Z 300x250 LT900 L1110</t>
  </si>
  <si>
    <t>Tê KT 2600x450/1600x350/1600x350</t>
  </si>
  <si>
    <t>KT 1800x350 LT2340 L4000</t>
  </si>
  <si>
    <t>KT 1800x350 LT2430 L3000</t>
  </si>
  <si>
    <t>Z 1600x600 LT2100 L2800</t>
  </si>
  <si>
    <t>KT 1600x600/1200x450</t>
  </si>
  <si>
    <t>KT 1600x600/1400x600</t>
  </si>
  <si>
    <t>KT 1500x500/1000x300</t>
  </si>
  <si>
    <t>KT 1400x300/600x250</t>
  </si>
  <si>
    <t>KT 1400x600/800x300</t>
  </si>
  <si>
    <t>KT 1000x550/1400x400</t>
  </si>
  <si>
    <t>KT 1400x400/1400x300</t>
  </si>
  <si>
    <t>KT 1200x350/800x300</t>
  </si>
  <si>
    <t>KT 1300x750/1600x600</t>
  </si>
  <si>
    <t>KT 1000x200/800x200</t>
  </si>
  <si>
    <t>Chaân rẽ KT 1100x250/900x250</t>
  </si>
  <si>
    <t>Phụ kiện ống gió tôn tráng kẽm có giới hạn chịu lửa EI120</t>
  </si>
  <si>
    <t>Ống gió gió tôn tráng kẽm có giới hạn chịu lửa EI 120</t>
  </si>
  <si>
    <t>KT 350x350</t>
  </si>
  <si>
    <t>KT 1050x900</t>
  </si>
  <si>
    <t>KT 900x700</t>
  </si>
  <si>
    <t>KT 600x500</t>
  </si>
  <si>
    <t>Phụ kiện ống gió tôn tráng kẽm có giới hạn chịu lửa EI 60</t>
  </si>
  <si>
    <t>KT 1000x300/1000x250</t>
  </si>
  <si>
    <t>KT 1100x350/1000x250</t>
  </si>
  <si>
    <t>KT 250x500</t>
  </si>
  <si>
    <t>KT 500x1200</t>
  </si>
  <si>
    <t xml:space="preserve"> KT 800x300 </t>
  </si>
  <si>
    <t>Tôn mạ kẽm Z08 dày 0.58mm kèm lưới chắn côn trùng</t>
  </si>
  <si>
    <t>Tôn mạ kẽm Z08 dày 1.15mm kèm lưới chắn côn trùng</t>
  </si>
  <si>
    <t>KT 800x350</t>
  </si>
  <si>
    <t>KT: 1800x500</t>
  </si>
  <si>
    <t>KT 1000x350/900x300/700x300</t>
  </si>
  <si>
    <t>KT 700x300/500x250/500x250</t>
  </si>
  <si>
    <t>KT 800x250/400x250</t>
  </si>
  <si>
    <t>KT 800x300/650x300</t>
  </si>
  <si>
    <t>KT 2300x400/1200x400</t>
  </si>
  <si>
    <t>KT 700x300/600x250</t>
  </si>
  <si>
    <t>KT 650x300/300x300</t>
  </si>
  <si>
    <t>KT 600x350/500x250</t>
  </si>
  <si>
    <t>KT 500x300/350x300</t>
  </si>
  <si>
    <t>KT 300x300/250x200</t>
  </si>
  <si>
    <t>Côn thu 600x300/350x200</t>
  </si>
  <si>
    <t>Côn thu 250x200/200x150</t>
  </si>
  <si>
    <t>Côn thu 250x200/200x200</t>
  </si>
  <si>
    <t>Côn thu 200x100/D200</t>
  </si>
  <si>
    <t>Côn thu 200x200/D200</t>
  </si>
  <si>
    <t>Côn thu 500x250/400x200</t>
  </si>
  <si>
    <t>KT 500x250/400x250</t>
  </si>
  <si>
    <t>Côn thu 600x300/Dquạt
-Tạm tính 600x300/D500</t>
  </si>
  <si>
    <t>Côn thu 200x150/D200</t>
  </si>
  <si>
    <t>Côn thu Kt 250x250/200x200</t>
  </si>
  <si>
    <t>Côn thu KT 200x200/D200</t>
  </si>
  <si>
    <t>Con thu KT 200x150/D200</t>
  </si>
  <si>
    <t>Côn thu 250x250/D250</t>
  </si>
  <si>
    <t>Côn thu KT 250x200/D250</t>
  </si>
  <si>
    <t>Côn thu KT 250x150/D250</t>
  </si>
  <si>
    <t>Côn thu 150x100/D150</t>
  </si>
  <si>
    <t>Côn thu 150x150/D150</t>
  </si>
  <si>
    <t>Côn thu KT 300x200/D250</t>
  </si>
  <si>
    <t>Chân rẽ KT 300x150/200x150</t>
  </si>
  <si>
    <t>Chân rẽ 300x200/D200</t>
  </si>
  <si>
    <t>Chân rẽ KT 350x250/250x250</t>
  </si>
  <si>
    <t>Chân rẽ 350x200/250x200</t>
  </si>
  <si>
    <t>Chân rẽ 350x150/250x150</t>
  </si>
  <si>
    <t>Chân rẽ KT 225x150/150x150</t>
  </si>
  <si>
    <t>Chân rẽ KT 250x100/150x100</t>
  </si>
  <si>
    <t>Chân rẽ KT 600x250/450x250</t>
  </si>
  <si>
    <t>Chân rẽ 400x200/300x200</t>
  </si>
  <si>
    <t>Chân rẽ 450x250/300x250</t>
  </si>
  <si>
    <t>Chân rẽ 400x250/D300</t>
  </si>
  <si>
    <t>Chân rẽ 350x250/D250</t>
  </si>
  <si>
    <t>Chân rẽ 225x150/D150</t>
  </si>
  <si>
    <t>Chân rẽ 500x250/300x250</t>
  </si>
  <si>
    <t>Chân rẽ 300x100/200x100</t>
  </si>
  <si>
    <t>Chân rẽ 800x300/600x300</t>
  </si>
  <si>
    <t>Chân rẽ 450x200/350x200</t>
  </si>
  <si>
    <t>Hà Nội, ngày 08 tháng 12 năm 2025</t>
  </si>
  <si>
    <t>VNS-LS-40</t>
  </si>
  <si>
    <t>Quạt cấp gió ly tâm dạng hộp
TH2/SF-01.1,2, Q=20500m3/h, 400Pa, CSĐ: 7.5W, Điện áp 3P/380V/50Hz, Độ ồn 61 dBA (dBA @ 3m), Tốc độ vòng quay 4P, IP55, Thép SS400 mạ kẽm nhúng nóng</t>
  </si>
  <si>
    <t>VNS-CF1S-7T
Động cơ ATT IE1</t>
  </si>
  <si>
    <t>VNS-CF1S-8T
Động cơ ATT IE1</t>
  </si>
  <si>
    <t>Quạt cấp gió ly tâm dạng hộp
TH2/SF-02, Q=39000m3/h, 400Pa, CSĐ: 11kW, Điện áp 3P/380V/50Hz, Độ ồn 64 dBA (dBA @ 3m), Tốc độ vòng quay 4P, IP55, Thép SS400 mạ kẽm nhúng nóng</t>
  </si>
  <si>
    <t>Quạt hút hướng trục vuông
TH1/EF-08, Q=3500m3/h, 50Pa, CSĐ: 0.16kW, Điện áp 1P/220V/50Hz, Độ ồn 65 dBA (dBA @ 1m), Tốc độ vòng quay 4P, IP54, Thép mạ kẽm</t>
  </si>
  <si>
    <t>Quạt cấp gió hướng trục
TH1/SF-01.1,2, Q=20500m3/h, 400Pa, CSĐ: 7.5kW, Điện áp 3P/380V/50Hz, Độ ồn 61 dBA (dBA @ 3m), Tốc độ vòng quay 4P, IP55, Thép SS400 mạ kẽm nhúng nóng</t>
  </si>
  <si>
    <t>Quạt cấp gió hướng trục
TH1/SF-02, Q=41000m3/h, 450Pa, CSĐ: 11kW, Điện áp 3P/380V/50Hz, Độ ồn 64 dBA (dBA @ 3m), Tốc độ vòng quay 4P, IP55, Thép SS400 mạ kẽm nhúng nóng</t>
  </si>
  <si>
    <t>Quạt hút mùi ly tâm dạng hộp
T1/EF-04, Q=1000m3/h, 200Pa, CSĐ: 0.065kW, Điện áp 1P/220V/50Hz, Độ ồn 51 dBA (dBA @ 3m), Tốc độ vòng quay 6P, IP54, Thép S400 mạ kẽm</t>
  </si>
  <si>
    <t>Quạt hút mùi ly tâm dạng hộp
T2/EF-01, Q=1300m3/h, 150Pa, CSĐ: 0.085kW, Điện áp 1P/220V/50Hz, Độ ồn 57 dBA (dBA @ 3m), Tốc độ vòng quay 4P, IP54, Thép SS400 mạ kẽm</t>
  </si>
  <si>
    <t>Quạt cấp gió tươi ly tâm dạng hộp
T2/SF-01, Q=5500m3/h, 300Pa, CSĐ: 1.5kW, Điện áp 3P/380V/50Hz, Độ ồn 65 dBA (dBA @ 3m), Tốc độ vòng quay 4P, IP55, Thép SS400 mạ kẽm</t>
  </si>
  <si>
    <t>Quạt cấp gió tươi ly tâm dạng hộp
T2/SF-02, Q=5500m3/h, 300Pa, CSĐ: 1.5kW, Điện áp 3P/380V/50Hz, Độ ồn 65 dBA (dBA @ 3m), Tốc độ vòng quay 4P, IP55, Thép SS400 mạ kẽm</t>
  </si>
  <si>
    <t>Quạt cấp gió tươi ly tâm dạng hộp
T2/SF-04, Q=3500m3/h, 300Pa, CSĐ: 0.75kW, Điện áp 3P/380V/50Hz, Độ ồn 63 dBA (dBA @ 3m), Tốc độ vòng quay 6P, IP55, Thép SS400 mạ kẽm</t>
  </si>
  <si>
    <t>Quạt hút mùi ly tâm dạng hộp
T3/EF-01, Q=1300m3/h, 150Pa, CSĐ: 0.085kW, Điện áp 1P/220V/50Hz, Độ ồn 57 dBA (dBA @ 3m), Tốc độ vòng quay 4P, IP54, Thép SS400 mạ kẽm</t>
  </si>
  <si>
    <t>Quạt hút mùi ly tâm dạng hộp
T4/EF-01, Q=1300m3/h, 150Pa, CSĐ: 0.085kW, Điện áp 1P/220V/50Hz, Độ ồn 57 dBA (dBA @ 3m), Tốc độ vòng quay 4P, IP54, Thép SS400 mạ kẽm</t>
  </si>
  <si>
    <t>Quạt cấp gió tươi ly tâm dạng hộp
T4/SF-04, Q=6500m3/h, 300Pa, CSĐ: 1.5kW, Điện áp 3P/380V/50Hz, Độ ồn 65 dBA (dBA @ 3m), Tốc độ vòng quay 4P, IP55, Thép SS400 mạ kẽm</t>
  </si>
  <si>
    <t>Quạt hút mùi ly tâm dạng hộp
T5/EF-01, Q=1300m3/h, 250Pa, CSĐ: 0.085kW, Điện áp 1P/220V/50Hz, Độ ồn 57 dBA (dBA @ 3m), Tốc độ vòng quay 4P, IP4, Thép S400 mạ kẽm</t>
  </si>
  <si>
    <t>Quạt hút mùi ly tâm dạng hộp
T5/EF-04, Q=1300m3/h, 250Pa, CSĐ: 0.085kW, Điện áp 1P/220V/50Hz, Độ ồn 57 dBA (dBA @ 3m), Tốc độ vòng quay 4P, IP4, Thép S400 mạ kẽm</t>
  </si>
  <si>
    <t>Quạt hút mùi ly tâm dạng hộp
T5/EF-06, Q=9500m3/h, 300Pa, CSĐ: 2.2kW, Điện áp 3P/380V/50Hz, Độ ồn 53 dBA (dBA @ 3m), Tốc độ vòng quay 4P, IP55, Thép SS400 mạ kẽm nhúng nóng</t>
  </si>
  <si>
    <t>VNS-CF1S-5T
Động cơ ATT IE1</t>
  </si>
  <si>
    <t>Quạt cấp gió tươi ly tâm dạng hộp 
T5/SF-03, Q=6500m3/h, 300Pa, CSĐ: 1.5kW, Điện áp 3P/380V/50Hz, Độ ồn 65 dBA (dBA @ 3m), Tốc độ vòng quay 4P, IP55, Thép SS400 mạ kẽm</t>
  </si>
  <si>
    <t>Quạt cấp gió tươi ly tâm dạng hộp
T5/SF-06, Q=26000m3/h, 300Pa, CSĐ: 7.5W, Điện áp 3P/380V/50Hz, Độ ồn 61 dBA (dBA @ 3m), Tốc độ vòng quay 4P, IP55, Thép SS400 mạ kẽm nhúng nóng</t>
  </si>
  <si>
    <t>Quạt hút hướng trục vuông
T24/EF-01, Q=3500m3/h, 50Pa, CSĐ: 0.16kW, Điện áp 1P/220V/50Hz, Độ ồn 65 dBA (dBA @ 1m), Tốc độ vòng quay 4P, IP54, Thép mạ kẽm</t>
  </si>
  <si>
    <t>Quạt hút mùi ly tâm dạng hộp
B-T24/EF-1.01,1.02, Q=7000m3/h, 450Pa, CSĐ: 2.2kW, Điện áp 3P/380V/50Hz, Độ ồn 53 dBA (dBA @ 3m), Tốc độ vòng quay 4P, IP55, Thép SS400 mạ kẽm nhúng nóng</t>
  </si>
  <si>
    <t>VNS-LS-35</t>
  </si>
  <si>
    <t>Quạt hút hướng trục vuông
TT/EF-02, Q=2200m3/h, 50Pa, CSĐ: 0.11kW, Điện áp 1P/220V/50Hz, Độ ồn 62 dBA (dBA @ 1m), Tốc độ vòng quay 4P, IP54, Thép mạ kẽm</t>
  </si>
  <si>
    <t>Quạt hút hướng trục vuông
TT/EF-03,04, Q=3500m3/h, 50Pa, CSĐ: 0.16kW, Điện áp 1P/220V/50Hz, Độ ồn 65 dBA (dBA @ 1m), Tốc độ vòng quay 4P, IP54, Thép mạ kẽm</t>
  </si>
  <si>
    <t>( Số tiền bằng chữ: Một trăm sáu mươi tám tỷ, không trăm chín mươi ba triệu, ba trăm chín mươi ba nghìn, không trăm linh tám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</si>
</sst>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_(* \(#,##0\);_(* &quot;-&quot;??_);_(@_)"/>
    <numFmt numFmtId="166" formatCode="_([$€-2]* #,##0.00_);_([$€-2]* \(#,##0.00\);_([$€-2]* &quot;-&quot;??_)"/>
    <numFmt numFmtId="167" formatCode="0.0"/>
    <numFmt numFmtId="168" formatCode="_-* #,##0.00\ _₫_-;\-* #,##0.00\ _₫_-;_-* &quot;-&quot;??\ _₫_-;_-@_-"/>
    <numFmt numFmtId="169" formatCode="_-* #,##0_-;\-* #,##0_-;_-* &quot;-&quot;??_-;_-@_-"/>
    <numFmt numFmtId="171" formatCode="_(* #,##0.000_);_(* \(#,##0.000\);_(* &quot;-&quot;??_);_(@_)"/>
    <numFmt numFmtId="172" formatCode="_(* #,##0.0000_);_(* \(#,##0.0000\);_(* &quot;-&quot;??_);_(@_)"/>
  </numFmts>
  <fonts count="36">
    <font>
      <sz val="11"/>
      <color theme="1"/>
      <name val="Calibri"/>
      <family val="2"/>
      <scheme val="minor"/>
    </font>
    <font>
      <sz val="11"/>
      <color theme="1"/>
      <name val="Calibri"/>
      <family val="2"/>
      <charset val="163"/>
      <scheme val="minor"/>
    </font>
    <font>
      <sz val="10"/>
      <name val="Arial"/>
      <family val="2"/>
    </font>
    <font>
      <sz val="11"/>
      <color theme="1"/>
      <name val="Calibri"/>
      <family val="2"/>
      <scheme val="minor"/>
    </font>
    <font>
      <sz val="11"/>
      <color indexed="8"/>
      <name val="Calibri"/>
      <family val="2"/>
    </font>
    <font>
      <sz val="11"/>
      <name val="VNI-Avo"/>
    </font>
    <font>
      <sz val="10"/>
      <name val="VNI-Times"/>
    </font>
    <font>
      <sz val="10"/>
      <color rgb="FF000000"/>
      <name val="Times New Roman"/>
      <family val="1"/>
    </font>
    <font>
      <sz val="10"/>
      <name val="Arial"/>
      <family val="2"/>
      <charset val="163"/>
    </font>
    <font>
      <sz val="11"/>
      <color indexed="8"/>
      <name val="Times New Roman"/>
      <family val="1"/>
    </font>
    <font>
      <sz val="11"/>
      <name val="VNI-Times"/>
    </font>
    <font>
      <b/>
      <sz val="11"/>
      <color theme="1"/>
      <name val="Times New Roman"/>
      <family val="1"/>
    </font>
    <font>
      <b/>
      <sz val="11"/>
      <name val="Times New Roman"/>
      <family val="1"/>
    </font>
    <font>
      <sz val="11"/>
      <name val="Times New Roman"/>
      <family val="1"/>
    </font>
    <font>
      <sz val="11"/>
      <color rgb="FFFF0000"/>
      <name val="Times New Roman"/>
      <family val="1"/>
    </font>
    <font>
      <sz val="11"/>
      <name val="ＭＳ Ｐゴシック"/>
      <family val="3"/>
      <charset val="128"/>
    </font>
    <font>
      <sz val="12"/>
      <name val=".VnTime"/>
      <family val="2"/>
    </font>
    <font>
      <b/>
      <sz val="11"/>
      <color rgb="FFFF0000"/>
      <name val="Times New Roman"/>
      <family val="1"/>
    </font>
    <font>
      <sz val="12"/>
      <name val="Times New Roman"/>
      <family val="1"/>
    </font>
    <font>
      <b/>
      <sz val="11"/>
      <color indexed="8"/>
      <name val="Times New Roman"/>
      <family val="1"/>
    </font>
    <font>
      <sz val="11"/>
      <color theme="1"/>
      <name val="Times New Roman"/>
      <family val="1"/>
    </font>
    <font>
      <sz val="8.25"/>
      <name val="Microsoft Sans Serif"/>
      <family val="2"/>
    </font>
    <font>
      <sz val="8"/>
      <name val="Calibri"/>
      <family val="2"/>
      <scheme val="minor"/>
    </font>
    <font>
      <sz val="11"/>
      <color theme="1"/>
      <name val="Calibri"/>
      <family val="2"/>
      <charset val="163"/>
      <scheme val="minor"/>
    </font>
    <font>
      <b/>
      <sz val="11"/>
      <color rgb="FF0000FF"/>
      <name val="Times New Roman"/>
      <family val="1"/>
    </font>
    <font>
      <b/>
      <sz val="11"/>
      <color rgb="FFC00000"/>
      <name val="Times New Roman"/>
      <family val="1"/>
    </font>
    <font>
      <b/>
      <sz val="11"/>
      <color rgb="FF002060"/>
      <name val="Times New Roman"/>
      <family val="1"/>
    </font>
    <font>
      <sz val="11"/>
      <color theme="4"/>
      <name val="Times New Roman"/>
      <family val="1"/>
    </font>
    <font>
      <b/>
      <sz val="11"/>
      <color theme="4"/>
      <name val="Times New Roman"/>
      <family val="1"/>
    </font>
    <font>
      <sz val="13"/>
      <name val=".VnTime"/>
      <family val="2"/>
    </font>
    <font>
      <b/>
      <sz val="13"/>
      <color rgb="FF000000"/>
      <name val="Times New Roman"/>
      <family val="1"/>
    </font>
    <font>
      <b/>
      <sz val="11"/>
      <color rgb="FF000000"/>
      <name val="Times New Roman"/>
      <family val="1"/>
    </font>
    <font>
      <sz val="12"/>
      <color theme="1"/>
      <name val="Times New Roman"/>
      <family val="1"/>
    </font>
    <font>
      <b/>
      <sz val="12"/>
      <color rgb="FF7030A0"/>
      <name val="Times New Roman"/>
      <family val="1"/>
    </font>
    <font>
      <sz val="11"/>
      <color rgb="FF000000"/>
      <name val="Times New Roman"/>
      <family val="1"/>
    </font>
    <font>
      <b/>
      <sz val="18"/>
      <color theme="1"/>
      <name val="Times New Roman"/>
      <family val="1"/>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bgColor indexed="51"/>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59999389629810485"/>
        <bgColor indexed="51"/>
      </patternFill>
    </fill>
    <fill>
      <patternFill patternType="solid">
        <fgColor theme="5" tint="0.79998168889431442"/>
        <bgColor indexed="64"/>
      </patternFill>
    </fill>
    <fill>
      <patternFill patternType="solid">
        <fgColor rgb="FF00B0F0"/>
        <bgColor indexed="64"/>
      </patternFill>
    </fill>
  </fills>
  <borders count="26">
    <border>
      <left/>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hair">
        <color auto="1"/>
      </bottom>
      <diagonal/>
    </border>
    <border>
      <left style="thin">
        <color indexed="64"/>
      </left>
      <right style="thin">
        <color indexed="64"/>
      </right>
      <top style="thin">
        <color indexed="64"/>
      </top>
      <bottom style="hair">
        <color indexed="64"/>
      </bottom>
      <diagonal/>
    </border>
    <border>
      <left/>
      <right/>
      <top style="double">
        <color indexed="8"/>
      </top>
      <bottom/>
      <diagonal/>
    </border>
    <border>
      <left style="double">
        <color indexed="8"/>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top style="thin">
        <color indexed="64"/>
      </top>
      <bottom style="thin">
        <color indexed="64"/>
      </bottom>
      <diagonal/>
    </border>
    <border>
      <left/>
      <right style="thin">
        <color auto="1"/>
      </right>
      <top/>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auto="1"/>
      </left>
      <right style="thin">
        <color auto="1"/>
      </right>
      <top/>
      <bottom style="thin">
        <color indexed="64"/>
      </bottom>
      <diagonal/>
    </border>
    <border>
      <left/>
      <right style="thin">
        <color indexed="64"/>
      </right>
      <top style="hair">
        <color indexed="64"/>
      </top>
      <bottom/>
      <diagonal/>
    </border>
    <border>
      <left/>
      <right style="thin">
        <color indexed="64"/>
      </right>
      <top/>
      <bottom style="hair">
        <color indexed="64"/>
      </bottom>
      <diagonal/>
    </border>
    <border>
      <left style="thin">
        <color indexed="64"/>
      </left>
      <right/>
      <top style="hair">
        <color indexed="64"/>
      </top>
      <bottom/>
      <diagonal/>
    </border>
  </borders>
  <cellStyleXfs count="70">
    <xf numFmtId="166" fontId="0" fillId="0" borderId="0"/>
    <xf numFmtId="164" fontId="3" fillId="0" borderId="0" applyFont="0" applyFill="0" applyBorder="0" applyAlignment="0" applyProtection="0"/>
    <xf numFmtId="164" fontId="2" fillId="0" borderId="0" applyFont="0" applyFill="0" applyBorder="0" applyAlignment="0" applyProtection="0"/>
    <xf numFmtId="0" fontId="2" fillId="0" borderId="0"/>
    <xf numFmtId="0" fontId="3" fillId="0" borderId="0"/>
    <xf numFmtId="0" fontId="3" fillId="0" borderId="0"/>
    <xf numFmtId="164" fontId="4"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0" fontId="2" fillId="0" borderId="0"/>
    <xf numFmtId="164" fontId="5"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0" fontId="2" fillId="0" borderId="0" applyNumberFormat="0" applyFill="0" applyBorder="0" applyProtection="0"/>
    <xf numFmtId="166" fontId="6" fillId="0" borderId="0"/>
    <xf numFmtId="0" fontId="2" fillId="0" borderId="0"/>
    <xf numFmtId="164" fontId="2" fillId="0" borderId="0" applyFont="0" applyFill="0" applyBorder="0" applyAlignment="0" applyProtection="0"/>
    <xf numFmtId="166" fontId="7" fillId="0" borderId="0"/>
    <xf numFmtId="0" fontId="8" fillId="0" borderId="0"/>
    <xf numFmtId="164" fontId="2" fillId="0" borderId="0" applyFont="0" applyFill="0" applyBorder="0" applyAlignment="0" applyProtection="0"/>
    <xf numFmtId="0" fontId="2" fillId="0" borderId="0"/>
    <xf numFmtId="0" fontId="2" fillId="0" borderId="0"/>
    <xf numFmtId="0" fontId="2" fillId="0" borderId="0"/>
    <xf numFmtId="0" fontId="10" fillId="0" borderId="0"/>
    <xf numFmtId="0" fontId="3" fillId="0" borderId="0"/>
    <xf numFmtId="43" fontId="2" fillId="0" borderId="0" applyFont="0" applyFill="0" applyBorder="0" applyAlignment="0" applyProtection="0"/>
    <xf numFmtId="0" fontId="15" fillId="0" borderId="0"/>
    <xf numFmtId="164" fontId="15" fillId="0" borderId="0" applyFont="0" applyFill="0" applyBorder="0" applyAlignment="0" applyProtection="0"/>
    <xf numFmtId="164" fontId="4" fillId="0" borderId="0" applyFont="0" applyFill="0" applyBorder="0" applyAlignment="0" applyProtection="0"/>
    <xf numFmtId="0" fontId="16" fillId="0" borderId="0"/>
    <xf numFmtId="0" fontId="2" fillId="0" borderId="0"/>
    <xf numFmtId="164" fontId="3" fillId="0" borderId="0" applyFont="0" applyFill="0" applyBorder="0" applyAlignment="0" applyProtection="0"/>
    <xf numFmtId="0" fontId="2" fillId="0" borderId="0"/>
    <xf numFmtId="0" fontId="3" fillId="0" borderId="0"/>
    <xf numFmtId="164" fontId="15" fillId="0" borderId="0" applyFont="0" applyFill="0" applyBorder="0" applyAlignment="0" applyProtection="0"/>
    <xf numFmtId="0" fontId="3" fillId="0" borderId="0"/>
    <xf numFmtId="0" fontId="3" fillId="0" borderId="0"/>
    <xf numFmtId="168" fontId="21" fillId="0" borderId="0" applyFont="0" applyFill="0" applyBorder="0" applyAlignment="0" applyProtection="0"/>
    <xf numFmtId="0" fontId="3" fillId="0" borderId="0"/>
    <xf numFmtId="0" fontId="3" fillId="0" borderId="0"/>
    <xf numFmtId="0" fontId="18" fillId="0" borderId="0"/>
    <xf numFmtId="0" fontId="23" fillId="0" borderId="0"/>
    <xf numFmtId="164" fontId="4" fillId="0" borderId="0" applyFont="0" applyFill="0" applyBorder="0" applyAlignment="0" applyProtection="0"/>
    <xf numFmtId="166" fontId="3" fillId="0" borderId="0"/>
    <xf numFmtId="166" fontId="3" fillId="0" borderId="0"/>
    <xf numFmtId="0" fontId="2" fillId="0" borderId="0"/>
    <xf numFmtId="166" fontId="3" fillId="0" borderId="0"/>
    <xf numFmtId="0" fontId="2" fillId="0" borderId="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0" fontId="1" fillId="0" borderId="0"/>
    <xf numFmtId="43" fontId="4" fillId="0" borderId="0" applyFont="0" applyFill="0" applyBorder="0" applyAlignment="0" applyProtection="0"/>
    <xf numFmtId="0" fontId="29" fillId="0" borderId="0"/>
    <xf numFmtId="0" fontId="2" fillId="0" borderId="0"/>
    <xf numFmtId="0" fontId="3" fillId="0" borderId="0"/>
    <xf numFmtId="168" fontId="2" fillId="0" borderId="0" applyFont="0" applyFill="0" applyBorder="0" applyAlignment="0" applyProtection="0"/>
    <xf numFmtId="9" fontId="3" fillId="0" borderId="0" applyFont="0" applyFill="0" applyBorder="0" applyAlignment="0" applyProtection="0"/>
    <xf numFmtId="0" fontId="2" fillId="0" borderId="0"/>
  </cellStyleXfs>
  <cellXfs count="735">
    <xf numFmtId="166" fontId="0" fillId="0" borderId="0" xfId="0"/>
    <xf numFmtId="3" fontId="12" fillId="2" borderId="6" xfId="23" applyNumberFormat="1" applyFont="1" applyFill="1" applyBorder="1" applyAlignment="1">
      <alignment horizontal="left" vertical="center" wrapText="1"/>
    </xf>
    <xf numFmtId="0" fontId="11" fillId="2" borderId="0" xfId="2" applyNumberFormat="1" applyFont="1" applyFill="1" applyBorder="1" applyAlignment="1" applyProtection="1">
      <alignment horizontal="left" vertical="center"/>
    </xf>
    <xf numFmtId="0" fontId="20" fillId="2" borderId="0" xfId="3" applyFont="1" applyFill="1" applyAlignment="1">
      <alignment vertical="center"/>
    </xf>
    <xf numFmtId="1" fontId="20" fillId="2" borderId="0" xfId="3" applyNumberFormat="1" applyFont="1" applyFill="1" applyAlignment="1">
      <alignment vertical="center"/>
    </xf>
    <xf numFmtId="0" fontId="20" fillId="2" borderId="0" xfId="5" applyFont="1" applyFill="1" applyAlignment="1">
      <alignment vertical="center"/>
    </xf>
    <xf numFmtId="165" fontId="20" fillId="2" borderId="0" xfId="6" applyNumberFormat="1" applyFont="1" applyFill="1" applyBorder="1" applyAlignment="1">
      <alignment horizontal="left" vertical="center"/>
    </xf>
    <xf numFmtId="0" fontId="11" fillId="2" borderId="0" xfId="2" applyNumberFormat="1" applyFont="1" applyFill="1" applyBorder="1" applyAlignment="1" applyProtection="1">
      <alignment horizontal="left" vertical="center" wrapText="1"/>
    </xf>
    <xf numFmtId="0" fontId="20" fillId="2" borderId="0" xfId="5" applyFont="1" applyFill="1" applyAlignment="1">
      <alignment vertical="center" wrapText="1"/>
    </xf>
    <xf numFmtId="165" fontId="20" fillId="2" borderId="0" xfId="6" applyNumberFormat="1" applyFont="1" applyFill="1" applyBorder="1" applyAlignment="1">
      <alignment horizontal="left" vertical="center" wrapText="1"/>
    </xf>
    <xf numFmtId="0" fontId="11" fillId="2" borderId="2" xfId="9" applyFont="1" applyFill="1" applyBorder="1" applyAlignment="1">
      <alignment horizontal="center" vertical="center" wrapText="1"/>
    </xf>
    <xf numFmtId="0" fontId="20" fillId="2" borderId="6" xfId="0" applyNumberFormat="1" applyFont="1" applyFill="1" applyBorder="1" applyAlignment="1">
      <alignment horizontal="center" vertical="center" wrapText="1"/>
    </xf>
    <xf numFmtId="2" fontId="20" fillId="2" borderId="6" xfId="0" applyNumberFormat="1" applyFont="1" applyFill="1" applyBorder="1" applyAlignment="1">
      <alignment horizontal="center" vertical="center" wrapText="1"/>
    </xf>
    <xf numFmtId="0" fontId="20" fillId="2" borderId="6" xfId="14" applyNumberFormat="1" applyFont="1" applyFill="1" applyBorder="1" applyAlignment="1">
      <alignment horizontal="center" vertical="center" wrapText="1"/>
    </xf>
    <xf numFmtId="166" fontId="20" fillId="2" borderId="6" xfId="14" applyFont="1" applyFill="1" applyBorder="1" applyAlignment="1">
      <alignment horizontal="center" vertical="center" wrapText="1"/>
    </xf>
    <xf numFmtId="0" fontId="20" fillId="2" borderId="6" xfId="9" applyFont="1" applyFill="1" applyBorder="1" applyAlignment="1">
      <alignment horizontal="center" vertical="center" wrapText="1"/>
    </xf>
    <xf numFmtId="2" fontId="20" fillId="2" borderId="6" xfId="9" applyNumberFormat="1" applyFont="1" applyFill="1" applyBorder="1" applyAlignment="1">
      <alignment horizontal="center" vertical="center" wrapText="1"/>
    </xf>
    <xf numFmtId="0" fontId="20" fillId="2" borderId="6" xfId="18" applyFont="1" applyFill="1" applyBorder="1" applyAlignment="1">
      <alignment horizontal="center" vertical="center" wrapText="1"/>
    </xf>
    <xf numFmtId="0" fontId="11" fillId="2" borderId="6" xfId="9" applyFont="1" applyFill="1" applyBorder="1" applyAlignment="1">
      <alignment horizontal="center" vertical="center" wrapText="1"/>
    </xf>
    <xf numFmtId="0" fontId="11" fillId="2" borderId="6" xfId="9" applyFont="1" applyFill="1" applyBorder="1" applyAlignment="1">
      <alignment horizontal="left" vertical="center" wrapText="1"/>
    </xf>
    <xf numFmtId="0" fontId="20" fillId="2" borderId="11" xfId="0" applyNumberFormat="1" applyFont="1" applyFill="1" applyBorder="1" applyAlignment="1">
      <alignment horizontal="center" vertical="center" wrapText="1"/>
    </xf>
    <xf numFmtId="0" fontId="11" fillId="2" borderId="2" xfId="4" applyFont="1" applyFill="1" applyBorder="1" applyAlignment="1">
      <alignment horizontal="center" vertical="center" wrapText="1"/>
    </xf>
    <xf numFmtId="0" fontId="20" fillId="2" borderId="2" xfId="4" applyFont="1" applyFill="1" applyBorder="1" applyAlignment="1">
      <alignment vertical="center" wrapText="1"/>
    </xf>
    <xf numFmtId="0" fontId="20" fillId="2" borderId="2" xfId="4" applyFont="1" applyFill="1" applyBorder="1" applyAlignment="1">
      <alignment horizontal="center" vertical="center" wrapText="1"/>
    </xf>
    <xf numFmtId="0" fontId="11" fillId="2" borderId="6" xfId="4" applyFont="1" applyFill="1" applyBorder="1" applyAlignment="1">
      <alignment horizontal="center" vertical="center" wrapText="1"/>
    </xf>
    <xf numFmtId="0" fontId="20" fillId="2" borderId="6" xfId="4" applyFont="1" applyFill="1" applyBorder="1" applyAlignment="1">
      <alignment vertical="center" wrapText="1"/>
    </xf>
    <xf numFmtId="0" fontId="20" fillId="2" borderId="6" xfId="4" applyFont="1" applyFill="1" applyBorder="1" applyAlignment="1">
      <alignment horizontal="center" vertical="center" wrapText="1"/>
    </xf>
    <xf numFmtId="0" fontId="11" fillId="2" borderId="6" xfId="4" applyFont="1" applyFill="1" applyBorder="1" applyAlignment="1">
      <alignment vertical="center" wrapText="1"/>
    </xf>
    <xf numFmtId="0" fontId="17" fillId="2" borderId="6" xfId="4" applyFont="1" applyFill="1" applyBorder="1" applyAlignment="1">
      <alignment horizontal="center" vertical="center" wrapText="1"/>
    </xf>
    <xf numFmtId="0" fontId="14" fillId="2" borderId="6" xfId="4" applyFont="1" applyFill="1" applyBorder="1" applyAlignment="1">
      <alignment vertical="center" wrapText="1"/>
    </xf>
    <xf numFmtId="0" fontId="14" fillId="2" borderId="6" xfId="4" applyFont="1" applyFill="1" applyBorder="1" applyAlignment="1">
      <alignment horizontal="center" vertical="center" wrapText="1"/>
    </xf>
    <xf numFmtId="1" fontId="20" fillId="2" borderId="0" xfId="3" applyNumberFormat="1" applyFont="1" applyFill="1" applyAlignment="1">
      <alignment vertical="center" wrapText="1"/>
    </xf>
    <xf numFmtId="167" fontId="11" fillId="2" borderId="6" xfId="19" applyNumberFormat="1" applyFont="1" applyFill="1" applyBorder="1" applyAlignment="1">
      <alignment horizontal="center" vertical="center" wrapText="1"/>
    </xf>
    <xf numFmtId="167" fontId="20" fillId="2" borderId="6" xfId="9" applyNumberFormat="1" applyFont="1" applyFill="1" applyBorder="1" applyAlignment="1">
      <alignment horizontal="center" vertical="center" wrapText="1"/>
    </xf>
    <xf numFmtId="0" fontId="20" fillId="2" borderId="0" xfId="3" applyFont="1" applyFill="1" applyAlignment="1">
      <alignment vertical="center" wrapText="1"/>
    </xf>
    <xf numFmtId="165" fontId="11" fillId="2" borderId="6" xfId="11" applyNumberFormat="1" applyFont="1" applyFill="1" applyBorder="1" applyAlignment="1">
      <alignment horizontal="center" vertical="center" wrapText="1"/>
    </xf>
    <xf numFmtId="1" fontId="11" fillId="2" borderId="6" xfId="19" applyNumberFormat="1" applyFont="1" applyFill="1" applyBorder="1" applyAlignment="1">
      <alignment horizontal="center" vertical="center" wrapText="1"/>
    </xf>
    <xf numFmtId="1" fontId="20" fillId="2" borderId="6" xfId="19" applyNumberFormat="1" applyFont="1" applyFill="1" applyBorder="1" applyAlignment="1">
      <alignment horizontal="center" vertical="center" wrapText="1"/>
    </xf>
    <xf numFmtId="0" fontId="11" fillId="2" borderId="6" xfId="40" applyFont="1" applyFill="1" applyBorder="1" applyAlignment="1">
      <alignment horizontal="center" vertical="center" wrapText="1"/>
    </xf>
    <xf numFmtId="0" fontId="11" fillId="2" borderId="6" xfId="41" applyFont="1" applyFill="1" applyBorder="1" applyAlignment="1">
      <alignment horizontal="center" vertical="center" wrapText="1"/>
    </xf>
    <xf numFmtId="1" fontId="20" fillId="2" borderId="6" xfId="14" applyNumberFormat="1" applyFont="1" applyFill="1" applyBorder="1" applyAlignment="1">
      <alignment horizontal="center" vertical="center" wrapText="1"/>
    </xf>
    <xf numFmtId="165" fontId="11" fillId="2" borderId="0" xfId="2" applyNumberFormat="1" applyFont="1" applyFill="1" applyBorder="1" applyAlignment="1" applyProtection="1">
      <alignment horizontal="left" vertical="center"/>
    </xf>
    <xf numFmtId="3" fontId="13" fillId="2" borderId="6" xfId="23" applyNumberFormat="1" applyFont="1" applyFill="1" applyBorder="1" applyAlignment="1">
      <alignment horizontal="center" vertical="center" wrapText="1"/>
    </xf>
    <xf numFmtId="3" fontId="20" fillId="2" borderId="19" xfId="4" applyNumberFormat="1" applyFont="1" applyFill="1" applyBorder="1" applyAlignment="1">
      <alignment vertical="center" wrapText="1"/>
    </xf>
    <xf numFmtId="3" fontId="14" fillId="2" borderId="19" xfId="13" applyNumberFormat="1" applyFont="1" applyFill="1" applyBorder="1" applyAlignment="1">
      <alignment vertical="center" wrapText="1"/>
    </xf>
    <xf numFmtId="1" fontId="20" fillId="2" borderId="19" xfId="3" applyNumberFormat="1" applyFont="1" applyFill="1" applyBorder="1" applyAlignment="1">
      <alignment vertical="center" wrapText="1"/>
    </xf>
    <xf numFmtId="3" fontId="20" fillId="2" borderId="19" xfId="13" applyNumberFormat="1" applyFont="1" applyFill="1" applyBorder="1" applyAlignment="1">
      <alignment vertical="center" wrapText="1"/>
    </xf>
    <xf numFmtId="3" fontId="20" fillId="2" borderId="19" xfId="4" applyNumberFormat="1" applyFont="1" applyFill="1" applyBorder="1" applyAlignment="1">
      <alignment horizontal="right" vertical="center" wrapText="1"/>
    </xf>
    <xf numFmtId="3" fontId="20" fillId="2" borderId="19" xfId="13" applyNumberFormat="1" applyFont="1" applyFill="1" applyBorder="1" applyAlignment="1">
      <alignment horizontal="right" vertical="center" wrapText="1"/>
    </xf>
    <xf numFmtId="165" fontId="11" fillId="2" borderId="19" xfId="11" applyNumberFormat="1" applyFont="1" applyFill="1" applyBorder="1" applyAlignment="1">
      <alignment horizontal="center" vertical="center" wrapText="1"/>
    </xf>
    <xf numFmtId="165" fontId="20" fillId="2" borderId="19" xfId="8" applyNumberFormat="1" applyFont="1" applyFill="1" applyBorder="1" applyAlignment="1">
      <alignment vertical="center" wrapText="1"/>
    </xf>
    <xf numFmtId="166" fontId="20" fillId="2" borderId="19" xfId="14" applyFont="1" applyFill="1" applyBorder="1" applyAlignment="1">
      <alignment horizontal="center" vertical="center" wrapText="1"/>
    </xf>
    <xf numFmtId="2" fontId="20" fillId="2" borderId="19" xfId="0" applyNumberFormat="1" applyFont="1" applyFill="1" applyBorder="1" applyAlignment="1">
      <alignment horizontal="center" vertical="center" wrapText="1"/>
    </xf>
    <xf numFmtId="0" fontId="20" fillId="2" borderId="19" xfId="9" applyFont="1" applyFill="1" applyBorder="1" applyAlignment="1">
      <alignment horizontal="center" vertical="center" wrapText="1"/>
    </xf>
    <xf numFmtId="0" fontId="20" fillId="2" borderId="19" xfId="18" applyFont="1" applyFill="1" applyBorder="1" applyAlignment="1">
      <alignment horizontal="center" vertical="center" wrapText="1"/>
    </xf>
    <xf numFmtId="165" fontId="20" fillId="2" borderId="19" xfId="16" applyNumberFormat="1" applyFont="1" applyFill="1" applyBorder="1" applyAlignment="1">
      <alignment horizontal="right" vertical="center" wrapText="1"/>
    </xf>
    <xf numFmtId="165" fontId="14" fillId="2" borderId="19" xfId="8" applyNumberFormat="1" applyFont="1" applyFill="1" applyBorder="1" applyAlignment="1">
      <alignment vertical="center" wrapText="1"/>
    </xf>
    <xf numFmtId="1" fontId="11" fillId="2" borderId="19" xfId="19" applyNumberFormat="1" applyFont="1" applyFill="1" applyBorder="1" applyAlignment="1">
      <alignment horizontal="center" vertical="center" wrapText="1"/>
    </xf>
    <xf numFmtId="0" fontId="11" fillId="2" borderId="19" xfId="9" applyFont="1" applyFill="1" applyBorder="1" applyAlignment="1">
      <alignment horizontal="center" vertical="center" wrapText="1"/>
    </xf>
    <xf numFmtId="1" fontId="20" fillId="2" borderId="19" xfId="19" applyNumberFormat="1" applyFont="1" applyFill="1" applyBorder="1" applyAlignment="1">
      <alignment horizontal="center" vertical="center" wrapText="1"/>
    </xf>
    <xf numFmtId="0" fontId="11" fillId="2" borderId="19" xfId="40" applyFont="1" applyFill="1" applyBorder="1" applyAlignment="1">
      <alignment horizontal="center" vertical="center" wrapText="1"/>
    </xf>
    <xf numFmtId="0" fontId="11" fillId="2" borderId="19" xfId="41" applyFont="1" applyFill="1" applyBorder="1" applyAlignment="1">
      <alignment horizontal="center" vertical="center" wrapText="1"/>
    </xf>
    <xf numFmtId="1" fontId="20" fillId="2" borderId="19" xfId="14" applyNumberFormat="1" applyFont="1" applyFill="1" applyBorder="1" applyAlignment="1">
      <alignment horizontal="center" vertical="center" wrapText="1"/>
    </xf>
    <xf numFmtId="165" fontId="20" fillId="2" borderId="19" xfId="6" applyNumberFormat="1" applyFont="1" applyFill="1" applyBorder="1" applyAlignment="1">
      <alignment horizontal="left" vertical="center" wrapText="1"/>
    </xf>
    <xf numFmtId="165" fontId="20" fillId="2" borderId="0" xfId="1" applyNumberFormat="1" applyFont="1" applyFill="1" applyAlignment="1">
      <alignment vertical="center" wrapText="1"/>
    </xf>
    <xf numFmtId="165" fontId="11" fillId="2" borderId="6" xfId="1" applyNumberFormat="1" applyFont="1" applyFill="1" applyBorder="1" applyAlignment="1">
      <alignment horizontal="center" vertical="center" wrapText="1"/>
    </xf>
    <xf numFmtId="165" fontId="20" fillId="2" borderId="6" xfId="1" applyNumberFormat="1" applyFont="1" applyFill="1" applyBorder="1" applyAlignment="1">
      <alignment horizontal="center" vertical="center" wrapText="1"/>
    </xf>
    <xf numFmtId="165" fontId="11" fillId="2" borderId="6" xfId="1" applyNumberFormat="1" applyFont="1" applyFill="1" applyBorder="1" applyAlignment="1">
      <alignment horizontal="left" vertical="center" wrapText="1"/>
    </xf>
    <xf numFmtId="165" fontId="13" fillId="2" borderId="6" xfId="1" applyNumberFormat="1" applyFont="1" applyFill="1" applyBorder="1" applyAlignment="1">
      <alignment horizontal="center" vertical="center" wrapText="1"/>
    </xf>
    <xf numFmtId="0" fontId="13" fillId="2" borderId="0" xfId="4" applyFont="1" applyFill="1" applyAlignment="1">
      <alignment vertical="center"/>
    </xf>
    <xf numFmtId="0" fontId="13" fillId="2" borderId="0" xfId="4" applyFont="1" applyFill="1" applyAlignment="1">
      <alignment vertical="center" wrapText="1"/>
    </xf>
    <xf numFmtId="0" fontId="19" fillId="4" borderId="0" xfId="20" applyFont="1" applyFill="1" applyAlignment="1">
      <alignment vertical="center" wrapText="1"/>
    </xf>
    <xf numFmtId="0" fontId="11" fillId="2" borderId="6" xfId="4" applyFont="1" applyFill="1" applyBorder="1" applyAlignment="1">
      <alignment horizontal="left" vertical="center" wrapText="1"/>
    </xf>
    <xf numFmtId="2" fontId="11" fillId="2" borderId="6" xfId="4" applyNumberFormat="1" applyFont="1" applyFill="1" applyBorder="1" applyAlignment="1">
      <alignment horizontal="center" vertical="center" wrapText="1"/>
    </xf>
    <xf numFmtId="49" fontId="13" fillId="2" borderId="6" xfId="4" applyNumberFormat="1" applyFont="1" applyFill="1" applyBorder="1" applyAlignment="1">
      <alignment horizontal="center" vertical="center" wrapText="1"/>
    </xf>
    <xf numFmtId="0" fontId="13" fillId="2" borderId="6" xfId="4" applyFont="1" applyFill="1" applyBorder="1" applyAlignment="1">
      <alignment vertical="center" wrapText="1"/>
    </xf>
    <xf numFmtId="0" fontId="13" fillId="2" borderId="6" xfId="4" applyFont="1" applyFill="1" applyBorder="1" applyAlignment="1">
      <alignment horizontal="center" vertical="center" wrapText="1"/>
    </xf>
    <xf numFmtId="0" fontId="12" fillId="2" borderId="6" xfId="4" applyFont="1" applyFill="1" applyBorder="1" applyAlignment="1">
      <alignment horizontal="center" vertical="center" wrapText="1"/>
    </xf>
    <xf numFmtId="0" fontId="12" fillId="2" borderId="6" xfId="4" applyFont="1" applyFill="1" applyBorder="1" applyAlignment="1">
      <alignment vertical="center" wrapText="1"/>
    </xf>
    <xf numFmtId="0" fontId="12" fillId="2" borderId="0" xfId="4" applyFont="1" applyFill="1" applyAlignment="1">
      <alignment vertical="center" wrapText="1"/>
    </xf>
    <xf numFmtId="165" fontId="17" fillId="2" borderId="6" xfId="1" applyNumberFormat="1" applyFont="1" applyFill="1" applyBorder="1" applyAlignment="1">
      <alignment horizontal="center" vertical="center" wrapText="1"/>
    </xf>
    <xf numFmtId="0" fontId="17" fillId="2" borderId="6" xfId="4" applyFont="1" applyFill="1" applyBorder="1" applyAlignment="1">
      <alignment horizontal="left" vertical="center" wrapText="1"/>
    </xf>
    <xf numFmtId="0" fontId="17" fillId="2" borderId="6" xfId="4" applyFont="1" applyFill="1" applyBorder="1" applyAlignment="1">
      <alignment vertical="center" wrapText="1"/>
    </xf>
    <xf numFmtId="0" fontId="17" fillId="2" borderId="0" xfId="4" applyFont="1" applyFill="1" applyAlignment="1">
      <alignment vertical="center" wrapText="1"/>
    </xf>
    <xf numFmtId="0" fontId="14" fillId="2" borderId="0" xfId="4" applyFont="1" applyFill="1" applyAlignment="1">
      <alignment vertical="center" wrapText="1"/>
    </xf>
    <xf numFmtId="49" fontId="14" fillId="2" borderId="6" xfId="4" applyNumberFormat="1" applyFont="1" applyFill="1" applyBorder="1" applyAlignment="1">
      <alignment vertical="center" wrapText="1"/>
    </xf>
    <xf numFmtId="49" fontId="14" fillId="2" borderId="6" xfId="4" applyNumberFormat="1" applyFont="1" applyFill="1" applyBorder="1" applyAlignment="1">
      <alignment horizontal="center" vertical="center" wrapText="1"/>
    </xf>
    <xf numFmtId="49" fontId="17" fillId="2" borderId="6" xfId="4" applyNumberFormat="1" applyFont="1" applyFill="1" applyBorder="1" applyAlignment="1">
      <alignment vertical="center" wrapText="1"/>
    </xf>
    <xf numFmtId="49" fontId="17" fillId="2" borderId="6" xfId="4" applyNumberFormat="1" applyFont="1" applyFill="1" applyBorder="1" applyAlignment="1">
      <alignment horizontal="center" vertical="center" wrapText="1"/>
    </xf>
    <xf numFmtId="0" fontId="13" fillId="2" borderId="0" xfId="4" applyFont="1" applyFill="1" applyAlignment="1">
      <alignment horizontal="center" vertical="center" wrapText="1"/>
    </xf>
    <xf numFmtId="165" fontId="13" fillId="2" borderId="0" xfId="1" applyNumberFormat="1" applyFont="1" applyFill="1" applyAlignment="1">
      <alignment vertical="center" wrapText="1"/>
    </xf>
    <xf numFmtId="166" fontId="20" fillId="2" borderId="0" xfId="0" applyFont="1" applyFill="1"/>
    <xf numFmtId="165" fontId="11" fillId="2" borderId="19" xfId="8" applyNumberFormat="1" applyFont="1" applyFill="1" applyBorder="1" applyAlignment="1">
      <alignment horizontal="right" vertical="center" wrapText="1"/>
    </xf>
    <xf numFmtId="166" fontId="11" fillId="2" borderId="0" xfId="0" applyFont="1" applyFill="1"/>
    <xf numFmtId="0" fontId="13" fillId="2" borderId="4" xfId="20" applyFont="1" applyFill="1" applyBorder="1" applyAlignment="1">
      <alignment vertical="center"/>
    </xf>
    <xf numFmtId="0" fontId="13" fillId="2" borderId="0" xfId="20" applyFont="1" applyFill="1" applyAlignment="1">
      <alignment vertical="center"/>
    </xf>
    <xf numFmtId="0" fontId="9" fillId="2" borderId="5" xfId="20" applyFont="1" applyFill="1" applyBorder="1" applyAlignment="1">
      <alignment vertical="center" wrapText="1"/>
    </xf>
    <xf numFmtId="0" fontId="13" fillId="2" borderId="0" xfId="20" applyFont="1" applyFill="1" applyAlignment="1">
      <alignment vertical="center" wrapText="1"/>
    </xf>
    <xf numFmtId="0" fontId="13" fillId="2" borderId="0" xfId="20" applyFont="1" applyFill="1" applyAlignment="1">
      <alignment horizontal="center" vertical="center" wrapText="1"/>
    </xf>
    <xf numFmtId="0" fontId="12" fillId="2" borderId="6" xfId="9" applyFont="1" applyFill="1" applyBorder="1" applyAlignment="1">
      <alignment horizontal="center" vertical="center" wrapText="1"/>
    </xf>
    <xf numFmtId="49" fontId="12" fillId="2" borderId="6" xfId="9" applyNumberFormat="1" applyFont="1" applyFill="1" applyBorder="1" applyAlignment="1">
      <alignment vertical="center" wrapText="1"/>
    </xf>
    <xf numFmtId="49" fontId="12" fillId="2" borderId="6" xfId="9" applyNumberFormat="1" applyFont="1" applyFill="1" applyBorder="1" applyAlignment="1">
      <alignment horizontal="center" vertical="center" wrapText="1"/>
    </xf>
    <xf numFmtId="0" fontId="12" fillId="2" borderId="0" xfId="20" applyFont="1" applyFill="1" applyAlignment="1">
      <alignment vertical="center" wrapText="1"/>
    </xf>
    <xf numFmtId="0" fontId="13" fillId="2" borderId="6" xfId="9" applyFont="1" applyFill="1" applyBorder="1" applyAlignment="1">
      <alignment horizontal="center" vertical="center" wrapText="1"/>
    </xf>
    <xf numFmtId="49" fontId="13" fillId="2" borderId="6" xfId="9" applyNumberFormat="1" applyFont="1" applyFill="1" applyBorder="1" applyAlignment="1">
      <alignment vertical="center" wrapText="1"/>
    </xf>
    <xf numFmtId="49" fontId="13" fillId="2" borderId="6" xfId="9" applyNumberFormat="1" applyFont="1" applyFill="1" applyBorder="1" applyAlignment="1">
      <alignment horizontal="center" vertical="center" wrapText="1"/>
    </xf>
    <xf numFmtId="0" fontId="12" fillId="2" borderId="6" xfId="22" applyFont="1" applyFill="1" applyBorder="1" applyAlignment="1">
      <alignment horizontal="left" vertical="center" wrapText="1"/>
    </xf>
    <xf numFmtId="0" fontId="13" fillId="2" borderId="6" xfId="22" applyFont="1" applyFill="1" applyBorder="1" applyAlignment="1">
      <alignment horizontal="left" vertical="center" wrapText="1"/>
    </xf>
    <xf numFmtId="0" fontId="13" fillId="2" borderId="6" xfId="20" applyFont="1" applyFill="1" applyBorder="1" applyAlignment="1">
      <alignment horizontal="left" vertical="center" wrapText="1"/>
    </xf>
    <xf numFmtId="0" fontId="25" fillId="2" borderId="0" xfId="23" applyFont="1" applyFill="1" applyAlignment="1">
      <alignment horizontal="center" vertical="center"/>
    </xf>
    <xf numFmtId="0" fontId="11" fillId="2" borderId="0" xfId="23" applyFont="1" applyFill="1" applyAlignment="1">
      <alignment vertical="center"/>
    </xf>
    <xf numFmtId="0" fontId="24" fillId="2" borderId="0" xfId="23" applyFont="1" applyFill="1" applyAlignment="1">
      <alignment horizontal="center" vertical="center"/>
    </xf>
    <xf numFmtId="0" fontId="13" fillId="2" borderId="0" xfId="23" applyFont="1" applyFill="1" applyAlignment="1">
      <alignment vertical="center"/>
    </xf>
    <xf numFmtId="0" fontId="26" fillId="2" borderId="0" xfId="23" applyFont="1" applyFill="1" applyAlignment="1">
      <alignment horizontal="center" vertical="center"/>
    </xf>
    <xf numFmtId="3" fontId="13" fillId="2" borderId="0" xfId="23" applyNumberFormat="1" applyFont="1" applyFill="1" applyAlignment="1">
      <alignment vertical="center" wrapText="1"/>
    </xf>
    <xf numFmtId="3" fontId="13" fillId="2" borderId="0" xfId="23" applyNumberFormat="1" applyFont="1" applyFill="1" applyAlignment="1">
      <alignment horizontal="center" vertical="center" wrapText="1"/>
    </xf>
    <xf numFmtId="165" fontId="13" fillId="2" borderId="0" xfId="1" applyNumberFormat="1" applyFont="1" applyFill="1" applyAlignment="1">
      <alignment horizontal="center" vertical="center" wrapText="1"/>
    </xf>
    <xf numFmtId="165" fontId="13" fillId="2" borderId="0" xfId="23" applyNumberFormat="1" applyFont="1" applyFill="1" applyAlignment="1">
      <alignment horizontal="center" vertical="center" wrapText="1"/>
    </xf>
    <xf numFmtId="3" fontId="12" fillId="2" borderId="0" xfId="23" applyNumberFormat="1" applyFont="1" applyFill="1" applyAlignment="1">
      <alignment horizontal="center" vertical="center" wrapText="1"/>
    </xf>
    <xf numFmtId="3" fontId="12" fillId="2" borderId="21" xfId="23" applyNumberFormat="1" applyFont="1" applyFill="1" applyBorder="1" applyAlignment="1">
      <alignment horizontal="center" vertical="center" wrapText="1"/>
    </xf>
    <xf numFmtId="3" fontId="12" fillId="2" borderId="6" xfId="23" applyNumberFormat="1" applyFont="1" applyFill="1" applyBorder="1" applyAlignment="1">
      <alignment horizontal="center" vertical="center" wrapText="1"/>
    </xf>
    <xf numFmtId="165" fontId="12" fillId="2" borderId="6" xfId="23" applyNumberFormat="1" applyFont="1" applyFill="1" applyBorder="1" applyAlignment="1">
      <alignment horizontal="center" vertical="center" wrapText="1"/>
    </xf>
    <xf numFmtId="3" fontId="12" fillId="2" borderId="0" xfId="23" applyNumberFormat="1" applyFont="1" applyFill="1" applyAlignment="1">
      <alignment vertical="center" wrapText="1"/>
    </xf>
    <xf numFmtId="3" fontId="13" fillId="2" borderId="21" xfId="23" applyNumberFormat="1" applyFont="1" applyFill="1" applyBorder="1" applyAlignment="1">
      <alignment horizontal="center" vertical="center" wrapText="1"/>
    </xf>
    <xf numFmtId="165" fontId="13" fillId="2" borderId="6" xfId="23" applyNumberFormat="1" applyFont="1" applyFill="1" applyBorder="1" applyAlignment="1">
      <alignment horizontal="center" vertical="center" wrapText="1"/>
    </xf>
    <xf numFmtId="3" fontId="13" fillId="2" borderId="6" xfId="24" applyNumberFormat="1" applyFont="1" applyFill="1" applyBorder="1" applyAlignment="1">
      <alignment horizontal="left" vertical="center" wrapText="1"/>
    </xf>
    <xf numFmtId="3" fontId="14" fillId="2" borderId="6" xfId="23" applyNumberFormat="1" applyFont="1" applyFill="1" applyBorder="1" applyAlignment="1">
      <alignment horizontal="center" vertical="center" wrapText="1"/>
    </xf>
    <xf numFmtId="165" fontId="14" fillId="2" borderId="6" xfId="1" applyNumberFormat="1" applyFont="1" applyFill="1" applyBorder="1" applyAlignment="1">
      <alignment horizontal="center" vertical="center" wrapText="1"/>
    </xf>
    <xf numFmtId="3" fontId="17" fillId="2" borderId="6" xfId="23" applyNumberFormat="1" applyFont="1" applyFill="1" applyBorder="1" applyAlignment="1">
      <alignment horizontal="left" vertical="center" wrapText="1"/>
    </xf>
    <xf numFmtId="3" fontId="14" fillId="2" borderId="6" xfId="23" applyNumberFormat="1" applyFont="1" applyFill="1" applyBorder="1" applyAlignment="1">
      <alignment vertical="center" wrapText="1"/>
    </xf>
    <xf numFmtId="165" fontId="14" fillId="2" borderId="6" xfId="23" applyNumberFormat="1" applyFont="1" applyFill="1" applyBorder="1" applyAlignment="1">
      <alignment horizontal="center" vertical="center" wrapText="1"/>
    </xf>
    <xf numFmtId="3" fontId="14" fillId="2" borderId="0" xfId="23" applyNumberFormat="1" applyFont="1" applyFill="1" applyAlignment="1">
      <alignment vertical="center" wrapText="1"/>
    </xf>
    <xf numFmtId="0" fontId="12" fillId="2" borderId="0" xfId="4" applyFont="1" applyFill="1" applyAlignment="1">
      <alignment vertical="center"/>
    </xf>
    <xf numFmtId="0" fontId="12" fillId="2" borderId="0" xfId="4" applyFont="1" applyFill="1" applyAlignment="1">
      <alignment horizontal="center" vertical="center"/>
    </xf>
    <xf numFmtId="0" fontId="12" fillId="2" borderId="6" xfId="4" applyFont="1" applyFill="1" applyBorder="1" applyAlignment="1">
      <alignment horizontal="left" vertical="center"/>
    </xf>
    <xf numFmtId="0" fontId="12" fillId="2" borderId="6" xfId="30" applyFont="1" applyFill="1" applyBorder="1" applyAlignment="1">
      <alignment horizontal="center" vertical="center" wrapText="1"/>
    </xf>
    <xf numFmtId="0" fontId="12" fillId="2" borderId="6" xfId="4" applyFont="1" applyFill="1" applyBorder="1" applyAlignment="1">
      <alignment vertical="center"/>
    </xf>
    <xf numFmtId="0" fontId="13" fillId="2" borderId="6" xfId="30" applyFont="1" applyFill="1" applyBorder="1" applyAlignment="1">
      <alignment horizontal="center" vertical="center" wrapText="1"/>
    </xf>
    <xf numFmtId="0" fontId="14" fillId="2" borderId="6" xfId="30" applyFont="1" applyFill="1" applyBorder="1" applyAlignment="1">
      <alignment horizontal="center" vertical="center" wrapText="1"/>
    </xf>
    <xf numFmtId="0" fontId="12" fillId="2" borderId="0" xfId="4" applyFont="1" applyFill="1" applyAlignment="1">
      <alignment horizontal="center" vertical="center" wrapText="1"/>
    </xf>
    <xf numFmtId="0" fontId="12" fillId="2" borderId="21" xfId="4" applyFont="1" applyFill="1" applyBorder="1" applyAlignment="1">
      <alignment horizontal="center" vertical="center" wrapText="1"/>
    </xf>
    <xf numFmtId="1" fontId="12" fillId="2" borderId="6" xfId="4" applyNumberFormat="1" applyFont="1" applyFill="1" applyBorder="1" applyAlignment="1">
      <alignment horizontal="center" vertical="center" wrapText="1"/>
    </xf>
    <xf numFmtId="0" fontId="12" fillId="2" borderId="6" xfId="4" applyFont="1" applyFill="1" applyBorder="1" applyAlignment="1">
      <alignment horizontal="left" vertical="center" wrapText="1"/>
    </xf>
    <xf numFmtId="0" fontId="13" fillId="2" borderId="6" xfId="30" applyFont="1" applyFill="1" applyBorder="1" applyAlignment="1" applyProtection="1">
      <alignment horizontal="center" vertical="center" wrapText="1"/>
      <protection hidden="1"/>
    </xf>
    <xf numFmtId="0" fontId="13" fillId="2" borderId="6" xfId="4" applyFont="1" applyFill="1" applyBorder="1" applyAlignment="1" applyProtection="1">
      <alignment horizontal="center" vertical="center" wrapText="1"/>
      <protection hidden="1"/>
    </xf>
    <xf numFmtId="0" fontId="12" fillId="2" borderId="6" xfId="4" applyFont="1" applyFill="1" applyBorder="1" applyAlignment="1" applyProtection="1">
      <alignment horizontal="center" vertical="center" wrapText="1"/>
      <protection hidden="1"/>
    </xf>
    <xf numFmtId="0" fontId="13" fillId="2" borderId="6" xfId="4" applyFont="1" applyFill="1" applyBorder="1" applyAlignment="1">
      <alignment horizontal="left" vertical="center" wrapText="1"/>
    </xf>
    <xf numFmtId="167" fontId="14" fillId="2" borderId="6" xfId="9" applyNumberFormat="1" applyFont="1" applyFill="1" applyBorder="1" applyAlignment="1">
      <alignment horizontal="center" vertical="center" wrapText="1"/>
    </xf>
    <xf numFmtId="0" fontId="12" fillId="2" borderId="6" xfId="26" applyFont="1" applyFill="1" applyBorder="1" applyAlignment="1">
      <alignment horizontal="left" vertical="center" wrapText="1"/>
    </xf>
    <xf numFmtId="0" fontId="13" fillId="2" borderId="6" xfId="29" applyFont="1" applyFill="1" applyBorder="1" applyAlignment="1">
      <alignment vertical="center" wrapText="1"/>
    </xf>
    <xf numFmtId="0" fontId="13" fillId="2" borderId="6" xfId="29" applyFont="1" applyFill="1" applyBorder="1" applyAlignment="1">
      <alignment horizontal="center" vertical="center" wrapText="1"/>
    </xf>
    <xf numFmtId="0" fontId="12" fillId="2" borderId="6" xfId="29" applyFont="1" applyFill="1" applyBorder="1" applyAlignment="1">
      <alignment vertical="center" wrapText="1"/>
    </xf>
    <xf numFmtId="49" fontId="12" fillId="2" borderId="6" xfId="4" applyNumberFormat="1" applyFont="1" applyFill="1" applyBorder="1" applyAlignment="1">
      <alignment vertical="center" wrapText="1"/>
    </xf>
    <xf numFmtId="0" fontId="13" fillId="2" borderId="11" xfId="4" applyFont="1" applyFill="1" applyBorder="1" applyAlignment="1">
      <alignment horizontal="center" vertical="center" wrapText="1"/>
    </xf>
    <xf numFmtId="0" fontId="13" fillId="2" borderId="11" xfId="4" applyFont="1" applyFill="1" applyBorder="1" applyAlignment="1">
      <alignment vertical="center" wrapText="1"/>
    </xf>
    <xf numFmtId="1" fontId="11" fillId="2" borderId="19" xfId="3" applyNumberFormat="1" applyFont="1" applyFill="1" applyBorder="1" applyAlignment="1">
      <alignment vertical="center" wrapText="1"/>
    </xf>
    <xf numFmtId="165" fontId="11" fillId="2" borderId="19" xfId="8" applyNumberFormat="1" applyFont="1" applyFill="1" applyBorder="1" applyAlignment="1">
      <alignment vertical="center" wrapText="1"/>
    </xf>
    <xf numFmtId="166" fontId="12" fillId="2" borderId="2" xfId="0" applyFont="1" applyFill="1" applyBorder="1" applyAlignment="1">
      <alignment horizontal="left" vertical="center" wrapText="1"/>
    </xf>
    <xf numFmtId="166" fontId="12" fillId="2" borderId="2" xfId="0" applyFont="1" applyFill="1" applyBorder="1" applyAlignment="1">
      <alignment horizontal="center" vertical="center" wrapText="1"/>
    </xf>
    <xf numFmtId="166" fontId="13" fillId="2" borderId="6" xfId="0" applyFont="1" applyFill="1" applyBorder="1" applyAlignment="1">
      <alignment horizontal="left" vertical="center" wrapText="1"/>
    </xf>
    <xf numFmtId="2" fontId="13" fillId="2" borderId="6" xfId="0" applyNumberFormat="1" applyFont="1" applyFill="1" applyBorder="1" applyAlignment="1">
      <alignment horizontal="center" vertical="center" wrapText="1"/>
    </xf>
    <xf numFmtId="166" fontId="12" fillId="2" borderId="6" xfId="0" applyFont="1" applyFill="1" applyBorder="1" applyAlignment="1">
      <alignment horizontal="left" vertical="center" wrapText="1"/>
    </xf>
    <xf numFmtId="0" fontId="13" fillId="2" borderId="6" xfId="9" applyFont="1" applyFill="1" applyBorder="1" applyAlignment="1">
      <alignment horizontal="left" vertical="center" wrapText="1"/>
    </xf>
    <xf numFmtId="166" fontId="13" fillId="2" borderId="6" xfId="14" applyFont="1" applyFill="1" applyBorder="1" applyAlignment="1">
      <alignment horizontal="left" vertical="center" wrapText="1"/>
    </xf>
    <xf numFmtId="166" fontId="13" fillId="2" borderId="6" xfId="14" applyFont="1" applyFill="1" applyBorder="1" applyAlignment="1">
      <alignment horizontal="center" vertical="center" wrapText="1"/>
    </xf>
    <xf numFmtId="49" fontId="13" fillId="2" borderId="6" xfId="15" applyNumberFormat="1" applyFont="1" applyFill="1" applyBorder="1" applyAlignment="1">
      <alignment horizontal="center" vertical="center" wrapText="1"/>
    </xf>
    <xf numFmtId="0" fontId="13" fillId="2" borderId="6" xfId="9" applyFont="1" applyFill="1" applyBorder="1" applyAlignment="1">
      <alignment vertical="center" wrapText="1"/>
    </xf>
    <xf numFmtId="2" fontId="13" fillId="2" borderId="6" xfId="9" applyNumberFormat="1" applyFont="1" applyFill="1" applyBorder="1" applyAlignment="1">
      <alignment horizontal="center" vertical="center" wrapText="1"/>
    </xf>
    <xf numFmtId="166" fontId="13" fillId="2" borderId="6" xfId="17" applyFont="1" applyFill="1" applyBorder="1" applyAlignment="1">
      <alignment horizontal="left" vertical="center" wrapText="1"/>
    </xf>
    <xf numFmtId="166" fontId="13" fillId="2" borderId="6" xfId="17" applyFont="1" applyFill="1" applyBorder="1" applyAlignment="1">
      <alignment horizontal="center" vertical="center" wrapText="1"/>
    </xf>
    <xf numFmtId="0" fontId="13" fillId="2" borderId="6" xfId="18" quotePrefix="1" applyFont="1" applyFill="1" applyBorder="1" applyAlignment="1">
      <alignment horizontal="left" vertical="center" wrapText="1"/>
    </xf>
    <xf numFmtId="0" fontId="13" fillId="2" borderId="6" xfId="18" applyFont="1" applyFill="1" applyBorder="1" applyAlignment="1">
      <alignment horizontal="center" vertical="center" wrapText="1"/>
    </xf>
    <xf numFmtId="166" fontId="12" fillId="2" borderId="6" xfId="0" applyFont="1" applyFill="1" applyBorder="1" applyAlignment="1">
      <alignment horizontal="center" vertical="center" wrapText="1"/>
    </xf>
    <xf numFmtId="0" fontId="12" fillId="2" borderId="6" xfId="9" applyFont="1" applyFill="1" applyBorder="1" applyAlignment="1">
      <alignment horizontal="left" vertical="center" wrapText="1"/>
    </xf>
    <xf numFmtId="166" fontId="13" fillId="2" borderId="11" xfId="17" applyFont="1" applyFill="1" applyBorder="1" applyAlignment="1">
      <alignment horizontal="left" vertical="center" wrapText="1"/>
    </xf>
    <xf numFmtId="166" fontId="13" fillId="2" borderId="11" xfId="17" applyFont="1" applyFill="1" applyBorder="1" applyAlignment="1">
      <alignment horizontal="center" vertical="center" wrapText="1"/>
    </xf>
    <xf numFmtId="1" fontId="20" fillId="2" borderId="23" xfId="19" applyNumberFormat="1" applyFont="1" applyFill="1" applyBorder="1" applyAlignment="1">
      <alignment horizontal="center" vertical="center" wrapText="1"/>
    </xf>
    <xf numFmtId="1" fontId="20" fillId="2" borderId="11" xfId="19" applyNumberFormat="1" applyFont="1" applyFill="1" applyBorder="1" applyAlignment="1">
      <alignment horizontal="center" vertical="center" wrapText="1"/>
    </xf>
    <xf numFmtId="1" fontId="11" fillId="2" borderId="24" xfId="19" applyNumberFormat="1" applyFont="1" applyFill="1" applyBorder="1" applyAlignment="1">
      <alignment horizontal="center" vertical="center" wrapText="1"/>
    </xf>
    <xf numFmtId="1" fontId="11" fillId="2" borderId="2" xfId="19" applyNumberFormat="1" applyFont="1" applyFill="1" applyBorder="1" applyAlignment="1">
      <alignment horizontal="center" vertical="center" wrapText="1"/>
    </xf>
    <xf numFmtId="0" fontId="11" fillId="2" borderId="2" xfId="4" applyFont="1" applyFill="1" applyBorder="1" applyAlignment="1">
      <alignment vertical="center" wrapText="1"/>
    </xf>
    <xf numFmtId="0" fontId="11" fillId="3" borderId="6" xfId="4" applyFont="1" applyFill="1" applyBorder="1" applyAlignment="1">
      <alignment horizontal="center" vertical="center" wrapText="1"/>
    </xf>
    <xf numFmtId="0" fontId="11" fillId="3" borderId="6" xfId="4" applyFont="1" applyFill="1" applyBorder="1" applyAlignment="1">
      <alignment vertical="center" wrapText="1"/>
    </xf>
    <xf numFmtId="0" fontId="11" fillId="3" borderId="1" xfId="4" applyFont="1" applyFill="1" applyBorder="1" applyAlignment="1">
      <alignment horizontal="center" vertical="center" wrapText="1"/>
    </xf>
    <xf numFmtId="0" fontId="11" fillId="3" borderId="1" xfId="4" applyFont="1" applyFill="1" applyBorder="1" applyAlignment="1">
      <alignment vertical="center" wrapText="1"/>
    </xf>
    <xf numFmtId="1" fontId="20" fillId="3" borderId="1" xfId="19" applyNumberFormat="1" applyFont="1" applyFill="1" applyBorder="1" applyAlignment="1">
      <alignment horizontal="center" vertical="center" wrapText="1"/>
    </xf>
    <xf numFmtId="1" fontId="20" fillId="3" borderId="19" xfId="19" applyNumberFormat="1" applyFont="1" applyFill="1" applyBorder="1" applyAlignment="1">
      <alignment horizontal="center" vertical="center" wrapText="1"/>
    </xf>
    <xf numFmtId="3" fontId="14" fillId="2" borderId="21" xfId="23" applyNumberFormat="1" applyFont="1" applyFill="1" applyBorder="1" applyAlignment="1">
      <alignment horizontal="center" vertical="center" wrapText="1"/>
    </xf>
    <xf numFmtId="3" fontId="14" fillId="2" borderId="6" xfId="24" applyNumberFormat="1" applyFont="1" applyFill="1" applyBorder="1" applyAlignment="1">
      <alignment horizontal="left" vertical="center" wrapText="1"/>
    </xf>
    <xf numFmtId="3" fontId="27" fillId="2" borderId="6" xfId="23" applyNumberFormat="1" applyFont="1" applyFill="1" applyBorder="1" applyAlignment="1">
      <alignment vertical="center" wrapText="1"/>
    </xf>
    <xf numFmtId="3" fontId="27" fillId="2" borderId="6" xfId="38" applyNumberFormat="1" applyFont="1" applyFill="1" applyBorder="1" applyAlignment="1">
      <alignment horizontal="left" vertical="center" wrapText="1"/>
    </xf>
    <xf numFmtId="3" fontId="27" fillId="2" borderId="6" xfId="23" applyNumberFormat="1" applyFont="1" applyFill="1" applyBorder="1" applyAlignment="1">
      <alignment horizontal="center" vertical="center" wrapText="1"/>
    </xf>
    <xf numFmtId="165" fontId="27" fillId="2" borderId="6" xfId="23" applyNumberFormat="1" applyFont="1" applyFill="1" applyBorder="1" applyAlignment="1">
      <alignment horizontal="center" vertical="center" wrapText="1"/>
    </xf>
    <xf numFmtId="0" fontId="27" fillId="2" borderId="6" xfId="9" applyFont="1" applyFill="1" applyBorder="1" applyAlignment="1">
      <alignment horizontal="center" vertical="center" wrapText="1"/>
    </xf>
    <xf numFmtId="3" fontId="27" fillId="2" borderId="0" xfId="23" applyNumberFormat="1" applyFont="1" applyFill="1" applyAlignment="1">
      <alignment vertical="center" wrapText="1"/>
    </xf>
    <xf numFmtId="1" fontId="28" fillId="2" borderId="6" xfId="19" applyNumberFormat="1" applyFont="1" applyFill="1" applyBorder="1" applyAlignment="1">
      <alignment horizontal="center" vertical="center" wrapText="1"/>
    </xf>
    <xf numFmtId="3" fontId="14" fillId="0" borderId="6" xfId="23" applyNumberFormat="1" applyFont="1" applyBorder="1" applyAlignment="1">
      <alignment horizontal="center" vertical="center" wrapText="1"/>
    </xf>
    <xf numFmtId="165" fontId="14" fillId="0" borderId="6" xfId="23" applyNumberFormat="1" applyFont="1" applyBorder="1" applyAlignment="1">
      <alignment horizontal="center" vertical="center" wrapText="1"/>
    </xf>
    <xf numFmtId="3" fontId="14" fillId="0" borderId="0" xfId="23" applyNumberFormat="1" applyFont="1" applyAlignment="1">
      <alignment vertical="center" wrapText="1"/>
    </xf>
    <xf numFmtId="166" fontId="14" fillId="2" borderId="6" xfId="14" applyFont="1" applyFill="1" applyBorder="1" applyAlignment="1">
      <alignment horizontal="center" vertical="center" wrapText="1"/>
    </xf>
    <xf numFmtId="0" fontId="17" fillId="2" borderId="6" xfId="9" applyFont="1" applyFill="1" applyBorder="1" applyAlignment="1">
      <alignment horizontal="center" vertical="center" wrapText="1"/>
    </xf>
    <xf numFmtId="2" fontId="14" fillId="2" borderId="6" xfId="0" applyNumberFormat="1" applyFont="1" applyFill="1" applyBorder="1" applyAlignment="1">
      <alignment horizontal="center" vertical="center" wrapText="1"/>
    </xf>
    <xf numFmtId="1" fontId="17" fillId="2" borderId="6" xfId="19" applyNumberFormat="1" applyFont="1" applyFill="1" applyBorder="1" applyAlignment="1">
      <alignment horizontal="center" vertical="center" wrapText="1"/>
    </xf>
    <xf numFmtId="0" fontId="14" fillId="2" borderId="6" xfId="9" applyFont="1" applyFill="1" applyBorder="1" applyAlignment="1">
      <alignment horizontal="center" vertical="center" wrapText="1"/>
    </xf>
    <xf numFmtId="0" fontId="20" fillId="2" borderId="0" xfId="4" applyFont="1" applyFill="1" applyAlignment="1">
      <alignment vertical="center"/>
    </xf>
    <xf numFmtId="3" fontId="12" fillId="3" borderId="21" xfId="23" applyNumberFormat="1" applyFont="1" applyFill="1" applyBorder="1" applyAlignment="1">
      <alignment horizontal="center" vertical="center" wrapText="1"/>
    </xf>
    <xf numFmtId="3" fontId="12" fillId="3" borderId="6" xfId="23" applyNumberFormat="1" applyFont="1" applyFill="1" applyBorder="1" applyAlignment="1">
      <alignment horizontal="left" vertical="center" wrapText="1"/>
    </xf>
    <xf numFmtId="3" fontId="12" fillId="3" borderId="6" xfId="23" applyNumberFormat="1" applyFont="1" applyFill="1" applyBorder="1" applyAlignment="1">
      <alignment horizontal="center" vertical="center" wrapText="1"/>
    </xf>
    <xf numFmtId="165" fontId="20" fillId="3" borderId="6" xfId="1" applyNumberFormat="1" applyFont="1" applyFill="1" applyBorder="1" applyAlignment="1">
      <alignment horizontal="center" vertical="center" wrapText="1"/>
    </xf>
    <xf numFmtId="165" fontId="11" fillId="3" borderId="6" xfId="1" applyNumberFormat="1" applyFont="1" applyFill="1" applyBorder="1" applyAlignment="1">
      <alignment horizontal="center" vertical="center" wrapText="1"/>
    </xf>
    <xf numFmtId="165" fontId="12" fillId="3" borderId="6" xfId="23" applyNumberFormat="1" applyFont="1" applyFill="1" applyBorder="1" applyAlignment="1">
      <alignment horizontal="center" vertical="center" wrapText="1"/>
    </xf>
    <xf numFmtId="2" fontId="17" fillId="2" borderId="6" xfId="4" applyNumberFormat="1" applyFont="1" applyFill="1" applyBorder="1" applyAlignment="1">
      <alignment horizontal="center" vertical="center" wrapText="1"/>
    </xf>
    <xf numFmtId="0" fontId="17" fillId="2" borderId="6" xfId="40" applyFont="1" applyFill="1" applyBorder="1" applyAlignment="1">
      <alignment horizontal="center" vertical="center" wrapText="1"/>
    </xf>
    <xf numFmtId="0" fontId="17" fillId="2" borderId="6" xfId="41" applyFont="1" applyFill="1" applyBorder="1" applyAlignment="1">
      <alignment horizontal="center" vertical="center" wrapText="1"/>
    </xf>
    <xf numFmtId="2" fontId="12" fillId="2" borderId="6" xfId="4" applyNumberFormat="1" applyFont="1" applyFill="1" applyBorder="1" applyAlignment="1">
      <alignment horizontal="center" vertical="center" wrapText="1"/>
    </xf>
    <xf numFmtId="0" fontId="11" fillId="6" borderId="6" xfId="4" applyFont="1" applyFill="1" applyBorder="1" applyAlignment="1">
      <alignment horizontal="center" vertical="center" wrapText="1"/>
    </xf>
    <xf numFmtId="0" fontId="11" fillId="6" borderId="6" xfId="4" applyFont="1" applyFill="1" applyBorder="1" applyAlignment="1">
      <alignment vertical="center" wrapText="1"/>
    </xf>
    <xf numFmtId="167" fontId="17" fillId="2" borderId="6" xfId="4" applyNumberFormat="1" applyFont="1" applyFill="1" applyBorder="1" applyAlignment="1">
      <alignment horizontal="center" vertical="center" wrapText="1"/>
    </xf>
    <xf numFmtId="165" fontId="20" fillId="7" borderId="6" xfId="1" applyNumberFormat="1" applyFont="1" applyFill="1" applyBorder="1" applyAlignment="1">
      <alignment horizontal="center" vertical="center" wrapText="1"/>
    </xf>
    <xf numFmtId="0" fontId="12" fillId="6" borderId="6" xfId="4" applyFont="1" applyFill="1" applyBorder="1" applyAlignment="1">
      <alignment horizontal="center" vertical="center" wrapText="1"/>
    </xf>
    <xf numFmtId="0" fontId="12" fillId="6" borderId="6" xfId="4" applyFont="1" applyFill="1" applyBorder="1" applyAlignment="1">
      <alignment vertical="center" wrapText="1"/>
    </xf>
    <xf numFmtId="165" fontId="13" fillId="5" borderId="6" xfId="1" applyNumberFormat="1" applyFont="1" applyFill="1" applyBorder="1" applyAlignment="1">
      <alignment horizontal="center" vertical="center" wrapText="1"/>
    </xf>
    <xf numFmtId="165" fontId="20" fillId="5" borderId="6" xfId="1" applyNumberFormat="1" applyFont="1" applyFill="1" applyBorder="1" applyAlignment="1">
      <alignment horizontal="center" vertical="center" wrapText="1"/>
    </xf>
    <xf numFmtId="0" fontId="11" fillId="6" borderId="1" xfId="1" applyNumberFormat="1" applyFont="1" applyFill="1" applyBorder="1" applyAlignment="1">
      <alignment horizontal="center" vertical="center" wrapText="1"/>
    </xf>
    <xf numFmtId="0" fontId="11" fillId="6" borderId="1" xfId="5" applyFont="1" applyFill="1" applyBorder="1" applyAlignment="1">
      <alignment horizontal="center" vertical="center" wrapText="1"/>
    </xf>
    <xf numFmtId="1" fontId="11" fillId="6" borderId="1" xfId="5" applyNumberFormat="1" applyFont="1" applyFill="1" applyBorder="1" applyAlignment="1">
      <alignment horizontal="center" vertical="center" wrapText="1"/>
    </xf>
    <xf numFmtId="49" fontId="11" fillId="6" borderId="1" xfId="7" applyNumberFormat="1" applyFont="1" applyFill="1" applyBorder="1" applyAlignment="1">
      <alignment horizontal="center" vertical="center" wrapText="1"/>
    </xf>
    <xf numFmtId="1" fontId="12" fillId="6" borderId="17" xfId="0" quotePrefix="1" applyNumberFormat="1" applyFont="1" applyFill="1" applyBorder="1" applyAlignment="1">
      <alignment horizontal="center" vertical="center" wrapText="1"/>
    </xf>
    <xf numFmtId="1" fontId="12" fillId="6" borderId="8" xfId="0" quotePrefix="1" applyNumberFormat="1" applyFont="1" applyFill="1" applyBorder="1" applyAlignment="1">
      <alignment horizontal="center" vertical="center" wrapText="1"/>
    </xf>
    <xf numFmtId="0" fontId="11" fillId="7" borderId="2" xfId="5" applyFont="1" applyFill="1" applyBorder="1" applyAlignment="1">
      <alignment horizontal="center" vertical="center" wrapText="1"/>
    </xf>
    <xf numFmtId="164" fontId="11" fillId="7" borderId="2" xfId="5" applyNumberFormat="1" applyFont="1" applyFill="1" applyBorder="1" applyAlignment="1">
      <alignment horizontal="left" vertical="center" wrapText="1"/>
    </xf>
    <xf numFmtId="49" fontId="12" fillId="7" borderId="2" xfId="9" applyNumberFormat="1" applyFont="1" applyFill="1" applyBorder="1" applyAlignment="1">
      <alignment horizontal="center" vertical="center" wrapText="1"/>
    </xf>
    <xf numFmtId="0" fontId="11" fillId="5" borderId="6" xfId="9" applyFont="1" applyFill="1" applyBorder="1" applyAlignment="1">
      <alignment horizontal="center" vertical="center" wrapText="1"/>
    </xf>
    <xf numFmtId="0" fontId="12" fillId="5" borderId="6" xfId="9" applyFont="1" applyFill="1" applyBorder="1" applyAlignment="1">
      <alignment vertical="center" wrapText="1"/>
    </xf>
    <xf numFmtId="0" fontId="11" fillId="2" borderId="15" xfId="4" applyFont="1" applyFill="1" applyBorder="1" applyAlignment="1">
      <alignment horizontal="center" vertical="center" wrapText="1"/>
    </xf>
    <xf numFmtId="0" fontId="20" fillId="2" borderId="15" xfId="4" applyFont="1" applyFill="1" applyBorder="1" applyAlignment="1">
      <alignment horizontal="center" vertical="center" wrapText="1"/>
    </xf>
    <xf numFmtId="0" fontId="11" fillId="2" borderId="15" xfId="4" applyFont="1" applyFill="1" applyBorder="1" applyAlignment="1">
      <alignment vertical="center" wrapText="1"/>
    </xf>
    <xf numFmtId="0" fontId="12" fillId="6" borderId="1" xfId="9" applyFont="1" applyFill="1" applyBorder="1" applyAlignment="1">
      <alignment horizontal="center" vertical="center" wrapText="1"/>
    </xf>
    <xf numFmtId="165" fontId="12" fillId="6" borderId="1" xfId="1" quotePrefix="1" applyNumberFormat="1" applyFont="1" applyFill="1" applyBorder="1" applyAlignment="1">
      <alignment horizontal="center" vertical="center" wrapText="1"/>
    </xf>
    <xf numFmtId="164" fontId="11" fillId="7" borderId="3" xfId="5" applyNumberFormat="1" applyFont="1" applyFill="1" applyBorder="1" applyAlignment="1">
      <alignment horizontal="center" vertical="center" wrapText="1"/>
    </xf>
    <xf numFmtId="164" fontId="11" fillId="7" borderId="3" xfId="5" applyNumberFormat="1" applyFont="1" applyFill="1" applyBorder="1" applyAlignment="1">
      <alignment horizontal="left" vertical="center" wrapText="1"/>
    </xf>
    <xf numFmtId="165" fontId="11" fillId="7" borderId="3" xfId="1" applyNumberFormat="1" applyFont="1" applyFill="1" applyBorder="1" applyAlignment="1">
      <alignment horizontal="left" vertical="center" wrapText="1"/>
    </xf>
    <xf numFmtId="164" fontId="11" fillId="7" borderId="20" xfId="5" applyNumberFormat="1" applyFont="1" applyFill="1" applyBorder="1" applyAlignment="1">
      <alignment horizontal="center" vertical="center" wrapText="1"/>
    </xf>
    <xf numFmtId="49" fontId="12" fillId="7" borderId="3" xfId="9" applyNumberFormat="1" applyFont="1" applyFill="1" applyBorder="1" applyAlignment="1">
      <alignment horizontal="center" vertical="center" wrapText="1"/>
    </xf>
    <xf numFmtId="3" fontId="12" fillId="6" borderId="21" xfId="23" applyNumberFormat="1" applyFont="1" applyFill="1" applyBorder="1" applyAlignment="1">
      <alignment horizontal="center" vertical="center" wrapText="1"/>
    </xf>
    <xf numFmtId="3" fontId="12" fillId="6" borderId="6" xfId="23" applyNumberFormat="1" applyFont="1" applyFill="1" applyBorder="1" applyAlignment="1">
      <alignment horizontal="left" vertical="center" wrapText="1"/>
    </xf>
    <xf numFmtId="3" fontId="12" fillId="6" borderId="6" xfId="23" applyNumberFormat="1" applyFont="1" applyFill="1" applyBorder="1" applyAlignment="1">
      <alignment horizontal="center" vertical="center" wrapText="1"/>
    </xf>
    <xf numFmtId="165" fontId="20" fillId="6" borderId="6" xfId="1" applyNumberFormat="1" applyFont="1" applyFill="1" applyBorder="1" applyAlignment="1">
      <alignment horizontal="center" vertical="center" wrapText="1"/>
    </xf>
    <xf numFmtId="165" fontId="12" fillId="6" borderId="6" xfId="23" applyNumberFormat="1" applyFont="1" applyFill="1" applyBorder="1" applyAlignment="1">
      <alignment horizontal="center" vertical="center" wrapText="1"/>
    </xf>
    <xf numFmtId="0" fontId="25" fillId="2" borderId="0" xfId="23" applyFont="1" applyFill="1" applyAlignment="1">
      <alignment horizontal="left" vertical="center"/>
    </xf>
    <xf numFmtId="0" fontId="24" fillId="2" borderId="0" xfId="23" applyFont="1" applyFill="1" applyAlignment="1">
      <alignment horizontal="left" vertical="center"/>
    </xf>
    <xf numFmtId="0" fontId="26" fillId="2" borderId="0" xfId="23" applyFont="1" applyFill="1" applyAlignment="1">
      <alignment horizontal="left" vertical="center"/>
    </xf>
    <xf numFmtId="3" fontId="13" fillId="2" borderId="0" xfId="23" applyNumberFormat="1" applyFont="1" applyFill="1" applyAlignment="1">
      <alignment horizontal="left" vertical="center" wrapText="1"/>
    </xf>
    <xf numFmtId="3" fontId="14" fillId="2" borderId="6" xfId="23" applyNumberFormat="1" applyFont="1" applyFill="1" applyBorder="1" applyAlignment="1">
      <alignment horizontal="left" vertical="center" wrapText="1"/>
    </xf>
    <xf numFmtId="3" fontId="13" fillId="2" borderId="6" xfId="23" applyNumberFormat="1" applyFont="1" applyFill="1" applyBorder="1" applyAlignment="1">
      <alignment horizontal="left" vertical="center" wrapText="1"/>
    </xf>
    <xf numFmtId="3" fontId="14" fillId="0" borderId="6" xfId="23" applyNumberFormat="1" applyFont="1" applyBorder="1" applyAlignment="1">
      <alignment horizontal="left" vertical="center" wrapText="1"/>
    </xf>
    <xf numFmtId="1" fontId="11" fillId="6" borderId="6" xfId="19" applyNumberFormat="1" applyFont="1" applyFill="1" applyBorder="1" applyAlignment="1">
      <alignment horizontal="center" vertical="center" wrapText="1"/>
    </xf>
    <xf numFmtId="0" fontId="11" fillId="6" borderId="6" xfId="9" applyFont="1" applyFill="1" applyBorder="1" applyAlignment="1">
      <alignment horizontal="center" vertical="center" wrapText="1"/>
    </xf>
    <xf numFmtId="164" fontId="11" fillId="6" borderId="1" xfId="1" applyFont="1" applyFill="1" applyBorder="1" applyAlignment="1">
      <alignment horizontal="center" vertical="center" wrapText="1"/>
    </xf>
    <xf numFmtId="169" fontId="11" fillId="6" borderId="1" xfId="1" applyNumberFormat="1" applyFont="1" applyFill="1" applyBorder="1" applyAlignment="1">
      <alignment horizontal="center" vertical="center" wrapText="1"/>
    </xf>
    <xf numFmtId="1" fontId="20" fillId="3" borderId="6" xfId="19" applyNumberFormat="1" applyFont="1" applyFill="1" applyBorder="1" applyAlignment="1">
      <alignment horizontal="center" vertical="center" wrapText="1"/>
    </xf>
    <xf numFmtId="0" fontId="11" fillId="7" borderId="1" xfId="5" applyFont="1" applyFill="1" applyBorder="1" applyAlignment="1">
      <alignment horizontal="center" vertical="center" wrapText="1"/>
    </xf>
    <xf numFmtId="164" fontId="11" fillId="7" borderId="1" xfId="5" applyNumberFormat="1" applyFont="1" applyFill="1" applyBorder="1" applyAlignment="1">
      <alignment horizontal="left" vertical="center" wrapText="1"/>
    </xf>
    <xf numFmtId="49" fontId="12" fillId="7" borderId="1" xfId="9" applyNumberFormat="1" applyFont="1" applyFill="1" applyBorder="1" applyAlignment="1">
      <alignment horizontal="center" vertical="center" wrapText="1"/>
    </xf>
    <xf numFmtId="0" fontId="14" fillId="2" borderId="15" xfId="4" applyFont="1" applyFill="1" applyBorder="1" applyAlignment="1">
      <alignment vertical="center" wrapText="1"/>
    </xf>
    <xf numFmtId="3" fontId="12" fillId="6" borderId="1" xfId="23" applyNumberFormat="1" applyFont="1" applyFill="1" applyBorder="1" applyAlignment="1">
      <alignment horizontal="center" vertical="center" wrapText="1"/>
    </xf>
    <xf numFmtId="165" fontId="19" fillId="8" borderId="6" xfId="1" applyNumberFormat="1" applyFont="1" applyFill="1" applyBorder="1" applyAlignment="1">
      <alignment vertical="center" wrapText="1"/>
    </xf>
    <xf numFmtId="0" fontId="13" fillId="2" borderId="6" xfId="30" applyFont="1" applyFill="1" applyBorder="1" applyAlignment="1">
      <alignment horizontal="left" vertical="center" wrapText="1"/>
    </xf>
    <xf numFmtId="0" fontId="12" fillId="6" borderId="1" xfId="4" applyFont="1" applyFill="1" applyBorder="1" applyAlignment="1">
      <alignment horizontal="center" vertical="center" wrapText="1"/>
    </xf>
    <xf numFmtId="0" fontId="12" fillId="6" borderId="8" xfId="4" applyFont="1" applyFill="1" applyBorder="1" applyAlignment="1">
      <alignment horizontal="center" vertical="center" wrapText="1"/>
    </xf>
    <xf numFmtId="0" fontId="12" fillId="6" borderId="8" xfId="30" applyFont="1" applyFill="1" applyBorder="1" applyAlignment="1">
      <alignment horizontal="center" vertical="center" wrapText="1"/>
    </xf>
    <xf numFmtId="0" fontId="19" fillId="7" borderId="3" xfId="20" applyFont="1" applyFill="1" applyBorder="1" applyAlignment="1">
      <alignment vertical="center" wrapText="1"/>
    </xf>
    <xf numFmtId="0" fontId="11" fillId="7" borderId="3" xfId="9" applyFont="1" applyFill="1" applyBorder="1" applyAlignment="1">
      <alignment horizontal="left" vertical="center" wrapText="1"/>
    </xf>
    <xf numFmtId="1" fontId="12" fillId="6" borderId="1" xfId="4" applyNumberFormat="1" applyFont="1" applyFill="1" applyBorder="1" applyAlignment="1">
      <alignment horizontal="center" vertical="center" wrapText="1"/>
    </xf>
    <xf numFmtId="1" fontId="12" fillId="6" borderId="8" xfId="4" applyNumberFormat="1" applyFont="1" applyFill="1" applyBorder="1" applyAlignment="1">
      <alignment horizontal="center" vertical="center" wrapText="1"/>
    </xf>
    <xf numFmtId="0" fontId="12" fillId="6" borderId="16" xfId="4" applyFont="1" applyFill="1" applyBorder="1" applyAlignment="1">
      <alignment horizontal="center" vertical="center" wrapText="1"/>
    </xf>
    <xf numFmtId="1" fontId="12" fillId="6" borderId="1" xfId="0" quotePrefix="1" applyNumberFormat="1" applyFont="1" applyFill="1" applyBorder="1" applyAlignment="1">
      <alignment horizontal="center" vertical="center" wrapText="1"/>
    </xf>
    <xf numFmtId="165" fontId="12" fillId="6" borderId="1" xfId="1" applyNumberFormat="1" applyFont="1" applyFill="1" applyBorder="1" applyAlignment="1">
      <alignment horizontal="center" vertical="center" wrapText="1"/>
    </xf>
    <xf numFmtId="165" fontId="12" fillId="7" borderId="3" xfId="1" applyNumberFormat="1" applyFont="1" applyFill="1" applyBorder="1" applyAlignment="1">
      <alignment horizontal="center" vertical="center" wrapText="1"/>
    </xf>
    <xf numFmtId="165" fontId="11" fillId="7" borderId="6" xfId="1" applyNumberFormat="1" applyFont="1" applyFill="1" applyBorder="1" applyAlignment="1">
      <alignment horizontal="center" vertical="center" wrapText="1"/>
    </xf>
    <xf numFmtId="164" fontId="11" fillId="5" borderId="21" xfId="5" applyNumberFormat="1" applyFont="1" applyFill="1" applyBorder="1" applyAlignment="1">
      <alignment horizontal="center" vertical="center" wrapText="1"/>
    </xf>
    <xf numFmtId="167" fontId="11" fillId="5" borderId="6" xfId="19" applyNumberFormat="1" applyFont="1" applyFill="1" applyBorder="1" applyAlignment="1">
      <alignment horizontal="center" vertical="center" wrapText="1"/>
    </xf>
    <xf numFmtId="165" fontId="11" fillId="5" borderId="6" xfId="1" applyNumberFormat="1" applyFont="1" applyFill="1" applyBorder="1" applyAlignment="1">
      <alignment horizontal="center" vertical="center" wrapText="1"/>
    </xf>
    <xf numFmtId="49" fontId="13" fillId="5" borderId="6" xfId="9" applyNumberFormat="1" applyFont="1" applyFill="1" applyBorder="1" applyAlignment="1">
      <alignment horizontal="center" vertical="center" wrapText="1"/>
    </xf>
    <xf numFmtId="49" fontId="12" fillId="7" borderId="6" xfId="9" applyNumberFormat="1" applyFont="1" applyFill="1" applyBorder="1" applyAlignment="1">
      <alignment horizontal="center" vertical="center" wrapText="1"/>
    </xf>
    <xf numFmtId="0" fontId="11" fillId="6" borderId="8" xfId="4" applyFont="1" applyFill="1" applyBorder="1" applyAlignment="1">
      <alignment horizontal="center" vertical="center" wrapText="1"/>
    </xf>
    <xf numFmtId="1" fontId="20" fillId="5" borderId="6" xfId="19" applyNumberFormat="1" applyFont="1" applyFill="1" applyBorder="1" applyAlignment="1">
      <alignment horizontal="center" vertical="center" wrapText="1"/>
    </xf>
    <xf numFmtId="165" fontId="20" fillId="2" borderId="11" xfId="1" applyNumberFormat="1" applyFont="1" applyFill="1" applyBorder="1" applyAlignment="1">
      <alignment horizontal="center" vertical="center" wrapText="1"/>
    </xf>
    <xf numFmtId="0" fontId="11" fillId="7" borderId="6" xfId="4" applyFont="1" applyFill="1" applyBorder="1" applyAlignment="1">
      <alignment horizontal="center" vertical="center" wrapText="1"/>
    </xf>
    <xf numFmtId="0" fontId="11" fillId="7" borderId="6" xfId="4" applyFont="1" applyFill="1" applyBorder="1" applyAlignment="1">
      <alignment horizontal="left" vertical="center" wrapText="1"/>
    </xf>
    <xf numFmtId="0" fontId="12" fillId="6" borderId="1" xfId="26" applyFont="1" applyFill="1" applyBorder="1" applyAlignment="1">
      <alignment horizontal="center" vertical="center" wrapText="1"/>
    </xf>
    <xf numFmtId="3" fontId="14" fillId="2" borderId="21" xfId="23" applyNumberFormat="1" applyFont="1" applyFill="1" applyBorder="1" applyAlignment="1">
      <alignment vertical="center" wrapText="1"/>
    </xf>
    <xf numFmtId="166" fontId="20" fillId="0" borderId="0" xfId="0" applyFont="1"/>
    <xf numFmtId="166" fontId="11" fillId="0" borderId="0" xfId="0" applyFont="1"/>
    <xf numFmtId="165" fontId="11" fillId="6" borderId="1" xfId="1" applyNumberFormat="1" applyFont="1" applyFill="1" applyBorder="1" applyAlignment="1">
      <alignment horizontal="center" vertical="center" wrapText="1"/>
    </xf>
    <xf numFmtId="3" fontId="14" fillId="2" borderId="11" xfId="23" applyNumberFormat="1" applyFont="1" applyFill="1" applyBorder="1" applyAlignment="1">
      <alignment horizontal="center" vertical="center" wrapText="1"/>
    </xf>
    <xf numFmtId="0" fontId="20" fillId="2" borderId="6" xfId="0" applyNumberFormat="1" applyFont="1" applyFill="1" applyBorder="1" applyAlignment="1">
      <alignment horizontal="center" wrapText="1"/>
    </xf>
    <xf numFmtId="0" fontId="20" fillId="2" borderId="19" xfId="33" applyFont="1" applyFill="1" applyBorder="1" applyAlignment="1">
      <alignment vertical="center" wrapText="1"/>
    </xf>
    <xf numFmtId="0" fontId="20" fillId="2" borderId="19" xfId="36" applyFont="1" applyFill="1" applyBorder="1" applyAlignment="1">
      <alignment vertical="center" wrapText="1"/>
    </xf>
    <xf numFmtId="165" fontId="20" fillId="2" borderId="0" xfId="1" applyNumberFormat="1" applyFont="1" applyFill="1" applyAlignment="1">
      <alignment horizontal="center" vertical="center" wrapText="1"/>
    </xf>
    <xf numFmtId="0" fontId="20" fillId="2" borderId="0" xfId="4" applyFont="1" applyFill="1" applyAlignment="1">
      <alignment vertical="center" wrapText="1"/>
    </xf>
    <xf numFmtId="0" fontId="20" fillId="5" borderId="19" xfId="4" applyFont="1" applyFill="1" applyBorder="1" applyAlignment="1">
      <alignment vertical="center" wrapText="1"/>
    </xf>
    <xf numFmtId="0" fontId="11" fillId="2" borderId="19" xfId="4" applyFont="1" applyFill="1" applyBorder="1" applyAlignment="1">
      <alignment vertical="center" wrapText="1"/>
    </xf>
    <xf numFmtId="0" fontId="20" fillId="2" borderId="19" xfId="4" applyFont="1" applyFill="1" applyBorder="1" applyAlignment="1">
      <alignment vertical="center" wrapText="1"/>
    </xf>
    <xf numFmtId="0" fontId="11" fillId="2" borderId="19" xfId="33" applyFont="1" applyFill="1" applyBorder="1" applyAlignment="1">
      <alignment vertical="center" wrapText="1"/>
    </xf>
    <xf numFmtId="0" fontId="14" fillId="2" borderId="19" xfId="4" applyFont="1" applyFill="1" applyBorder="1" applyAlignment="1">
      <alignment vertical="center" wrapText="1"/>
    </xf>
    <xf numFmtId="165" fontId="20" fillId="2" borderId="19" xfId="12" applyNumberFormat="1" applyFont="1" applyFill="1" applyBorder="1" applyAlignment="1">
      <alignment horizontal="left" vertical="center" wrapText="1"/>
    </xf>
    <xf numFmtId="1" fontId="20" fillId="2" borderId="19" xfId="16" applyNumberFormat="1" applyFont="1" applyFill="1" applyBorder="1" applyAlignment="1">
      <alignment horizontal="center" vertical="center" wrapText="1"/>
    </xf>
    <xf numFmtId="1" fontId="20" fillId="2" borderId="6" xfId="16" applyNumberFormat="1" applyFont="1" applyFill="1" applyBorder="1" applyAlignment="1">
      <alignment horizontal="center" vertical="center" wrapText="1"/>
    </xf>
    <xf numFmtId="165" fontId="13" fillId="2" borderId="11" xfId="1" applyNumberFormat="1" applyFont="1" applyFill="1" applyBorder="1" applyAlignment="1">
      <alignment horizontal="center" vertical="center" wrapText="1"/>
    </xf>
    <xf numFmtId="165" fontId="20" fillId="3" borderId="1" xfId="1" applyNumberFormat="1" applyFont="1" applyFill="1" applyBorder="1" applyAlignment="1">
      <alignment horizontal="center" vertical="center" wrapText="1"/>
    </xf>
    <xf numFmtId="165" fontId="20" fillId="2" borderId="2" xfId="1" applyNumberFormat="1" applyFont="1" applyFill="1" applyBorder="1" applyAlignment="1">
      <alignment horizontal="center" vertical="center" wrapText="1"/>
    </xf>
    <xf numFmtId="0" fontId="20" fillId="2" borderId="19" xfId="4" applyFont="1" applyFill="1" applyBorder="1" applyAlignment="1">
      <alignment horizontal="center" vertical="center" wrapText="1"/>
    </xf>
    <xf numFmtId="166" fontId="20" fillId="2" borderId="19" xfId="0" applyFont="1" applyFill="1" applyBorder="1" applyAlignment="1">
      <alignment vertical="center" wrapText="1"/>
    </xf>
    <xf numFmtId="166" fontId="20" fillId="2" borderId="19" xfId="0" applyFont="1" applyFill="1" applyBorder="1" applyAlignment="1">
      <alignment horizontal="center" vertical="center" wrapText="1"/>
    </xf>
    <xf numFmtId="166" fontId="20" fillId="2" borderId="6" xfId="0" applyFont="1" applyFill="1" applyBorder="1" applyAlignment="1">
      <alignment horizontal="center" vertical="center" wrapText="1"/>
    </xf>
    <xf numFmtId="1" fontId="20" fillId="2" borderId="19" xfId="1" applyNumberFormat="1" applyFont="1" applyFill="1" applyBorder="1" applyAlignment="1" applyProtection="1">
      <alignment horizontal="center" vertical="center" wrapText="1"/>
    </xf>
    <xf numFmtId="1" fontId="20" fillId="2" borderId="6" xfId="1" applyNumberFormat="1" applyFont="1" applyFill="1" applyBorder="1" applyAlignment="1" applyProtection="1">
      <alignment horizontal="center" vertical="center" wrapText="1"/>
    </xf>
    <xf numFmtId="0" fontId="11" fillId="2" borderId="23" xfId="4" applyFont="1" applyFill="1" applyBorder="1" applyAlignment="1">
      <alignment vertical="center" wrapText="1"/>
    </xf>
    <xf numFmtId="0" fontId="20" fillId="3" borderId="6" xfId="4" applyFont="1" applyFill="1" applyBorder="1" applyAlignment="1">
      <alignment vertical="center" wrapText="1"/>
    </xf>
    <xf numFmtId="165" fontId="20" fillId="2" borderId="15" xfId="1" applyNumberFormat="1" applyFont="1" applyFill="1" applyBorder="1" applyAlignment="1">
      <alignment horizontal="center" vertical="center" wrapText="1"/>
    </xf>
    <xf numFmtId="0" fontId="20" fillId="2" borderId="15" xfId="4" applyFont="1" applyFill="1" applyBorder="1" applyAlignment="1">
      <alignment vertical="center" wrapText="1"/>
    </xf>
    <xf numFmtId="0" fontId="20" fillId="2" borderId="0" xfId="0" applyNumberFormat="1" applyFont="1" applyFill="1" applyAlignment="1">
      <alignment vertical="center" wrapText="1"/>
    </xf>
    <xf numFmtId="166" fontId="20" fillId="2" borderId="0" xfId="0" applyFont="1" applyFill="1" applyAlignment="1">
      <alignment vertical="center" wrapText="1"/>
    </xf>
    <xf numFmtId="0" fontId="20" fillId="2" borderId="0" xfId="4" applyFont="1" applyFill="1" applyAlignment="1">
      <alignment horizontal="center" vertical="center"/>
    </xf>
    <xf numFmtId="0" fontId="20" fillId="2" borderId="0" xfId="3" applyFont="1" applyFill="1" applyAlignment="1">
      <alignment horizontal="center" vertical="center" wrapText="1"/>
    </xf>
    <xf numFmtId="0" fontId="20" fillId="5" borderId="6" xfId="4" applyFont="1" applyFill="1" applyBorder="1" applyAlignment="1">
      <alignment horizontal="center" vertical="center" wrapText="1"/>
    </xf>
    <xf numFmtId="0" fontId="20" fillId="2" borderId="6" xfId="33" applyFont="1" applyFill="1" applyBorder="1" applyAlignment="1">
      <alignment horizontal="center" vertical="center" wrapText="1"/>
    </xf>
    <xf numFmtId="0" fontId="11" fillId="2" borderId="6" xfId="33" applyFont="1" applyFill="1" applyBorder="1" applyAlignment="1">
      <alignment horizontal="center" vertical="center" wrapText="1"/>
    </xf>
    <xf numFmtId="165" fontId="11" fillId="2" borderId="6" xfId="8" applyNumberFormat="1" applyFont="1" applyFill="1" applyBorder="1" applyAlignment="1">
      <alignment horizontal="center" vertical="center" wrapText="1"/>
    </xf>
    <xf numFmtId="3" fontId="20" fillId="2" borderId="6" xfId="4" applyNumberFormat="1" applyFont="1" applyFill="1" applyBorder="1" applyAlignment="1">
      <alignment horizontal="center" vertical="center" wrapText="1"/>
    </xf>
    <xf numFmtId="3" fontId="14" fillId="2" borderId="6" xfId="13" applyNumberFormat="1" applyFont="1" applyFill="1" applyBorder="1" applyAlignment="1">
      <alignment horizontal="center" vertical="center" wrapText="1"/>
    </xf>
    <xf numFmtId="1" fontId="11" fillId="2" borderId="6" xfId="3" applyNumberFormat="1" applyFont="1" applyFill="1" applyBorder="1" applyAlignment="1">
      <alignment horizontal="center" vertical="center" wrapText="1"/>
    </xf>
    <xf numFmtId="1" fontId="20" fillId="2" borderId="6" xfId="3" applyNumberFormat="1" applyFont="1" applyFill="1" applyBorder="1" applyAlignment="1">
      <alignment horizontal="center" vertical="center" wrapText="1"/>
    </xf>
    <xf numFmtId="3" fontId="20" fillId="2" borderId="6" xfId="13" applyNumberFormat="1" applyFont="1" applyFill="1" applyBorder="1" applyAlignment="1">
      <alignment horizontal="center" vertical="center" wrapText="1"/>
    </xf>
    <xf numFmtId="165" fontId="20" fillId="2" borderId="6" xfId="8" applyNumberFormat="1" applyFont="1" applyFill="1" applyBorder="1" applyAlignment="1">
      <alignment horizontal="center" vertical="center" wrapText="1"/>
    </xf>
    <xf numFmtId="165" fontId="20" fillId="2" borderId="6" xfId="12" applyNumberFormat="1" applyFont="1" applyFill="1" applyBorder="1" applyAlignment="1">
      <alignment horizontal="center" vertical="center" wrapText="1"/>
    </xf>
    <xf numFmtId="165" fontId="20" fillId="2" borderId="6" xfId="16" applyNumberFormat="1" applyFont="1" applyFill="1" applyBorder="1" applyAlignment="1">
      <alignment horizontal="center" vertical="center" wrapText="1"/>
    </xf>
    <xf numFmtId="165" fontId="14" fillId="2" borderId="6" xfId="8" applyNumberFormat="1" applyFont="1" applyFill="1" applyBorder="1" applyAlignment="1">
      <alignment horizontal="center" vertical="center" wrapText="1"/>
    </xf>
    <xf numFmtId="0" fontId="20" fillId="2" borderId="6" xfId="36" applyFont="1" applyFill="1" applyBorder="1" applyAlignment="1">
      <alignment horizontal="center" vertical="center" wrapText="1"/>
    </xf>
    <xf numFmtId="165" fontId="20" fillId="2" borderId="6" xfId="6" applyNumberFormat="1" applyFont="1" applyFill="1" applyBorder="1" applyAlignment="1">
      <alignment horizontal="center" vertical="center" wrapText="1"/>
    </xf>
    <xf numFmtId="0" fontId="11" fillId="2" borderId="11" xfId="4" applyFont="1" applyFill="1" applyBorder="1" applyAlignment="1">
      <alignment horizontal="center" vertical="center" wrapText="1"/>
    </xf>
    <xf numFmtId="0" fontId="20" fillId="3" borderId="6" xfId="4" applyFont="1" applyFill="1" applyBorder="1" applyAlignment="1">
      <alignment horizontal="center" vertical="center" wrapText="1"/>
    </xf>
    <xf numFmtId="0" fontId="20" fillId="2" borderId="0" xfId="4" applyFont="1" applyFill="1" applyAlignment="1">
      <alignment horizontal="center" vertical="center" wrapText="1"/>
    </xf>
    <xf numFmtId="165" fontId="12" fillId="6" borderId="8" xfId="1" quotePrefix="1" applyNumberFormat="1" applyFont="1" applyFill="1" applyBorder="1" applyAlignment="1">
      <alignment horizontal="center" vertical="center" wrapText="1"/>
    </xf>
    <xf numFmtId="165" fontId="11" fillId="2" borderId="2" xfId="1" applyNumberFormat="1" applyFont="1" applyFill="1" applyBorder="1" applyAlignment="1">
      <alignment horizontal="center" vertical="center" wrapText="1"/>
    </xf>
    <xf numFmtId="165" fontId="20" fillId="2" borderId="6" xfId="1" applyNumberFormat="1" applyFont="1" applyFill="1" applyBorder="1" applyAlignment="1" applyProtection="1">
      <alignment horizontal="center" vertical="center" wrapText="1"/>
    </xf>
    <xf numFmtId="165" fontId="11" fillId="2" borderId="11" xfId="1" applyNumberFormat="1" applyFont="1" applyFill="1" applyBorder="1" applyAlignment="1">
      <alignment horizontal="center" vertical="center" wrapText="1"/>
    </xf>
    <xf numFmtId="0" fontId="20" fillId="2" borderId="0" xfId="1" applyNumberFormat="1" applyFont="1" applyFill="1" applyAlignment="1">
      <alignment horizontal="center" vertical="center" wrapText="1"/>
    </xf>
    <xf numFmtId="0" fontId="20" fillId="5" borderId="6" xfId="1" applyNumberFormat="1" applyFont="1" applyFill="1" applyBorder="1" applyAlignment="1">
      <alignment horizontal="center" vertical="center" wrapText="1"/>
    </xf>
    <xf numFmtId="0" fontId="11" fillId="2" borderId="6" xfId="1" applyNumberFormat="1" applyFont="1" applyFill="1" applyBorder="1" applyAlignment="1">
      <alignment horizontal="center" vertical="center" wrapText="1"/>
    </xf>
    <xf numFmtId="0" fontId="20" fillId="2" borderId="6" xfId="1" applyNumberFormat="1" applyFont="1" applyFill="1" applyBorder="1" applyAlignment="1">
      <alignment horizontal="center" vertical="center" wrapText="1"/>
    </xf>
    <xf numFmtId="0" fontId="14" fillId="2" borderId="6" xfId="1" applyNumberFormat="1" applyFont="1" applyFill="1" applyBorder="1" applyAlignment="1">
      <alignment horizontal="center" vertical="center" wrapText="1"/>
    </xf>
    <xf numFmtId="0" fontId="20" fillId="2" borderId="11" xfId="1" applyNumberFormat="1" applyFont="1" applyFill="1" applyBorder="1" applyAlignment="1">
      <alignment horizontal="center" vertical="center" wrapText="1"/>
    </xf>
    <xf numFmtId="0" fontId="20" fillId="3" borderId="1" xfId="1" applyNumberFormat="1" applyFont="1" applyFill="1" applyBorder="1" applyAlignment="1">
      <alignment horizontal="center" vertical="center" wrapText="1"/>
    </xf>
    <xf numFmtId="0" fontId="20" fillId="3" borderId="6" xfId="1" applyNumberFormat="1" applyFont="1" applyFill="1" applyBorder="1" applyAlignment="1">
      <alignment horizontal="center" vertical="center" wrapText="1"/>
    </xf>
    <xf numFmtId="0" fontId="20" fillId="2" borderId="15" xfId="1" applyNumberFormat="1" applyFont="1" applyFill="1" applyBorder="1" applyAlignment="1">
      <alignment horizontal="center" vertical="center" wrapText="1"/>
    </xf>
    <xf numFmtId="0" fontId="20" fillId="2" borderId="2" xfId="10" applyNumberFormat="1" applyFont="1" applyFill="1" applyBorder="1" applyAlignment="1">
      <alignment horizontal="center" vertical="center" wrapText="1"/>
    </xf>
    <xf numFmtId="0" fontId="13" fillId="2" borderId="6" xfId="0" applyNumberFormat="1" applyFont="1" applyFill="1" applyBorder="1" applyAlignment="1">
      <alignment horizontal="center" vertical="center" wrapText="1"/>
    </xf>
    <xf numFmtId="0" fontId="13" fillId="5" borderId="6" xfId="1" applyNumberFormat="1" applyFont="1" applyFill="1" applyBorder="1" applyAlignment="1">
      <alignment horizontal="center" vertical="center" wrapText="1"/>
    </xf>
    <xf numFmtId="0" fontId="12" fillId="2" borderId="6" xfId="1" applyNumberFormat="1" applyFont="1" applyFill="1" applyBorder="1" applyAlignment="1">
      <alignment horizontal="center" vertical="center" wrapText="1"/>
    </xf>
    <xf numFmtId="0" fontId="13" fillId="2" borderId="6" xfId="1" applyNumberFormat="1" applyFont="1" applyFill="1" applyBorder="1" applyAlignment="1">
      <alignment horizontal="center" vertical="center" wrapText="1"/>
    </xf>
    <xf numFmtId="0" fontId="13" fillId="2" borderId="11" xfId="1" applyNumberFormat="1" applyFont="1" applyFill="1" applyBorder="1" applyAlignment="1">
      <alignment horizontal="center" vertical="center" wrapText="1"/>
    </xf>
    <xf numFmtId="0" fontId="20" fillId="2" borderId="2" xfId="1" applyNumberFormat="1" applyFont="1" applyFill="1" applyBorder="1" applyAlignment="1">
      <alignment horizontal="center" vertical="center" wrapText="1"/>
    </xf>
    <xf numFmtId="0" fontId="12" fillId="6" borderId="8" xfId="0" quotePrefix="1" applyNumberFormat="1" applyFont="1" applyFill="1" applyBorder="1" applyAlignment="1">
      <alignment horizontal="center" vertical="center" wrapText="1"/>
    </xf>
    <xf numFmtId="0" fontId="20" fillId="2" borderId="6" xfId="5" applyFont="1" applyFill="1" applyBorder="1" applyAlignment="1">
      <alignment horizontal="center" vertical="center" wrapText="1"/>
    </xf>
    <xf numFmtId="1" fontId="20" fillId="2" borderId="2" xfId="19" applyNumberFormat="1" applyFont="1" applyFill="1" applyBorder="1" applyAlignment="1">
      <alignment horizontal="center" vertical="center" wrapText="1"/>
    </xf>
    <xf numFmtId="167" fontId="20" fillId="5" borderId="6" xfId="4" applyNumberFormat="1" applyFont="1" applyFill="1" applyBorder="1" applyAlignment="1">
      <alignment horizontal="center" vertical="center" wrapText="1"/>
    </xf>
    <xf numFmtId="0" fontId="11" fillId="2" borderId="6" xfId="19" applyNumberFormat="1" applyFont="1" applyFill="1" applyBorder="1" applyAlignment="1">
      <alignment horizontal="center" vertical="center" wrapText="1"/>
    </xf>
    <xf numFmtId="0" fontId="13" fillId="2" borderId="6" xfId="1" applyNumberFormat="1" applyFont="1" applyFill="1" applyBorder="1" applyAlignment="1" applyProtection="1">
      <alignment horizontal="center" vertical="center" wrapText="1"/>
    </xf>
    <xf numFmtId="0" fontId="12" fillId="2" borderId="6" xfId="1" applyNumberFormat="1" applyFont="1" applyFill="1" applyBorder="1" applyAlignment="1" applyProtection="1">
      <alignment horizontal="center" vertical="center" wrapText="1"/>
    </xf>
    <xf numFmtId="0" fontId="20" fillId="2" borderId="6" xfId="7" applyNumberFormat="1" applyFont="1" applyFill="1" applyBorder="1" applyAlignment="1">
      <alignment horizontal="center" vertical="center" wrapText="1"/>
    </xf>
    <xf numFmtId="0" fontId="13" fillId="2" borderId="2" xfId="0" applyNumberFormat="1" applyFont="1" applyFill="1" applyBorder="1" applyAlignment="1">
      <alignment horizontal="center" vertical="center" wrapText="1"/>
    </xf>
    <xf numFmtId="0" fontId="13" fillId="2" borderId="6" xfId="64" applyFont="1" applyFill="1" applyBorder="1" applyAlignment="1">
      <alignment horizontal="center" vertical="center" wrapText="1"/>
    </xf>
    <xf numFmtId="0" fontId="13" fillId="2" borderId="6" xfId="65" applyFont="1" applyFill="1" applyBorder="1" applyAlignment="1">
      <alignment horizontal="center" vertical="center" wrapText="1"/>
    </xf>
    <xf numFmtId="0" fontId="13" fillId="2" borderId="2" xfId="65" applyFont="1" applyFill="1" applyBorder="1" applyAlignment="1">
      <alignment horizontal="center" vertical="center" wrapText="1"/>
    </xf>
    <xf numFmtId="0" fontId="20" fillId="2" borderId="11" xfId="4" applyFont="1" applyFill="1" applyBorder="1" applyAlignment="1">
      <alignment vertical="center" wrapText="1"/>
    </xf>
    <xf numFmtId="0" fontId="20" fillId="2" borderId="11" xfId="4" applyFont="1" applyFill="1" applyBorder="1" applyAlignment="1">
      <alignment horizontal="center" vertical="center" wrapText="1"/>
    </xf>
    <xf numFmtId="0" fontId="20" fillId="7" borderId="6" xfId="4" applyFont="1" applyFill="1" applyBorder="1" applyAlignment="1">
      <alignment horizontal="center" vertical="center" wrapText="1"/>
    </xf>
    <xf numFmtId="0" fontId="20" fillId="7" borderId="6" xfId="1" applyNumberFormat="1" applyFont="1" applyFill="1" applyBorder="1" applyAlignment="1">
      <alignment horizontal="center" vertical="center" wrapText="1"/>
    </xf>
    <xf numFmtId="0" fontId="11" fillId="7" borderId="2" xfId="1" applyNumberFormat="1" applyFont="1" applyFill="1" applyBorder="1" applyAlignment="1">
      <alignment horizontal="center" vertical="center" wrapText="1"/>
    </xf>
    <xf numFmtId="0" fontId="11" fillId="7" borderId="18" xfId="4" applyFont="1" applyFill="1" applyBorder="1" applyAlignment="1">
      <alignment vertical="center" wrapText="1"/>
    </xf>
    <xf numFmtId="0" fontId="11" fillId="7" borderId="3" xfId="4" applyFont="1" applyFill="1" applyBorder="1" applyAlignment="1">
      <alignment horizontal="center" vertical="center" wrapText="1"/>
    </xf>
    <xf numFmtId="0" fontId="11" fillId="7" borderId="3" xfId="1" applyNumberFormat="1" applyFont="1" applyFill="1" applyBorder="1" applyAlignment="1">
      <alignment horizontal="center" vertical="center" wrapText="1"/>
    </xf>
    <xf numFmtId="165" fontId="11" fillId="7" borderId="3" xfId="1" applyNumberFormat="1" applyFont="1" applyFill="1" applyBorder="1" applyAlignment="1">
      <alignment horizontal="center" vertical="center" wrapText="1"/>
    </xf>
    <xf numFmtId="0" fontId="11" fillId="7" borderId="6" xfId="4" applyFont="1" applyFill="1" applyBorder="1" applyAlignment="1">
      <alignment vertical="center" wrapText="1"/>
    </xf>
    <xf numFmtId="0" fontId="11" fillId="7" borderId="6" xfId="1" applyNumberFormat="1" applyFont="1" applyFill="1" applyBorder="1" applyAlignment="1">
      <alignment horizontal="center" vertical="center" wrapText="1"/>
    </xf>
    <xf numFmtId="0" fontId="11" fillId="7" borderId="1" xfId="1" applyNumberFormat="1" applyFont="1" applyFill="1" applyBorder="1" applyAlignment="1">
      <alignment horizontal="center" vertical="center" wrapText="1"/>
    </xf>
    <xf numFmtId="0" fontId="11" fillId="7" borderId="1" xfId="4" applyFont="1" applyFill="1" applyBorder="1" applyAlignment="1">
      <alignment vertical="center" wrapText="1"/>
    </xf>
    <xf numFmtId="0" fontId="11" fillId="7" borderId="1" xfId="4" applyFont="1" applyFill="1" applyBorder="1" applyAlignment="1">
      <alignment horizontal="center" vertical="center" wrapText="1"/>
    </xf>
    <xf numFmtId="165" fontId="11" fillId="7" borderId="1" xfId="1" applyNumberFormat="1" applyFont="1" applyFill="1" applyBorder="1" applyAlignment="1">
      <alignment horizontal="center" vertical="center" wrapText="1"/>
    </xf>
    <xf numFmtId="165" fontId="11" fillId="2" borderId="0" xfId="2" applyNumberFormat="1" applyFont="1" applyFill="1" applyBorder="1" applyAlignment="1" applyProtection="1">
      <alignment horizontal="center" vertical="center"/>
    </xf>
    <xf numFmtId="49" fontId="12" fillId="2" borderId="6" xfId="21" applyNumberFormat="1" applyFont="1" applyFill="1" applyBorder="1" applyAlignment="1">
      <alignment horizontal="center" vertical="center" wrapText="1"/>
    </xf>
    <xf numFmtId="49" fontId="13" fillId="2" borderId="6" xfId="21" applyNumberFormat="1" applyFont="1" applyFill="1" applyBorder="1" applyAlignment="1">
      <alignment horizontal="center" vertical="center" wrapText="1"/>
    </xf>
    <xf numFmtId="165" fontId="11" fillId="2" borderId="0" xfId="2" applyNumberFormat="1" applyFont="1" applyFill="1" applyBorder="1" applyAlignment="1" applyProtection="1">
      <alignment horizontal="left" vertical="center" wrapText="1"/>
    </xf>
    <xf numFmtId="0" fontId="13" fillId="2" borderId="4" xfId="20" applyFont="1" applyFill="1" applyBorder="1" applyAlignment="1">
      <alignment horizontal="center" vertical="center" wrapText="1"/>
    </xf>
    <xf numFmtId="167" fontId="20" fillId="2" borderId="6" xfId="4" applyNumberFormat="1" applyFont="1" applyFill="1" applyBorder="1" applyAlignment="1">
      <alignment horizontal="center" vertical="center" wrapText="1"/>
    </xf>
    <xf numFmtId="0" fontId="31" fillId="0" borderId="0" xfId="35" applyFont="1" applyAlignment="1">
      <alignment vertical="center" wrapText="1"/>
    </xf>
    <xf numFmtId="0" fontId="32" fillId="0" borderId="0" xfId="36" applyFont="1"/>
    <xf numFmtId="0" fontId="33" fillId="0" borderId="0" xfId="36" applyFont="1" applyAlignment="1" applyProtection="1">
      <alignment horizontal="center" vertical="center"/>
      <protection locked="0"/>
    </xf>
    <xf numFmtId="0" fontId="18" fillId="0" borderId="0" xfId="36" applyFont="1" applyAlignment="1" applyProtection="1">
      <alignment horizontal="centerContinuous" vertical="center" wrapText="1"/>
      <protection locked="0"/>
    </xf>
    <xf numFmtId="0" fontId="18" fillId="0" borderId="0" xfId="36" applyFont="1" applyAlignment="1">
      <alignment horizontal="center" vertical="center" wrapText="1"/>
    </xf>
    <xf numFmtId="0" fontId="12" fillId="10" borderId="1" xfId="36" applyFont="1" applyFill="1" applyBorder="1" applyAlignment="1" applyProtection="1">
      <alignment horizontal="center" vertical="center" wrapText="1"/>
      <protection locked="0"/>
    </xf>
    <xf numFmtId="165" fontId="11" fillId="10" borderId="1" xfId="37" applyNumberFormat="1" applyFont="1" applyFill="1" applyBorder="1" applyAlignment="1">
      <alignment vertical="center" wrapText="1"/>
    </xf>
    <xf numFmtId="0" fontId="11" fillId="10" borderId="1" xfId="36" applyFont="1" applyFill="1" applyBorder="1" applyAlignment="1">
      <alignment horizontal="center" vertical="center" wrapText="1"/>
    </xf>
    <xf numFmtId="0" fontId="20" fillId="0" borderId="1" xfId="36" applyFont="1" applyBorder="1" applyAlignment="1">
      <alignment horizontal="center" vertical="center" wrapText="1"/>
    </xf>
    <xf numFmtId="0" fontId="20" fillId="0" borderId="1" xfId="36" applyFont="1" applyBorder="1" applyAlignment="1">
      <alignment horizontal="left" vertical="center" wrapText="1"/>
    </xf>
    <xf numFmtId="165" fontId="20" fillId="0" borderId="1" xfId="37" applyNumberFormat="1" applyFont="1" applyFill="1" applyBorder="1" applyAlignment="1">
      <alignment horizontal="left" vertical="center" wrapText="1"/>
    </xf>
    <xf numFmtId="0" fontId="32" fillId="0" borderId="0" xfId="37" applyNumberFormat="1" applyFont="1" applyAlignment="1">
      <alignment horizontal="center" vertical="center" wrapText="1"/>
    </xf>
    <xf numFmtId="0" fontId="32" fillId="0" borderId="0" xfId="36" applyFont="1" applyAlignment="1">
      <alignment horizontal="center" vertical="center"/>
    </xf>
    <xf numFmtId="0" fontId="32" fillId="0" borderId="0" xfId="36" applyFont="1" applyAlignment="1">
      <alignment vertical="center" wrapText="1"/>
    </xf>
    <xf numFmtId="166" fontId="20" fillId="0" borderId="0" xfId="0" applyFont="1" applyAlignment="1">
      <alignment vertical="center" wrapText="1"/>
    </xf>
    <xf numFmtId="166" fontId="11" fillId="0" borderId="0" xfId="0" applyFont="1" applyAlignment="1">
      <alignment horizontal="center" vertical="center" wrapText="1"/>
    </xf>
    <xf numFmtId="166" fontId="11" fillId="9" borderId="1" xfId="0" applyFont="1" applyFill="1" applyBorder="1" applyAlignment="1">
      <alignment horizontal="center" vertical="center" wrapText="1"/>
    </xf>
    <xf numFmtId="166" fontId="11" fillId="9" borderId="1" xfId="0" applyFont="1" applyFill="1" applyBorder="1" applyAlignment="1">
      <alignment horizontal="left" vertical="center" wrapText="1"/>
    </xf>
    <xf numFmtId="166" fontId="20" fillId="0" borderId="1" xfId="0" applyFont="1" applyBorder="1" applyAlignment="1">
      <alignment horizontal="center" vertical="center" wrapText="1"/>
    </xf>
    <xf numFmtId="166" fontId="20" fillId="0" borderId="1" xfId="0" applyFont="1" applyBorder="1" applyAlignment="1">
      <alignment horizontal="left" vertical="center" wrapText="1"/>
    </xf>
    <xf numFmtId="165" fontId="11" fillId="0" borderId="0" xfId="1" applyNumberFormat="1" applyFont="1" applyAlignment="1">
      <alignment horizontal="center" vertical="center" wrapText="1"/>
    </xf>
    <xf numFmtId="166" fontId="20" fillId="0" borderId="0" xfId="0" applyFont="1" applyAlignment="1">
      <alignment horizontal="center" vertical="center" wrapText="1"/>
    </xf>
    <xf numFmtId="166" fontId="20" fillId="9" borderId="1" xfId="0" applyFont="1" applyFill="1" applyBorder="1" applyAlignment="1">
      <alignment horizontal="center" vertical="center" wrapText="1"/>
    </xf>
    <xf numFmtId="166" fontId="20" fillId="0" borderId="0" xfId="0" applyFont="1" applyAlignment="1">
      <alignment horizontal="center"/>
    </xf>
    <xf numFmtId="0" fontId="12" fillId="6" borderId="1" xfId="1" quotePrefix="1" applyNumberFormat="1" applyFont="1" applyFill="1" applyBorder="1" applyAlignment="1">
      <alignment horizontal="center" vertical="center" wrapText="1"/>
    </xf>
    <xf numFmtId="49" fontId="13" fillId="2" borderId="11" xfId="9" applyNumberFormat="1" applyFont="1" applyFill="1" applyBorder="1" applyAlignment="1">
      <alignment horizontal="center" vertical="center" wrapText="1"/>
    </xf>
    <xf numFmtId="166" fontId="11" fillId="7" borderId="0" xfId="0" applyFont="1" applyFill="1" applyAlignment="1">
      <alignment horizontal="center" vertical="center" wrapText="1"/>
    </xf>
    <xf numFmtId="166" fontId="11" fillId="2" borderId="0" xfId="0" applyFont="1" applyFill="1" applyAlignment="1">
      <alignment vertical="center" wrapText="1"/>
    </xf>
    <xf numFmtId="166" fontId="11" fillId="7" borderId="1" xfId="0" applyFont="1" applyFill="1" applyBorder="1" applyAlignment="1">
      <alignment horizontal="center" vertical="center" wrapText="1"/>
    </xf>
    <xf numFmtId="165" fontId="11" fillId="2" borderId="0" xfId="25" applyNumberFormat="1" applyFont="1" applyFill="1" applyBorder="1" applyAlignment="1" applyProtection="1">
      <alignment vertical="center"/>
    </xf>
    <xf numFmtId="0" fontId="12" fillId="2" borderId="0" xfId="26" applyFont="1" applyFill="1" applyAlignment="1">
      <alignment horizontal="centerContinuous" vertical="center" wrapText="1"/>
    </xf>
    <xf numFmtId="0" fontId="9" fillId="2" borderId="0" xfId="26" applyFont="1" applyFill="1" applyAlignment="1">
      <alignment vertical="center" wrapText="1"/>
    </xf>
    <xf numFmtId="165" fontId="11" fillId="2" borderId="0" xfId="25" applyNumberFormat="1" applyFont="1" applyFill="1" applyBorder="1" applyAlignment="1" applyProtection="1">
      <alignment horizontal="left" vertical="center" wrapText="1"/>
    </xf>
    <xf numFmtId="1" fontId="12" fillId="6" borderId="1" xfId="28" applyNumberFormat="1" applyFont="1" applyFill="1" applyBorder="1" applyAlignment="1">
      <alignment horizontal="center" vertical="center" wrapText="1"/>
    </xf>
    <xf numFmtId="0" fontId="12" fillId="2" borderId="6" xfId="26" applyFont="1" applyFill="1" applyBorder="1" applyAlignment="1">
      <alignment horizontal="center" vertical="center" wrapText="1"/>
    </xf>
    <xf numFmtId="0" fontId="13" fillId="2" borderId="6" xfId="26" applyFont="1" applyFill="1" applyBorder="1" applyAlignment="1">
      <alignment horizontal="center" vertical="center" wrapText="1"/>
    </xf>
    <xf numFmtId="165" fontId="9" fillId="2" borderId="0" xfId="27" applyNumberFormat="1" applyFont="1" applyFill="1" applyAlignment="1">
      <alignment vertical="center" wrapText="1"/>
    </xf>
    <xf numFmtId="0" fontId="13" fillId="2" borderId="0" xfId="26" applyFont="1" applyFill="1" applyAlignment="1">
      <alignment vertical="center" wrapText="1"/>
    </xf>
    <xf numFmtId="0" fontId="11" fillId="6" borderId="8" xfId="1" applyNumberFormat="1" applyFont="1" applyFill="1" applyBorder="1" applyAlignment="1">
      <alignment horizontal="center" vertical="center" wrapText="1"/>
    </xf>
    <xf numFmtId="0" fontId="12" fillId="6" borderId="1" xfId="28" applyNumberFormat="1" applyFont="1" applyFill="1" applyBorder="1" applyAlignment="1">
      <alignment horizontal="center" vertical="center" wrapText="1"/>
    </xf>
    <xf numFmtId="0" fontId="9" fillId="2" borderId="0" xfId="26" applyFont="1" applyFill="1" applyAlignment="1">
      <alignment horizontal="center" vertical="center" wrapText="1"/>
    </xf>
    <xf numFmtId="0" fontId="9" fillId="2" borderId="6" xfId="26" applyFont="1" applyFill="1" applyBorder="1" applyAlignment="1">
      <alignment horizontal="center" vertical="center" wrapText="1"/>
    </xf>
    <xf numFmtId="164" fontId="13" fillId="2" borderId="6" xfId="26" applyNumberFormat="1" applyFont="1" applyFill="1" applyBorder="1" applyAlignment="1">
      <alignment horizontal="center" vertical="center" wrapText="1"/>
    </xf>
    <xf numFmtId="0" fontId="19" fillId="2" borderId="0" xfId="26" applyFont="1" applyFill="1" applyAlignment="1">
      <alignment vertical="center" wrapText="1"/>
    </xf>
    <xf numFmtId="0" fontId="13" fillId="2" borderId="11" xfId="26" applyFont="1" applyFill="1" applyBorder="1" applyAlignment="1">
      <alignment horizontal="center" vertical="center" wrapText="1"/>
    </xf>
    <xf numFmtId="0" fontId="13" fillId="2" borderId="11" xfId="29" applyFont="1" applyFill="1" applyBorder="1" applyAlignment="1">
      <alignment vertical="center" wrapText="1"/>
    </xf>
    <xf numFmtId="0" fontId="13" fillId="2" borderId="11" xfId="29" applyFont="1" applyFill="1" applyBorder="1" applyAlignment="1">
      <alignment horizontal="center" vertical="center" wrapText="1"/>
    </xf>
    <xf numFmtId="0" fontId="13" fillId="2" borderId="2" xfId="9" applyFont="1" applyFill="1" applyBorder="1" applyAlignment="1">
      <alignment horizontal="center" vertical="center" wrapText="1"/>
    </xf>
    <xf numFmtId="0" fontId="13" fillId="2" borderId="2" xfId="22" applyFont="1" applyFill="1" applyBorder="1" applyAlignment="1">
      <alignment horizontal="left" vertical="center" wrapText="1"/>
    </xf>
    <xf numFmtId="49" fontId="13" fillId="2" borderId="2" xfId="9" applyNumberFormat="1" applyFont="1" applyFill="1" applyBorder="1" applyAlignment="1">
      <alignment horizontal="center" vertical="center" wrapText="1"/>
    </xf>
    <xf numFmtId="0" fontId="13" fillId="2" borderId="2" xfId="1" applyNumberFormat="1" applyFont="1" applyFill="1" applyBorder="1" applyAlignment="1">
      <alignment horizontal="center" vertical="center" wrapText="1"/>
    </xf>
    <xf numFmtId="0" fontId="20" fillId="2" borderId="2" xfId="33" applyFont="1" applyFill="1" applyBorder="1" applyAlignment="1">
      <alignment horizontal="center" vertical="center" wrapText="1"/>
    </xf>
    <xf numFmtId="0" fontId="11" fillId="7" borderId="6" xfId="5" applyFont="1" applyFill="1" applyBorder="1" applyAlignment="1">
      <alignment horizontal="center" vertical="center" wrapText="1"/>
    </xf>
    <xf numFmtId="164" fontId="11" fillId="7" borderId="6" xfId="5" applyNumberFormat="1" applyFont="1" applyFill="1" applyBorder="1" applyAlignment="1">
      <alignment horizontal="left" vertical="center" wrapText="1"/>
    </xf>
    <xf numFmtId="166" fontId="11" fillId="7" borderId="6" xfId="0" applyFont="1" applyFill="1" applyBorder="1" applyAlignment="1">
      <alignment horizontal="center" vertical="center" wrapText="1"/>
    </xf>
    <xf numFmtId="0" fontId="17" fillId="6" borderId="8" xfId="4" applyFont="1" applyFill="1" applyBorder="1" applyAlignment="1">
      <alignment horizontal="center" vertical="center" wrapText="1"/>
    </xf>
    <xf numFmtId="0" fontId="12" fillId="6" borderId="16" xfId="30" applyFont="1" applyFill="1" applyBorder="1" applyAlignment="1">
      <alignment horizontal="center" vertical="center" wrapText="1"/>
    </xf>
    <xf numFmtId="167" fontId="12" fillId="2" borderId="6" xfId="30" applyNumberFormat="1" applyFont="1" applyFill="1" applyBorder="1" applyAlignment="1">
      <alignment horizontal="center" vertical="center" wrapText="1"/>
    </xf>
    <xf numFmtId="0" fontId="13" fillId="2" borderId="6" xfId="30" quotePrefix="1" applyFont="1" applyFill="1" applyBorder="1" applyAlignment="1">
      <alignment horizontal="center" vertical="center" wrapText="1"/>
    </xf>
    <xf numFmtId="165" fontId="11" fillId="2" borderId="0" xfId="2" applyNumberFormat="1" applyFont="1" applyFill="1" applyBorder="1" applyAlignment="1" applyProtection="1">
      <alignment horizontal="center" vertical="center" wrapText="1"/>
    </xf>
    <xf numFmtId="1" fontId="20" fillId="2" borderId="0" xfId="3" applyNumberFormat="1" applyFont="1" applyFill="1" applyAlignment="1">
      <alignment horizontal="center" vertical="center" wrapText="1"/>
    </xf>
    <xf numFmtId="0" fontId="19" fillId="7" borderId="3" xfId="20" applyFont="1" applyFill="1" applyBorder="1" applyAlignment="1">
      <alignment horizontal="center" vertical="center" wrapText="1"/>
    </xf>
    <xf numFmtId="165" fontId="19" fillId="8" borderId="3" xfId="1" applyNumberFormat="1" applyFont="1" applyFill="1" applyBorder="1" applyAlignment="1">
      <alignment horizontal="center" vertical="center" wrapText="1"/>
    </xf>
    <xf numFmtId="0" fontId="11" fillId="7" borderId="3" xfId="9" applyFont="1" applyFill="1" applyBorder="1" applyAlignment="1">
      <alignment horizontal="center" vertical="center" wrapText="1"/>
    </xf>
    <xf numFmtId="165" fontId="19" fillId="4" borderId="6" xfId="1" applyNumberFormat="1" applyFont="1" applyFill="1" applyBorder="1" applyAlignment="1">
      <alignment horizontal="center" vertical="center" wrapText="1"/>
    </xf>
    <xf numFmtId="165" fontId="19" fillId="8" borderId="6" xfId="1" applyNumberFormat="1" applyFont="1" applyFill="1" applyBorder="1" applyAlignment="1">
      <alignment horizontal="center" vertical="center" wrapText="1"/>
    </xf>
    <xf numFmtId="0" fontId="13" fillId="2" borderId="0" xfId="30" applyFont="1" applyFill="1" applyAlignment="1">
      <alignment horizontal="center" vertical="center" wrapText="1"/>
    </xf>
    <xf numFmtId="2" fontId="11" fillId="7" borderId="6" xfId="9" applyNumberFormat="1" applyFont="1" applyFill="1" applyBorder="1" applyAlignment="1">
      <alignment horizontal="center" vertical="center" wrapText="1"/>
    </xf>
    <xf numFmtId="167" fontId="11" fillId="7" borderId="6" xfId="9" applyNumberFormat="1" applyFont="1" applyFill="1" applyBorder="1" applyAlignment="1">
      <alignment horizontal="center" vertical="center" wrapText="1"/>
    </xf>
    <xf numFmtId="165" fontId="17" fillId="6" borderId="1" xfId="1" applyNumberFormat="1" applyFont="1" applyFill="1" applyBorder="1" applyAlignment="1">
      <alignment horizontal="center" vertical="center" wrapText="1"/>
    </xf>
    <xf numFmtId="0" fontId="13" fillId="6" borderId="8" xfId="4" applyFont="1" applyFill="1" applyBorder="1" applyAlignment="1">
      <alignment horizontal="center" vertical="center" wrapText="1"/>
    </xf>
    <xf numFmtId="0" fontId="19" fillId="2" borderId="0" xfId="20" applyFont="1" applyFill="1" applyAlignment="1">
      <alignment vertical="center" wrapText="1"/>
    </xf>
    <xf numFmtId="164" fontId="11" fillId="5" borderId="6" xfId="5" applyNumberFormat="1" applyFont="1" applyFill="1" applyBorder="1" applyAlignment="1">
      <alignment horizontal="left" vertical="center" wrapText="1"/>
    </xf>
    <xf numFmtId="0" fontId="9" fillId="5" borderId="6" xfId="20" applyFont="1" applyFill="1" applyBorder="1" applyAlignment="1">
      <alignment horizontal="center" vertical="center" wrapText="1"/>
    </xf>
    <xf numFmtId="0" fontId="9" fillId="5" borderId="6" xfId="20" applyFont="1" applyFill="1" applyBorder="1" applyAlignment="1">
      <alignment vertical="center" wrapText="1"/>
    </xf>
    <xf numFmtId="0" fontId="9" fillId="2" borderId="0" xfId="20" applyFont="1" applyFill="1" applyAlignment="1">
      <alignment vertical="center" wrapText="1"/>
    </xf>
    <xf numFmtId="1" fontId="13" fillId="2" borderId="6" xfId="4" applyNumberFormat="1" applyFont="1" applyFill="1" applyBorder="1" applyAlignment="1">
      <alignment horizontal="center" vertical="center" wrapText="1"/>
    </xf>
    <xf numFmtId="0" fontId="13" fillId="2" borderId="21" xfId="4" applyFont="1" applyFill="1" applyBorder="1" applyAlignment="1">
      <alignment horizontal="center" vertical="center" wrapText="1"/>
    </xf>
    <xf numFmtId="1" fontId="11" fillId="2" borderId="6" xfId="5" applyNumberFormat="1" applyFont="1" applyFill="1" applyBorder="1" applyAlignment="1">
      <alignment horizontal="left" vertical="center" wrapText="1"/>
    </xf>
    <xf numFmtId="167" fontId="20" fillId="2" borderId="6" xfId="5" applyNumberFormat="1" applyFont="1" applyFill="1" applyBorder="1" applyAlignment="1">
      <alignment horizontal="center" vertical="center" wrapText="1"/>
    </xf>
    <xf numFmtId="167" fontId="20" fillId="2" borderId="6" xfId="0" applyNumberFormat="1" applyFont="1" applyFill="1" applyBorder="1" applyAlignment="1">
      <alignment horizontal="center" vertical="center" wrapText="1"/>
    </xf>
    <xf numFmtId="0" fontId="12" fillId="5" borderId="21" xfId="4" applyFont="1" applyFill="1" applyBorder="1" applyAlignment="1">
      <alignment horizontal="center" vertical="center" wrapText="1"/>
    </xf>
    <xf numFmtId="0" fontId="12" fillId="5" borderId="6" xfId="4" applyFont="1" applyFill="1" applyBorder="1" applyAlignment="1">
      <alignment vertical="center" wrapText="1"/>
    </xf>
    <xf numFmtId="167" fontId="20" fillId="5" borderId="6" xfId="0" applyNumberFormat="1" applyFont="1" applyFill="1" applyBorder="1" applyAlignment="1">
      <alignment horizontal="center" vertical="center" wrapText="1"/>
    </xf>
    <xf numFmtId="0" fontId="12" fillId="5" borderId="6" xfId="4" applyFont="1" applyFill="1" applyBorder="1" applyAlignment="1">
      <alignment horizontal="center" vertical="center" wrapText="1"/>
    </xf>
    <xf numFmtId="0" fontId="13" fillId="2" borderId="21" xfId="4" applyFont="1" applyFill="1" applyBorder="1" applyAlignment="1">
      <alignment vertical="center" wrapText="1"/>
    </xf>
    <xf numFmtId="2" fontId="20" fillId="5" borderId="6" xfId="0" applyNumberFormat="1" applyFont="1" applyFill="1" applyBorder="1" applyAlignment="1">
      <alignment horizontal="center" vertical="center" wrapText="1"/>
    </xf>
    <xf numFmtId="0" fontId="20" fillId="2" borderId="6" xfId="1" applyNumberFormat="1" applyFont="1" applyFill="1" applyBorder="1" applyAlignment="1">
      <alignment horizontal="left" vertical="center" wrapText="1"/>
    </xf>
    <xf numFmtId="0" fontId="19" fillId="8" borderId="6" xfId="1" applyNumberFormat="1" applyFont="1" applyFill="1" applyBorder="1" applyAlignment="1">
      <alignment horizontal="center" vertical="center" wrapText="1"/>
    </xf>
    <xf numFmtId="165" fontId="14" fillId="2" borderId="6" xfId="16" applyNumberFormat="1" applyFont="1" applyFill="1" applyBorder="1" applyAlignment="1">
      <alignment horizontal="center" vertical="center" wrapText="1"/>
    </xf>
    <xf numFmtId="0" fontId="11" fillId="5" borderId="6" xfId="1" applyNumberFormat="1" applyFont="1" applyFill="1" applyBorder="1" applyAlignment="1">
      <alignment horizontal="center" vertical="center" wrapText="1"/>
    </xf>
    <xf numFmtId="0" fontId="13" fillId="2" borderId="25" xfId="4" applyFont="1" applyFill="1" applyBorder="1" applyAlignment="1">
      <alignment vertical="center" wrapText="1"/>
    </xf>
    <xf numFmtId="167" fontId="20" fillId="2" borderId="11" xfId="9" applyNumberFormat="1" applyFont="1" applyFill="1" applyBorder="1" applyAlignment="1">
      <alignment horizontal="center" vertical="center" wrapText="1"/>
    </xf>
    <xf numFmtId="3" fontId="20" fillId="2" borderId="11" xfId="4" applyNumberFormat="1" applyFont="1" applyFill="1" applyBorder="1" applyAlignment="1">
      <alignment horizontal="center" vertical="center" wrapText="1"/>
    </xf>
    <xf numFmtId="0" fontId="13" fillId="2" borderId="11" xfId="30" applyFont="1" applyFill="1" applyBorder="1" applyAlignment="1">
      <alignment horizontal="left" vertical="center" wrapText="1"/>
    </xf>
    <xf numFmtId="0" fontId="13" fillId="2" borderId="11" xfId="30" applyFont="1" applyFill="1" applyBorder="1" applyAlignment="1">
      <alignment horizontal="center" vertical="center" wrapText="1"/>
    </xf>
    <xf numFmtId="2" fontId="20" fillId="2" borderId="11" xfId="9" applyNumberFormat="1" applyFont="1" applyFill="1" applyBorder="1" applyAlignment="1">
      <alignment horizontal="center" vertical="center" wrapText="1"/>
    </xf>
    <xf numFmtId="0" fontId="13" fillId="2" borderId="11" xfId="30" quotePrefix="1" applyFont="1" applyFill="1" applyBorder="1" applyAlignment="1">
      <alignment horizontal="center" vertical="center" wrapText="1"/>
    </xf>
    <xf numFmtId="0" fontId="14" fillId="2" borderId="11" xfId="30" applyFont="1" applyFill="1" applyBorder="1" applyAlignment="1">
      <alignment horizontal="center" vertical="center" wrapText="1"/>
    </xf>
    <xf numFmtId="0" fontId="19" fillId="8" borderId="1" xfId="1" applyNumberFormat="1" applyFont="1" applyFill="1" applyBorder="1" applyAlignment="1">
      <alignment horizontal="center" vertical="center" wrapText="1"/>
    </xf>
    <xf numFmtId="165" fontId="19" fillId="8" borderId="1" xfId="1" applyNumberFormat="1" applyFont="1" applyFill="1" applyBorder="1" applyAlignment="1">
      <alignment horizontal="center" vertical="center" wrapText="1"/>
    </xf>
    <xf numFmtId="2" fontId="11" fillId="7" borderId="1" xfId="9" applyNumberFormat="1" applyFont="1" applyFill="1" applyBorder="1" applyAlignment="1">
      <alignment horizontal="center" vertical="center" wrapText="1"/>
    </xf>
    <xf numFmtId="167" fontId="11" fillId="7" borderId="1" xfId="9" applyNumberFormat="1" applyFont="1" applyFill="1" applyBorder="1" applyAlignment="1">
      <alignment horizontal="center" vertical="center" wrapText="1"/>
    </xf>
    <xf numFmtId="165" fontId="19" fillId="8" borderId="1" xfId="1" applyNumberFormat="1" applyFont="1" applyFill="1" applyBorder="1" applyAlignment="1">
      <alignment vertical="center" wrapText="1"/>
    </xf>
    <xf numFmtId="165" fontId="19" fillId="8" borderId="2" xfId="1" applyNumberFormat="1" applyFont="1" applyFill="1" applyBorder="1" applyAlignment="1">
      <alignment horizontal="center" vertical="center" wrapText="1"/>
    </xf>
    <xf numFmtId="165" fontId="11" fillId="0" borderId="1" xfId="1" applyNumberFormat="1" applyFont="1" applyBorder="1" applyAlignment="1">
      <alignment horizontal="center" vertical="center" wrapText="1"/>
    </xf>
    <xf numFmtId="165" fontId="17" fillId="9" borderId="1" xfId="1" applyNumberFormat="1" applyFont="1" applyFill="1" applyBorder="1" applyAlignment="1">
      <alignment horizontal="center" vertical="center" wrapText="1"/>
    </xf>
    <xf numFmtId="165" fontId="17" fillId="0" borderId="1" xfId="1" applyNumberFormat="1" applyFont="1" applyBorder="1" applyAlignment="1">
      <alignment horizontal="center" vertical="center" wrapText="1"/>
    </xf>
    <xf numFmtId="165" fontId="11" fillId="9" borderId="1" xfId="1" applyNumberFormat="1" applyFont="1" applyFill="1" applyBorder="1" applyAlignment="1">
      <alignment horizontal="center" vertical="center" wrapText="1"/>
    </xf>
    <xf numFmtId="165" fontId="11" fillId="0" borderId="0" xfId="1" applyNumberFormat="1" applyFont="1" applyAlignment="1">
      <alignment horizontal="center"/>
    </xf>
    <xf numFmtId="165" fontId="17" fillId="0" borderId="0" xfId="1" applyNumberFormat="1" applyFont="1" applyAlignment="1">
      <alignment horizontal="center" vertical="center" wrapText="1"/>
    </xf>
    <xf numFmtId="165" fontId="17" fillId="0" borderId="0" xfId="1" applyNumberFormat="1" applyFont="1" applyAlignment="1">
      <alignment horizontal="center"/>
    </xf>
    <xf numFmtId="166" fontId="14" fillId="2" borderId="6" xfId="0" applyFont="1" applyFill="1" applyBorder="1" applyAlignment="1">
      <alignment horizontal="center" vertical="center" wrapText="1"/>
    </xf>
    <xf numFmtId="0" fontId="11" fillId="3" borderId="6" xfId="1" applyNumberFormat="1" applyFont="1" applyFill="1" applyBorder="1" applyAlignment="1">
      <alignment horizontal="center" vertical="center" wrapText="1"/>
    </xf>
    <xf numFmtId="0" fontId="17" fillId="2" borderId="6" xfId="1" applyNumberFormat="1" applyFont="1" applyFill="1" applyBorder="1" applyAlignment="1">
      <alignment horizontal="center" vertical="center" wrapText="1"/>
    </xf>
    <xf numFmtId="0" fontId="27" fillId="2" borderId="6" xfId="1" applyNumberFormat="1" applyFont="1" applyFill="1" applyBorder="1" applyAlignment="1">
      <alignment horizontal="center" vertical="center" wrapText="1"/>
    </xf>
    <xf numFmtId="0" fontId="28" fillId="2" borderId="6" xfId="1" applyNumberFormat="1" applyFont="1" applyFill="1" applyBorder="1" applyAlignment="1">
      <alignment horizontal="center" vertical="center" wrapText="1"/>
    </xf>
    <xf numFmtId="0" fontId="14" fillId="0" borderId="6" xfId="1" applyNumberFormat="1" applyFont="1" applyFill="1" applyBorder="1" applyAlignment="1">
      <alignment horizontal="center" vertical="center" wrapText="1"/>
    </xf>
    <xf numFmtId="0" fontId="20" fillId="6" borderId="6" xfId="1" applyNumberFormat="1" applyFont="1" applyFill="1" applyBorder="1" applyAlignment="1">
      <alignment horizontal="center" vertical="center" wrapText="1"/>
    </xf>
    <xf numFmtId="3" fontId="14" fillId="2" borderId="11" xfId="23" applyNumberFormat="1" applyFont="1" applyFill="1" applyBorder="1" applyAlignment="1">
      <alignment vertical="center" wrapText="1"/>
    </xf>
    <xf numFmtId="3" fontId="14" fillId="2" borderId="11" xfId="23" applyNumberFormat="1" applyFont="1" applyFill="1" applyBorder="1" applyAlignment="1">
      <alignment horizontal="left" vertical="center" wrapText="1"/>
    </xf>
    <xf numFmtId="0" fontId="14" fillId="2" borderId="11" xfId="1" applyNumberFormat="1" applyFont="1" applyFill="1" applyBorder="1" applyAlignment="1">
      <alignment horizontal="center" vertical="center" wrapText="1"/>
    </xf>
    <xf numFmtId="0" fontId="14" fillId="2" borderId="11" xfId="9" applyFont="1" applyFill="1" applyBorder="1" applyAlignment="1">
      <alignment horizontal="center" vertical="center" wrapText="1"/>
    </xf>
    <xf numFmtId="167" fontId="20" fillId="3" borderId="6" xfId="4" applyNumberFormat="1" applyFont="1" applyFill="1" applyBorder="1" applyAlignment="1">
      <alignment horizontal="center" vertical="center" wrapText="1"/>
    </xf>
    <xf numFmtId="0" fontId="11" fillId="3" borderId="6" xfId="33" applyFont="1" applyFill="1" applyBorder="1" applyAlignment="1">
      <alignment horizontal="center" vertical="center" wrapText="1"/>
    </xf>
    <xf numFmtId="165" fontId="17" fillId="2" borderId="6" xfId="8" applyNumberFormat="1" applyFont="1" applyFill="1" applyBorder="1" applyAlignment="1">
      <alignment horizontal="center" vertical="center" wrapText="1"/>
    </xf>
    <xf numFmtId="0" fontId="14" fillId="0" borderId="6" xfId="4" applyFont="1" applyBorder="1" applyAlignment="1">
      <alignment horizontal="center" vertical="center" wrapText="1"/>
    </xf>
    <xf numFmtId="165" fontId="14" fillId="2" borderId="6" xfId="6" applyNumberFormat="1" applyFont="1" applyFill="1" applyBorder="1" applyAlignment="1">
      <alignment horizontal="center" vertical="center" wrapText="1"/>
    </xf>
    <xf numFmtId="3" fontId="14" fillId="2" borderId="6" xfId="4" applyNumberFormat="1" applyFont="1" applyFill="1" applyBorder="1" applyAlignment="1">
      <alignment horizontal="center" vertical="center" wrapText="1"/>
    </xf>
    <xf numFmtId="1" fontId="14" fillId="2" borderId="6" xfId="3" applyNumberFormat="1" applyFont="1" applyFill="1" applyBorder="1" applyAlignment="1">
      <alignment horizontal="center" vertical="center" wrapText="1"/>
    </xf>
    <xf numFmtId="165" fontId="14" fillId="2" borderId="6" xfId="12" applyNumberFormat="1" applyFont="1" applyFill="1" applyBorder="1" applyAlignment="1">
      <alignment horizontal="center" vertical="center" wrapText="1"/>
    </xf>
    <xf numFmtId="165" fontId="11" fillId="6" borderId="6" xfId="1" applyNumberFormat="1" applyFont="1" applyFill="1" applyBorder="1" applyAlignment="1">
      <alignment horizontal="center" vertical="center" wrapText="1"/>
    </xf>
    <xf numFmtId="0" fontId="20" fillId="2" borderId="11" xfId="9" applyFont="1" applyFill="1" applyBorder="1" applyAlignment="1">
      <alignment horizontal="center" vertical="center" wrapText="1"/>
    </xf>
    <xf numFmtId="0" fontId="20" fillId="2" borderId="6" xfId="3" applyFont="1" applyFill="1" applyBorder="1" applyAlignment="1">
      <alignment horizontal="center" vertical="center" wrapText="1"/>
    </xf>
    <xf numFmtId="165" fontId="11" fillId="2" borderId="0" xfId="1" applyNumberFormat="1" applyFont="1" applyFill="1"/>
    <xf numFmtId="165" fontId="11" fillId="7" borderId="1" xfId="1" applyNumberFormat="1" applyFont="1" applyFill="1" applyBorder="1" applyAlignment="1">
      <alignment horizontal="left" vertical="center" wrapText="1"/>
    </xf>
    <xf numFmtId="165" fontId="12" fillId="7" borderId="1" xfId="1" applyNumberFormat="1" applyFont="1" applyFill="1" applyBorder="1" applyAlignment="1">
      <alignment horizontal="center" vertical="center" wrapText="1"/>
    </xf>
    <xf numFmtId="165" fontId="11" fillId="7" borderId="1" xfId="1" applyNumberFormat="1" applyFont="1" applyFill="1" applyBorder="1" applyAlignment="1">
      <alignment vertical="center" wrapText="1"/>
    </xf>
    <xf numFmtId="3" fontId="14" fillId="6" borderId="6" xfId="13" applyNumberFormat="1" applyFont="1" applyFill="1" applyBorder="1" applyAlignment="1">
      <alignment horizontal="center" vertical="center" wrapText="1"/>
    </xf>
    <xf numFmtId="0" fontId="14" fillId="2" borderId="6" xfId="36" applyFont="1" applyFill="1" applyBorder="1" applyAlignment="1">
      <alignment horizontal="center" vertical="center" wrapText="1"/>
    </xf>
    <xf numFmtId="165" fontId="20" fillId="6" borderId="6" xfId="8" applyNumberFormat="1" applyFont="1" applyFill="1" applyBorder="1" applyAlignment="1">
      <alignment horizontal="center" vertical="center" wrapText="1"/>
    </xf>
    <xf numFmtId="0" fontId="13" fillId="2" borderId="0" xfId="4" applyFont="1" applyFill="1" applyAlignment="1">
      <alignment horizontal="left" vertical="center" wrapText="1"/>
    </xf>
    <xf numFmtId="0" fontId="11" fillId="5" borderId="6" xfId="4" applyFont="1" applyFill="1" applyBorder="1" applyAlignment="1">
      <alignment horizontal="center" vertical="center" wrapText="1"/>
    </xf>
    <xf numFmtId="0" fontId="11" fillId="5" borderId="6" xfId="4" applyFont="1" applyFill="1" applyBorder="1" applyAlignment="1">
      <alignment horizontal="left" vertical="center" wrapText="1"/>
    </xf>
    <xf numFmtId="2" fontId="11" fillId="6" borderId="6" xfId="4" applyNumberFormat="1" applyFont="1" applyFill="1" applyBorder="1" applyAlignment="1">
      <alignment horizontal="center" vertical="center" wrapText="1"/>
    </xf>
    <xf numFmtId="2" fontId="11" fillId="6" borderId="6" xfId="4" applyNumberFormat="1" applyFont="1" applyFill="1" applyBorder="1" applyAlignment="1">
      <alignment vertical="center" wrapText="1"/>
    </xf>
    <xf numFmtId="0" fontId="20" fillId="6" borderId="6" xfId="4" applyFont="1" applyFill="1" applyBorder="1" applyAlignment="1">
      <alignment horizontal="center" vertical="center" wrapText="1"/>
    </xf>
    <xf numFmtId="0" fontId="11" fillId="6" borderId="6" xfId="4" applyFont="1" applyFill="1" applyBorder="1" applyAlignment="1">
      <alignment horizontal="left" vertical="center" wrapText="1"/>
    </xf>
    <xf numFmtId="1" fontId="11" fillId="2" borderId="6" xfId="16" applyNumberFormat="1" applyFont="1" applyFill="1" applyBorder="1" applyAlignment="1">
      <alignment horizontal="center" vertical="center" wrapText="1"/>
    </xf>
    <xf numFmtId="166" fontId="11" fillId="2" borderId="6" xfId="0" applyFont="1" applyFill="1" applyBorder="1" applyAlignment="1">
      <alignment horizontal="center" vertical="center" wrapText="1"/>
    </xf>
    <xf numFmtId="166" fontId="17" fillId="2" borderId="6" xfId="0" applyFont="1" applyFill="1" applyBorder="1" applyAlignment="1">
      <alignment horizontal="center" vertical="center" wrapText="1"/>
    </xf>
    <xf numFmtId="0" fontId="13" fillId="2" borderId="0" xfId="1" applyNumberFormat="1" applyFont="1" applyFill="1" applyAlignment="1">
      <alignment horizontal="center" vertical="center" wrapText="1"/>
    </xf>
    <xf numFmtId="0" fontId="12" fillId="7" borderId="3" xfId="1" applyNumberFormat="1" applyFont="1" applyFill="1" applyBorder="1" applyAlignment="1">
      <alignment horizontal="center" vertical="center" wrapText="1"/>
    </xf>
    <xf numFmtId="0" fontId="20" fillId="2" borderId="6" xfId="19" applyNumberFormat="1" applyFont="1" applyFill="1" applyBorder="1" applyAlignment="1">
      <alignment horizontal="center" vertical="center" wrapText="1"/>
    </xf>
    <xf numFmtId="165" fontId="14" fillId="6" borderId="6" xfId="1" applyNumberFormat="1" applyFont="1" applyFill="1" applyBorder="1" applyAlignment="1">
      <alignment horizontal="center" vertical="center" wrapText="1"/>
    </xf>
    <xf numFmtId="165" fontId="20" fillId="2" borderId="7" xfId="1" applyNumberFormat="1" applyFont="1" applyFill="1" applyBorder="1" applyAlignment="1">
      <alignment horizontal="center" vertical="center" wrapText="1"/>
    </xf>
    <xf numFmtId="0" fontId="20" fillId="2" borderId="7" xfId="1" applyNumberFormat="1" applyFont="1" applyFill="1" applyBorder="1" applyAlignment="1">
      <alignment horizontal="center" vertical="center" wrapText="1"/>
    </xf>
    <xf numFmtId="167" fontId="20" fillId="7" borderId="6" xfId="4" applyNumberFormat="1" applyFont="1" applyFill="1" applyBorder="1" applyAlignment="1">
      <alignment horizontal="center" vertical="center" wrapText="1"/>
    </xf>
    <xf numFmtId="0" fontId="12" fillId="7" borderId="1" xfId="4" applyFont="1" applyFill="1" applyBorder="1" applyAlignment="1">
      <alignment horizontal="center" vertical="center" wrapText="1"/>
    </xf>
    <xf numFmtId="0" fontId="12" fillId="7" borderId="1" xfId="1" applyNumberFormat="1" applyFont="1" applyFill="1" applyBorder="1" applyAlignment="1">
      <alignment horizontal="center" vertical="center" wrapText="1"/>
    </xf>
    <xf numFmtId="1" fontId="11" fillId="6" borderId="8" xfId="0" quotePrefix="1" applyNumberFormat="1" applyFont="1" applyFill="1" applyBorder="1" applyAlignment="1">
      <alignment horizontal="center" vertical="center" wrapText="1"/>
    </xf>
    <xf numFmtId="0" fontId="20" fillId="5" borderId="21" xfId="4" applyFont="1" applyFill="1" applyBorder="1" applyAlignment="1">
      <alignment horizontal="center" vertical="center" wrapText="1"/>
    </xf>
    <xf numFmtId="0" fontId="20" fillId="2" borderId="21" xfId="4" applyFont="1" applyFill="1" applyBorder="1" applyAlignment="1">
      <alignment horizontal="center" vertical="center" wrapText="1"/>
    </xf>
    <xf numFmtId="0" fontId="20" fillId="2" borderId="21" xfId="1" applyNumberFormat="1" applyFont="1" applyFill="1" applyBorder="1" applyAlignment="1">
      <alignment horizontal="center" vertical="center" wrapText="1"/>
    </xf>
    <xf numFmtId="0" fontId="20" fillId="2" borderId="21" xfId="33" applyFont="1" applyFill="1" applyBorder="1" applyAlignment="1">
      <alignment horizontal="center" vertical="center" wrapText="1"/>
    </xf>
    <xf numFmtId="1" fontId="17" fillId="2" borderId="21" xfId="19" applyNumberFormat="1" applyFont="1" applyFill="1" applyBorder="1" applyAlignment="1">
      <alignment horizontal="center" vertical="center" wrapText="1"/>
    </xf>
    <xf numFmtId="0" fontId="17" fillId="2" borderId="21" xfId="9" applyFont="1" applyFill="1" applyBorder="1" applyAlignment="1">
      <alignment horizontal="center" vertical="center" wrapText="1"/>
    </xf>
    <xf numFmtId="0" fontId="20" fillId="6" borderId="21" xfId="4" applyFont="1" applyFill="1" applyBorder="1" applyAlignment="1">
      <alignment horizontal="center" vertical="center" wrapText="1"/>
    </xf>
    <xf numFmtId="166" fontId="14" fillId="2" borderId="21" xfId="0" applyFont="1" applyFill="1" applyBorder="1" applyAlignment="1">
      <alignment horizontal="center" vertical="center" wrapText="1"/>
    </xf>
    <xf numFmtId="166" fontId="11" fillId="2" borderId="21" xfId="0" applyFont="1" applyFill="1" applyBorder="1" applyAlignment="1">
      <alignment horizontal="center" vertical="center" wrapText="1"/>
    </xf>
    <xf numFmtId="165" fontId="20" fillId="2" borderId="21" xfId="8" applyNumberFormat="1" applyFont="1" applyFill="1" applyBorder="1" applyAlignment="1">
      <alignment horizontal="center" vertical="center" wrapText="1"/>
    </xf>
    <xf numFmtId="165" fontId="20" fillId="2" borderId="21" xfId="12" applyNumberFormat="1" applyFont="1" applyFill="1" applyBorder="1" applyAlignment="1">
      <alignment horizontal="center" vertical="center" wrapText="1"/>
    </xf>
    <xf numFmtId="1" fontId="20" fillId="2" borderId="21" xfId="3" applyNumberFormat="1" applyFont="1" applyFill="1" applyBorder="1" applyAlignment="1">
      <alignment horizontal="center" vertical="center" wrapText="1"/>
    </xf>
    <xf numFmtId="3" fontId="14" fillId="2" borderId="21" xfId="13" applyNumberFormat="1" applyFont="1" applyFill="1" applyBorder="1" applyAlignment="1">
      <alignment horizontal="center" vertical="center" wrapText="1"/>
    </xf>
    <xf numFmtId="0" fontId="14" fillId="2" borderId="21" xfId="4" applyFont="1" applyFill="1" applyBorder="1" applyAlignment="1">
      <alignment horizontal="center" vertical="center" wrapText="1"/>
    </xf>
    <xf numFmtId="0" fontId="20" fillId="2" borderId="21" xfId="9" applyFont="1" applyFill="1" applyBorder="1" applyAlignment="1">
      <alignment horizontal="center" vertical="center" wrapText="1"/>
    </xf>
    <xf numFmtId="166" fontId="20" fillId="2" borderId="21" xfId="0" applyFont="1" applyFill="1" applyBorder="1" applyAlignment="1">
      <alignment horizontal="center" vertical="center" wrapText="1"/>
    </xf>
    <xf numFmtId="3" fontId="20" fillId="2" borderId="21" xfId="13" applyNumberFormat="1" applyFont="1" applyFill="1" applyBorder="1" applyAlignment="1">
      <alignment horizontal="center" vertical="center" wrapText="1"/>
    </xf>
    <xf numFmtId="166" fontId="17" fillId="2" borderId="21" xfId="0" applyFont="1" applyFill="1" applyBorder="1" applyAlignment="1">
      <alignment horizontal="center" vertical="center" wrapText="1"/>
    </xf>
    <xf numFmtId="3" fontId="14" fillId="6" borderId="21" xfId="13" applyNumberFormat="1" applyFont="1" applyFill="1" applyBorder="1" applyAlignment="1">
      <alignment horizontal="center" vertical="center" wrapText="1"/>
    </xf>
    <xf numFmtId="165" fontId="20" fillId="2" borderId="21" xfId="16" applyNumberFormat="1" applyFont="1" applyFill="1" applyBorder="1" applyAlignment="1">
      <alignment horizontal="center" vertical="center" wrapText="1"/>
    </xf>
    <xf numFmtId="165" fontId="20" fillId="6" borderId="21" xfId="8" applyNumberFormat="1" applyFont="1" applyFill="1" applyBorder="1" applyAlignment="1">
      <alignment horizontal="center" vertical="center" wrapText="1"/>
    </xf>
    <xf numFmtId="165" fontId="14" fillId="2" borderId="21" xfId="8" applyNumberFormat="1" applyFont="1" applyFill="1" applyBorder="1" applyAlignment="1">
      <alignment horizontal="center" vertical="center" wrapText="1"/>
    </xf>
    <xf numFmtId="0" fontId="17" fillId="2" borderId="21" xfId="4" applyFont="1" applyFill="1" applyBorder="1" applyAlignment="1">
      <alignment horizontal="center" vertical="center" wrapText="1"/>
    </xf>
    <xf numFmtId="165" fontId="14" fillId="2" borderId="21" xfId="6" applyNumberFormat="1" applyFont="1" applyFill="1" applyBorder="1" applyAlignment="1">
      <alignment horizontal="center" vertical="center" wrapText="1"/>
    </xf>
    <xf numFmtId="165" fontId="11" fillId="2" borderId="21" xfId="8" applyNumberFormat="1" applyFont="1" applyFill="1" applyBorder="1" applyAlignment="1">
      <alignment horizontal="center" vertical="center" wrapText="1"/>
    </xf>
    <xf numFmtId="1" fontId="20" fillId="2" borderId="21" xfId="19" applyNumberFormat="1" applyFont="1" applyFill="1" applyBorder="1" applyAlignment="1">
      <alignment horizontal="center" vertical="center" wrapText="1"/>
    </xf>
    <xf numFmtId="1" fontId="11" fillId="2" borderId="21" xfId="19" applyNumberFormat="1" applyFont="1" applyFill="1" applyBorder="1" applyAlignment="1">
      <alignment horizontal="center" vertical="center" wrapText="1"/>
    </xf>
    <xf numFmtId="0" fontId="11" fillId="2" borderId="21" xfId="40" applyFont="1" applyFill="1" applyBorder="1" applyAlignment="1">
      <alignment horizontal="center" vertical="center" wrapText="1"/>
    </xf>
    <xf numFmtId="1" fontId="20" fillId="5" borderId="21" xfId="19" applyNumberFormat="1" applyFont="1" applyFill="1" applyBorder="1" applyAlignment="1">
      <alignment horizontal="center" vertical="center" wrapText="1"/>
    </xf>
    <xf numFmtId="0" fontId="11" fillId="2" borderId="21" xfId="9" applyFont="1" applyFill="1" applyBorder="1" applyAlignment="1">
      <alignment horizontal="center" vertical="center" wrapText="1"/>
    </xf>
    <xf numFmtId="0" fontId="14" fillId="2" borderId="21" xfId="9" applyFont="1" applyFill="1" applyBorder="1" applyAlignment="1">
      <alignment horizontal="center" vertical="center" wrapText="1"/>
    </xf>
    <xf numFmtId="0" fontId="11" fillId="2" borderId="21" xfId="41" applyFont="1" applyFill="1" applyBorder="1" applyAlignment="1">
      <alignment horizontal="center" vertical="center" wrapText="1"/>
    </xf>
    <xf numFmtId="1" fontId="20" fillId="2" borderId="21" xfId="14" applyNumberFormat="1" applyFont="1" applyFill="1" applyBorder="1" applyAlignment="1">
      <alignment horizontal="center" vertical="center" wrapText="1"/>
    </xf>
    <xf numFmtId="0" fontId="17" fillId="2" borderId="21" xfId="41" applyFont="1" applyFill="1" applyBorder="1" applyAlignment="1">
      <alignment horizontal="center" vertical="center" wrapText="1"/>
    </xf>
    <xf numFmtId="0" fontId="20" fillId="7" borderId="21" xfId="4" applyFont="1" applyFill="1" applyBorder="1" applyAlignment="1">
      <alignment horizontal="center" vertical="center" wrapText="1"/>
    </xf>
    <xf numFmtId="0" fontId="20" fillId="2" borderId="21" xfId="5" applyFont="1" applyFill="1" applyBorder="1" applyAlignment="1">
      <alignment horizontal="center" vertical="center" wrapText="1"/>
    </xf>
    <xf numFmtId="0" fontId="11" fillId="2" borderId="21" xfId="4" applyFont="1" applyFill="1" applyBorder="1" applyAlignment="1">
      <alignment horizontal="center" vertical="center" wrapText="1"/>
    </xf>
    <xf numFmtId="1" fontId="20" fillId="2" borderId="7" xfId="19" applyNumberFormat="1" applyFont="1" applyFill="1" applyBorder="1" applyAlignment="1">
      <alignment horizontal="center" vertical="center" wrapText="1"/>
    </xf>
    <xf numFmtId="0" fontId="20" fillId="3" borderId="2" xfId="4" applyFont="1" applyFill="1" applyBorder="1" applyAlignment="1">
      <alignment horizontal="center" vertical="center" wrapText="1"/>
    </xf>
    <xf numFmtId="3" fontId="12" fillId="0" borderId="6" xfId="23" applyNumberFormat="1" applyFont="1" applyBorder="1" applyAlignment="1">
      <alignment horizontal="center" vertical="center"/>
    </xf>
    <xf numFmtId="3" fontId="12" fillId="0" borderId="6" xfId="0" applyNumberFormat="1" applyFont="1" applyBorder="1" applyAlignment="1">
      <alignment horizontal="left" vertical="center" wrapText="1"/>
    </xf>
    <xf numFmtId="3" fontId="13" fillId="0" borderId="6" xfId="23" applyNumberFormat="1" applyFont="1" applyBorder="1" applyAlignment="1">
      <alignment horizontal="center" vertical="center" wrapText="1"/>
    </xf>
    <xf numFmtId="49" fontId="13" fillId="0" borderId="6" xfId="23" applyNumberFormat="1" applyFont="1" applyBorder="1" applyAlignment="1">
      <alignment horizontal="center" vertical="center"/>
    </xf>
    <xf numFmtId="3" fontId="13" fillId="0" borderId="6" xfId="0" applyNumberFormat="1" applyFont="1" applyBorder="1" applyAlignment="1">
      <alignment horizontal="left" vertical="center" wrapText="1"/>
    </xf>
    <xf numFmtId="3" fontId="13" fillId="0" borderId="6" xfId="23" applyNumberFormat="1" applyFont="1" applyBorder="1" applyAlignment="1">
      <alignment horizontal="center" vertical="center"/>
    </xf>
    <xf numFmtId="167" fontId="13" fillId="2" borderId="6" xfId="23" applyNumberFormat="1" applyFont="1" applyFill="1" applyBorder="1" applyAlignment="1">
      <alignment horizontal="center" vertical="center" wrapText="1"/>
    </xf>
    <xf numFmtId="3" fontId="34" fillId="2" borderId="6" xfId="23" applyNumberFormat="1" applyFont="1" applyFill="1" applyBorder="1" applyAlignment="1">
      <alignment horizontal="left" vertical="center" wrapText="1"/>
    </xf>
    <xf numFmtId="3" fontId="34" fillId="2" borderId="6" xfId="23" applyNumberFormat="1" applyFont="1" applyFill="1" applyBorder="1" applyAlignment="1">
      <alignment horizontal="center" vertical="center" wrapText="1"/>
    </xf>
    <xf numFmtId="165" fontId="11" fillId="7" borderId="11" xfId="1" applyNumberFormat="1" applyFont="1" applyFill="1" applyBorder="1" applyAlignment="1">
      <alignment horizontal="center" vertical="center" wrapText="1"/>
    </xf>
    <xf numFmtId="165" fontId="11" fillId="7" borderId="11" xfId="1" applyNumberFormat="1" applyFont="1" applyFill="1" applyBorder="1" applyAlignment="1">
      <alignment horizontal="left" vertical="center" wrapText="1"/>
    </xf>
    <xf numFmtId="165" fontId="12" fillId="7" borderId="11" xfId="1" applyNumberFormat="1" applyFont="1" applyFill="1" applyBorder="1" applyAlignment="1">
      <alignment horizontal="center" vertical="center" wrapText="1"/>
    </xf>
    <xf numFmtId="165" fontId="11" fillId="7" borderId="11" xfId="1" applyNumberFormat="1" applyFont="1" applyFill="1" applyBorder="1" applyAlignment="1">
      <alignment vertical="center" wrapText="1"/>
    </xf>
    <xf numFmtId="3" fontId="12" fillId="0" borderId="6" xfId="23" applyNumberFormat="1" applyFont="1" applyBorder="1" applyAlignment="1">
      <alignment horizontal="center" vertical="center" wrapText="1"/>
    </xf>
    <xf numFmtId="3" fontId="12" fillId="0" borderId="6" xfId="23" applyNumberFormat="1" applyFont="1" applyBorder="1" applyAlignment="1">
      <alignment horizontal="left" vertical="center" wrapText="1"/>
    </xf>
    <xf numFmtId="3" fontId="31" fillId="2" borderId="6" xfId="23" applyNumberFormat="1" applyFont="1" applyFill="1" applyBorder="1" applyAlignment="1">
      <alignment horizontal="left" vertical="center" wrapText="1"/>
    </xf>
    <xf numFmtId="3" fontId="31" fillId="2" borderId="6" xfId="23" applyNumberFormat="1" applyFont="1" applyFill="1" applyBorder="1" applyAlignment="1">
      <alignment horizontal="center" vertical="center" wrapText="1"/>
    </xf>
    <xf numFmtId="0" fontId="20" fillId="2" borderId="25" xfId="1" applyNumberFormat="1" applyFont="1" applyFill="1" applyBorder="1" applyAlignment="1">
      <alignment horizontal="center" vertical="center" wrapText="1"/>
    </xf>
    <xf numFmtId="0" fontId="12" fillId="7" borderId="6" xfId="4" applyFont="1" applyFill="1" applyBorder="1" applyAlignment="1">
      <alignment horizontal="center" vertical="center" wrapText="1"/>
    </xf>
    <xf numFmtId="0" fontId="12" fillId="7" borderId="6" xfId="1" applyNumberFormat="1" applyFont="1" applyFill="1" applyBorder="1" applyAlignment="1">
      <alignment horizontal="center" vertical="center" wrapText="1"/>
    </xf>
    <xf numFmtId="49" fontId="13" fillId="2" borderId="6" xfId="69" applyNumberFormat="1" applyFont="1" applyFill="1" applyBorder="1" applyAlignment="1">
      <alignment horizontal="center" vertical="center" wrapText="1"/>
    </xf>
    <xf numFmtId="0" fontId="13" fillId="2" borderId="6" xfId="5" applyFont="1" applyFill="1" applyBorder="1" applyAlignment="1">
      <alignment vertical="center" wrapText="1"/>
    </xf>
    <xf numFmtId="49" fontId="13" fillId="2" borderId="6" xfId="19" applyNumberFormat="1" applyFont="1" applyFill="1" applyBorder="1" applyAlignment="1" applyProtection="1">
      <alignment horizontal="center" vertical="center" wrapText="1"/>
    </xf>
    <xf numFmtId="1" fontId="13" fillId="2" borderId="6" xfId="1" applyNumberFormat="1" applyFont="1" applyFill="1" applyBorder="1" applyAlignment="1" applyProtection="1">
      <alignment horizontal="center" vertical="center" wrapText="1"/>
    </xf>
    <xf numFmtId="1" fontId="14" fillId="2" borderId="6" xfId="1" applyNumberFormat="1" applyFont="1" applyFill="1" applyBorder="1" applyAlignment="1" applyProtection="1">
      <alignment horizontal="center" vertical="center" wrapText="1"/>
    </xf>
    <xf numFmtId="49" fontId="11" fillId="2" borderId="6" xfId="0" applyNumberFormat="1" applyFont="1" applyFill="1" applyBorder="1" applyAlignment="1">
      <alignment vertical="center"/>
    </xf>
    <xf numFmtId="166" fontId="11" fillId="2" borderId="6" xfId="0" applyFont="1" applyFill="1" applyBorder="1" applyAlignment="1">
      <alignment vertical="center"/>
    </xf>
    <xf numFmtId="1" fontId="11" fillId="2" borderId="6" xfId="0" applyNumberFormat="1" applyFont="1" applyFill="1" applyBorder="1" applyAlignment="1">
      <alignment vertical="center"/>
    </xf>
    <xf numFmtId="49" fontId="11" fillId="2" borderId="6" xfId="0" applyNumberFormat="1" applyFont="1" applyFill="1" applyBorder="1" applyAlignment="1">
      <alignment horizontal="center" vertical="center"/>
    </xf>
    <xf numFmtId="166" fontId="11" fillId="2" borderId="6" xfId="0" applyFont="1" applyFill="1" applyBorder="1" applyAlignment="1">
      <alignment horizontal="left" vertical="center"/>
    </xf>
    <xf numFmtId="1" fontId="20" fillId="2" borderId="6" xfId="0" applyNumberFormat="1" applyFont="1" applyFill="1" applyBorder="1" applyAlignment="1">
      <alignment horizontal="center" vertical="center"/>
    </xf>
    <xf numFmtId="49" fontId="12" fillId="2" borderId="6" xfId="69" applyNumberFormat="1" applyFont="1" applyFill="1" applyBorder="1" applyAlignment="1">
      <alignment horizontal="center" vertical="center" wrapText="1"/>
    </xf>
    <xf numFmtId="49" fontId="12" fillId="2" borderId="6" xfId="0" applyNumberFormat="1" applyFont="1" applyFill="1" applyBorder="1" applyAlignment="1">
      <alignment vertical="center" wrapText="1"/>
    </xf>
    <xf numFmtId="1" fontId="12" fillId="2" borderId="6" xfId="0" applyNumberFormat="1" applyFont="1" applyFill="1" applyBorder="1" applyAlignment="1">
      <alignment vertical="center" wrapText="1"/>
    </xf>
    <xf numFmtId="49" fontId="12" fillId="2" borderId="6" xfId="0" applyNumberFormat="1" applyFont="1" applyFill="1" applyBorder="1" applyAlignment="1">
      <alignment horizontal="center" vertical="center" wrapText="1"/>
    </xf>
    <xf numFmtId="1" fontId="13" fillId="2" borderId="6" xfId="0" applyNumberFormat="1" applyFont="1" applyFill="1" applyBorder="1" applyAlignment="1">
      <alignment horizontal="center" vertical="center" wrapText="1"/>
    </xf>
    <xf numFmtId="49" fontId="13" fillId="2" borderId="6" xfId="0" applyNumberFormat="1" applyFont="1" applyFill="1" applyBorder="1" applyAlignment="1">
      <alignment horizontal="center" vertical="center" wrapText="1"/>
    </xf>
    <xf numFmtId="49" fontId="12" fillId="2" borderId="6" xfId="58" applyNumberFormat="1" applyFont="1" applyFill="1" applyBorder="1" applyAlignment="1">
      <alignment horizontal="center" vertical="center" wrapText="1"/>
    </xf>
    <xf numFmtId="0" fontId="12" fillId="2" borderId="6" xfId="45" applyFont="1" applyFill="1" applyBorder="1" applyAlignment="1">
      <alignment horizontal="left" vertical="center"/>
    </xf>
    <xf numFmtId="43" fontId="13" fillId="2" borderId="6" xfId="58" applyFont="1" applyFill="1" applyBorder="1" applyAlignment="1">
      <alignment horizontal="center" vertical="center" wrapText="1"/>
    </xf>
    <xf numFmtId="1" fontId="13" fillId="2" borderId="6" xfId="58" applyNumberFormat="1" applyFont="1" applyFill="1" applyBorder="1" applyAlignment="1">
      <alignment horizontal="center" vertical="center" wrapText="1"/>
    </xf>
    <xf numFmtId="0" fontId="13" fillId="2" borderId="7" xfId="4" applyFont="1" applyFill="1" applyBorder="1" applyAlignment="1">
      <alignment horizontal="center" vertical="center" wrapText="1"/>
    </xf>
    <xf numFmtId="0" fontId="13" fillId="2" borderId="7" xfId="4" applyFont="1" applyFill="1" applyBorder="1" applyAlignment="1">
      <alignment vertical="center" wrapText="1"/>
    </xf>
    <xf numFmtId="0" fontId="20" fillId="2" borderId="7" xfId="19" applyNumberFormat="1" applyFont="1" applyFill="1" applyBorder="1" applyAlignment="1">
      <alignment horizontal="center" vertical="center" wrapText="1"/>
    </xf>
    <xf numFmtId="0" fontId="20" fillId="2" borderId="6" xfId="4" applyFont="1" applyFill="1" applyBorder="1" applyAlignment="1">
      <alignment horizontal="left" vertical="center" wrapText="1"/>
    </xf>
    <xf numFmtId="2" fontId="20" fillId="2" borderId="6" xfId="4" applyNumberFormat="1" applyFont="1" applyFill="1" applyBorder="1" applyAlignment="1">
      <alignment horizontal="center" vertical="center" wrapText="1"/>
    </xf>
    <xf numFmtId="166" fontId="20" fillId="0" borderId="6" xfId="0" applyFont="1" applyBorder="1" applyAlignment="1">
      <alignment vertical="center"/>
    </xf>
    <xf numFmtId="0" fontId="11" fillId="2" borderId="6" xfId="4" quotePrefix="1" applyFont="1" applyFill="1" applyBorder="1" applyAlignment="1">
      <alignment horizontal="center" vertical="center" wrapText="1"/>
    </xf>
    <xf numFmtId="2" fontId="11" fillId="2" borderId="6" xfId="4" quotePrefix="1" applyNumberFormat="1" applyFont="1" applyFill="1" applyBorder="1" applyAlignment="1">
      <alignment horizontal="center" vertical="center" wrapText="1"/>
    </xf>
    <xf numFmtId="4" fontId="20" fillId="2" borderId="0" xfId="4" applyNumberFormat="1" applyFont="1" applyFill="1" applyAlignment="1">
      <alignment horizontal="center" vertical="center" wrapText="1"/>
    </xf>
    <xf numFmtId="4" fontId="20" fillId="2" borderId="0" xfId="3" applyNumberFormat="1" applyFont="1" applyFill="1" applyAlignment="1">
      <alignment horizontal="center" vertical="center" wrapText="1"/>
    </xf>
    <xf numFmtId="4" fontId="12" fillId="6" borderId="8" xfId="0" quotePrefix="1" applyNumberFormat="1" applyFont="1" applyFill="1" applyBorder="1" applyAlignment="1">
      <alignment horizontal="center" vertical="center" wrapText="1"/>
    </xf>
    <xf numFmtId="4" fontId="11" fillId="7" borderId="3" xfId="4" applyNumberFormat="1" applyFont="1" applyFill="1" applyBorder="1" applyAlignment="1">
      <alignment horizontal="center" vertical="center" wrapText="1"/>
    </xf>
    <xf numFmtId="4" fontId="20" fillId="2" borderId="6" xfId="4" applyNumberFormat="1" applyFont="1" applyFill="1" applyBorder="1" applyAlignment="1">
      <alignment horizontal="center" vertical="center" wrapText="1"/>
    </xf>
    <xf numFmtId="4" fontId="20" fillId="2" borderId="6" xfId="1" applyNumberFormat="1" applyFont="1" applyFill="1" applyBorder="1" applyAlignment="1">
      <alignment horizontal="center" vertical="center" wrapText="1"/>
    </xf>
    <xf numFmtId="4" fontId="20" fillId="2" borderId="11" xfId="1" applyNumberFormat="1" applyFont="1" applyFill="1" applyBorder="1" applyAlignment="1">
      <alignment horizontal="center" vertical="center" wrapText="1"/>
    </xf>
    <xf numFmtId="4" fontId="11" fillId="7" borderId="6" xfId="4" applyNumberFormat="1" applyFont="1" applyFill="1" applyBorder="1" applyAlignment="1">
      <alignment horizontal="center" vertical="center" wrapText="1"/>
    </xf>
    <xf numFmtId="4" fontId="20" fillId="2" borderId="2" xfId="33" applyNumberFormat="1" applyFont="1" applyFill="1" applyBorder="1" applyAlignment="1">
      <alignment horizontal="center" vertical="center" wrapText="1"/>
    </xf>
    <xf numFmtId="4" fontId="20" fillId="2" borderId="6" xfId="33" applyNumberFormat="1" applyFont="1" applyFill="1" applyBorder="1" applyAlignment="1">
      <alignment horizontal="center" vertical="center" wrapText="1"/>
    </xf>
    <xf numFmtId="4" fontId="11" fillId="7" borderId="1" xfId="4" applyNumberFormat="1" applyFont="1" applyFill="1" applyBorder="1" applyAlignment="1">
      <alignment horizontal="center" vertical="center" wrapText="1"/>
    </xf>
    <xf numFmtId="0" fontId="20" fillId="0" borderId="1" xfId="36" applyFont="1" applyBorder="1" applyAlignment="1">
      <alignment horizontal="center" vertical="center" wrapText="1"/>
    </xf>
    <xf numFmtId="165" fontId="20" fillId="0" borderId="1" xfId="37" applyNumberFormat="1" applyFont="1" applyFill="1" applyBorder="1" applyAlignment="1">
      <alignment horizontal="left" vertical="center" wrapText="1"/>
    </xf>
    <xf numFmtId="0" fontId="30" fillId="0" borderId="0" xfId="35" applyFont="1" applyAlignment="1">
      <alignment horizontal="center" vertical="center" wrapText="1"/>
    </xf>
    <xf numFmtId="0" fontId="20" fillId="0" borderId="8" xfId="36" applyFont="1" applyBorder="1" applyAlignment="1">
      <alignment horizontal="center" vertical="center" wrapText="1"/>
    </xf>
    <xf numFmtId="0" fontId="20" fillId="0" borderId="22" xfId="36" applyFont="1" applyBorder="1" applyAlignment="1">
      <alignment horizontal="center" vertical="center" wrapText="1"/>
    </xf>
    <xf numFmtId="165" fontId="20" fillId="0" borderId="8" xfId="37" applyNumberFormat="1" applyFont="1" applyFill="1" applyBorder="1" applyAlignment="1">
      <alignment horizontal="left" vertical="center" wrapText="1"/>
    </xf>
    <xf numFmtId="165" fontId="20" fillId="0" borderId="22" xfId="37" applyNumberFormat="1" applyFont="1" applyFill="1" applyBorder="1" applyAlignment="1">
      <alignment horizontal="left" vertical="center" wrapText="1"/>
    </xf>
    <xf numFmtId="166" fontId="11" fillId="0" borderId="0" xfId="0" applyFont="1" applyAlignment="1">
      <alignment horizontal="center" vertical="center" wrapText="1"/>
    </xf>
    <xf numFmtId="166" fontId="35" fillId="0" borderId="0" xfId="0" applyFont="1" applyAlignment="1">
      <alignment horizontal="center" vertical="center" wrapText="1"/>
    </xf>
    <xf numFmtId="166" fontId="11" fillId="6" borderId="1" xfId="0" applyFont="1" applyFill="1" applyBorder="1" applyAlignment="1">
      <alignment horizontal="center" vertical="center" wrapText="1"/>
    </xf>
    <xf numFmtId="165" fontId="11" fillId="6" borderId="1" xfId="1" applyNumberFormat="1" applyFont="1" applyFill="1" applyBorder="1" applyAlignment="1">
      <alignment horizontal="center" vertical="center" wrapText="1"/>
    </xf>
    <xf numFmtId="0" fontId="20" fillId="2" borderId="6" xfId="9" applyFont="1" applyFill="1" applyBorder="1" applyAlignment="1">
      <alignment horizontal="center" vertical="center" wrapText="1"/>
    </xf>
    <xf numFmtId="0" fontId="11" fillId="6" borderId="2" xfId="5" applyFont="1" applyFill="1" applyBorder="1" applyAlignment="1">
      <alignment horizontal="center" vertical="center" wrapText="1"/>
    </xf>
    <xf numFmtId="0" fontId="11" fillId="6" borderId="11" xfId="5" applyFont="1" applyFill="1" applyBorder="1" applyAlignment="1">
      <alignment horizontal="center" vertical="center" wrapText="1"/>
    </xf>
    <xf numFmtId="0" fontId="11" fillId="6" borderId="9" xfId="5" applyFont="1" applyFill="1" applyBorder="1" applyAlignment="1">
      <alignment horizontal="center" vertical="center" wrapText="1"/>
    </xf>
    <xf numFmtId="0" fontId="11" fillId="6" borderId="12" xfId="5" applyFont="1" applyFill="1" applyBorder="1" applyAlignment="1">
      <alignment horizontal="center" vertical="center" wrapText="1"/>
    </xf>
    <xf numFmtId="0" fontId="11" fillId="6" borderId="10" xfId="5" applyFont="1" applyFill="1" applyBorder="1" applyAlignment="1">
      <alignment horizontal="center" vertical="center" wrapText="1"/>
    </xf>
    <xf numFmtId="0" fontId="11" fillId="6" borderId="13" xfId="5" applyFont="1" applyFill="1" applyBorder="1" applyAlignment="1">
      <alignment horizontal="center" vertical="center" wrapText="1"/>
    </xf>
    <xf numFmtId="0" fontId="11" fillId="6" borderId="14" xfId="5" applyFont="1" applyFill="1" applyBorder="1" applyAlignment="1">
      <alignment horizontal="center" vertical="center" wrapText="1"/>
    </xf>
    <xf numFmtId="0" fontId="12" fillId="6" borderId="1" xfId="0" applyNumberFormat="1" applyFont="1" applyFill="1" applyBorder="1" applyAlignment="1">
      <alignment horizontal="center" vertical="center" wrapText="1"/>
    </xf>
    <xf numFmtId="0" fontId="11" fillId="6" borderId="1" xfId="1" applyNumberFormat="1" applyFont="1" applyFill="1" applyBorder="1" applyAlignment="1">
      <alignment horizontal="center" vertical="center" wrapText="1"/>
    </xf>
    <xf numFmtId="165" fontId="11" fillId="6" borderId="9" xfId="1" applyNumberFormat="1" applyFont="1" applyFill="1" applyBorder="1" applyAlignment="1">
      <alignment horizontal="center" vertical="center" wrapText="1"/>
    </xf>
    <xf numFmtId="165" fontId="11" fillId="6" borderId="10" xfId="1" applyNumberFormat="1" applyFont="1" applyFill="1" applyBorder="1" applyAlignment="1">
      <alignment horizontal="center" vertical="center" wrapText="1"/>
    </xf>
    <xf numFmtId="164" fontId="11" fillId="6" borderId="2" xfId="5" applyNumberFormat="1" applyFont="1" applyFill="1" applyBorder="1" applyAlignment="1">
      <alignment horizontal="center" vertical="center" wrapText="1"/>
    </xf>
    <xf numFmtId="164" fontId="11" fillId="6" borderId="11" xfId="5" applyNumberFormat="1" applyFont="1" applyFill="1" applyBorder="1" applyAlignment="1">
      <alignment horizontal="center" vertical="center" wrapText="1"/>
    </xf>
    <xf numFmtId="49" fontId="11" fillId="6" borderId="2" xfId="7" applyNumberFormat="1" applyFont="1" applyFill="1" applyBorder="1" applyAlignment="1">
      <alignment horizontal="center" vertical="center" wrapText="1"/>
    </xf>
    <xf numFmtId="49" fontId="11" fillId="6" borderId="11" xfId="7" applyNumberFormat="1" applyFont="1" applyFill="1" applyBorder="1" applyAlignment="1">
      <alignment horizontal="center" vertical="center" wrapText="1"/>
    </xf>
    <xf numFmtId="0" fontId="11" fillId="6" borderId="3" xfId="1" applyNumberFormat="1" applyFont="1" applyFill="1" applyBorder="1" applyAlignment="1">
      <alignment horizontal="center" vertical="center" wrapText="1"/>
    </xf>
    <xf numFmtId="0" fontId="11" fillId="6" borderId="11" xfId="1" applyNumberFormat="1" applyFont="1" applyFill="1" applyBorder="1" applyAlignment="1">
      <alignment horizontal="center" vertical="center" wrapText="1"/>
    </xf>
    <xf numFmtId="166" fontId="24" fillId="6" borderId="1" xfId="0" applyFont="1" applyFill="1" applyBorder="1" applyAlignment="1">
      <alignment horizontal="center" vertical="center"/>
    </xf>
    <xf numFmtId="0" fontId="12" fillId="6" borderId="1" xfId="20" applyFont="1" applyFill="1" applyBorder="1" applyAlignment="1">
      <alignment horizontal="center" vertical="center" wrapText="1"/>
    </xf>
    <xf numFmtId="0" fontId="12" fillId="6" borderId="1" xfId="9" applyFont="1" applyFill="1" applyBorder="1" applyAlignment="1">
      <alignment horizontal="center" vertical="center" wrapText="1"/>
    </xf>
    <xf numFmtId="164" fontId="11" fillId="6" borderId="1" xfId="5" applyNumberFormat="1" applyFont="1" applyFill="1" applyBorder="1" applyAlignment="1">
      <alignment horizontal="center" vertical="center" wrapText="1"/>
    </xf>
    <xf numFmtId="166" fontId="24" fillId="6" borderId="1" xfId="0" applyFont="1" applyFill="1" applyBorder="1" applyAlignment="1">
      <alignment horizontal="center" vertical="center" wrapText="1"/>
    </xf>
    <xf numFmtId="166" fontId="12" fillId="6" borderId="1" xfId="0" applyFont="1" applyFill="1" applyBorder="1" applyAlignment="1">
      <alignment horizontal="center" vertical="center" wrapText="1"/>
    </xf>
    <xf numFmtId="0" fontId="11" fillId="6" borderId="9" xfId="1" applyNumberFormat="1" applyFont="1" applyFill="1" applyBorder="1" applyAlignment="1">
      <alignment horizontal="center" vertical="center" wrapText="1"/>
    </xf>
    <xf numFmtId="0" fontId="11" fillId="6" borderId="10" xfId="1" applyNumberFormat="1" applyFont="1" applyFill="1" applyBorder="1" applyAlignment="1">
      <alignment horizontal="center" vertical="center" wrapText="1"/>
    </xf>
    <xf numFmtId="3" fontId="14" fillId="2" borderId="11" xfId="23" applyNumberFormat="1" applyFont="1" applyFill="1" applyBorder="1" applyAlignment="1">
      <alignment horizontal="center" vertical="center" wrapText="1"/>
    </xf>
    <xf numFmtId="3" fontId="14" fillId="2" borderId="15" xfId="23" applyNumberFormat="1" applyFont="1" applyFill="1" applyBorder="1" applyAlignment="1">
      <alignment horizontal="center" vertical="center" wrapText="1"/>
    </xf>
    <xf numFmtId="3" fontId="14" fillId="2" borderId="2" xfId="23" applyNumberFormat="1" applyFont="1" applyFill="1" applyBorder="1" applyAlignment="1">
      <alignment horizontal="center" vertical="center" wrapText="1"/>
    </xf>
    <xf numFmtId="3" fontId="13" fillId="2" borderId="11" xfId="23" applyNumberFormat="1" applyFont="1" applyFill="1" applyBorder="1" applyAlignment="1">
      <alignment horizontal="center" vertical="center" wrapText="1"/>
    </xf>
    <xf numFmtId="3" fontId="13" fillId="2" borderId="15" xfId="23" applyNumberFormat="1" applyFont="1" applyFill="1" applyBorder="1" applyAlignment="1">
      <alignment horizontal="center" vertical="center" wrapText="1"/>
    </xf>
    <xf numFmtId="3" fontId="12" fillId="6" borderId="1" xfId="23" applyNumberFormat="1" applyFont="1" applyFill="1" applyBorder="1" applyAlignment="1">
      <alignment horizontal="center" vertical="center" wrapText="1"/>
    </xf>
    <xf numFmtId="164" fontId="11" fillId="6" borderId="1" xfId="5" applyNumberFormat="1" applyFont="1" applyFill="1" applyBorder="1" applyAlignment="1">
      <alignment horizontal="left" vertical="center" wrapText="1"/>
    </xf>
    <xf numFmtId="0" fontId="12" fillId="6" borderId="1" xfId="30" applyFont="1" applyFill="1" applyBorder="1" applyAlignment="1">
      <alignment horizontal="center" vertical="center" wrapText="1"/>
    </xf>
    <xf numFmtId="0" fontId="12" fillId="6" borderId="8" xfId="30" applyFont="1" applyFill="1" applyBorder="1" applyAlignment="1">
      <alignment horizontal="center" vertical="center" wrapText="1"/>
    </xf>
    <xf numFmtId="0" fontId="17" fillId="6" borderId="1" xfId="4" applyFont="1" applyFill="1" applyBorder="1" applyAlignment="1">
      <alignment horizontal="center" vertical="center" wrapText="1"/>
    </xf>
    <xf numFmtId="0" fontId="17" fillId="6" borderId="8" xfId="4" applyFont="1" applyFill="1" applyBorder="1" applyAlignment="1">
      <alignment horizontal="center" vertical="center" wrapText="1"/>
    </xf>
    <xf numFmtId="49" fontId="11" fillId="6" borderId="1" xfId="7" applyNumberFormat="1" applyFont="1" applyFill="1" applyBorder="1" applyAlignment="1">
      <alignment horizontal="center" vertical="center" wrapText="1"/>
    </xf>
    <xf numFmtId="0" fontId="11" fillId="6" borderId="1" xfId="42" applyNumberFormat="1" applyFont="1" applyFill="1" applyBorder="1" applyAlignment="1">
      <alignment horizontal="center" vertical="center" wrapText="1"/>
    </xf>
    <xf numFmtId="0" fontId="12" fillId="6" borderId="1" xfId="4" applyFont="1" applyFill="1" applyBorder="1" applyAlignment="1">
      <alignment horizontal="center" vertical="center" wrapText="1"/>
    </xf>
    <xf numFmtId="0" fontId="12" fillId="6" borderId="8" xfId="4" applyFont="1" applyFill="1" applyBorder="1" applyAlignment="1">
      <alignment horizontal="center" vertical="center" wrapText="1"/>
    </xf>
    <xf numFmtId="0" fontId="14" fillId="2" borderId="6" xfId="4" applyFont="1" applyFill="1" applyBorder="1" applyAlignment="1">
      <alignment horizontal="center" vertical="center" wrapText="1"/>
    </xf>
    <xf numFmtId="0" fontId="12" fillId="6" borderId="9" xfId="30" applyFont="1" applyFill="1" applyBorder="1" applyAlignment="1">
      <alignment horizontal="center" vertical="center" wrapText="1"/>
    </xf>
    <xf numFmtId="0" fontId="12" fillId="6" borderId="16" xfId="30" applyFont="1" applyFill="1" applyBorder="1" applyAlignment="1">
      <alignment horizontal="center" vertical="center" wrapText="1"/>
    </xf>
    <xf numFmtId="0" fontId="17" fillId="2" borderId="6" xfId="4" applyFont="1" applyFill="1" applyBorder="1" applyAlignment="1">
      <alignment horizontal="center" vertical="center" wrapText="1"/>
    </xf>
    <xf numFmtId="0" fontId="11" fillId="6" borderId="8" xfId="1" applyNumberFormat="1" applyFont="1" applyFill="1" applyBorder="1" applyAlignment="1">
      <alignment horizontal="center" vertical="center" wrapText="1"/>
    </xf>
    <xf numFmtId="0" fontId="11" fillId="6" borderId="8" xfId="42" applyNumberFormat="1" applyFont="1" applyFill="1" applyBorder="1" applyAlignment="1">
      <alignment horizontal="center" vertical="center" wrapText="1"/>
    </xf>
    <xf numFmtId="0" fontId="11" fillId="6" borderId="15" xfId="42" applyNumberFormat="1" applyFont="1" applyFill="1" applyBorder="1" applyAlignment="1">
      <alignment horizontal="center" vertical="center" wrapText="1"/>
    </xf>
    <xf numFmtId="165" fontId="12" fillId="6" borderId="8" xfId="1" applyNumberFormat="1" applyFont="1" applyFill="1" applyBorder="1" applyAlignment="1">
      <alignment horizontal="center" vertical="center" wrapText="1"/>
    </xf>
    <xf numFmtId="165" fontId="12" fillId="6" borderId="15" xfId="1" applyNumberFormat="1" applyFont="1" applyFill="1" applyBorder="1" applyAlignment="1">
      <alignment horizontal="center" vertical="center" wrapText="1"/>
    </xf>
    <xf numFmtId="0" fontId="13" fillId="2" borderId="6" xfId="4" applyFont="1" applyFill="1" applyBorder="1" applyAlignment="1" applyProtection="1">
      <alignment horizontal="center" vertical="center" wrapText="1"/>
      <protection hidden="1"/>
    </xf>
    <xf numFmtId="1" fontId="12" fillId="6" borderId="1" xfId="4" applyNumberFormat="1" applyFont="1" applyFill="1" applyBorder="1" applyAlignment="1">
      <alignment horizontal="center" vertical="center" wrapText="1"/>
    </xf>
    <xf numFmtId="1" fontId="12" fillId="6" borderId="8" xfId="4" applyNumberFormat="1" applyFont="1" applyFill="1" applyBorder="1" applyAlignment="1">
      <alignment horizontal="center" vertical="center" wrapText="1"/>
    </xf>
    <xf numFmtId="0" fontId="12" fillId="6" borderId="15" xfId="4" applyFont="1" applyFill="1" applyBorder="1" applyAlignment="1">
      <alignment horizontal="center" vertical="center" wrapText="1"/>
    </xf>
    <xf numFmtId="165" fontId="11" fillId="6" borderId="8" xfId="1" applyNumberFormat="1" applyFont="1" applyFill="1" applyBorder="1" applyAlignment="1">
      <alignment horizontal="center" vertical="center" wrapText="1"/>
    </xf>
    <xf numFmtId="0" fontId="11" fillId="6" borderId="12" xfId="1" applyNumberFormat="1" applyFont="1" applyFill="1" applyBorder="1" applyAlignment="1">
      <alignment horizontal="center" vertical="center" wrapText="1"/>
    </xf>
    <xf numFmtId="0" fontId="20" fillId="2" borderId="6" xfId="4" applyFont="1" applyFill="1" applyBorder="1" applyAlignment="1">
      <alignment horizontal="center" vertical="center" wrapText="1"/>
    </xf>
    <xf numFmtId="0" fontId="11" fillId="6" borderId="22" xfId="1" applyNumberFormat="1" applyFont="1" applyFill="1" applyBorder="1" applyAlignment="1">
      <alignment horizontal="center" vertical="center" wrapText="1"/>
    </xf>
    <xf numFmtId="0" fontId="11" fillId="6" borderId="8" xfId="4" applyFont="1" applyFill="1" applyBorder="1" applyAlignment="1">
      <alignment horizontal="center" vertical="center" wrapText="1"/>
    </xf>
    <xf numFmtId="0" fontId="11" fillId="6" borderId="22" xfId="4" applyFont="1" applyFill="1" applyBorder="1" applyAlignment="1">
      <alignment horizontal="center" vertical="center" wrapText="1"/>
    </xf>
    <xf numFmtId="0" fontId="12" fillId="6" borderId="1" xfId="26" applyFont="1" applyFill="1" applyBorder="1" applyAlignment="1">
      <alignment horizontal="center" vertical="center" wrapText="1"/>
    </xf>
    <xf numFmtId="4" fontId="12" fillId="6" borderId="1" xfId="0" applyNumberFormat="1" applyFont="1" applyFill="1" applyBorder="1" applyAlignment="1">
      <alignment horizontal="center" vertical="center" wrapText="1"/>
    </xf>
    <xf numFmtId="165" fontId="12" fillId="6" borderId="1" xfId="28" applyNumberFormat="1" applyFont="1" applyFill="1" applyBorder="1" applyAlignment="1">
      <alignment horizontal="center" vertical="center" wrapText="1"/>
    </xf>
    <xf numFmtId="165" fontId="20" fillId="2" borderId="6" xfId="4" applyNumberFormat="1" applyFont="1" applyFill="1" applyBorder="1" applyAlignment="1">
      <alignment horizontal="center" vertical="center" wrapText="1"/>
    </xf>
    <xf numFmtId="171" fontId="20" fillId="2" borderId="6" xfId="4" applyNumberFormat="1" applyFont="1" applyFill="1" applyBorder="1" applyAlignment="1">
      <alignment horizontal="center" vertical="center" wrapText="1"/>
    </xf>
    <xf numFmtId="172" fontId="20" fillId="2" borderId="6" xfId="4" applyNumberFormat="1" applyFont="1" applyFill="1" applyBorder="1" applyAlignment="1">
      <alignment horizontal="center" vertical="center" wrapText="1"/>
    </xf>
    <xf numFmtId="10" fontId="20" fillId="2" borderId="6" xfId="4" applyNumberFormat="1" applyFont="1" applyFill="1" applyBorder="1" applyAlignment="1">
      <alignment horizontal="center" vertical="center" wrapText="1"/>
    </xf>
  </cellXfs>
  <cellStyles count="70">
    <cellStyle name="40% - Accent4 5 6" xfId="20" xr:uid="{F9CEECF4-9B64-4F9F-9F56-B2AECFF48655}"/>
    <cellStyle name="Comma" xfId="1" builtinId="3"/>
    <cellStyle name="Comma 10" xfId="7" xr:uid="{175B2149-2C54-41E3-AE16-65E13B7F9976}"/>
    <cellStyle name="Comma 10 2" xfId="50" xr:uid="{834CC7F5-FBAB-48DE-9373-C8EA64978C08}"/>
    <cellStyle name="Comma 10 2 2" xfId="19" xr:uid="{330493A0-E8C9-4492-A853-A53A80F8B1AF}"/>
    <cellStyle name="Comma 10 2 2 2" xfId="56" xr:uid="{5EF01ABC-A335-4D67-8195-4F7C7506C517}"/>
    <cellStyle name="Comma 10 5" xfId="28" xr:uid="{21298541-5F08-453B-90FB-CA4FBE781E02}"/>
    <cellStyle name="Comma 10 5 2" xfId="59" xr:uid="{4CE4FE20-C6F1-4ADB-9744-8F294D01D076}"/>
    <cellStyle name="Comma 2" xfId="27" xr:uid="{CCCD5B2F-F24F-42C2-9DAF-4437C0B6BA7D}"/>
    <cellStyle name="Comma 2 2" xfId="58" xr:uid="{884876BF-F227-42FD-A279-2C58FA3E5FB0}"/>
    <cellStyle name="Comma 2 2 2" xfId="8" xr:uid="{A2D41DFE-E691-4B9B-B501-DCC73EB302E7}"/>
    <cellStyle name="Comma 2 2 2 2" xfId="51" xr:uid="{F06FD7E8-9647-4DF7-A373-48DE1619A811}"/>
    <cellStyle name="Comma 2 2 2 3 2" xfId="16" xr:uid="{6147B721-F422-4479-862B-EA3E07359D34}"/>
    <cellStyle name="Comma 2 2 2 3 2 2" xfId="55" xr:uid="{A227229C-8987-4E7F-BCE2-669C033C9F82}"/>
    <cellStyle name="Comma 2 3 2" xfId="2" xr:uid="{0A506829-CE52-4A9C-B50F-D476236893E1}"/>
    <cellStyle name="Comma 2 3 2 2" xfId="25" xr:uid="{B1E7B006-EBE1-4D8F-AD99-477718C941F0}"/>
    <cellStyle name="Comma 2 3 2 2 2" xfId="57" xr:uid="{FD00A9FC-F3CF-48B8-887C-8DB11ABBE54D}"/>
    <cellStyle name="Comma 3" xfId="48" xr:uid="{E926CCFB-AE71-407A-9FE1-73BC59F360E7}"/>
    <cellStyle name="Comma 3 3" xfId="10" xr:uid="{DB9CA506-8071-4091-9FFC-AFE9A108F207}"/>
    <cellStyle name="Comma 3 3 2" xfId="11" xr:uid="{8D7A5E5B-87ED-47B0-9477-19403F70EFC7}"/>
    <cellStyle name="Comma 3 3 2 2" xfId="53" xr:uid="{0239F79F-CCB2-4339-A9A3-5F6473A9E2BF}"/>
    <cellStyle name="Comma 3 3 3" xfId="52" xr:uid="{A5A46B4B-5B74-4BF4-8DC2-A2ACD1A60E36}"/>
    <cellStyle name="Comma 34" xfId="42" xr:uid="{DC0D4659-0D57-4899-8F04-335AD2F79413}"/>
    <cellStyle name="Comma 34 2" xfId="63" xr:uid="{D4D99FF7-FBFF-4C1F-ABBD-E80CAD2EB3D3}"/>
    <cellStyle name="Comma 4 4 3" xfId="67" xr:uid="{4DDEAFB9-D5A0-4F92-A1CA-BCF089563A81}"/>
    <cellStyle name="Comma 5" xfId="31" xr:uid="{DD1E5283-9321-49BF-B7C2-8A3076D9B0C3}"/>
    <cellStyle name="Comma 5 2" xfId="60" xr:uid="{ED32B676-12EB-45CB-B908-DE3780CA7D38}"/>
    <cellStyle name="Comma 5 3" xfId="12" xr:uid="{739D3D6D-66F5-4B51-99D9-E7F46875BCBD}"/>
    <cellStyle name="Comma 5 3 2" xfId="54" xr:uid="{EFAC5549-D6F1-442D-9057-EFCCF4AE7DC4}"/>
    <cellStyle name="Comma 71" xfId="6" xr:uid="{14FA4AAD-00C7-4ECE-B62A-4E6BFA2F21E0}"/>
    <cellStyle name="Comma 71 2" xfId="49" xr:uid="{3880B102-8A0B-4918-B24D-1A6A2B9CE5B0}"/>
    <cellStyle name="Comma 84" xfId="34" xr:uid="{F0B84183-CC79-4927-B4BD-F5A33B4D7889}"/>
    <cellStyle name="Comma 84 2" xfId="61" xr:uid="{1920EFA0-F74F-4A6B-AA7D-2D3F5CF9F810}"/>
    <cellStyle name="Comma 86" xfId="37" xr:uid="{97A6E0A1-AB0B-45D6-8DD3-771FF74C96F4}"/>
    <cellStyle name="Normal" xfId="0" builtinId="0"/>
    <cellStyle name="Normal - Style1 15 2" xfId="9" xr:uid="{BA70CC50-5D76-4A9E-A98C-B97D8853765F}"/>
    <cellStyle name="Normal 10 2" xfId="21" xr:uid="{681C83F5-935C-4231-9858-4FE514F52380}"/>
    <cellStyle name="Normal 10 2 6 2" xfId="33" xr:uid="{7DB288F6-6307-474A-9F1C-8CCBCBF60F66}"/>
    <cellStyle name="Normal 11 4 2" xfId="66" xr:uid="{94BAAADC-988C-4946-8E45-47EDA9C8D662}"/>
    <cellStyle name="Normal 13" xfId="17" xr:uid="{CAEBFAC4-FBBA-41E4-8527-A988B610B465}"/>
    <cellStyle name="Normal 13 4" xfId="13" xr:uid="{A8649916-DE5B-4F22-A14A-0E9F794D167F}"/>
    <cellStyle name="Normal 13 5" xfId="35" xr:uid="{4CDCF88E-64CB-4930-8C70-CE70D978F920}"/>
    <cellStyle name="Normal 14 2 2" xfId="4" xr:uid="{F5D33D13-EE25-419B-B551-00029302274A}"/>
    <cellStyle name="Normal 2" xfId="24" xr:uid="{A5AEB81D-E128-42B5-9DCA-B58A7A9E4E54}"/>
    <cellStyle name="Normal 2 2 2" xfId="44" xr:uid="{7EBBB99B-D645-4645-8DA2-4A01DEFA3DDA}"/>
    <cellStyle name="Normal 2 2 2 2 3" xfId="45" xr:uid="{CD68E740-B714-447E-B475-B6DD375B340E}"/>
    <cellStyle name="Normal 2 5 2" xfId="46" xr:uid="{6435731F-CDF2-4DA9-B3EA-096D8751D71D}"/>
    <cellStyle name="Normal 2 6 2" xfId="18" xr:uid="{A92F3BEF-A226-4C60-A5BF-BB796C31ECB2}"/>
    <cellStyle name="Normal 2 8" xfId="40" xr:uid="{205BABE6-7420-45C8-BB88-634867F1DFA3}"/>
    <cellStyle name="Normal 20" xfId="14" xr:uid="{699FC1F5-31ED-40A2-9C4D-C61A8AD977E8}"/>
    <cellStyle name="Normal 25 2" xfId="47" xr:uid="{9C136FAA-AECA-4E20-B9AA-C2BF2301FFBF}"/>
    <cellStyle name="Normal 28" xfId="5" xr:uid="{CA5D05DD-C77E-4856-83DD-BC643E4480C1}"/>
    <cellStyle name="Normal 3" xfId="26" xr:uid="{77CDED09-FEA3-4792-BA26-A5B1324D1371}"/>
    <cellStyle name="Normal 3 104" xfId="41" xr:uid="{B25731B7-A3C7-4BB5-8C83-C75205E5A68D}"/>
    <cellStyle name="Normal 3 104 2" xfId="62" xr:uid="{8557CBD8-6977-489E-BFAB-CCCCCCC50F42}"/>
    <cellStyle name="Normal 3 2" xfId="30" xr:uid="{C1AFB525-E210-4D3A-AAC6-D35733C68D1A}"/>
    <cellStyle name="Normal 3 2 3" xfId="32" xr:uid="{06F64942-8E75-4BF3-8B33-DD1184CF76DC}"/>
    <cellStyle name="Normal 32 3" xfId="3" xr:uid="{7A616C39-77AE-49F9-BA17-87C95279A708}"/>
    <cellStyle name="Normal 34" xfId="36" xr:uid="{F3B18F6E-E4C6-4183-B3AE-58DDA9A0572B}"/>
    <cellStyle name="Normal 34 2 2" xfId="43" xr:uid="{63F88F37-657F-4E74-9B56-40605D016D1A}"/>
    <cellStyle name="Normal 37" xfId="23" xr:uid="{2DF58F07-7F31-4A91-88B9-317688CA52C8}"/>
    <cellStyle name="Normal 44" xfId="38" xr:uid="{13F6B45F-BC03-4FEB-B05E-02FFBDDF3978}"/>
    <cellStyle name="Normal 47" xfId="39" xr:uid="{9C208E8B-0F6D-4F59-A275-2C379A28B362}"/>
    <cellStyle name="Normal 6" xfId="22" xr:uid="{3910E86E-D875-41D6-B49D-7A76C4B1ECCC}"/>
    <cellStyle name="Normal_Busway quotation Cirputra" xfId="64" xr:uid="{15E03BD8-C7A0-468E-B1C3-864327050D2C}"/>
    <cellStyle name="Normal_DUTOAN_VnTime1_ver2" xfId="29" xr:uid="{59DC575D-F1C7-4446-956F-598D2BBD3DA7}"/>
    <cellStyle name="Normal_Schneider price (06-2-2009) thay doi he so 2" xfId="15" xr:uid="{F02360C1-2D46-4C4F-88E1-E75FF3EF72BD}"/>
    <cellStyle name="Normal_Sheet1 2" xfId="65" xr:uid="{7D45200A-CA05-4BEC-89F4-DC122858FE13}"/>
    <cellStyle name="Normal_Sheet1_lietkethietbisua 30-8-2010" xfId="69" xr:uid="{594CEBC4-E0C7-4864-B205-8DC9827C377B}"/>
    <cellStyle name="Percent 2 2 2 2" xfId="68" xr:uid="{9A10E0DF-2D93-4AB7-A887-1AEEAF43F1D0}"/>
  </cellStyles>
  <dxfs count="5">
    <dxf>
      <font>
        <color theme="0"/>
      </font>
    </dxf>
    <dxf>
      <font>
        <color theme="0"/>
      </font>
    </dxf>
    <dxf>
      <font>
        <color theme="0"/>
      </font>
    </dxf>
    <dxf>
      <font>
        <color theme="0"/>
      </font>
    </dxf>
    <dxf>
      <font>
        <color theme="0"/>
      </font>
    </dxf>
  </dxfs>
  <tableStyles count="0" defaultTableStyle="TableStyleMedium2" defaultPivotStyle="PivotStyleLight16"/>
  <colors>
    <mruColors>
      <color rgb="FFCCCCFF"/>
      <color rgb="FF0033CC"/>
      <color rgb="FF6666FF"/>
      <color rgb="FF9900FF"/>
      <color rgb="FFCCCC0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alcChain" Target="calcChain.xml"/><Relationship Id="rId10" Type="http://schemas.openxmlformats.org/officeDocument/2006/relationships/worksheet" Target="worksheets/sheet8.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 HT điện'!$I$106:$J$106</c:f>
              <c:strCache>
                <c:ptCount val="2"/>
                <c:pt idx="0">
                  <c:v>ACIT</c:v>
                </c:pt>
                <c:pt idx="1">
                  <c:v>Việt Nam</c:v>
                </c:pt>
              </c:strCache>
            </c:strRef>
          </c:tx>
          <c:spPr>
            <a:solidFill>
              <a:schemeClr val="accent1"/>
            </a:solidFill>
            <a:ln>
              <a:noFill/>
            </a:ln>
            <a:effectLst/>
          </c:spPr>
          <c:invertIfNegative val="0"/>
          <c:val>
            <c:numRef>
              <c:f>'1. HT điện'!$K$106:$R$106</c:f>
              <c:numCache>
                <c:formatCode>_(* #,##0_);_(* \(#,##0\);_(* "-"??_);_(@_)</c:formatCode>
                <c:ptCount val="8"/>
                <c:pt idx="0">
                  <c:v>1335886297.0199997</c:v>
                </c:pt>
                <c:pt idx="1">
                  <c:v>0</c:v>
                </c:pt>
                <c:pt idx="2">
                  <c:v>14464000.000000002</c:v>
                </c:pt>
                <c:pt idx="3">
                  <c:v>136218009.80000001</c:v>
                </c:pt>
                <c:pt idx="4">
                  <c:v>95352606.860000014</c:v>
                </c:pt>
                <c:pt idx="5">
                  <c:v>1581920913.6799998</c:v>
                </c:pt>
                <c:pt idx="6">
                  <c:v>1581920913.6799998</c:v>
                </c:pt>
                <c:pt idx="7">
                  <c:v>1581920913.6799998</c:v>
                </c:pt>
              </c:numCache>
            </c:numRef>
          </c:val>
          <c:extLst>
            <c:ext xmlns:c16="http://schemas.microsoft.com/office/drawing/2014/chart" uri="{C3380CC4-5D6E-409C-BE32-E72D297353CC}">
              <c16:uniqueId val="{00000000-DE3A-429F-84BE-5F413E06254B}"/>
            </c:ext>
          </c:extLst>
        </c:ser>
        <c:dLbls>
          <c:showLegendKey val="0"/>
          <c:showVal val="0"/>
          <c:showCatName val="0"/>
          <c:showSerName val="0"/>
          <c:showPercent val="0"/>
          <c:showBubbleSize val="0"/>
        </c:dLbls>
        <c:gapWidth val="219"/>
        <c:overlap val="-27"/>
        <c:axId val="1655805583"/>
        <c:axId val="1655805999"/>
      </c:barChart>
      <c:catAx>
        <c:axId val="16558055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05999"/>
        <c:crosses val="autoZero"/>
        <c:auto val="1"/>
        <c:lblAlgn val="ctr"/>
        <c:lblOffset val="100"/>
        <c:noMultiLvlLbl val="0"/>
      </c:catAx>
      <c:valAx>
        <c:axId val="16558059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0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 HT điện'!$I$106:$J$106</c:f>
              <c:strCache>
                <c:ptCount val="2"/>
                <c:pt idx="0">
                  <c:v>ACIT</c:v>
                </c:pt>
                <c:pt idx="1">
                  <c:v>Việt Nam</c:v>
                </c:pt>
              </c:strCache>
            </c:strRef>
          </c:tx>
          <c:spPr>
            <a:solidFill>
              <a:schemeClr val="accent1"/>
            </a:solidFill>
            <a:ln>
              <a:noFill/>
            </a:ln>
            <a:effectLst/>
          </c:spPr>
          <c:invertIfNegative val="0"/>
          <c:val>
            <c:numRef>
              <c:f>'1. HT điện'!$K$106:$R$106</c:f>
              <c:numCache>
                <c:formatCode>_(* #,##0_);_(* \(#,##0\);_(* "-"??_);_(@_)</c:formatCode>
                <c:ptCount val="8"/>
                <c:pt idx="0">
                  <c:v>1335886297.0199997</c:v>
                </c:pt>
                <c:pt idx="1">
                  <c:v>0</c:v>
                </c:pt>
                <c:pt idx="2">
                  <c:v>14464000.000000002</c:v>
                </c:pt>
                <c:pt idx="3">
                  <c:v>136218009.80000001</c:v>
                </c:pt>
                <c:pt idx="4">
                  <c:v>95352606.860000014</c:v>
                </c:pt>
                <c:pt idx="5">
                  <c:v>1581920913.6799998</c:v>
                </c:pt>
                <c:pt idx="6">
                  <c:v>1581920913.6799998</c:v>
                </c:pt>
                <c:pt idx="7">
                  <c:v>1581920913.6799998</c:v>
                </c:pt>
              </c:numCache>
            </c:numRef>
          </c:val>
          <c:extLst>
            <c:ext xmlns:c16="http://schemas.microsoft.com/office/drawing/2014/chart" uri="{C3380CC4-5D6E-409C-BE32-E72D297353CC}">
              <c16:uniqueId val="{00000000-BCEE-41A3-BA51-BB24CD943615}"/>
            </c:ext>
          </c:extLst>
        </c:ser>
        <c:dLbls>
          <c:showLegendKey val="0"/>
          <c:showVal val="0"/>
          <c:showCatName val="0"/>
          <c:showSerName val="0"/>
          <c:showPercent val="0"/>
          <c:showBubbleSize val="0"/>
        </c:dLbls>
        <c:gapWidth val="219"/>
        <c:overlap val="-27"/>
        <c:axId val="1661643087"/>
        <c:axId val="1661643503"/>
      </c:barChart>
      <c:catAx>
        <c:axId val="16616430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43503"/>
        <c:crosses val="autoZero"/>
        <c:auto val="1"/>
        <c:lblAlgn val="ctr"/>
        <c:lblOffset val="100"/>
        <c:noMultiLvlLbl val="0"/>
      </c:catAx>
      <c:valAx>
        <c:axId val="16616435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4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8058B9-7F3A-45C3-999C-7DEA490B4D12}">
  <sheetPr/>
  <sheetViews>
    <sheetView zoomScale="129"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3647A69-FA96-4885-922E-E15F0E4E2C34}">
  <sheetPr/>
  <sheetViews>
    <sheetView zoomScale="12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0" y="0"/>
    <xdr:ext cx="9310872" cy="6084186"/>
    <xdr:graphicFrame macro="">
      <xdr:nvGraphicFramePr>
        <xdr:cNvPr id="2" name="Chart 1">
          <a:extLst>
            <a:ext uri="{FF2B5EF4-FFF2-40B4-BE49-F238E27FC236}">
              <a16:creationId xmlns:a16="http://schemas.microsoft.com/office/drawing/2014/main" id="{256C4A6D-99F1-455A-805B-061EED04602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10872" cy="6084186"/>
    <xdr:graphicFrame macro="">
      <xdr:nvGraphicFramePr>
        <xdr:cNvPr id="2" name="Chart 1">
          <a:extLst>
            <a:ext uri="{FF2B5EF4-FFF2-40B4-BE49-F238E27FC236}">
              <a16:creationId xmlns:a16="http://schemas.microsoft.com/office/drawing/2014/main" id="{980BF1AF-7F6A-4B63-8F75-A58DA4BF743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oneCellAnchor>
    <xdr:from>
      <xdr:col>6</xdr:col>
      <xdr:colOff>1374321</xdr:colOff>
      <xdr:row>48</xdr:row>
      <xdr:rowOff>122464</xdr:rowOff>
    </xdr:from>
    <xdr:ext cx="495300" cy="0"/>
    <xdr:pic>
      <xdr:nvPicPr>
        <xdr:cNvPr id="2" name="Picture 3963" descr="9304U">
          <a:extLst>
            <a:ext uri="{FF2B5EF4-FFF2-40B4-BE49-F238E27FC236}">
              <a16:creationId xmlns:a16="http://schemas.microsoft.com/office/drawing/2014/main" id="{231B4EBF-ABB9-4F5F-B34D-995EC69BF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712" r="2740"/>
        <a:stretch>
          <a:fillRect/>
        </a:stretch>
      </xdr:blipFill>
      <xdr:spPr bwMode="auto">
        <a:xfrm>
          <a:off x="8156121" y="11163844"/>
          <a:ext cx="495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4F02-A009-4C1F-9CF7-92A20A089990}">
  <sheetPr>
    <pageSetUpPr fitToPage="1"/>
  </sheetPr>
  <dimension ref="A1:F17"/>
  <sheetViews>
    <sheetView showZeros="0" topLeftCell="A46" zoomScale="85" zoomScaleNormal="85" zoomScaleSheetLayoutView="100" workbookViewId="0">
      <selection activeCell="N70" sqref="N70"/>
    </sheetView>
  </sheetViews>
  <sheetFormatPr defaultColWidth="8.85546875" defaultRowHeight="15.75" outlineLevelRow="1"/>
  <cols>
    <col min="1" max="1" width="6.7109375" style="409" customWidth="1"/>
    <col min="2" max="3" width="40.7109375" style="410" customWidth="1"/>
    <col min="4" max="16384" width="8.85546875" style="398"/>
  </cols>
  <sheetData>
    <row r="1" spans="1:6" ht="25.15" customHeight="1">
      <c r="A1" s="659" t="s">
        <v>2569</v>
      </c>
      <c r="B1" s="659"/>
      <c r="C1" s="659"/>
      <c r="D1" s="397"/>
      <c r="E1" s="397"/>
      <c r="F1" s="397"/>
    </row>
    <row r="2" spans="1:6" ht="25.15" customHeight="1">
      <c r="A2" s="659" t="s">
        <v>2570</v>
      </c>
      <c r="B2" s="659"/>
      <c r="C2" s="659"/>
      <c r="D2" s="397"/>
      <c r="E2" s="397"/>
      <c r="F2" s="397"/>
    </row>
    <row r="3" spans="1:6" ht="25.15" customHeight="1">
      <c r="A3" s="659" t="s">
        <v>2571</v>
      </c>
      <c r="B3" s="659"/>
      <c r="C3" s="659"/>
      <c r="D3" s="397"/>
      <c r="E3" s="397"/>
      <c r="F3" s="397"/>
    </row>
    <row r="4" spans="1:6" ht="7.15" customHeight="1">
      <c r="A4" s="399"/>
      <c r="B4" s="400"/>
      <c r="C4" s="401"/>
    </row>
    <row r="5" spans="1:6" ht="34.9" customHeight="1">
      <c r="A5" s="402" t="s">
        <v>113</v>
      </c>
      <c r="B5" s="403" t="s">
        <v>2572</v>
      </c>
      <c r="C5" s="404" t="s">
        <v>2573</v>
      </c>
    </row>
    <row r="6" spans="1:6" ht="15.6" customHeight="1" outlineLevel="1">
      <c r="A6" s="405">
        <v>1</v>
      </c>
      <c r="B6" s="406" t="s">
        <v>2574</v>
      </c>
      <c r="C6" s="405" t="s">
        <v>2575</v>
      </c>
    </row>
    <row r="7" spans="1:6" ht="30" outlineLevel="1">
      <c r="A7" s="405">
        <v>2</v>
      </c>
      <c r="B7" s="407" t="s">
        <v>2576</v>
      </c>
      <c r="C7" s="405" t="s">
        <v>2577</v>
      </c>
    </row>
    <row r="8" spans="1:6" outlineLevel="1">
      <c r="A8" s="405">
        <v>3</v>
      </c>
      <c r="B8" s="407" t="s">
        <v>2578</v>
      </c>
      <c r="C8" s="405" t="s">
        <v>2579</v>
      </c>
    </row>
    <row r="9" spans="1:6" outlineLevel="1">
      <c r="A9" s="405">
        <v>4</v>
      </c>
      <c r="B9" s="407" t="s">
        <v>2580</v>
      </c>
      <c r="C9" s="405" t="s">
        <v>2581</v>
      </c>
    </row>
    <row r="10" spans="1:6" outlineLevel="1">
      <c r="A10" s="660">
        <v>5</v>
      </c>
      <c r="B10" s="662" t="s">
        <v>2582</v>
      </c>
      <c r="C10" s="405" t="s">
        <v>2575</v>
      </c>
    </row>
    <row r="11" spans="1:6" ht="105" outlineLevel="1">
      <c r="A11" s="661"/>
      <c r="B11" s="663"/>
      <c r="C11" s="405" t="s">
        <v>2583</v>
      </c>
    </row>
    <row r="12" spans="1:6" outlineLevel="1">
      <c r="A12" s="405">
        <v>6</v>
      </c>
      <c r="B12" s="407" t="s">
        <v>2584</v>
      </c>
      <c r="C12" s="405" t="s">
        <v>2585</v>
      </c>
    </row>
    <row r="13" spans="1:6" outlineLevel="1">
      <c r="A13" s="405">
        <v>7</v>
      </c>
      <c r="B13" s="407" t="s">
        <v>2586</v>
      </c>
      <c r="C13" s="405" t="s">
        <v>2587</v>
      </c>
    </row>
    <row r="14" spans="1:6" s="408" customFormat="1" outlineLevel="1">
      <c r="A14" s="405">
        <v>8</v>
      </c>
      <c r="B14" s="407" t="s">
        <v>2588</v>
      </c>
      <c r="C14" s="405" t="s">
        <v>2589</v>
      </c>
    </row>
    <row r="15" spans="1:6" s="408" customFormat="1" outlineLevel="1">
      <c r="A15" s="657">
        <v>9</v>
      </c>
      <c r="B15" s="658" t="s">
        <v>2590</v>
      </c>
      <c r="C15" s="405" t="s">
        <v>2591</v>
      </c>
    </row>
    <row r="16" spans="1:6" s="408" customFormat="1" ht="60" outlineLevel="1">
      <c r="A16" s="657"/>
      <c r="B16" s="658"/>
      <c r="C16" s="405" t="s">
        <v>2592</v>
      </c>
    </row>
    <row r="17" spans="1:3" s="408" customFormat="1">
      <c r="A17" s="409"/>
      <c r="B17" s="410"/>
      <c r="C17" s="410"/>
    </row>
  </sheetData>
  <mergeCells count="7">
    <mergeCell ref="A15:A16"/>
    <mergeCell ref="B15:B16"/>
    <mergeCell ref="A1:C1"/>
    <mergeCell ref="A2:C2"/>
    <mergeCell ref="A3:C3"/>
    <mergeCell ref="A10:A11"/>
    <mergeCell ref="B10:B11"/>
  </mergeCells>
  <printOptions horizontalCentered="1"/>
  <pageMargins left="0.78740157480314965" right="0.39370078740157483" top="0.59055118110236227" bottom="0.39370078740157483" header="0.19685039370078741" footer="3.937007874015748E-2"/>
  <pageSetup fitToHeight="100" orientation="portrait" horizontalDpi="1200" verticalDpi="1200" r:id="rId1"/>
  <headerFooter>
    <oddFooter>Page &amp;P&amp;R&amp;A</oddFooter>
  </headerFooter>
  <rowBreaks count="1" manualBreakCount="1">
    <brk id="16"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73FD-B098-4167-9378-C44DA6DA7810}">
  <sheetPr>
    <pageSetUpPr fitToPage="1"/>
  </sheetPr>
  <dimension ref="A1:E32"/>
  <sheetViews>
    <sheetView zoomScaleNormal="100" zoomScaleSheetLayoutView="85" workbookViewId="0">
      <selection activeCell="C23" sqref="C23"/>
    </sheetView>
  </sheetViews>
  <sheetFormatPr defaultColWidth="9.140625" defaultRowHeight="15"/>
  <cols>
    <col min="1" max="1" width="5.7109375" style="292" customWidth="1"/>
    <col min="2" max="2" width="50.7109375" style="292" customWidth="1"/>
    <col min="3" max="3" width="20.7109375" style="506" customWidth="1"/>
    <col min="4" max="4" width="20.7109375" style="508" customWidth="1"/>
    <col min="5" max="5" width="20.7109375" style="420" customWidth="1"/>
    <col min="6" max="16384" width="9.140625" style="292"/>
  </cols>
  <sheetData>
    <row r="1" spans="1:5">
      <c r="A1" s="411"/>
      <c r="B1" s="411"/>
      <c r="C1" s="417"/>
      <c r="D1" s="507"/>
      <c r="E1" s="412" t="s">
        <v>2310</v>
      </c>
    </row>
    <row r="2" spans="1:5">
      <c r="A2" s="664"/>
      <c r="B2" s="664"/>
      <c r="C2" s="664"/>
      <c r="D2" s="664"/>
      <c r="E2" s="664"/>
    </row>
    <row r="3" spans="1:5" ht="22.5">
      <c r="A3" s="665" t="s">
        <v>2324</v>
      </c>
      <c r="B3" s="665"/>
      <c r="C3" s="665"/>
      <c r="D3" s="665"/>
      <c r="E3" s="665"/>
    </row>
    <row r="4" spans="1:5">
      <c r="A4" s="411"/>
      <c r="B4" s="411"/>
      <c r="C4" s="417"/>
      <c r="D4" s="507"/>
      <c r="E4" s="418"/>
    </row>
    <row r="5" spans="1:5" s="293" customFormat="1" ht="14.25">
      <c r="A5" s="666" t="s">
        <v>731</v>
      </c>
      <c r="B5" s="666" t="s">
        <v>2311</v>
      </c>
      <c r="C5" s="667" t="s">
        <v>2312</v>
      </c>
      <c r="D5" s="667"/>
      <c r="E5" s="666" t="s">
        <v>5</v>
      </c>
    </row>
    <row r="6" spans="1:5" s="293" customFormat="1" ht="14.25">
      <c r="A6" s="666"/>
      <c r="B6" s="666"/>
      <c r="C6" s="294" t="s">
        <v>2313</v>
      </c>
      <c r="D6" s="466" t="s">
        <v>2314</v>
      </c>
      <c r="E6" s="666"/>
    </row>
    <row r="7" spans="1:5">
      <c r="A7" s="413" t="s">
        <v>111</v>
      </c>
      <c r="B7" s="414" t="s">
        <v>112</v>
      </c>
      <c r="C7" s="505">
        <f>C8+C9+C10+C11+C15</f>
        <v>151929297610.02573</v>
      </c>
      <c r="D7" s="503">
        <f>D8+D9+D10+D11+D15</f>
        <v>151929297610.02573</v>
      </c>
      <c r="E7" s="419"/>
    </row>
    <row r="8" spans="1:5">
      <c r="A8" s="415" t="s">
        <v>113</v>
      </c>
      <c r="B8" s="416" t="s">
        <v>2315</v>
      </c>
      <c r="C8" s="502">
        <f>'1. HT điện'!Q9</f>
        <v>76346265118.552505</v>
      </c>
      <c r="D8" s="504">
        <f>'1. HT điện'!R9</f>
        <v>76346265118.552505</v>
      </c>
      <c r="E8" s="415"/>
    </row>
    <row r="9" spans="1:5">
      <c r="A9" s="415" t="s">
        <v>114</v>
      </c>
      <c r="B9" s="416" t="s">
        <v>2316</v>
      </c>
      <c r="C9" s="502">
        <f>'2. HT điện nhẹ'!Q9</f>
        <v>2459021433.5238295</v>
      </c>
      <c r="D9" s="504">
        <f>'2. HT điện nhẹ'!R9</f>
        <v>2459021433.5238295</v>
      </c>
      <c r="E9" s="415"/>
    </row>
    <row r="10" spans="1:5">
      <c r="A10" s="415" t="s">
        <v>144</v>
      </c>
      <c r="B10" s="416" t="s">
        <v>2317</v>
      </c>
      <c r="C10" s="502">
        <f>'3. HT CTN'!Q9</f>
        <v>28952307779.670803</v>
      </c>
      <c r="D10" s="504">
        <f>'3. HT CTN'!R9</f>
        <v>28952307779.670803</v>
      </c>
      <c r="E10" s="415"/>
    </row>
    <row r="11" spans="1:5">
      <c r="A11" s="415" t="s">
        <v>483</v>
      </c>
      <c r="B11" s="416" t="s">
        <v>2318</v>
      </c>
      <c r="C11" s="502">
        <f>SUM(C12:C14)</f>
        <v>43107063476.485107</v>
      </c>
      <c r="D11" s="504">
        <f>SUM(D12:D14)</f>
        <v>43107063476.485107</v>
      </c>
      <c r="E11" s="415"/>
    </row>
    <row r="12" spans="1:5">
      <c r="A12" s="415" t="s">
        <v>2607</v>
      </c>
      <c r="B12" s="416" t="s">
        <v>2610</v>
      </c>
      <c r="C12" s="502">
        <f>'4.1 ĐH VRV'!AF9</f>
        <v>736700386.96527779</v>
      </c>
      <c r="D12" s="504">
        <f>'4.1 ĐH VRV'!AG9</f>
        <v>736700386.96527779</v>
      </c>
      <c r="E12" s="415"/>
    </row>
    <row r="13" spans="1:5">
      <c r="A13" s="415" t="s">
        <v>2608</v>
      </c>
      <c r="B13" s="416" t="s">
        <v>2611</v>
      </c>
      <c r="C13" s="502">
        <f>'4.2 Quạt'!AC9</f>
        <v>3207776308.8257575</v>
      </c>
      <c r="D13" s="504">
        <f>'4.2 Quạt'!AD9</f>
        <v>3207776308.8257575</v>
      </c>
      <c r="E13" s="415"/>
    </row>
    <row r="14" spans="1:5">
      <c r="A14" s="415" t="s">
        <v>2609</v>
      </c>
      <c r="B14" s="416" t="s">
        <v>2612</v>
      </c>
      <c r="C14" s="502">
        <f>'4.3 DHKK &amp; TG'!Q9</f>
        <v>39162586780.694069</v>
      </c>
      <c r="D14" s="504">
        <f>'4.3 DHKK &amp; TG'!R9</f>
        <v>39162586780.694069</v>
      </c>
      <c r="E14" s="415"/>
    </row>
    <row r="15" spans="1:5">
      <c r="A15" s="415" t="s">
        <v>516</v>
      </c>
      <c r="B15" s="416" t="s">
        <v>2319</v>
      </c>
      <c r="C15" s="502">
        <f>'5. Ngăn cháy lan'!Q9</f>
        <v>1064639801.7934849</v>
      </c>
      <c r="D15" s="504">
        <f>'5. Ngăn cháy lan'!R9</f>
        <v>1064639801.7934849</v>
      </c>
      <c r="E15" s="415"/>
    </row>
    <row r="16" spans="1:5" ht="28.5">
      <c r="A16" s="413" t="s">
        <v>1124</v>
      </c>
      <c r="B16" s="414" t="s">
        <v>2320</v>
      </c>
      <c r="C16" s="505">
        <f>C17+C18+C19+C20+C24</f>
        <v>0</v>
      </c>
      <c r="D16" s="503">
        <f>D17+D18+D19+D20+D24</f>
        <v>3712732952.873116</v>
      </c>
      <c r="E16" s="419"/>
    </row>
    <row r="17" spans="1:5">
      <c r="A17" s="415" t="s">
        <v>113</v>
      </c>
      <c r="B17" s="416" t="s">
        <v>2315</v>
      </c>
      <c r="C17" s="502">
        <f>'1. HT điện'!Q2682</f>
        <v>0</v>
      </c>
      <c r="D17" s="504">
        <f>'1. HT điện'!R2682</f>
        <v>42725529.600000001</v>
      </c>
      <c r="E17" s="415"/>
    </row>
    <row r="18" spans="1:5">
      <c r="A18" s="415" t="s">
        <v>114</v>
      </c>
      <c r="B18" s="416" t="s">
        <v>2316</v>
      </c>
      <c r="C18" s="502">
        <f>'2. HT điện nhẹ'!Q50</f>
        <v>0</v>
      </c>
      <c r="D18" s="504">
        <f>'2. HT điện nhẹ'!R50</f>
        <v>0</v>
      </c>
      <c r="E18" s="415"/>
    </row>
    <row r="19" spans="1:5">
      <c r="A19" s="415" t="s">
        <v>144</v>
      </c>
      <c r="B19" s="416" t="s">
        <v>2317</v>
      </c>
      <c r="C19" s="502">
        <f>'3. HT CTN'!Q814</f>
        <v>0</v>
      </c>
      <c r="D19" s="504">
        <f>'3. HT CTN'!R814</f>
        <v>55735678.389772713</v>
      </c>
      <c r="E19" s="415"/>
    </row>
    <row r="20" spans="1:5">
      <c r="A20" s="415" t="s">
        <v>483</v>
      </c>
      <c r="B20" s="416" t="s">
        <v>2318</v>
      </c>
      <c r="C20" s="502">
        <f>SUM(C21:C23)</f>
        <v>0</v>
      </c>
      <c r="D20" s="504">
        <f>SUM(D21:D23)</f>
        <v>3614271744.8833432</v>
      </c>
      <c r="E20" s="415"/>
    </row>
    <row r="21" spans="1:5">
      <c r="A21" s="415" t="s">
        <v>2607</v>
      </c>
      <c r="B21" s="416" t="s">
        <v>2610</v>
      </c>
      <c r="C21" s="502">
        <f>'4.1 ĐH VRV'!AF49</f>
        <v>0</v>
      </c>
      <c r="D21" s="504">
        <f>'4.1 ĐH VRV'!AG49</f>
        <v>0</v>
      </c>
      <c r="E21" s="415"/>
    </row>
    <row r="22" spans="1:5">
      <c r="A22" s="415" t="s">
        <v>2608</v>
      </c>
      <c r="B22" s="416" t="s">
        <v>2611</v>
      </c>
      <c r="C22" s="502">
        <f>'4.2 Quạt'!AC145</f>
        <v>0</v>
      </c>
      <c r="D22" s="504">
        <f>'4.2 Quạt'!AD145</f>
        <v>0</v>
      </c>
      <c r="E22" s="415"/>
    </row>
    <row r="23" spans="1:5">
      <c r="A23" s="415" t="s">
        <v>2609</v>
      </c>
      <c r="B23" s="416" t="s">
        <v>2612</v>
      </c>
      <c r="C23" s="502">
        <f>'4.3 DHKK &amp; TG'!Q1110</f>
        <v>0</v>
      </c>
      <c r="D23" s="504">
        <f>'4.3 DHKK &amp; TG'!R1110</f>
        <v>3614271744.8833432</v>
      </c>
      <c r="E23" s="415"/>
    </row>
    <row r="24" spans="1:5">
      <c r="A24" s="415" t="s">
        <v>516</v>
      </c>
      <c r="B24" s="416" t="s">
        <v>2319</v>
      </c>
      <c r="C24" s="502">
        <f>'5. Ngăn cháy lan'!Q25</f>
        <v>0</v>
      </c>
      <c r="D24" s="504">
        <f>'5. Ngăn cháy lan'!R25</f>
        <v>0</v>
      </c>
      <c r="E24" s="415"/>
    </row>
    <row r="25" spans="1:5" ht="28.5">
      <c r="A25" s="413" t="s">
        <v>2291</v>
      </c>
      <c r="B25" s="414" t="s">
        <v>2321</v>
      </c>
      <c r="C25" s="505">
        <f>C7+C16</f>
        <v>151929297610.02573</v>
      </c>
      <c r="D25" s="503">
        <f>D7+D16</f>
        <v>155642030562.89883</v>
      </c>
      <c r="E25" s="419"/>
    </row>
    <row r="26" spans="1:5">
      <c r="A26" s="415"/>
      <c r="B26" s="416" t="s">
        <v>2633</v>
      </c>
      <c r="C26" s="502">
        <f>C25*8%</f>
        <v>12154343808.802059</v>
      </c>
      <c r="D26" s="504">
        <f>D25*8%</f>
        <v>12451362445.031906</v>
      </c>
      <c r="E26" s="415"/>
    </row>
    <row r="27" spans="1:5">
      <c r="A27" s="413" t="s">
        <v>2322</v>
      </c>
      <c r="B27" s="414" t="s">
        <v>2323</v>
      </c>
      <c r="C27" s="505">
        <f>C25+C26</f>
        <v>164083641418.82779</v>
      </c>
      <c r="D27" s="503">
        <f>D25+D26</f>
        <v>168093393007.93073</v>
      </c>
      <c r="E27" s="419"/>
    </row>
    <row r="28" spans="1:5">
      <c r="A28" s="411"/>
      <c r="B28" s="411"/>
      <c r="C28" s="417"/>
      <c r="D28" s="507"/>
      <c r="E28" s="418"/>
    </row>
    <row r="29" spans="1:5">
      <c r="A29" s="664" t="s">
        <v>3680</v>
      </c>
      <c r="B29" s="664"/>
      <c r="C29" s="664"/>
      <c r="D29" s="664"/>
      <c r="E29" s="664"/>
    </row>
    <row r="30" spans="1:5">
      <c r="A30" s="412"/>
      <c r="B30" s="412"/>
      <c r="C30" s="412"/>
      <c r="D30" s="412"/>
      <c r="E30" s="412"/>
    </row>
    <row r="31" spans="1:5">
      <c r="A31" s="412"/>
      <c r="B31" s="412"/>
      <c r="C31" s="664" t="s">
        <v>3652</v>
      </c>
      <c r="D31" s="664"/>
      <c r="E31" s="664"/>
    </row>
    <row r="32" spans="1:5">
      <c r="A32" s="411"/>
      <c r="B32" s="411"/>
      <c r="C32" s="664" t="s">
        <v>2325</v>
      </c>
      <c r="D32" s="664"/>
      <c r="E32" s="664"/>
    </row>
  </sheetData>
  <mergeCells count="9">
    <mergeCell ref="A2:E2"/>
    <mergeCell ref="C32:E32"/>
    <mergeCell ref="A29:E29"/>
    <mergeCell ref="C31:E31"/>
    <mergeCell ref="A3:E3"/>
    <mergeCell ref="A5:A6"/>
    <mergeCell ref="B5:B6"/>
    <mergeCell ref="C5:D5"/>
    <mergeCell ref="E5:E6"/>
  </mergeCells>
  <phoneticPr fontId="22" type="noConversion"/>
  <printOptions horizontalCentered="1"/>
  <pageMargins left="0.39370078740157483" right="0.39370078740157483" top="0.59055118110236227" bottom="0.39370078740157483" header="0.19685039370078741" footer="0.19685039370078741"/>
  <pageSetup fitToHeight="100" orientation="landscape" horizontalDpi="1200" verticalDpi="1200" r:id="rId1"/>
  <headerFooter>
    <oddFooter>Page &amp;P&amp;R&amp;A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B1DD-61CD-406D-AE22-DE5739E5EFA3}">
  <sheetPr>
    <tabColor rgb="FF00B0F0"/>
    <pageSetUpPr fitToPage="1"/>
  </sheetPr>
  <dimension ref="A1:S2687"/>
  <sheetViews>
    <sheetView tabSelected="1" zoomScale="115" zoomScaleNormal="115" zoomScaleSheetLayoutView="70" workbookViewId="0">
      <pane xSplit="6" ySplit="8" topLeftCell="L2679" activePane="bottomRight" state="frozen"/>
      <selection pane="topRight" activeCell="G1" sqref="G1"/>
      <selection pane="bottomLeft" activeCell="A9" sqref="A9"/>
      <selection pane="bottomRight" activeCell="S2687" sqref="S2687"/>
    </sheetView>
  </sheetViews>
  <sheetFormatPr defaultColWidth="8.85546875" defaultRowHeight="15"/>
  <cols>
    <col min="1" max="1" width="5.7109375" style="322" customWidth="1"/>
    <col min="2" max="2" width="55.28515625" style="323" customWidth="1"/>
    <col min="3" max="3" width="9.140625" style="323" customWidth="1"/>
    <col min="4" max="4" width="10.7109375" style="348" customWidth="1"/>
    <col min="5" max="5" width="10.42578125" style="300" customWidth="1"/>
    <col min="6" max="6" width="9.7109375" style="343" customWidth="1"/>
    <col min="7" max="7" width="29.28515625" style="343" customWidth="1"/>
    <col min="8" max="8" width="12.28515625" style="343" customWidth="1"/>
    <col min="9" max="9" width="13" style="343" customWidth="1"/>
    <col min="10" max="10" width="12.7109375" style="343" customWidth="1"/>
    <col min="11" max="11" width="15.28515625" style="343" customWidth="1"/>
    <col min="12" max="12" width="12.42578125" style="343" customWidth="1"/>
    <col min="13" max="13" width="15.7109375" style="343" customWidth="1"/>
    <col min="14" max="15" width="14.28515625" style="343" customWidth="1"/>
    <col min="16" max="16" width="15.7109375" style="343" customWidth="1"/>
    <col min="17" max="17" width="16.28515625" style="299" customWidth="1"/>
    <col min="18" max="18" width="15.7109375" style="299" customWidth="1"/>
    <col min="19" max="19" width="20.7109375" style="343" customWidth="1"/>
    <col min="20" max="16384" width="8.85546875" style="91"/>
  </cols>
  <sheetData>
    <row r="1" spans="1:19">
      <c r="A1" s="2" t="s">
        <v>0</v>
      </c>
      <c r="B1" s="3"/>
      <c r="C1" s="4"/>
      <c r="E1" s="204"/>
    </row>
    <row r="2" spans="1:19">
      <c r="A2" s="2" t="s">
        <v>1</v>
      </c>
      <c r="B2" s="3"/>
      <c r="C2" s="4"/>
      <c r="E2" s="204"/>
    </row>
    <row r="3" spans="1:19">
      <c r="A3" s="2" t="s">
        <v>2</v>
      </c>
      <c r="B3" s="5"/>
      <c r="C3" s="6"/>
      <c r="E3" s="204"/>
    </row>
    <row r="4" spans="1:19">
      <c r="A4" s="7"/>
      <c r="B4" s="8"/>
      <c r="C4" s="9"/>
      <c r="E4" s="34"/>
      <c r="F4" s="325"/>
      <c r="G4" s="325"/>
      <c r="H4" s="325"/>
      <c r="I4" s="325"/>
      <c r="J4" s="325"/>
      <c r="K4" s="325"/>
      <c r="L4" s="325"/>
      <c r="M4" s="325"/>
      <c r="N4" s="325"/>
      <c r="O4" s="325"/>
      <c r="P4" s="325"/>
      <c r="S4" s="325"/>
    </row>
    <row r="5" spans="1:19">
      <c r="A5" s="671" t="s">
        <v>1864</v>
      </c>
      <c r="B5" s="672"/>
      <c r="C5" s="672"/>
      <c r="D5" s="672"/>
      <c r="E5" s="673"/>
      <c r="F5" s="686" t="s">
        <v>2325</v>
      </c>
      <c r="G5" s="686"/>
      <c r="H5" s="686"/>
      <c r="I5" s="686"/>
      <c r="J5" s="686"/>
      <c r="K5" s="686"/>
      <c r="L5" s="686"/>
      <c r="M5" s="686"/>
      <c r="N5" s="686"/>
      <c r="O5" s="686"/>
      <c r="P5" s="686"/>
      <c r="Q5" s="686"/>
      <c r="R5" s="686"/>
      <c r="S5" s="686"/>
    </row>
    <row r="6" spans="1:19">
      <c r="A6" s="669" t="s">
        <v>3</v>
      </c>
      <c r="B6" s="680" t="s">
        <v>1865</v>
      </c>
      <c r="C6" s="682" t="s">
        <v>4</v>
      </c>
      <c r="D6" s="684" t="s">
        <v>1866</v>
      </c>
      <c r="E6" s="674" t="s">
        <v>5</v>
      </c>
      <c r="F6" s="676" t="s">
        <v>1867</v>
      </c>
      <c r="G6" s="677" t="s">
        <v>1868</v>
      </c>
      <c r="H6" s="677"/>
      <c r="I6" s="677"/>
      <c r="J6" s="677"/>
      <c r="K6" s="677" t="s">
        <v>1869</v>
      </c>
      <c r="L6" s="677"/>
      <c r="M6" s="677"/>
      <c r="N6" s="677"/>
      <c r="O6" s="677"/>
      <c r="P6" s="677"/>
      <c r="Q6" s="678" t="s">
        <v>1870</v>
      </c>
      <c r="R6" s="679"/>
      <c r="S6" s="666" t="s">
        <v>5</v>
      </c>
    </row>
    <row r="7" spans="1:19" ht="28.5">
      <c r="A7" s="670"/>
      <c r="B7" s="681"/>
      <c r="C7" s="683"/>
      <c r="D7" s="685"/>
      <c r="E7" s="675"/>
      <c r="F7" s="676"/>
      <c r="G7" s="258" t="s">
        <v>1871</v>
      </c>
      <c r="H7" s="258" t="s">
        <v>1847</v>
      </c>
      <c r="I7" s="258" t="s">
        <v>1848</v>
      </c>
      <c r="J7" s="258" t="s">
        <v>1849</v>
      </c>
      <c r="K7" s="259" t="s">
        <v>1850</v>
      </c>
      <c r="L7" s="259" t="s">
        <v>1859</v>
      </c>
      <c r="M7" s="259" t="s">
        <v>1872</v>
      </c>
      <c r="N7" s="259" t="s">
        <v>1873</v>
      </c>
      <c r="O7" s="259" t="s">
        <v>1851</v>
      </c>
      <c r="P7" s="259" t="s">
        <v>1874</v>
      </c>
      <c r="Q7" s="294" t="s">
        <v>1875</v>
      </c>
      <c r="R7" s="294" t="s">
        <v>1876</v>
      </c>
      <c r="S7" s="666"/>
    </row>
    <row r="8" spans="1:19" ht="28.5">
      <c r="A8" s="224">
        <v>1</v>
      </c>
      <c r="B8" s="225">
        <v>2</v>
      </c>
      <c r="C8" s="226" t="s">
        <v>738</v>
      </c>
      <c r="D8" s="223">
        <v>4</v>
      </c>
      <c r="E8" s="227">
        <v>5</v>
      </c>
      <c r="F8" s="364">
        <v>6</v>
      </c>
      <c r="G8" s="228">
        <v>7</v>
      </c>
      <c r="H8" s="228">
        <v>8</v>
      </c>
      <c r="I8" s="228">
        <v>9</v>
      </c>
      <c r="J8" s="228">
        <v>10</v>
      </c>
      <c r="K8" s="228">
        <v>11</v>
      </c>
      <c r="L8" s="228">
        <v>12</v>
      </c>
      <c r="M8" s="228">
        <v>13</v>
      </c>
      <c r="N8" s="228">
        <v>14</v>
      </c>
      <c r="O8" s="228">
        <v>15</v>
      </c>
      <c r="P8" s="228" t="s">
        <v>1877</v>
      </c>
      <c r="Q8" s="344" t="s">
        <v>1878</v>
      </c>
      <c r="R8" s="344" t="s">
        <v>1879</v>
      </c>
      <c r="S8" s="228">
        <v>19</v>
      </c>
    </row>
    <row r="9" spans="1:19" s="93" customFormat="1" ht="14.25">
      <c r="A9" s="229" t="s">
        <v>111</v>
      </c>
      <c r="B9" s="230" t="s">
        <v>112</v>
      </c>
      <c r="C9" s="231"/>
      <c r="D9" s="380"/>
      <c r="E9" s="381"/>
      <c r="F9" s="382"/>
      <c r="G9" s="382"/>
      <c r="H9" s="382"/>
      <c r="I9" s="382"/>
      <c r="J9" s="382"/>
      <c r="K9" s="382"/>
      <c r="L9" s="382"/>
      <c r="M9" s="382"/>
      <c r="N9" s="382"/>
      <c r="O9" s="382"/>
      <c r="P9" s="382"/>
      <c r="Q9" s="384">
        <f>SUBTOTAL(9,Q10:Q2681)</f>
        <v>76346265118.552505</v>
      </c>
      <c r="R9" s="384">
        <f>SUBTOTAL(9,R10:R2681)</f>
        <v>76346265118.552505</v>
      </c>
      <c r="S9" s="382"/>
    </row>
    <row r="10" spans="1:19">
      <c r="A10" s="232" t="s">
        <v>113</v>
      </c>
      <c r="B10" s="233" t="s">
        <v>1852</v>
      </c>
      <c r="C10" s="233"/>
      <c r="D10" s="359"/>
      <c r="E10" s="301"/>
      <c r="F10" s="326"/>
      <c r="G10" s="367"/>
      <c r="H10" s="326"/>
      <c r="I10" s="326"/>
      <c r="J10" s="326"/>
      <c r="K10" s="326"/>
      <c r="L10" s="326"/>
      <c r="M10" s="326"/>
      <c r="N10" s="326"/>
      <c r="O10" s="326"/>
      <c r="P10" s="326"/>
      <c r="Q10" s="222"/>
      <c r="R10" s="222"/>
      <c r="S10" s="326"/>
    </row>
    <row r="11" spans="1:19" s="93" customFormat="1" ht="60">
      <c r="A11" s="10">
        <f>COUNT($A$10:$A10)+1</f>
        <v>1</v>
      </c>
      <c r="B11" s="157" t="s">
        <v>6</v>
      </c>
      <c r="C11" s="158" t="s">
        <v>7</v>
      </c>
      <c r="D11" s="360">
        <v>1</v>
      </c>
      <c r="E11" s="302"/>
      <c r="F11" s="360">
        <v>1</v>
      </c>
      <c r="G11" s="357" t="s">
        <v>2326</v>
      </c>
      <c r="H11" s="357"/>
      <c r="I11" s="357" t="s">
        <v>2327</v>
      </c>
      <c r="J11" s="358" t="s">
        <v>2328</v>
      </c>
      <c r="K11" s="311">
        <v>1520660433.5999999</v>
      </c>
      <c r="L11" s="311">
        <v>0</v>
      </c>
      <c r="M11" s="311">
        <v>21696000.000000004</v>
      </c>
      <c r="N11" s="311">
        <v>155522064</v>
      </c>
      <c r="O11" s="311">
        <v>108865444.80000001</v>
      </c>
      <c r="P11" s="68">
        <f>SUM(K11:O11)</f>
        <v>1806743942.3999999</v>
      </c>
      <c r="Q11" s="68">
        <f>D11*P11</f>
        <v>1806743942.3999999</v>
      </c>
      <c r="R11" s="127">
        <f>F11*P11</f>
        <v>1806743942.3999999</v>
      </c>
      <c r="S11" s="24"/>
    </row>
    <row r="12" spans="1:19">
      <c r="A12" s="11"/>
      <c r="B12" s="159" t="s">
        <v>1885</v>
      </c>
      <c r="C12" s="160" t="s">
        <v>8</v>
      </c>
      <c r="D12" s="361">
        <v>1</v>
      </c>
      <c r="E12" s="303"/>
      <c r="F12" s="361">
        <v>1</v>
      </c>
      <c r="G12" s="26"/>
      <c r="H12" s="26"/>
      <c r="I12" s="26"/>
      <c r="J12" s="26"/>
      <c r="K12" s="26"/>
      <c r="L12" s="26"/>
      <c r="M12" s="731"/>
      <c r="N12" s="733"/>
      <c r="O12" s="732"/>
      <c r="P12" s="731"/>
      <c r="Q12" s="66"/>
      <c r="R12" s="66"/>
      <c r="S12" s="26"/>
    </row>
    <row r="13" spans="1:19">
      <c r="A13" s="11"/>
      <c r="B13" s="161" t="s">
        <v>9</v>
      </c>
      <c r="C13" s="160"/>
      <c r="D13" s="361"/>
      <c r="E13" s="303"/>
      <c r="F13" s="361"/>
      <c r="G13" s="26"/>
      <c r="H13" s="26"/>
      <c r="I13" s="26"/>
      <c r="J13" s="26"/>
      <c r="K13" s="26"/>
      <c r="L13" s="26"/>
      <c r="M13" s="26"/>
      <c r="N13" s="26"/>
      <c r="O13" s="26"/>
      <c r="P13" s="26"/>
      <c r="Q13" s="66"/>
      <c r="R13" s="66"/>
      <c r="S13" s="26"/>
    </row>
    <row r="14" spans="1:19" ht="45">
      <c r="A14" s="11"/>
      <c r="B14" s="159" t="s">
        <v>10</v>
      </c>
      <c r="C14" s="160" t="s">
        <v>8</v>
      </c>
      <c r="D14" s="361">
        <v>2</v>
      </c>
      <c r="E14" s="303"/>
      <c r="F14" s="361">
        <v>2</v>
      </c>
      <c r="G14" s="26"/>
      <c r="H14" s="26"/>
      <c r="I14" s="26"/>
      <c r="J14" s="26"/>
      <c r="K14" s="26"/>
      <c r="L14" s="26"/>
      <c r="M14" s="26"/>
      <c r="N14" s="26"/>
      <c r="O14" s="26"/>
      <c r="P14" s="26"/>
      <c r="Q14" s="66"/>
      <c r="R14" s="66"/>
      <c r="S14" s="26"/>
    </row>
    <row r="15" spans="1:19">
      <c r="A15" s="11"/>
      <c r="B15" s="162" t="s">
        <v>11</v>
      </c>
      <c r="C15" s="160" t="s">
        <v>8</v>
      </c>
      <c r="D15" s="361">
        <v>2</v>
      </c>
      <c r="E15" s="303"/>
      <c r="F15" s="361">
        <v>2</v>
      </c>
      <c r="G15" s="26"/>
      <c r="H15" s="26"/>
      <c r="I15" s="26"/>
      <c r="J15" s="26"/>
      <c r="K15" s="26"/>
      <c r="L15" s="26"/>
      <c r="M15" s="26"/>
      <c r="N15" s="26"/>
      <c r="O15" s="26"/>
      <c r="P15" s="26"/>
      <c r="Q15" s="66"/>
      <c r="R15" s="66"/>
      <c r="S15" s="26"/>
    </row>
    <row r="16" spans="1:19">
      <c r="A16" s="11"/>
      <c r="B16" s="162" t="s">
        <v>12</v>
      </c>
      <c r="C16" s="160" t="s">
        <v>8</v>
      </c>
      <c r="D16" s="361">
        <v>2</v>
      </c>
      <c r="E16" s="303"/>
      <c r="F16" s="361">
        <v>2</v>
      </c>
      <c r="G16" s="26"/>
      <c r="H16" s="26"/>
      <c r="I16" s="26"/>
      <c r="J16" s="26"/>
      <c r="K16" s="26"/>
      <c r="L16" s="26"/>
      <c r="M16" s="26"/>
      <c r="N16" s="26"/>
      <c r="O16" s="26"/>
      <c r="P16" s="26"/>
      <c r="Q16" s="66"/>
      <c r="R16" s="66"/>
      <c r="S16" s="26"/>
    </row>
    <row r="17" spans="1:19">
      <c r="A17" s="11"/>
      <c r="B17" s="159" t="s">
        <v>13</v>
      </c>
      <c r="C17" s="160" t="s">
        <v>8</v>
      </c>
      <c r="D17" s="361">
        <v>2</v>
      </c>
      <c r="E17" s="303"/>
      <c r="F17" s="361">
        <v>2</v>
      </c>
      <c r="G17" s="26"/>
      <c r="H17" s="26"/>
      <c r="I17" s="26"/>
      <c r="J17" s="26"/>
      <c r="K17" s="26"/>
      <c r="L17" s="26"/>
      <c r="M17" s="26"/>
      <c r="N17" s="26"/>
      <c r="O17" s="26"/>
      <c r="P17" s="26"/>
      <c r="Q17" s="66"/>
      <c r="R17" s="66"/>
      <c r="S17" s="26"/>
    </row>
    <row r="18" spans="1:19">
      <c r="A18" s="11"/>
      <c r="B18" s="159" t="s">
        <v>14</v>
      </c>
      <c r="C18" s="160" t="s">
        <v>8</v>
      </c>
      <c r="D18" s="361">
        <v>2</v>
      </c>
      <c r="E18" s="303"/>
      <c r="F18" s="361">
        <v>2</v>
      </c>
      <c r="G18" s="26"/>
      <c r="H18" s="26"/>
      <c r="I18" s="26"/>
      <c r="J18" s="26"/>
      <c r="K18" s="26"/>
      <c r="L18" s="26"/>
      <c r="M18" s="26"/>
      <c r="N18" s="26"/>
      <c r="O18" s="26"/>
      <c r="P18" s="26"/>
      <c r="Q18" s="66"/>
      <c r="R18" s="66"/>
      <c r="S18" s="26"/>
    </row>
    <row r="19" spans="1:19">
      <c r="A19" s="11"/>
      <c r="B19" s="159" t="s">
        <v>15</v>
      </c>
      <c r="C19" s="160" t="s">
        <v>8</v>
      </c>
      <c r="D19" s="361">
        <v>2</v>
      </c>
      <c r="E19" s="303"/>
      <c r="F19" s="361">
        <v>2</v>
      </c>
      <c r="G19" s="26"/>
      <c r="H19" s="26"/>
      <c r="I19" s="26"/>
      <c r="J19" s="26"/>
      <c r="K19" s="26"/>
      <c r="L19" s="26"/>
      <c r="M19" s="26"/>
      <c r="N19" s="26"/>
      <c r="O19" s="26"/>
      <c r="P19" s="26"/>
      <c r="Q19" s="66"/>
      <c r="R19" s="66"/>
      <c r="S19" s="26"/>
    </row>
    <row r="20" spans="1:19">
      <c r="A20" s="11"/>
      <c r="B20" s="159" t="s">
        <v>16</v>
      </c>
      <c r="C20" s="160" t="s">
        <v>17</v>
      </c>
      <c r="D20" s="361">
        <v>1</v>
      </c>
      <c r="E20" s="303"/>
      <c r="F20" s="361">
        <v>1</v>
      </c>
      <c r="G20" s="26"/>
      <c r="H20" s="26"/>
      <c r="I20" s="26"/>
      <c r="J20" s="26"/>
      <c r="K20" s="26"/>
      <c r="L20" s="26"/>
      <c r="M20" s="26"/>
      <c r="N20" s="26"/>
      <c r="O20" s="26"/>
      <c r="P20" s="26"/>
      <c r="Q20" s="66"/>
      <c r="R20" s="66"/>
      <c r="S20" s="26"/>
    </row>
    <row r="21" spans="1:19">
      <c r="A21" s="11"/>
      <c r="B21" s="159" t="s">
        <v>18</v>
      </c>
      <c r="C21" s="160" t="s">
        <v>8</v>
      </c>
      <c r="D21" s="361">
        <v>6</v>
      </c>
      <c r="E21" s="303"/>
      <c r="F21" s="361">
        <v>6</v>
      </c>
      <c r="G21" s="26"/>
      <c r="H21" s="26"/>
      <c r="I21" s="26"/>
      <c r="J21" s="26"/>
      <c r="K21" s="26"/>
      <c r="L21" s="26"/>
      <c r="M21" s="26"/>
      <c r="N21" s="26"/>
      <c r="O21" s="26"/>
      <c r="P21" s="26"/>
      <c r="Q21" s="66"/>
      <c r="R21" s="66"/>
      <c r="S21" s="26"/>
    </row>
    <row r="22" spans="1:19">
      <c r="A22" s="13"/>
      <c r="B22" s="163" t="s">
        <v>19</v>
      </c>
      <c r="C22" s="164" t="s">
        <v>20</v>
      </c>
      <c r="D22" s="361">
        <v>12</v>
      </c>
      <c r="E22" s="303"/>
      <c r="F22" s="361">
        <v>12</v>
      </c>
      <c r="G22" s="26"/>
      <c r="H22" s="26"/>
      <c r="I22" s="26"/>
      <c r="J22" s="26"/>
      <c r="K22" s="26"/>
      <c r="L22" s="26"/>
      <c r="M22" s="26"/>
      <c r="N22" s="26"/>
      <c r="O22" s="26"/>
      <c r="P22" s="26"/>
      <c r="Q22" s="66"/>
      <c r="R22" s="66"/>
      <c r="S22" s="26"/>
    </row>
    <row r="23" spans="1:19">
      <c r="A23" s="13"/>
      <c r="B23" s="163" t="s">
        <v>21</v>
      </c>
      <c r="C23" s="164" t="s">
        <v>8</v>
      </c>
      <c r="D23" s="361">
        <v>2</v>
      </c>
      <c r="E23" s="303"/>
      <c r="F23" s="361">
        <v>2</v>
      </c>
      <c r="G23" s="26"/>
      <c r="H23" s="26"/>
      <c r="I23" s="26"/>
      <c r="J23" s="26"/>
      <c r="K23" s="26"/>
      <c r="L23" s="26"/>
      <c r="M23" s="26"/>
      <c r="N23" s="26"/>
      <c r="O23" s="26"/>
      <c r="P23" s="26"/>
      <c r="Q23" s="66"/>
      <c r="R23" s="66"/>
      <c r="S23" s="26"/>
    </row>
    <row r="24" spans="1:19">
      <c r="A24" s="13"/>
      <c r="B24" s="163" t="s">
        <v>22</v>
      </c>
      <c r="C24" s="164" t="s">
        <v>8</v>
      </c>
      <c r="D24" s="361">
        <v>2</v>
      </c>
      <c r="E24" s="303"/>
      <c r="F24" s="361">
        <v>2</v>
      </c>
      <c r="G24" s="26"/>
      <c r="H24" s="26"/>
      <c r="I24" s="26"/>
      <c r="J24" s="26"/>
      <c r="K24" s="26"/>
      <c r="L24" s="26"/>
      <c r="M24" s="26"/>
      <c r="N24" s="26"/>
      <c r="O24" s="26"/>
      <c r="P24" s="26"/>
      <c r="Q24" s="66"/>
      <c r="R24" s="66"/>
      <c r="S24" s="26"/>
    </row>
    <row r="25" spans="1:19">
      <c r="A25" s="13"/>
      <c r="B25" s="163" t="s">
        <v>23</v>
      </c>
      <c r="C25" s="164" t="s">
        <v>8</v>
      </c>
      <c r="D25" s="361">
        <v>6</v>
      </c>
      <c r="E25" s="303"/>
      <c r="F25" s="361">
        <v>6</v>
      </c>
      <c r="G25" s="26"/>
      <c r="H25" s="26"/>
      <c r="I25" s="26"/>
      <c r="J25" s="26"/>
      <c r="K25" s="26"/>
      <c r="L25" s="26"/>
      <c r="M25" s="26"/>
      <c r="N25" s="26"/>
      <c r="O25" s="26"/>
      <c r="P25" s="26"/>
      <c r="Q25" s="66"/>
      <c r="R25" s="66"/>
      <c r="S25" s="26"/>
    </row>
    <row r="26" spans="1:19">
      <c r="A26" s="11"/>
      <c r="B26" s="159" t="s">
        <v>24</v>
      </c>
      <c r="C26" s="160" t="s">
        <v>8</v>
      </c>
      <c r="D26" s="361">
        <v>6</v>
      </c>
      <c r="E26" s="303"/>
      <c r="F26" s="361">
        <v>6</v>
      </c>
      <c r="G26" s="26"/>
      <c r="H26" s="26"/>
      <c r="I26" s="26"/>
      <c r="J26" s="26"/>
      <c r="K26" s="26"/>
      <c r="L26" s="26"/>
      <c r="M26" s="26"/>
      <c r="N26" s="26"/>
      <c r="O26" s="26"/>
      <c r="P26" s="26"/>
      <c r="Q26" s="66"/>
      <c r="R26" s="66"/>
      <c r="S26" s="26"/>
    </row>
    <row r="27" spans="1:19">
      <c r="A27" s="11"/>
      <c r="B27" s="159" t="s">
        <v>25</v>
      </c>
      <c r="C27" s="165" t="s">
        <v>8</v>
      </c>
      <c r="D27" s="361">
        <v>18</v>
      </c>
      <c r="E27" s="303"/>
      <c r="F27" s="361">
        <v>18</v>
      </c>
      <c r="G27" s="26"/>
      <c r="H27" s="26"/>
      <c r="I27" s="26"/>
      <c r="J27" s="26"/>
      <c r="K27" s="26"/>
      <c r="L27" s="26"/>
      <c r="M27" s="26"/>
      <c r="N27" s="26"/>
      <c r="O27" s="26"/>
      <c r="P27" s="26"/>
      <c r="Q27" s="66"/>
      <c r="R27" s="66"/>
      <c r="S27" s="26"/>
    </row>
    <row r="28" spans="1:19">
      <c r="A28" s="11"/>
      <c r="B28" s="161" t="s">
        <v>26</v>
      </c>
      <c r="C28" s="160"/>
      <c r="D28" s="361"/>
      <c r="E28" s="303"/>
      <c r="F28" s="361"/>
      <c r="G28" s="26"/>
      <c r="H28" s="26"/>
      <c r="I28" s="26"/>
      <c r="J28" s="26"/>
      <c r="K28" s="26"/>
      <c r="L28" s="26"/>
      <c r="M28" s="26"/>
      <c r="N28" s="26"/>
      <c r="O28" s="26"/>
      <c r="P28" s="26"/>
      <c r="Q28" s="66"/>
      <c r="R28" s="66"/>
      <c r="S28" s="26"/>
    </row>
    <row r="29" spans="1:19">
      <c r="A29" s="11"/>
      <c r="B29" s="159" t="s">
        <v>27</v>
      </c>
      <c r="C29" s="160" t="s">
        <v>8</v>
      </c>
      <c r="D29" s="361">
        <v>1</v>
      </c>
      <c r="E29" s="303"/>
      <c r="F29" s="361">
        <v>1</v>
      </c>
      <c r="G29" s="26"/>
      <c r="H29" s="26"/>
      <c r="I29" s="26"/>
      <c r="J29" s="26"/>
      <c r="K29" s="26"/>
      <c r="L29" s="26"/>
      <c r="M29" s="26"/>
      <c r="N29" s="26"/>
      <c r="O29" s="26"/>
      <c r="P29" s="26"/>
      <c r="Q29" s="66"/>
      <c r="R29" s="66"/>
      <c r="S29" s="26"/>
    </row>
    <row r="30" spans="1:19">
      <c r="A30" s="11"/>
      <c r="B30" s="162" t="str">
        <f>"Motor sạc 220VAC cho " &amp;B29</f>
        <v xml:space="preserve">Motor sạc 220VAC cho ACB Fixed 4P 3000AT 3200AF 65kA </v>
      </c>
      <c r="C30" s="160" t="s">
        <v>8</v>
      </c>
      <c r="D30" s="361">
        <v>1</v>
      </c>
      <c r="E30" s="303"/>
      <c r="F30" s="361">
        <v>1</v>
      </c>
      <c r="G30" s="26"/>
      <c r="H30" s="26"/>
      <c r="I30" s="26"/>
      <c r="J30" s="26"/>
      <c r="K30" s="26"/>
      <c r="L30" s="26"/>
      <c r="M30" s="26"/>
      <c r="N30" s="26"/>
      <c r="O30" s="26"/>
      <c r="P30" s="26"/>
      <c r="Q30" s="66"/>
      <c r="R30" s="66"/>
      <c r="S30" s="26"/>
    </row>
    <row r="31" spans="1:19" ht="30">
      <c r="A31" s="11"/>
      <c r="B31" s="162" t="str">
        <f>"Cuộn đóng 220VAC cho " &amp;B29</f>
        <v xml:space="preserve">Cuộn đóng 220VAC cho ACB Fixed 4P 3000AT 3200AF 65kA </v>
      </c>
      <c r="C31" s="160" t="s">
        <v>8</v>
      </c>
      <c r="D31" s="361">
        <v>1</v>
      </c>
      <c r="E31" s="297"/>
      <c r="F31" s="361">
        <v>1</v>
      </c>
      <c r="G31" s="327"/>
      <c r="H31" s="327"/>
      <c r="I31" s="327"/>
      <c r="J31" s="327"/>
      <c r="K31" s="327"/>
      <c r="L31" s="327"/>
      <c r="M31" s="327"/>
      <c r="N31" s="327"/>
      <c r="O31" s="327"/>
      <c r="P31" s="327"/>
      <c r="Q31" s="66"/>
      <c r="R31" s="66"/>
      <c r="S31" s="26"/>
    </row>
    <row r="32" spans="1:19">
      <c r="A32" s="11"/>
      <c r="B32" s="159" t="s">
        <v>13</v>
      </c>
      <c r="C32" s="160" t="s">
        <v>8</v>
      </c>
      <c r="D32" s="361">
        <v>1</v>
      </c>
      <c r="E32" s="297"/>
      <c r="F32" s="361">
        <v>1</v>
      </c>
      <c r="G32" s="327"/>
      <c r="H32" s="327"/>
      <c r="I32" s="327"/>
      <c r="J32" s="327"/>
      <c r="K32" s="327"/>
      <c r="L32" s="327"/>
      <c r="M32" s="327"/>
      <c r="N32" s="327"/>
      <c r="O32" s="327"/>
      <c r="P32" s="327"/>
      <c r="Q32" s="66"/>
      <c r="R32" s="66"/>
      <c r="S32" s="26"/>
    </row>
    <row r="33" spans="1:19">
      <c r="A33" s="15"/>
      <c r="B33" s="166" t="s">
        <v>28</v>
      </c>
      <c r="C33" s="167" t="s">
        <v>8</v>
      </c>
      <c r="D33" s="361">
        <v>1</v>
      </c>
      <c r="E33" s="297"/>
      <c r="F33" s="361">
        <v>1</v>
      </c>
      <c r="G33" s="327"/>
      <c r="H33" s="327"/>
      <c r="I33" s="327"/>
      <c r="J33" s="327"/>
      <c r="K33" s="327"/>
      <c r="L33" s="327"/>
      <c r="M33" s="327"/>
      <c r="N33" s="327"/>
      <c r="O33" s="327"/>
      <c r="P33" s="327"/>
      <c r="Q33" s="66"/>
      <c r="R33" s="66"/>
      <c r="S33" s="26"/>
    </row>
    <row r="34" spans="1:19">
      <c r="A34" s="15"/>
      <c r="B34" s="162" t="str">
        <f>"Motor sạc 220VAC cho " &amp;B33</f>
        <v>Motor sạc 220VAC cho ACB 4P 1600AT 1600AF 65kA Fixed</v>
      </c>
      <c r="C34" s="103" t="s">
        <v>8</v>
      </c>
      <c r="D34" s="361">
        <v>1</v>
      </c>
      <c r="E34" s="297"/>
      <c r="F34" s="361">
        <v>1</v>
      </c>
      <c r="G34" s="327"/>
      <c r="H34" s="327"/>
      <c r="I34" s="327"/>
      <c r="J34" s="327"/>
      <c r="K34" s="327"/>
      <c r="L34" s="327"/>
      <c r="M34" s="327"/>
      <c r="N34" s="327"/>
      <c r="O34" s="327"/>
      <c r="P34" s="327"/>
      <c r="Q34" s="66"/>
      <c r="R34" s="66"/>
      <c r="S34" s="26"/>
    </row>
    <row r="35" spans="1:19" ht="30">
      <c r="A35" s="15"/>
      <c r="B35" s="162" t="str">
        <f>"Cuộn đóng 220VAC cho " &amp;B33</f>
        <v>Cuộn đóng 220VAC cho ACB 4P 1600AT 1600AF 65kA Fixed</v>
      </c>
      <c r="C35" s="103" t="s">
        <v>8</v>
      </c>
      <c r="D35" s="361">
        <v>1</v>
      </c>
      <c r="E35" s="297"/>
      <c r="F35" s="361">
        <v>1</v>
      </c>
      <c r="G35" s="327"/>
      <c r="H35" s="327"/>
      <c r="I35" s="327"/>
      <c r="J35" s="327"/>
      <c r="K35" s="327"/>
      <c r="L35" s="327"/>
      <c r="M35" s="327"/>
      <c r="N35" s="327"/>
      <c r="O35" s="327"/>
      <c r="P35" s="327"/>
      <c r="Q35" s="66"/>
      <c r="R35" s="66"/>
      <c r="S35" s="26"/>
    </row>
    <row r="36" spans="1:19">
      <c r="A36" s="15"/>
      <c r="B36" s="162" t="str">
        <f>"Cuộn cắt 220VAC cho " &amp;B33</f>
        <v>Cuộn cắt 220VAC cho ACB 4P 1600AT 1600AF 65kA Fixed</v>
      </c>
      <c r="C36" s="103" t="s">
        <v>8</v>
      </c>
      <c r="D36" s="361">
        <v>2</v>
      </c>
      <c r="E36" s="297"/>
      <c r="F36" s="361">
        <v>2</v>
      </c>
      <c r="G36" s="327"/>
      <c r="H36" s="327"/>
      <c r="I36" s="327"/>
      <c r="J36" s="327"/>
      <c r="K36" s="327"/>
      <c r="L36" s="327"/>
      <c r="M36" s="327"/>
      <c r="N36" s="327"/>
      <c r="O36" s="327"/>
      <c r="P36" s="327"/>
      <c r="Q36" s="66"/>
      <c r="R36" s="66"/>
      <c r="S36" s="26"/>
    </row>
    <row r="37" spans="1:19">
      <c r="A37" s="11"/>
      <c r="B37" s="159" t="s">
        <v>18</v>
      </c>
      <c r="C37" s="160" t="s">
        <v>8</v>
      </c>
      <c r="D37" s="361">
        <v>6</v>
      </c>
      <c r="E37" s="297"/>
      <c r="F37" s="361">
        <v>6</v>
      </c>
      <c r="G37" s="327"/>
      <c r="H37" s="327"/>
      <c r="I37" s="327"/>
      <c r="J37" s="327"/>
      <c r="K37" s="327"/>
      <c r="L37" s="327"/>
      <c r="M37" s="327"/>
      <c r="N37" s="327"/>
      <c r="O37" s="327"/>
      <c r="P37" s="327"/>
      <c r="Q37" s="66"/>
      <c r="R37" s="66"/>
      <c r="S37" s="26"/>
    </row>
    <row r="38" spans="1:19">
      <c r="A38" s="15"/>
      <c r="B38" s="162" t="s">
        <v>15</v>
      </c>
      <c r="C38" s="103" t="s">
        <v>8</v>
      </c>
      <c r="D38" s="361">
        <v>2</v>
      </c>
      <c r="E38" s="297"/>
      <c r="F38" s="361">
        <v>2</v>
      </c>
      <c r="G38" s="327"/>
      <c r="H38" s="327"/>
      <c r="I38" s="327"/>
      <c r="J38" s="327"/>
      <c r="K38" s="327"/>
      <c r="L38" s="327"/>
      <c r="M38" s="327"/>
      <c r="N38" s="327"/>
      <c r="O38" s="327"/>
      <c r="P38" s="327"/>
      <c r="Q38" s="66"/>
      <c r="R38" s="66"/>
      <c r="S38" s="26"/>
    </row>
    <row r="39" spans="1:19">
      <c r="A39" s="11"/>
      <c r="B39" s="159" t="s">
        <v>29</v>
      </c>
      <c r="C39" s="160" t="s">
        <v>8</v>
      </c>
      <c r="D39" s="361">
        <v>1</v>
      </c>
      <c r="E39" s="297"/>
      <c r="F39" s="361">
        <v>1</v>
      </c>
      <c r="G39" s="327"/>
      <c r="H39" s="327"/>
      <c r="I39" s="327"/>
      <c r="J39" s="327"/>
      <c r="K39" s="327"/>
      <c r="L39" s="327"/>
      <c r="M39" s="327"/>
      <c r="N39" s="327"/>
      <c r="O39" s="327"/>
      <c r="P39" s="327"/>
      <c r="Q39" s="66"/>
      <c r="R39" s="66"/>
      <c r="S39" s="26"/>
    </row>
    <row r="40" spans="1:19" ht="30">
      <c r="A40" s="15"/>
      <c r="B40" s="162" t="str">
        <f>"Tiếp điểm báo trạng thái cho " &amp;B39</f>
        <v>Tiếp điểm báo trạng thái cho MCCB 4P 1250AT 1250AF 50kA</v>
      </c>
      <c r="C40" s="103" t="s">
        <v>8</v>
      </c>
      <c r="D40" s="361">
        <v>2</v>
      </c>
      <c r="E40" s="297"/>
      <c r="F40" s="361">
        <v>2</v>
      </c>
      <c r="G40" s="327"/>
      <c r="H40" s="327"/>
      <c r="I40" s="327"/>
      <c r="J40" s="327"/>
      <c r="K40" s="327"/>
      <c r="L40" s="327"/>
      <c r="M40" s="327"/>
      <c r="N40" s="327"/>
      <c r="O40" s="327"/>
      <c r="P40" s="327"/>
      <c r="Q40" s="66"/>
      <c r="R40" s="66"/>
      <c r="S40" s="26"/>
    </row>
    <row r="41" spans="1:19">
      <c r="A41" s="11"/>
      <c r="B41" s="159" t="s">
        <v>30</v>
      </c>
      <c r="C41" s="160" t="s">
        <v>8</v>
      </c>
      <c r="D41" s="361">
        <v>1</v>
      </c>
      <c r="E41" s="304"/>
      <c r="F41" s="361">
        <v>1</v>
      </c>
      <c r="G41" s="328"/>
      <c r="H41" s="328"/>
      <c r="I41" s="328"/>
      <c r="J41" s="328"/>
      <c r="K41" s="328"/>
      <c r="L41" s="328"/>
      <c r="M41" s="328"/>
      <c r="N41" s="328"/>
      <c r="O41" s="328"/>
      <c r="P41" s="328"/>
      <c r="Q41" s="65"/>
      <c r="R41" s="65"/>
      <c r="S41" s="24"/>
    </row>
    <row r="42" spans="1:19" ht="30">
      <c r="A42" s="15"/>
      <c r="B42" s="162" t="str">
        <f>"Tiếp điểm báo trạng thái cho " &amp;B41</f>
        <v>Tiếp điểm báo trạng thái cho MCCB 4P 1000AT 1000AF 50kA</v>
      </c>
      <c r="C42" s="103" t="s">
        <v>8</v>
      </c>
      <c r="D42" s="361">
        <v>2</v>
      </c>
      <c r="E42" s="304"/>
      <c r="F42" s="361">
        <v>2</v>
      </c>
      <c r="G42" s="328"/>
      <c r="H42" s="328"/>
      <c r="I42" s="328"/>
      <c r="J42" s="328"/>
      <c r="K42" s="328"/>
      <c r="L42" s="328"/>
      <c r="M42" s="328"/>
      <c r="N42" s="328"/>
      <c r="O42" s="328"/>
      <c r="P42" s="328"/>
      <c r="Q42" s="65"/>
      <c r="R42" s="65"/>
      <c r="S42" s="24"/>
    </row>
    <row r="43" spans="1:19">
      <c r="A43" s="11"/>
      <c r="B43" s="159" t="s">
        <v>31</v>
      </c>
      <c r="C43" s="160" t="s">
        <v>8</v>
      </c>
      <c r="D43" s="361">
        <v>2</v>
      </c>
      <c r="E43" s="297"/>
      <c r="F43" s="361">
        <v>2</v>
      </c>
      <c r="G43" s="327"/>
      <c r="H43" s="327"/>
      <c r="I43" s="327"/>
      <c r="J43" s="327"/>
      <c r="K43" s="327"/>
      <c r="L43" s="327"/>
      <c r="M43" s="327"/>
      <c r="N43" s="327"/>
      <c r="O43" s="327"/>
      <c r="P43" s="327"/>
      <c r="Q43" s="66"/>
      <c r="R43" s="66"/>
      <c r="S43" s="26"/>
    </row>
    <row r="44" spans="1:19">
      <c r="A44" s="15"/>
      <c r="B44" s="162" t="str">
        <f>"Tiếp điểm báo trạng thái cho " &amp;B43</f>
        <v>Tiếp điểm báo trạng thái cho MCCB 4P 400AT 400AF 50kA</v>
      </c>
      <c r="C44" s="103" t="s">
        <v>8</v>
      </c>
      <c r="D44" s="361">
        <v>4</v>
      </c>
      <c r="E44" s="303"/>
      <c r="F44" s="361">
        <v>4</v>
      </c>
      <c r="G44" s="26"/>
      <c r="H44" s="26"/>
      <c r="I44" s="26"/>
      <c r="J44" s="26"/>
      <c r="K44" s="26"/>
      <c r="L44" s="26"/>
      <c r="M44" s="26"/>
      <c r="N44" s="26"/>
      <c r="O44" s="26"/>
      <c r="P44" s="26"/>
      <c r="Q44" s="66"/>
      <c r="R44" s="66"/>
      <c r="S44" s="26"/>
    </row>
    <row r="45" spans="1:19">
      <c r="A45" s="11"/>
      <c r="B45" s="159" t="s">
        <v>32</v>
      </c>
      <c r="C45" s="160" t="s">
        <v>8</v>
      </c>
      <c r="D45" s="361">
        <v>1</v>
      </c>
      <c r="E45" s="303"/>
      <c r="F45" s="361">
        <v>1</v>
      </c>
      <c r="G45" s="26"/>
      <c r="H45" s="26"/>
      <c r="I45" s="26"/>
      <c r="J45" s="26"/>
      <c r="K45" s="26"/>
      <c r="L45" s="26"/>
      <c r="M45" s="26"/>
      <c r="N45" s="26"/>
      <c r="O45" s="26"/>
      <c r="P45" s="26"/>
      <c r="Q45" s="66"/>
      <c r="R45" s="66"/>
      <c r="S45" s="26"/>
    </row>
    <row r="46" spans="1:19">
      <c r="A46" s="15"/>
      <c r="B46" s="162" t="str">
        <f>"Tiếp điểm báo trạng thái cho " &amp;B45</f>
        <v>Tiếp điểm báo trạng thái cho MCCB 4P 320AT 400AF 50kA</v>
      </c>
      <c r="C46" s="103" t="s">
        <v>8</v>
      </c>
      <c r="D46" s="361">
        <v>2</v>
      </c>
      <c r="E46" s="303"/>
      <c r="F46" s="361">
        <v>2</v>
      </c>
      <c r="G46" s="26"/>
      <c r="H46" s="26"/>
      <c r="I46" s="26"/>
      <c r="J46" s="26"/>
      <c r="K46" s="26"/>
      <c r="L46" s="26"/>
      <c r="M46" s="26"/>
      <c r="N46" s="26"/>
      <c r="O46" s="26"/>
      <c r="P46" s="26"/>
      <c r="Q46" s="66"/>
      <c r="R46" s="66"/>
      <c r="S46" s="26"/>
    </row>
    <row r="47" spans="1:19">
      <c r="A47" s="11"/>
      <c r="B47" s="159" t="s">
        <v>33</v>
      </c>
      <c r="C47" s="160" t="s">
        <v>8</v>
      </c>
      <c r="D47" s="361">
        <v>1</v>
      </c>
      <c r="E47" s="303"/>
      <c r="F47" s="361">
        <v>1</v>
      </c>
      <c r="G47" s="26"/>
      <c r="H47" s="26"/>
      <c r="I47" s="26"/>
      <c r="J47" s="26"/>
      <c r="K47" s="26"/>
      <c r="L47" s="26"/>
      <c r="M47" s="26"/>
      <c r="N47" s="26"/>
      <c r="O47" s="26"/>
      <c r="P47" s="26"/>
      <c r="Q47" s="66"/>
      <c r="R47" s="66"/>
      <c r="S47" s="26"/>
    </row>
    <row r="48" spans="1:19">
      <c r="A48" s="15"/>
      <c r="B48" s="162" t="str">
        <f>"Tiếp điểm báo trạng thái cho " &amp;B47</f>
        <v>Tiếp điểm báo trạng thái cho MCCB 4P 250AT 250AF 50kA</v>
      </c>
      <c r="C48" s="103" t="s">
        <v>8</v>
      </c>
      <c r="D48" s="361">
        <v>2</v>
      </c>
      <c r="E48" s="303"/>
      <c r="F48" s="361">
        <v>2</v>
      </c>
      <c r="G48" s="26"/>
      <c r="H48" s="26"/>
      <c r="I48" s="26"/>
      <c r="J48" s="26"/>
      <c r="K48" s="26"/>
      <c r="L48" s="26"/>
      <c r="M48" s="26"/>
      <c r="N48" s="26"/>
      <c r="O48" s="26"/>
      <c r="P48" s="26"/>
      <c r="Q48" s="66"/>
      <c r="R48" s="66"/>
      <c r="S48" s="26"/>
    </row>
    <row r="49" spans="1:19">
      <c r="A49" s="11"/>
      <c r="B49" s="159" t="s">
        <v>34</v>
      </c>
      <c r="C49" s="160" t="s">
        <v>17</v>
      </c>
      <c r="D49" s="361">
        <v>1</v>
      </c>
      <c r="E49" s="303"/>
      <c r="F49" s="361">
        <v>1</v>
      </c>
      <c r="G49" s="26"/>
      <c r="H49" s="26"/>
      <c r="I49" s="26"/>
      <c r="J49" s="26"/>
      <c r="K49" s="26"/>
      <c r="L49" s="26"/>
      <c r="M49" s="26"/>
      <c r="N49" s="26"/>
      <c r="O49" s="26"/>
      <c r="P49" s="26"/>
      <c r="Q49" s="66"/>
      <c r="R49" s="66"/>
      <c r="S49" s="26"/>
    </row>
    <row r="50" spans="1:19">
      <c r="A50" s="11"/>
      <c r="B50" s="168" t="s">
        <v>35</v>
      </c>
      <c r="C50" s="169" t="s">
        <v>17</v>
      </c>
      <c r="D50" s="361">
        <v>1</v>
      </c>
      <c r="E50" s="303"/>
      <c r="F50" s="361">
        <v>1</v>
      </c>
      <c r="G50" s="26"/>
      <c r="H50" s="26"/>
      <c r="I50" s="26"/>
      <c r="J50" s="26"/>
      <c r="K50" s="26"/>
      <c r="L50" s="26"/>
      <c r="M50" s="26"/>
      <c r="N50" s="26"/>
      <c r="O50" s="26"/>
      <c r="P50" s="26"/>
      <c r="Q50" s="66"/>
      <c r="R50" s="66"/>
      <c r="S50" s="26"/>
    </row>
    <row r="51" spans="1:19" ht="30">
      <c r="A51" s="15"/>
      <c r="B51" s="170" t="s">
        <v>36</v>
      </c>
      <c r="C51" s="171" t="s">
        <v>17</v>
      </c>
      <c r="D51" s="361">
        <v>1</v>
      </c>
      <c r="E51" s="303"/>
      <c r="F51" s="361">
        <v>1</v>
      </c>
      <c r="G51" s="26"/>
      <c r="H51" s="26"/>
      <c r="I51" s="26"/>
      <c r="J51" s="26"/>
      <c r="K51" s="26"/>
      <c r="L51" s="26"/>
      <c r="M51" s="26"/>
      <c r="N51" s="26"/>
      <c r="O51" s="26"/>
      <c r="P51" s="26"/>
      <c r="Q51" s="66"/>
      <c r="R51" s="66"/>
      <c r="S51" s="26"/>
    </row>
    <row r="52" spans="1:19" ht="30">
      <c r="A52" s="15"/>
      <c r="B52" s="170" t="s">
        <v>37</v>
      </c>
      <c r="C52" s="171" t="s">
        <v>17</v>
      </c>
      <c r="D52" s="361">
        <v>1</v>
      </c>
      <c r="E52" s="303"/>
      <c r="F52" s="361">
        <v>1</v>
      </c>
      <c r="G52" s="26"/>
      <c r="H52" s="26"/>
      <c r="I52" s="26"/>
      <c r="J52" s="26"/>
      <c r="K52" s="26"/>
      <c r="L52" s="26"/>
      <c r="M52" s="26"/>
      <c r="N52" s="26"/>
      <c r="O52" s="26"/>
      <c r="P52" s="26"/>
      <c r="Q52" s="66"/>
      <c r="R52" s="66"/>
      <c r="S52" s="26"/>
    </row>
    <row r="53" spans="1:19">
      <c r="A53" s="11"/>
      <c r="B53" s="168" t="s">
        <v>38</v>
      </c>
      <c r="C53" s="169" t="s">
        <v>7</v>
      </c>
      <c r="D53" s="361">
        <v>1</v>
      </c>
      <c r="E53" s="303"/>
      <c r="F53" s="361">
        <v>1</v>
      </c>
      <c r="G53" s="26"/>
      <c r="H53" s="26"/>
      <c r="I53" s="26"/>
      <c r="J53" s="26"/>
      <c r="K53" s="26"/>
      <c r="L53" s="26"/>
      <c r="M53" s="26"/>
      <c r="N53" s="26"/>
      <c r="O53" s="26"/>
      <c r="P53" s="26"/>
      <c r="Q53" s="66"/>
      <c r="R53" s="66"/>
      <c r="S53" s="26"/>
    </row>
    <row r="54" spans="1:19" s="93" customFormat="1" ht="60">
      <c r="A54" s="18">
        <f>COUNT($A$10:$A53)+1</f>
        <v>2</v>
      </c>
      <c r="B54" s="161" t="s">
        <v>39</v>
      </c>
      <c r="C54" s="172" t="s">
        <v>7</v>
      </c>
      <c r="D54" s="360">
        <v>1</v>
      </c>
      <c r="E54" s="302"/>
      <c r="F54" s="360">
        <v>1</v>
      </c>
      <c r="G54" s="357" t="s">
        <v>2326</v>
      </c>
      <c r="H54" s="357"/>
      <c r="I54" s="357" t="s">
        <v>2327</v>
      </c>
      <c r="J54" s="358" t="s">
        <v>2328</v>
      </c>
      <c r="K54" s="311">
        <v>180125228.24999997</v>
      </c>
      <c r="L54" s="311">
        <v>0</v>
      </c>
      <c r="M54" s="311">
        <v>10848000.000000002</v>
      </c>
      <c r="N54" s="311">
        <v>19154467.5</v>
      </c>
      <c r="O54" s="311">
        <v>13408127.250000002</v>
      </c>
      <c r="P54" s="68">
        <f>SUM(K54:O54)</f>
        <v>223535822.99999997</v>
      </c>
      <c r="Q54" s="68">
        <f>D54*P54</f>
        <v>223535822.99999997</v>
      </c>
      <c r="R54" s="127">
        <f>F54*P54</f>
        <v>223535822.99999997</v>
      </c>
      <c r="S54" s="24"/>
    </row>
    <row r="55" spans="1:19">
      <c r="A55" s="11"/>
      <c r="B55" s="159" t="s">
        <v>1885</v>
      </c>
      <c r="C55" s="160" t="s">
        <v>8</v>
      </c>
      <c r="D55" s="361">
        <v>1</v>
      </c>
      <c r="E55" s="303"/>
      <c r="F55" s="361">
        <v>1</v>
      </c>
      <c r="G55" s="26"/>
      <c r="H55" s="26"/>
      <c r="I55" s="26"/>
      <c r="J55" s="26"/>
      <c r="K55" s="26"/>
      <c r="L55" s="26"/>
      <c r="M55" s="26"/>
      <c r="N55" s="734"/>
      <c r="O55" s="734"/>
      <c r="P55" s="26"/>
      <c r="Q55" s="66"/>
      <c r="R55" s="66"/>
      <c r="S55" s="26"/>
    </row>
    <row r="56" spans="1:19">
      <c r="A56" s="11"/>
      <c r="B56" s="161" t="s">
        <v>9</v>
      </c>
      <c r="C56" s="160"/>
      <c r="D56" s="361"/>
      <c r="E56" s="303"/>
      <c r="F56" s="361"/>
      <c r="G56" s="26"/>
      <c r="H56" s="26"/>
      <c r="I56" s="26"/>
      <c r="J56" s="26"/>
      <c r="K56" s="26"/>
      <c r="L56" s="26"/>
      <c r="M56" s="26"/>
      <c r="N56" s="26"/>
      <c r="O56" s="26"/>
      <c r="P56" s="26"/>
      <c r="Q56" s="66"/>
      <c r="R56" s="66"/>
      <c r="S56" s="26"/>
    </row>
    <row r="57" spans="1:19" ht="30">
      <c r="A57" s="11"/>
      <c r="B57" s="159" t="s">
        <v>40</v>
      </c>
      <c r="C57" s="160" t="s">
        <v>8</v>
      </c>
      <c r="D57" s="361">
        <v>1</v>
      </c>
      <c r="E57" s="303"/>
      <c r="F57" s="361">
        <v>1</v>
      </c>
      <c r="G57" s="26"/>
      <c r="H57" s="26"/>
      <c r="I57" s="26"/>
      <c r="J57" s="26"/>
      <c r="K57" s="26"/>
      <c r="L57" s="26"/>
      <c r="M57" s="26"/>
      <c r="N57" s="26"/>
      <c r="O57" s="26"/>
      <c r="P57" s="26"/>
      <c r="Q57" s="66"/>
      <c r="R57" s="66"/>
      <c r="S57" s="26"/>
    </row>
    <row r="58" spans="1:19">
      <c r="A58" s="15"/>
      <c r="B58" s="162" t="s">
        <v>41</v>
      </c>
      <c r="C58" s="103" t="s">
        <v>8</v>
      </c>
      <c r="D58" s="361">
        <v>2</v>
      </c>
      <c r="E58" s="303"/>
      <c r="F58" s="361">
        <v>2</v>
      </c>
      <c r="G58" s="26"/>
      <c r="H58" s="26"/>
      <c r="I58" s="26"/>
      <c r="J58" s="26"/>
      <c r="K58" s="26"/>
      <c r="L58" s="26"/>
      <c r="M58" s="26"/>
      <c r="N58" s="26"/>
      <c r="O58" s="26"/>
      <c r="P58" s="26"/>
      <c r="Q58" s="66"/>
      <c r="R58" s="66"/>
      <c r="S58" s="26"/>
    </row>
    <row r="59" spans="1:19">
      <c r="A59" s="15"/>
      <c r="B59" s="162" t="s">
        <v>42</v>
      </c>
      <c r="C59" s="103" t="s">
        <v>8</v>
      </c>
      <c r="D59" s="361">
        <v>2</v>
      </c>
      <c r="E59" s="303"/>
      <c r="F59" s="361">
        <v>2</v>
      </c>
      <c r="G59" s="26"/>
      <c r="H59" s="26"/>
      <c r="I59" s="26"/>
      <c r="J59" s="26"/>
      <c r="K59" s="26"/>
      <c r="L59" s="26"/>
      <c r="M59" s="26"/>
      <c r="N59" s="26"/>
      <c r="O59" s="26"/>
      <c r="P59" s="26"/>
      <c r="Q59" s="66"/>
      <c r="R59" s="66"/>
      <c r="S59" s="26"/>
    </row>
    <row r="60" spans="1:19">
      <c r="A60" s="11"/>
      <c r="B60" s="159" t="s">
        <v>43</v>
      </c>
      <c r="C60" s="160" t="s">
        <v>8</v>
      </c>
      <c r="D60" s="361">
        <v>1</v>
      </c>
      <c r="E60" s="303"/>
      <c r="F60" s="361">
        <v>1</v>
      </c>
      <c r="G60" s="26"/>
      <c r="H60" s="26"/>
      <c r="I60" s="26"/>
      <c r="J60" s="26"/>
      <c r="K60" s="26"/>
      <c r="L60" s="26"/>
      <c r="M60" s="26"/>
      <c r="N60" s="26"/>
      <c r="O60" s="26"/>
      <c r="P60" s="26"/>
      <c r="Q60" s="66"/>
      <c r="R60" s="66"/>
      <c r="S60" s="26"/>
    </row>
    <row r="61" spans="1:19">
      <c r="A61" s="11"/>
      <c r="B61" s="159" t="s">
        <v>44</v>
      </c>
      <c r="C61" s="160" t="s">
        <v>8</v>
      </c>
      <c r="D61" s="361">
        <v>1</v>
      </c>
      <c r="E61" s="303"/>
      <c r="F61" s="361">
        <v>1</v>
      </c>
      <c r="G61" s="26"/>
      <c r="H61" s="26"/>
      <c r="I61" s="26"/>
      <c r="J61" s="26"/>
      <c r="K61" s="26"/>
      <c r="L61" s="26"/>
      <c r="M61" s="26"/>
      <c r="N61" s="26"/>
      <c r="O61" s="26"/>
      <c r="P61" s="26"/>
      <c r="Q61" s="66"/>
      <c r="R61" s="66"/>
      <c r="S61" s="26"/>
    </row>
    <row r="62" spans="1:19">
      <c r="A62" s="13"/>
      <c r="B62" s="163" t="s">
        <v>45</v>
      </c>
      <c r="C62" s="164" t="s">
        <v>20</v>
      </c>
      <c r="D62" s="361">
        <v>6</v>
      </c>
      <c r="E62" s="303"/>
      <c r="F62" s="361">
        <v>6</v>
      </c>
      <c r="G62" s="26"/>
      <c r="H62" s="26"/>
      <c r="I62" s="26"/>
      <c r="J62" s="26"/>
      <c r="K62" s="26"/>
      <c r="L62" s="26"/>
      <c r="M62" s="26"/>
      <c r="N62" s="26"/>
      <c r="O62" s="26"/>
      <c r="P62" s="26"/>
      <c r="Q62" s="66"/>
      <c r="R62" s="66"/>
      <c r="S62" s="26"/>
    </row>
    <row r="63" spans="1:19">
      <c r="A63" s="13"/>
      <c r="B63" s="163" t="s">
        <v>21</v>
      </c>
      <c r="C63" s="164" t="s">
        <v>8</v>
      </c>
      <c r="D63" s="361">
        <v>2</v>
      </c>
      <c r="E63" s="305"/>
      <c r="F63" s="361">
        <v>2</v>
      </c>
      <c r="G63" s="26"/>
      <c r="H63" s="26"/>
      <c r="I63" s="26"/>
      <c r="J63" s="26"/>
      <c r="K63" s="26"/>
      <c r="L63" s="26"/>
      <c r="M63" s="26"/>
      <c r="N63" s="26"/>
      <c r="O63" s="26"/>
      <c r="P63" s="26"/>
      <c r="Q63" s="66"/>
      <c r="R63" s="66"/>
      <c r="S63" s="26"/>
    </row>
    <row r="64" spans="1:19">
      <c r="A64" s="13"/>
      <c r="B64" s="163" t="s">
        <v>22</v>
      </c>
      <c r="C64" s="164" t="s">
        <v>8</v>
      </c>
      <c r="D64" s="361">
        <v>2</v>
      </c>
      <c r="E64" s="303"/>
      <c r="F64" s="361">
        <v>2</v>
      </c>
      <c r="G64" s="26"/>
      <c r="H64" s="26"/>
      <c r="I64" s="26"/>
      <c r="J64" s="26"/>
      <c r="K64" s="26"/>
      <c r="L64" s="26"/>
      <c r="M64" s="26"/>
      <c r="N64" s="26"/>
      <c r="O64" s="26"/>
      <c r="P64" s="26"/>
      <c r="Q64" s="66"/>
      <c r="R64" s="66"/>
      <c r="S64" s="26"/>
    </row>
    <row r="65" spans="1:19" ht="30">
      <c r="A65" s="13"/>
      <c r="B65" s="163" t="s">
        <v>46</v>
      </c>
      <c r="C65" s="164" t="s">
        <v>8</v>
      </c>
      <c r="D65" s="361">
        <v>2</v>
      </c>
      <c r="E65" s="303"/>
      <c r="F65" s="361">
        <v>2</v>
      </c>
      <c r="G65" s="26"/>
      <c r="H65" s="26"/>
      <c r="I65" s="26"/>
      <c r="J65" s="26"/>
      <c r="K65" s="26"/>
      <c r="L65" s="26"/>
      <c r="M65" s="26"/>
      <c r="N65" s="26"/>
      <c r="O65" s="26"/>
      <c r="P65" s="26"/>
      <c r="Q65" s="66"/>
      <c r="R65" s="66"/>
      <c r="S65" s="26"/>
    </row>
    <row r="66" spans="1:19">
      <c r="A66" s="11"/>
      <c r="B66" s="159" t="s">
        <v>24</v>
      </c>
      <c r="C66" s="160" t="s">
        <v>8</v>
      </c>
      <c r="D66" s="361">
        <v>6</v>
      </c>
      <c r="E66" s="303"/>
      <c r="F66" s="361">
        <v>6</v>
      </c>
      <c r="G66" s="26"/>
      <c r="H66" s="26"/>
      <c r="I66" s="26"/>
      <c r="J66" s="26"/>
      <c r="K66" s="26"/>
      <c r="L66" s="26"/>
      <c r="M66" s="26"/>
      <c r="N66" s="26"/>
      <c r="O66" s="26"/>
      <c r="P66" s="26"/>
      <c r="Q66" s="66"/>
      <c r="R66" s="66"/>
      <c r="S66" s="26"/>
    </row>
    <row r="67" spans="1:19">
      <c r="A67" s="11"/>
      <c r="B67" s="159" t="s">
        <v>25</v>
      </c>
      <c r="C67" s="165" t="s">
        <v>8</v>
      </c>
      <c r="D67" s="361">
        <v>6</v>
      </c>
      <c r="E67" s="303"/>
      <c r="F67" s="361">
        <v>6</v>
      </c>
      <c r="G67" s="26"/>
      <c r="H67" s="26"/>
      <c r="I67" s="26"/>
      <c r="J67" s="26"/>
      <c r="K67" s="26"/>
      <c r="L67" s="26"/>
      <c r="M67" s="26"/>
      <c r="N67" s="26"/>
      <c r="O67" s="26"/>
      <c r="P67" s="26"/>
      <c r="Q67" s="66"/>
      <c r="R67" s="66"/>
      <c r="S67" s="26"/>
    </row>
    <row r="68" spans="1:19">
      <c r="A68" s="11"/>
      <c r="B68" s="161" t="s">
        <v>26</v>
      </c>
      <c r="C68" s="160"/>
      <c r="D68" s="361"/>
      <c r="E68" s="303"/>
      <c r="F68" s="361"/>
      <c r="G68" s="26"/>
      <c r="H68" s="26"/>
      <c r="I68" s="26"/>
      <c r="J68" s="26"/>
      <c r="K68" s="26"/>
      <c r="L68" s="26"/>
      <c r="M68" s="26"/>
      <c r="N68" s="26"/>
      <c r="O68" s="26"/>
      <c r="P68" s="26"/>
      <c r="Q68" s="66"/>
      <c r="R68" s="66"/>
      <c r="S68" s="26"/>
    </row>
    <row r="69" spans="1:19">
      <c r="A69" s="11"/>
      <c r="B69" s="159" t="s">
        <v>47</v>
      </c>
      <c r="C69" s="160" t="s">
        <v>8</v>
      </c>
      <c r="D69" s="361">
        <v>1</v>
      </c>
      <c r="E69" s="303"/>
      <c r="F69" s="361">
        <v>1</v>
      </c>
      <c r="G69" s="26"/>
      <c r="H69" s="26"/>
      <c r="I69" s="26"/>
      <c r="J69" s="26"/>
      <c r="K69" s="26"/>
      <c r="L69" s="26"/>
      <c r="M69" s="26"/>
      <c r="N69" s="26"/>
      <c r="O69" s="26"/>
      <c r="P69" s="26"/>
      <c r="Q69" s="66"/>
      <c r="R69" s="66"/>
      <c r="S69" s="26"/>
    </row>
    <row r="70" spans="1:19">
      <c r="A70" s="11"/>
      <c r="B70" s="159" t="s">
        <v>48</v>
      </c>
      <c r="C70" s="160" t="s">
        <v>8</v>
      </c>
      <c r="D70" s="361">
        <v>1</v>
      </c>
      <c r="E70" s="303"/>
      <c r="F70" s="361">
        <v>1</v>
      </c>
      <c r="G70" s="26"/>
      <c r="H70" s="26"/>
      <c r="I70" s="26"/>
      <c r="J70" s="26"/>
      <c r="K70" s="26"/>
      <c r="L70" s="26"/>
      <c r="M70" s="26"/>
      <c r="N70" s="26"/>
      <c r="O70" s="26"/>
      <c r="P70" s="26"/>
      <c r="Q70" s="66"/>
      <c r="R70" s="66"/>
      <c r="S70" s="26"/>
    </row>
    <row r="71" spans="1:19">
      <c r="A71" s="11"/>
      <c r="B71" s="159" t="s">
        <v>49</v>
      </c>
      <c r="C71" s="160" t="s">
        <v>8</v>
      </c>
      <c r="D71" s="361">
        <v>2</v>
      </c>
      <c r="E71" s="303"/>
      <c r="F71" s="361">
        <v>2</v>
      </c>
      <c r="G71" s="26"/>
      <c r="H71" s="26"/>
      <c r="I71" s="26"/>
      <c r="J71" s="26"/>
      <c r="K71" s="26"/>
      <c r="L71" s="26"/>
      <c r="M71" s="26"/>
      <c r="N71" s="26"/>
      <c r="O71" s="26"/>
      <c r="P71" s="26"/>
      <c r="Q71" s="66"/>
      <c r="R71" s="66"/>
      <c r="S71" s="26"/>
    </row>
    <row r="72" spans="1:19">
      <c r="A72" s="11"/>
      <c r="B72" s="159" t="s">
        <v>50</v>
      </c>
      <c r="C72" s="160" t="s">
        <v>8</v>
      </c>
      <c r="D72" s="361">
        <v>2</v>
      </c>
      <c r="E72" s="303"/>
      <c r="F72" s="361">
        <v>2</v>
      </c>
      <c r="G72" s="26"/>
      <c r="H72" s="26"/>
      <c r="I72" s="26"/>
      <c r="J72" s="26"/>
      <c r="K72" s="26"/>
      <c r="L72" s="26"/>
      <c r="M72" s="26"/>
      <c r="N72" s="26"/>
      <c r="O72" s="26"/>
      <c r="P72" s="26"/>
      <c r="Q72" s="66"/>
      <c r="R72" s="66"/>
      <c r="S72" s="26"/>
    </row>
    <row r="73" spans="1:19">
      <c r="A73" s="11"/>
      <c r="B73" s="159" t="s">
        <v>51</v>
      </c>
      <c r="C73" s="160" t="s">
        <v>8</v>
      </c>
      <c r="D73" s="361">
        <v>2</v>
      </c>
      <c r="E73" s="303"/>
      <c r="F73" s="361">
        <v>2</v>
      </c>
      <c r="G73" s="26"/>
      <c r="H73" s="26"/>
      <c r="I73" s="26"/>
      <c r="J73" s="26"/>
      <c r="K73" s="26"/>
      <c r="L73" s="26"/>
      <c r="M73" s="26"/>
      <c r="N73" s="26"/>
      <c r="O73" s="26"/>
      <c r="P73" s="26"/>
      <c r="Q73" s="66"/>
      <c r="R73" s="66"/>
      <c r="S73" s="26"/>
    </row>
    <row r="74" spans="1:19">
      <c r="A74" s="11"/>
      <c r="B74" s="159" t="s">
        <v>52</v>
      </c>
      <c r="C74" s="160" t="s">
        <v>8</v>
      </c>
      <c r="D74" s="361">
        <v>3</v>
      </c>
      <c r="E74" s="303"/>
      <c r="F74" s="361">
        <v>3</v>
      </c>
      <c r="G74" s="26"/>
      <c r="H74" s="26"/>
      <c r="I74" s="26"/>
      <c r="J74" s="26"/>
      <c r="K74" s="26"/>
      <c r="L74" s="26"/>
      <c r="M74" s="26"/>
      <c r="N74" s="26"/>
      <c r="O74" s="26"/>
      <c r="P74" s="26"/>
      <c r="Q74" s="66"/>
      <c r="R74" s="66"/>
      <c r="S74" s="26"/>
    </row>
    <row r="75" spans="1:19">
      <c r="A75" s="13"/>
      <c r="B75" s="163" t="s">
        <v>53</v>
      </c>
      <c r="C75" s="164" t="s">
        <v>8</v>
      </c>
      <c r="D75" s="361">
        <v>1</v>
      </c>
      <c r="E75" s="303"/>
      <c r="F75" s="361">
        <v>1</v>
      </c>
      <c r="G75" s="26"/>
      <c r="H75" s="26"/>
      <c r="I75" s="26"/>
      <c r="J75" s="26"/>
      <c r="K75" s="26"/>
      <c r="L75" s="26"/>
      <c r="M75" s="26"/>
      <c r="N75" s="26"/>
      <c r="O75" s="26"/>
      <c r="P75" s="26"/>
      <c r="Q75" s="66"/>
      <c r="R75" s="66"/>
      <c r="S75" s="26"/>
    </row>
    <row r="76" spans="1:19">
      <c r="A76" s="13"/>
      <c r="B76" s="163" t="s">
        <v>54</v>
      </c>
      <c r="C76" s="164" t="s">
        <v>8</v>
      </c>
      <c r="D76" s="361">
        <v>3</v>
      </c>
      <c r="E76" s="303"/>
      <c r="F76" s="361">
        <v>3</v>
      </c>
      <c r="G76" s="26"/>
      <c r="H76" s="26"/>
      <c r="I76" s="26"/>
      <c r="J76" s="26"/>
      <c r="K76" s="26"/>
      <c r="L76" s="26"/>
      <c r="M76" s="26"/>
      <c r="N76" s="26"/>
      <c r="O76" s="26"/>
      <c r="P76" s="26"/>
      <c r="Q76" s="66"/>
      <c r="R76" s="66"/>
      <c r="S76" s="26"/>
    </row>
    <row r="77" spans="1:19">
      <c r="A77" s="11"/>
      <c r="B77" s="159" t="s">
        <v>55</v>
      </c>
      <c r="C77" s="160" t="s">
        <v>8</v>
      </c>
      <c r="D77" s="361">
        <v>1</v>
      </c>
      <c r="E77" s="303"/>
      <c r="F77" s="361">
        <v>1</v>
      </c>
      <c r="G77" s="26"/>
      <c r="H77" s="26"/>
      <c r="I77" s="26"/>
      <c r="J77" s="26"/>
      <c r="K77" s="26"/>
      <c r="L77" s="26"/>
      <c r="M77" s="26"/>
      <c r="N77" s="26"/>
      <c r="O77" s="26"/>
      <c r="P77" s="26"/>
      <c r="Q77" s="66"/>
      <c r="R77" s="66"/>
      <c r="S77" s="26"/>
    </row>
    <row r="78" spans="1:19">
      <c r="A78" s="11"/>
      <c r="B78" s="159" t="s">
        <v>56</v>
      </c>
      <c r="C78" s="160" t="s">
        <v>17</v>
      </c>
      <c r="D78" s="361">
        <v>1</v>
      </c>
      <c r="E78" s="92"/>
      <c r="F78" s="361">
        <v>1</v>
      </c>
      <c r="G78" s="329"/>
      <c r="H78" s="329"/>
      <c r="I78" s="329"/>
      <c r="J78" s="329"/>
      <c r="K78" s="329"/>
      <c r="L78" s="329"/>
      <c r="M78" s="329"/>
      <c r="N78" s="329"/>
      <c r="O78" s="329"/>
      <c r="P78" s="329"/>
      <c r="Q78" s="65"/>
      <c r="R78" s="65"/>
      <c r="S78" s="329"/>
    </row>
    <row r="79" spans="1:19">
      <c r="A79" s="11"/>
      <c r="B79" s="168" t="s">
        <v>35</v>
      </c>
      <c r="C79" s="169" t="s">
        <v>17</v>
      </c>
      <c r="D79" s="361">
        <v>1</v>
      </c>
      <c r="E79" s="43"/>
      <c r="F79" s="361">
        <v>1</v>
      </c>
      <c r="G79" s="330"/>
      <c r="H79" s="330"/>
      <c r="I79" s="330"/>
      <c r="J79" s="330"/>
      <c r="K79" s="330"/>
      <c r="L79" s="330"/>
      <c r="M79" s="330"/>
      <c r="N79" s="330"/>
      <c r="O79" s="330"/>
      <c r="P79" s="330"/>
      <c r="Q79" s="66"/>
      <c r="R79" s="66"/>
      <c r="S79" s="330"/>
    </row>
    <row r="80" spans="1:19">
      <c r="A80" s="11"/>
      <c r="B80" s="168" t="s">
        <v>57</v>
      </c>
      <c r="C80" s="169" t="s">
        <v>7</v>
      </c>
      <c r="D80" s="361">
        <v>1</v>
      </c>
      <c r="E80" s="44"/>
      <c r="F80" s="361">
        <v>1</v>
      </c>
      <c r="G80" s="331"/>
      <c r="H80" s="331"/>
      <c r="I80" s="331"/>
      <c r="J80" s="331"/>
      <c r="K80" s="331"/>
      <c r="L80" s="331"/>
      <c r="M80" s="331"/>
      <c r="N80" s="331"/>
      <c r="O80" s="331"/>
      <c r="P80" s="331"/>
      <c r="Q80" s="127"/>
      <c r="R80" s="127"/>
      <c r="S80" s="331"/>
    </row>
    <row r="81" spans="1:19" s="93" customFormat="1" ht="60">
      <c r="A81" s="18">
        <f>COUNT($A$10:$A80)+1</f>
        <v>3</v>
      </c>
      <c r="B81" s="161" t="s">
        <v>58</v>
      </c>
      <c r="C81" s="172" t="s">
        <v>7</v>
      </c>
      <c r="D81" s="360">
        <v>1</v>
      </c>
      <c r="E81" s="155"/>
      <c r="F81" s="360">
        <v>1</v>
      </c>
      <c r="G81" s="357" t="s">
        <v>2326</v>
      </c>
      <c r="H81" s="357"/>
      <c r="I81" s="357" t="s">
        <v>2327</v>
      </c>
      <c r="J81" s="358" t="s">
        <v>2328</v>
      </c>
      <c r="K81" s="311">
        <v>222543564.20999998</v>
      </c>
      <c r="L81" s="311">
        <v>0</v>
      </c>
      <c r="M81" s="311">
        <v>7232000.0000000009</v>
      </c>
      <c r="N81" s="311">
        <v>23119147.900000002</v>
      </c>
      <c r="O81" s="311">
        <v>16183403.530000001</v>
      </c>
      <c r="P81" s="68">
        <f>SUM(K81:O81)</f>
        <v>269078115.63999999</v>
      </c>
      <c r="Q81" s="68">
        <f>D81*P81</f>
        <v>269078115.63999999</v>
      </c>
      <c r="R81" s="127">
        <f>F81*P81</f>
        <v>269078115.63999999</v>
      </c>
      <c r="S81" s="332"/>
    </row>
    <row r="82" spans="1:19">
      <c r="A82" s="11"/>
      <c r="B82" s="159" t="s">
        <v>1885</v>
      </c>
      <c r="C82" s="160" t="s">
        <v>8</v>
      </c>
      <c r="D82" s="361">
        <v>1</v>
      </c>
      <c r="E82" s="45"/>
      <c r="F82" s="361">
        <v>1</v>
      </c>
      <c r="G82" s="333"/>
      <c r="H82" s="333"/>
      <c r="I82" s="333"/>
      <c r="J82" s="333"/>
      <c r="K82" s="333"/>
      <c r="L82" s="333"/>
      <c r="M82" s="333"/>
      <c r="N82" s="333"/>
      <c r="O82" s="333"/>
      <c r="P82" s="333"/>
      <c r="Q82" s="66"/>
      <c r="R82" s="66"/>
      <c r="S82" s="333"/>
    </row>
    <row r="83" spans="1:19">
      <c r="A83" s="11"/>
      <c r="B83" s="161" t="s">
        <v>9</v>
      </c>
      <c r="C83" s="160"/>
      <c r="D83" s="361"/>
      <c r="E83" s="45"/>
      <c r="F83" s="361"/>
      <c r="G83" s="333"/>
      <c r="H83" s="333"/>
      <c r="I83" s="333"/>
      <c r="J83" s="333"/>
      <c r="K83" s="333"/>
      <c r="L83" s="333"/>
      <c r="M83" s="333"/>
      <c r="N83" s="333"/>
      <c r="O83" s="333"/>
      <c r="P83" s="333"/>
      <c r="Q83" s="66"/>
      <c r="R83" s="66"/>
      <c r="S83" s="333"/>
    </row>
    <row r="84" spans="1:19" ht="30">
      <c r="A84" s="11"/>
      <c r="B84" s="159" t="s">
        <v>59</v>
      </c>
      <c r="C84" s="160" t="s">
        <v>8</v>
      </c>
      <c r="D84" s="361">
        <v>1</v>
      </c>
      <c r="E84" s="46"/>
      <c r="F84" s="361">
        <v>1</v>
      </c>
      <c r="G84" s="334"/>
      <c r="H84" s="334"/>
      <c r="I84" s="334"/>
      <c r="J84" s="334"/>
      <c r="K84" s="334"/>
      <c r="L84" s="334"/>
      <c r="M84" s="334"/>
      <c r="N84" s="334"/>
      <c r="O84" s="334"/>
      <c r="P84" s="334"/>
      <c r="Q84" s="66"/>
      <c r="R84" s="66"/>
      <c r="S84" s="334"/>
    </row>
    <row r="85" spans="1:19">
      <c r="A85" s="15"/>
      <c r="B85" s="162" t="s">
        <v>60</v>
      </c>
      <c r="C85" s="103" t="s">
        <v>8</v>
      </c>
      <c r="D85" s="361">
        <v>2</v>
      </c>
      <c r="E85" s="47"/>
      <c r="F85" s="361">
        <v>2</v>
      </c>
      <c r="G85" s="330"/>
      <c r="H85" s="330"/>
      <c r="I85" s="330"/>
      <c r="J85" s="330"/>
      <c r="K85" s="330"/>
      <c r="L85" s="330"/>
      <c r="M85" s="330"/>
      <c r="N85" s="330"/>
      <c r="O85" s="330"/>
      <c r="P85" s="330"/>
      <c r="Q85" s="66"/>
      <c r="R85" s="66"/>
      <c r="S85" s="330"/>
    </row>
    <row r="86" spans="1:19">
      <c r="A86" s="15"/>
      <c r="B86" s="162" t="s">
        <v>61</v>
      </c>
      <c r="C86" s="103" t="s">
        <v>8</v>
      </c>
      <c r="D86" s="361">
        <v>2</v>
      </c>
      <c r="E86" s="48"/>
      <c r="F86" s="361">
        <v>2</v>
      </c>
      <c r="G86" s="334"/>
      <c r="H86" s="334"/>
      <c r="I86" s="334"/>
      <c r="J86" s="334"/>
      <c r="K86" s="334"/>
      <c r="L86" s="334"/>
      <c r="M86" s="334"/>
      <c r="N86" s="334"/>
      <c r="O86" s="334"/>
      <c r="P86" s="334"/>
      <c r="Q86" s="66"/>
      <c r="R86" s="66"/>
      <c r="S86" s="334"/>
    </row>
    <row r="87" spans="1:19">
      <c r="A87" s="11"/>
      <c r="B87" s="159" t="s">
        <v>62</v>
      </c>
      <c r="C87" s="160" t="s">
        <v>8</v>
      </c>
      <c r="D87" s="361">
        <v>1</v>
      </c>
      <c r="E87" s="48"/>
      <c r="F87" s="361">
        <v>1</v>
      </c>
      <c r="G87" s="334"/>
      <c r="H87" s="334"/>
      <c r="I87" s="334"/>
      <c r="J87" s="334"/>
      <c r="K87" s="334"/>
      <c r="L87" s="334"/>
      <c r="M87" s="334"/>
      <c r="N87" s="334"/>
      <c r="O87" s="334"/>
      <c r="P87" s="334"/>
      <c r="Q87" s="66"/>
      <c r="R87" s="66"/>
      <c r="S87" s="334"/>
    </row>
    <row r="88" spans="1:19">
      <c r="A88" s="11"/>
      <c r="B88" s="159" t="s">
        <v>44</v>
      </c>
      <c r="C88" s="160" t="s">
        <v>8</v>
      </c>
      <c r="D88" s="361">
        <v>1</v>
      </c>
      <c r="E88" s="49"/>
      <c r="F88" s="361">
        <v>1</v>
      </c>
      <c r="G88" s="35"/>
      <c r="H88" s="35"/>
      <c r="I88" s="35"/>
      <c r="J88" s="35"/>
      <c r="K88" s="35"/>
      <c r="L88" s="35"/>
      <c r="M88" s="35"/>
      <c r="N88" s="35"/>
      <c r="O88" s="35"/>
      <c r="P88" s="35"/>
      <c r="Q88" s="65"/>
      <c r="R88" s="65"/>
      <c r="S88" s="35"/>
    </row>
    <row r="89" spans="1:19">
      <c r="A89" s="13"/>
      <c r="B89" s="163" t="s">
        <v>63</v>
      </c>
      <c r="C89" s="164" t="s">
        <v>20</v>
      </c>
      <c r="D89" s="361">
        <v>6</v>
      </c>
      <c r="E89" s="50"/>
      <c r="F89" s="361">
        <v>6</v>
      </c>
      <c r="G89" s="335"/>
      <c r="H89" s="335"/>
      <c r="I89" s="335"/>
      <c r="J89" s="335"/>
      <c r="K89" s="335"/>
      <c r="L89" s="335"/>
      <c r="M89" s="335"/>
      <c r="N89" s="335"/>
      <c r="O89" s="335"/>
      <c r="P89" s="335"/>
      <c r="Q89" s="66"/>
      <c r="R89" s="66"/>
      <c r="S89" s="335"/>
    </row>
    <row r="90" spans="1:19">
      <c r="A90" s="13"/>
      <c r="B90" s="163" t="s">
        <v>21</v>
      </c>
      <c r="C90" s="164" t="s">
        <v>8</v>
      </c>
      <c r="D90" s="361">
        <v>2</v>
      </c>
      <c r="E90" s="50"/>
      <c r="F90" s="361">
        <v>2</v>
      </c>
      <c r="G90" s="335"/>
      <c r="H90" s="335"/>
      <c r="I90" s="335"/>
      <c r="J90" s="335"/>
      <c r="K90" s="335"/>
      <c r="L90" s="335"/>
      <c r="M90" s="335"/>
      <c r="N90" s="335"/>
      <c r="O90" s="335"/>
      <c r="P90" s="335"/>
      <c r="Q90" s="66"/>
      <c r="R90" s="66"/>
      <c r="S90" s="335"/>
    </row>
    <row r="91" spans="1:19">
      <c r="A91" s="13"/>
      <c r="B91" s="163" t="s">
        <v>22</v>
      </c>
      <c r="C91" s="164" t="s">
        <v>8</v>
      </c>
      <c r="D91" s="361">
        <v>2</v>
      </c>
      <c r="E91" s="50"/>
      <c r="F91" s="361">
        <v>2</v>
      </c>
      <c r="G91" s="335"/>
      <c r="H91" s="335"/>
      <c r="I91" s="335"/>
      <c r="J91" s="335"/>
      <c r="K91" s="335"/>
      <c r="L91" s="335"/>
      <c r="M91" s="335"/>
      <c r="N91" s="335"/>
      <c r="O91" s="335"/>
      <c r="P91" s="335"/>
      <c r="Q91" s="66"/>
      <c r="R91" s="66"/>
      <c r="S91" s="335"/>
    </row>
    <row r="92" spans="1:19" ht="30">
      <c r="A92" s="13"/>
      <c r="B92" s="163" t="s">
        <v>46</v>
      </c>
      <c r="C92" s="164" t="s">
        <v>8</v>
      </c>
      <c r="D92" s="361">
        <v>2</v>
      </c>
      <c r="E92" s="50"/>
      <c r="F92" s="361">
        <v>2</v>
      </c>
      <c r="G92" s="335"/>
      <c r="H92" s="335"/>
      <c r="I92" s="335"/>
      <c r="J92" s="335"/>
      <c r="K92" s="335"/>
      <c r="L92" s="335"/>
      <c r="M92" s="335"/>
      <c r="N92" s="335"/>
      <c r="O92" s="335"/>
      <c r="P92" s="335"/>
      <c r="Q92" s="66"/>
      <c r="R92" s="66"/>
      <c r="S92" s="335"/>
    </row>
    <row r="93" spans="1:19">
      <c r="A93" s="11"/>
      <c r="B93" s="159" t="s">
        <v>24</v>
      </c>
      <c r="C93" s="160" t="s">
        <v>8</v>
      </c>
      <c r="D93" s="361">
        <v>6</v>
      </c>
      <c r="E93" s="51"/>
      <c r="F93" s="361">
        <v>6</v>
      </c>
      <c r="G93" s="14"/>
      <c r="H93" s="14"/>
      <c r="I93" s="14"/>
      <c r="J93" s="14"/>
      <c r="K93" s="14"/>
      <c r="L93" s="14"/>
      <c r="M93" s="14"/>
      <c r="N93" s="14"/>
      <c r="O93" s="14"/>
      <c r="P93" s="14"/>
      <c r="Q93" s="66"/>
      <c r="R93" s="66"/>
      <c r="S93" s="14"/>
    </row>
    <row r="94" spans="1:19">
      <c r="A94" s="11"/>
      <c r="B94" s="159" t="s">
        <v>25</v>
      </c>
      <c r="C94" s="165" t="s">
        <v>8</v>
      </c>
      <c r="D94" s="361">
        <v>6</v>
      </c>
      <c r="E94" s="50"/>
      <c r="F94" s="361">
        <v>6</v>
      </c>
      <c r="G94" s="335"/>
      <c r="H94" s="335"/>
      <c r="I94" s="335"/>
      <c r="J94" s="335"/>
      <c r="K94" s="335"/>
      <c r="L94" s="335"/>
      <c r="M94" s="335"/>
      <c r="N94" s="335"/>
      <c r="O94" s="335"/>
      <c r="P94" s="335"/>
      <c r="Q94" s="66"/>
      <c r="R94" s="66"/>
      <c r="S94" s="335"/>
    </row>
    <row r="95" spans="1:19">
      <c r="A95" s="11"/>
      <c r="B95" s="161" t="s">
        <v>26</v>
      </c>
      <c r="C95" s="160"/>
      <c r="D95" s="361"/>
      <c r="E95" s="50"/>
      <c r="F95" s="361"/>
      <c r="G95" s="335"/>
      <c r="H95" s="335"/>
      <c r="I95" s="335"/>
      <c r="J95" s="335"/>
      <c r="K95" s="335"/>
      <c r="L95" s="335"/>
      <c r="M95" s="335"/>
      <c r="N95" s="335"/>
      <c r="O95" s="335"/>
      <c r="P95" s="335"/>
      <c r="Q95" s="66"/>
      <c r="R95" s="66"/>
      <c r="S95" s="335"/>
    </row>
    <row r="96" spans="1:19">
      <c r="A96" s="11"/>
      <c r="B96" s="159" t="s">
        <v>47</v>
      </c>
      <c r="C96" s="160" t="s">
        <v>8</v>
      </c>
      <c r="D96" s="361">
        <v>1</v>
      </c>
      <c r="E96" s="43"/>
      <c r="F96" s="361">
        <v>1</v>
      </c>
      <c r="G96" s="330"/>
      <c r="H96" s="330"/>
      <c r="I96" s="330"/>
      <c r="J96" s="330"/>
      <c r="K96" s="330"/>
      <c r="L96" s="330"/>
      <c r="M96" s="330"/>
      <c r="N96" s="330"/>
      <c r="O96" s="330"/>
      <c r="P96" s="330"/>
      <c r="Q96" s="66"/>
      <c r="R96" s="66"/>
      <c r="S96" s="330"/>
    </row>
    <row r="97" spans="1:19">
      <c r="A97" s="11"/>
      <c r="B97" s="159" t="s">
        <v>48</v>
      </c>
      <c r="C97" s="160" t="s">
        <v>8</v>
      </c>
      <c r="D97" s="361">
        <v>1</v>
      </c>
      <c r="E97" s="43"/>
      <c r="F97" s="361">
        <v>1</v>
      </c>
      <c r="G97" s="330"/>
      <c r="H97" s="330"/>
      <c r="I97" s="330"/>
      <c r="J97" s="330"/>
      <c r="K97" s="330"/>
      <c r="L97" s="330"/>
      <c r="M97" s="330"/>
      <c r="N97" s="330"/>
      <c r="O97" s="330"/>
      <c r="P97" s="330"/>
      <c r="Q97" s="66"/>
      <c r="R97" s="66"/>
      <c r="S97" s="330"/>
    </row>
    <row r="98" spans="1:19">
      <c r="A98" s="11"/>
      <c r="B98" s="159" t="s">
        <v>49</v>
      </c>
      <c r="C98" s="160" t="s">
        <v>8</v>
      </c>
      <c r="D98" s="361">
        <v>2</v>
      </c>
      <c r="E98" s="43"/>
      <c r="F98" s="361">
        <v>2</v>
      </c>
      <c r="G98" s="330"/>
      <c r="H98" s="330"/>
      <c r="I98" s="330"/>
      <c r="J98" s="330"/>
      <c r="K98" s="330"/>
      <c r="L98" s="330"/>
      <c r="M98" s="330"/>
      <c r="N98" s="330"/>
      <c r="O98" s="330"/>
      <c r="P98" s="330"/>
      <c r="Q98" s="66"/>
      <c r="R98" s="66"/>
      <c r="S98" s="330"/>
    </row>
    <row r="99" spans="1:19">
      <c r="A99" s="11"/>
      <c r="B99" s="159" t="s">
        <v>50</v>
      </c>
      <c r="C99" s="160" t="s">
        <v>8</v>
      </c>
      <c r="D99" s="361">
        <v>3</v>
      </c>
      <c r="E99" s="52"/>
      <c r="F99" s="361">
        <v>3</v>
      </c>
      <c r="G99" s="12"/>
      <c r="H99" s="12"/>
      <c r="I99" s="12"/>
      <c r="J99" s="12"/>
      <c r="K99" s="12"/>
      <c r="L99" s="12"/>
      <c r="M99" s="12"/>
      <c r="N99" s="12"/>
      <c r="O99" s="12"/>
      <c r="P99" s="12"/>
      <c r="Q99" s="66"/>
      <c r="R99" s="66"/>
      <c r="S99" s="12"/>
    </row>
    <row r="100" spans="1:19">
      <c r="A100" s="11"/>
      <c r="B100" s="159" t="s">
        <v>64</v>
      </c>
      <c r="C100" s="160" t="s">
        <v>8</v>
      </c>
      <c r="D100" s="361">
        <v>1</v>
      </c>
      <c r="E100" s="52"/>
      <c r="F100" s="361">
        <v>1</v>
      </c>
      <c r="G100" s="12"/>
      <c r="H100" s="12"/>
      <c r="I100" s="12"/>
      <c r="J100" s="12"/>
      <c r="K100" s="12"/>
      <c r="L100" s="12"/>
      <c r="M100" s="12"/>
      <c r="N100" s="12"/>
      <c r="O100" s="12"/>
      <c r="P100" s="12"/>
      <c r="Q100" s="66"/>
      <c r="R100" s="66"/>
      <c r="S100" s="12"/>
    </row>
    <row r="101" spans="1:19">
      <c r="A101" s="11"/>
      <c r="B101" s="159" t="s">
        <v>52</v>
      </c>
      <c r="C101" s="160" t="s">
        <v>8</v>
      </c>
      <c r="D101" s="361">
        <v>2</v>
      </c>
      <c r="E101" s="52"/>
      <c r="F101" s="361">
        <v>2</v>
      </c>
      <c r="G101" s="12"/>
      <c r="H101" s="12"/>
      <c r="I101" s="12"/>
      <c r="J101" s="12"/>
      <c r="K101" s="12"/>
      <c r="L101" s="12"/>
      <c r="M101" s="12"/>
      <c r="N101" s="12"/>
      <c r="O101" s="12"/>
      <c r="P101" s="12"/>
      <c r="Q101" s="66"/>
      <c r="R101" s="66"/>
      <c r="S101" s="12"/>
    </row>
    <row r="102" spans="1:19">
      <c r="A102" s="11"/>
      <c r="B102" s="159" t="s">
        <v>55</v>
      </c>
      <c r="C102" s="160" t="s">
        <v>8</v>
      </c>
      <c r="D102" s="361">
        <v>1</v>
      </c>
      <c r="E102" s="306"/>
      <c r="F102" s="361">
        <v>1</v>
      </c>
      <c r="G102" s="336"/>
      <c r="H102" s="336"/>
      <c r="I102" s="336"/>
      <c r="J102" s="336"/>
      <c r="K102" s="336"/>
      <c r="L102" s="336"/>
      <c r="M102" s="336"/>
      <c r="N102" s="336"/>
      <c r="O102" s="336"/>
      <c r="P102" s="336"/>
      <c r="Q102" s="66"/>
      <c r="R102" s="66"/>
      <c r="S102" s="336"/>
    </row>
    <row r="103" spans="1:19">
      <c r="A103" s="11"/>
      <c r="B103" s="159" t="s">
        <v>65</v>
      </c>
      <c r="C103" s="160" t="s">
        <v>17</v>
      </c>
      <c r="D103" s="361">
        <v>1</v>
      </c>
      <c r="E103" s="50"/>
      <c r="F103" s="361">
        <v>1</v>
      </c>
      <c r="G103" s="335"/>
      <c r="H103" s="335"/>
      <c r="I103" s="335"/>
      <c r="J103" s="335"/>
      <c r="K103" s="335"/>
      <c r="L103" s="335"/>
      <c r="M103" s="335"/>
      <c r="N103" s="335"/>
      <c r="O103" s="335"/>
      <c r="P103" s="335"/>
      <c r="Q103" s="66"/>
      <c r="R103" s="66"/>
      <c r="S103" s="335"/>
    </row>
    <row r="104" spans="1:19">
      <c r="A104" s="11"/>
      <c r="B104" s="168" t="s">
        <v>35</v>
      </c>
      <c r="C104" s="169" t="s">
        <v>17</v>
      </c>
      <c r="D104" s="361">
        <v>1</v>
      </c>
      <c r="E104" s="45"/>
      <c r="F104" s="361">
        <v>1</v>
      </c>
      <c r="G104" s="333"/>
      <c r="H104" s="333"/>
      <c r="I104" s="333"/>
      <c r="J104" s="333"/>
      <c r="K104" s="333"/>
      <c r="L104" s="333"/>
      <c r="M104" s="333"/>
      <c r="N104" s="333"/>
      <c r="O104" s="333"/>
      <c r="P104" s="333"/>
      <c r="Q104" s="66"/>
      <c r="R104" s="66"/>
      <c r="S104" s="333"/>
    </row>
    <row r="105" spans="1:19">
      <c r="A105" s="11"/>
      <c r="B105" s="168" t="s">
        <v>57</v>
      </c>
      <c r="C105" s="169" t="s">
        <v>7</v>
      </c>
      <c r="D105" s="361">
        <v>1</v>
      </c>
      <c r="E105" s="44"/>
      <c r="F105" s="361">
        <v>1</v>
      </c>
      <c r="G105" s="331"/>
      <c r="H105" s="331"/>
      <c r="I105" s="331"/>
      <c r="J105" s="331"/>
      <c r="K105" s="331"/>
      <c r="L105" s="331"/>
      <c r="M105" s="331"/>
      <c r="N105" s="331"/>
      <c r="O105" s="331"/>
      <c r="P105" s="331"/>
      <c r="Q105" s="127"/>
      <c r="R105" s="127"/>
      <c r="S105" s="331"/>
    </row>
    <row r="106" spans="1:19" s="93" customFormat="1" ht="60">
      <c r="A106" s="18">
        <f>COUNT($A$10:$A105)+1</f>
        <v>4</v>
      </c>
      <c r="B106" s="161" t="s">
        <v>66</v>
      </c>
      <c r="C106" s="172" t="s">
        <v>7</v>
      </c>
      <c r="D106" s="360">
        <v>1</v>
      </c>
      <c r="E106" s="155"/>
      <c r="F106" s="360">
        <v>1</v>
      </c>
      <c r="G106" s="357" t="s">
        <v>2326</v>
      </c>
      <c r="H106" s="357"/>
      <c r="I106" s="357" t="s">
        <v>2327</v>
      </c>
      <c r="J106" s="358" t="s">
        <v>2328</v>
      </c>
      <c r="K106" s="311">
        <v>1335886297.0199997</v>
      </c>
      <c r="L106" s="311">
        <v>0</v>
      </c>
      <c r="M106" s="311">
        <v>14464000.000000002</v>
      </c>
      <c r="N106" s="311">
        <v>136218009.80000001</v>
      </c>
      <c r="O106" s="311">
        <v>95352606.860000014</v>
      </c>
      <c r="P106" s="68">
        <f>SUM(K106:O106)</f>
        <v>1581920913.6799998</v>
      </c>
      <c r="Q106" s="68">
        <f>D106*P106</f>
        <v>1581920913.6799998</v>
      </c>
      <c r="R106" s="127">
        <f>F106*P106</f>
        <v>1581920913.6799998</v>
      </c>
      <c r="S106" s="332"/>
    </row>
    <row r="107" spans="1:19">
      <c r="A107" s="11"/>
      <c r="B107" s="159" t="s">
        <v>1885</v>
      </c>
      <c r="C107" s="160" t="s">
        <v>8</v>
      </c>
      <c r="D107" s="361">
        <v>1</v>
      </c>
      <c r="E107" s="45"/>
      <c r="F107" s="361">
        <v>1</v>
      </c>
      <c r="G107" s="333"/>
      <c r="H107" s="333"/>
      <c r="I107" s="333"/>
      <c r="J107" s="333"/>
      <c r="K107" s="333"/>
      <c r="L107" s="333"/>
      <c r="M107" s="333"/>
      <c r="N107" s="333"/>
      <c r="O107" s="333"/>
      <c r="P107" s="333"/>
      <c r="Q107" s="66"/>
      <c r="R107" s="66"/>
      <c r="S107" s="333"/>
    </row>
    <row r="108" spans="1:19">
      <c r="A108" s="11"/>
      <c r="B108" s="161" t="s">
        <v>9</v>
      </c>
      <c r="C108" s="160"/>
      <c r="D108" s="361"/>
      <c r="E108" s="45"/>
      <c r="F108" s="361"/>
      <c r="G108" s="333"/>
      <c r="H108" s="333"/>
      <c r="I108" s="333"/>
      <c r="J108" s="333"/>
      <c r="K108" s="333"/>
      <c r="L108" s="333"/>
      <c r="M108" s="333"/>
      <c r="N108" s="333"/>
      <c r="O108" s="333"/>
      <c r="P108" s="333"/>
      <c r="Q108" s="66"/>
      <c r="R108" s="66"/>
      <c r="S108" s="333"/>
    </row>
    <row r="109" spans="1:19" ht="45">
      <c r="A109" s="11"/>
      <c r="B109" s="159" t="s">
        <v>10</v>
      </c>
      <c r="C109" s="160" t="s">
        <v>8</v>
      </c>
      <c r="D109" s="361">
        <v>1</v>
      </c>
      <c r="E109" s="45"/>
      <c r="F109" s="361">
        <v>1</v>
      </c>
      <c r="G109" s="333"/>
      <c r="H109" s="333"/>
      <c r="I109" s="333"/>
      <c r="J109" s="333"/>
      <c r="K109" s="333"/>
      <c r="L109" s="333"/>
      <c r="M109" s="333"/>
      <c r="N109" s="333"/>
      <c r="O109" s="333"/>
      <c r="P109" s="333"/>
      <c r="Q109" s="66"/>
      <c r="R109" s="66"/>
      <c r="S109" s="333"/>
    </row>
    <row r="110" spans="1:19">
      <c r="A110" s="11"/>
      <c r="B110" s="162" t="s">
        <v>11</v>
      </c>
      <c r="C110" s="160" t="s">
        <v>8</v>
      </c>
      <c r="D110" s="361">
        <v>1</v>
      </c>
      <c r="E110" s="45"/>
      <c r="F110" s="361">
        <v>1</v>
      </c>
      <c r="G110" s="333"/>
      <c r="H110" s="333"/>
      <c r="I110" s="333"/>
      <c r="J110" s="333"/>
      <c r="K110" s="333"/>
      <c r="L110" s="333"/>
      <c r="M110" s="333"/>
      <c r="N110" s="333"/>
      <c r="O110" s="333"/>
      <c r="P110" s="333"/>
      <c r="Q110" s="66"/>
      <c r="R110" s="66"/>
      <c r="S110" s="333"/>
    </row>
    <row r="111" spans="1:19">
      <c r="A111" s="11"/>
      <c r="B111" s="162" t="s">
        <v>12</v>
      </c>
      <c r="C111" s="160" t="s">
        <v>8</v>
      </c>
      <c r="D111" s="361">
        <v>1</v>
      </c>
      <c r="E111" s="45"/>
      <c r="F111" s="361">
        <v>1</v>
      </c>
      <c r="G111" s="333"/>
      <c r="H111" s="333"/>
      <c r="I111" s="333"/>
      <c r="J111" s="333"/>
      <c r="K111" s="333"/>
      <c r="L111" s="333"/>
      <c r="M111" s="333"/>
      <c r="N111" s="333"/>
      <c r="O111" s="333"/>
      <c r="P111" s="333"/>
      <c r="Q111" s="66"/>
      <c r="R111" s="66"/>
      <c r="S111" s="333"/>
    </row>
    <row r="112" spans="1:19">
      <c r="A112" s="11"/>
      <c r="B112" s="159" t="s">
        <v>13</v>
      </c>
      <c r="C112" s="160" t="s">
        <v>8</v>
      </c>
      <c r="D112" s="361">
        <v>1</v>
      </c>
      <c r="E112" s="45"/>
      <c r="F112" s="361">
        <v>1</v>
      </c>
      <c r="G112" s="333"/>
      <c r="H112" s="333"/>
      <c r="I112" s="333"/>
      <c r="J112" s="333"/>
      <c r="K112" s="333"/>
      <c r="L112" s="333"/>
      <c r="M112" s="333"/>
      <c r="N112" s="333"/>
      <c r="O112" s="333"/>
      <c r="P112" s="333"/>
      <c r="Q112" s="66"/>
      <c r="R112" s="66"/>
      <c r="S112" s="333"/>
    </row>
    <row r="113" spans="1:19">
      <c r="A113" s="11"/>
      <c r="B113" s="159" t="s">
        <v>15</v>
      </c>
      <c r="C113" s="160" t="s">
        <v>8</v>
      </c>
      <c r="D113" s="361">
        <v>1</v>
      </c>
      <c r="E113" s="45"/>
      <c r="F113" s="361">
        <v>1</v>
      </c>
      <c r="G113" s="333"/>
      <c r="H113" s="333"/>
      <c r="I113" s="333"/>
      <c r="J113" s="333"/>
      <c r="K113" s="333"/>
      <c r="L113" s="333"/>
      <c r="M113" s="333"/>
      <c r="N113" s="333"/>
      <c r="O113" s="333"/>
      <c r="P113" s="333"/>
      <c r="Q113" s="66"/>
      <c r="R113" s="66"/>
      <c r="S113" s="333"/>
    </row>
    <row r="114" spans="1:19">
      <c r="A114" s="11"/>
      <c r="B114" s="159" t="s">
        <v>18</v>
      </c>
      <c r="C114" s="160" t="s">
        <v>8</v>
      </c>
      <c r="D114" s="361">
        <v>3</v>
      </c>
      <c r="E114" s="45"/>
      <c r="F114" s="361">
        <v>3</v>
      </c>
      <c r="G114" s="333"/>
      <c r="H114" s="333"/>
      <c r="I114" s="333"/>
      <c r="J114" s="333"/>
      <c r="K114" s="333"/>
      <c r="L114" s="333"/>
      <c r="M114" s="333"/>
      <c r="N114" s="333"/>
      <c r="O114" s="333"/>
      <c r="P114" s="333"/>
      <c r="Q114" s="66"/>
      <c r="R114" s="66"/>
      <c r="S114" s="333"/>
    </row>
    <row r="115" spans="1:19">
      <c r="A115" s="13"/>
      <c r="B115" s="163" t="s">
        <v>19</v>
      </c>
      <c r="C115" s="164" t="s">
        <v>20</v>
      </c>
      <c r="D115" s="361">
        <v>9</v>
      </c>
      <c r="E115" s="45"/>
      <c r="F115" s="361">
        <v>9</v>
      </c>
      <c r="G115" s="333"/>
      <c r="H115" s="333"/>
      <c r="I115" s="333"/>
      <c r="J115" s="333"/>
      <c r="K115" s="333"/>
      <c r="L115" s="333"/>
      <c r="M115" s="333"/>
      <c r="N115" s="333"/>
      <c r="O115" s="333"/>
      <c r="P115" s="333"/>
      <c r="Q115" s="66"/>
      <c r="R115" s="66"/>
      <c r="S115" s="333"/>
    </row>
    <row r="116" spans="1:19">
      <c r="A116" s="13"/>
      <c r="B116" s="163" t="s">
        <v>21</v>
      </c>
      <c r="C116" s="164" t="s">
        <v>8</v>
      </c>
      <c r="D116" s="361">
        <v>1</v>
      </c>
      <c r="E116" s="43"/>
      <c r="F116" s="361">
        <v>1</v>
      </c>
      <c r="G116" s="330"/>
      <c r="H116" s="330"/>
      <c r="I116" s="330"/>
      <c r="J116" s="330"/>
      <c r="K116" s="330"/>
      <c r="L116" s="330"/>
      <c r="M116" s="330"/>
      <c r="N116" s="330"/>
      <c r="O116" s="330"/>
      <c r="P116" s="330"/>
      <c r="Q116" s="66"/>
      <c r="R116" s="66"/>
      <c r="S116" s="330"/>
    </row>
    <row r="117" spans="1:19">
      <c r="A117" s="13"/>
      <c r="B117" s="163" t="s">
        <v>22</v>
      </c>
      <c r="C117" s="164" t="s">
        <v>8</v>
      </c>
      <c r="D117" s="361">
        <v>1</v>
      </c>
      <c r="E117" s="44"/>
      <c r="F117" s="361">
        <v>1</v>
      </c>
      <c r="G117" s="331"/>
      <c r="H117" s="331"/>
      <c r="I117" s="331"/>
      <c r="J117" s="331"/>
      <c r="K117" s="331"/>
      <c r="L117" s="331"/>
      <c r="M117" s="331"/>
      <c r="N117" s="331"/>
      <c r="O117" s="331"/>
      <c r="P117" s="331"/>
      <c r="Q117" s="127"/>
      <c r="R117" s="127"/>
      <c r="S117" s="331"/>
    </row>
    <row r="118" spans="1:19">
      <c r="A118" s="11"/>
      <c r="B118" s="159" t="s">
        <v>24</v>
      </c>
      <c r="C118" s="160" t="s">
        <v>8</v>
      </c>
      <c r="D118" s="361">
        <v>9</v>
      </c>
      <c r="E118" s="46"/>
      <c r="F118" s="361">
        <v>9</v>
      </c>
      <c r="G118" s="334"/>
      <c r="H118" s="334"/>
      <c r="I118" s="334"/>
      <c r="J118" s="334"/>
      <c r="K118" s="334"/>
      <c r="L118" s="334"/>
      <c r="M118" s="334"/>
      <c r="N118" s="334"/>
      <c r="O118" s="334"/>
      <c r="P118" s="334"/>
      <c r="Q118" s="66"/>
      <c r="R118" s="66"/>
      <c r="S118" s="334"/>
    </row>
    <row r="119" spans="1:19">
      <c r="A119" s="11"/>
      <c r="B119" s="159" t="s">
        <v>25</v>
      </c>
      <c r="C119" s="165" t="s">
        <v>8</v>
      </c>
      <c r="D119" s="361">
        <v>9</v>
      </c>
      <c r="E119" s="50"/>
      <c r="F119" s="361">
        <v>9</v>
      </c>
      <c r="G119" s="335"/>
      <c r="H119" s="335"/>
      <c r="I119" s="335"/>
      <c r="J119" s="335"/>
      <c r="K119" s="335"/>
      <c r="L119" s="335"/>
      <c r="M119" s="335"/>
      <c r="N119" s="335"/>
      <c r="O119" s="335"/>
      <c r="P119" s="335"/>
      <c r="Q119" s="66"/>
      <c r="R119" s="66"/>
      <c r="S119" s="335"/>
    </row>
    <row r="120" spans="1:19" ht="30">
      <c r="A120" s="13"/>
      <c r="B120" s="163" t="s">
        <v>46</v>
      </c>
      <c r="C120" s="164" t="s">
        <v>8</v>
      </c>
      <c r="D120" s="361">
        <v>1</v>
      </c>
      <c r="E120" s="53"/>
      <c r="F120" s="361">
        <v>1</v>
      </c>
      <c r="G120" s="15"/>
      <c r="H120" s="15"/>
      <c r="I120" s="15"/>
      <c r="J120" s="15"/>
      <c r="K120" s="15"/>
      <c r="L120" s="15"/>
      <c r="M120" s="15"/>
      <c r="N120" s="15"/>
      <c r="O120" s="15"/>
      <c r="P120" s="15"/>
      <c r="Q120" s="66"/>
      <c r="R120" s="66"/>
      <c r="S120" s="15"/>
    </row>
    <row r="121" spans="1:19">
      <c r="A121" s="11"/>
      <c r="B121" s="159" t="s">
        <v>67</v>
      </c>
      <c r="C121" s="160" t="s">
        <v>8</v>
      </c>
      <c r="D121" s="361">
        <v>1</v>
      </c>
      <c r="E121" s="50"/>
      <c r="F121" s="361">
        <v>1</v>
      </c>
      <c r="G121" s="335"/>
      <c r="H121" s="335"/>
      <c r="I121" s="335"/>
      <c r="J121" s="335"/>
      <c r="K121" s="335"/>
      <c r="L121" s="335"/>
      <c r="M121" s="335"/>
      <c r="N121" s="335"/>
      <c r="O121" s="335"/>
      <c r="P121" s="335"/>
      <c r="Q121" s="66"/>
      <c r="R121" s="66"/>
      <c r="S121" s="335"/>
    </row>
    <row r="122" spans="1:19">
      <c r="A122" s="11"/>
      <c r="B122" s="159" t="s">
        <v>68</v>
      </c>
      <c r="C122" s="160" t="s">
        <v>8</v>
      </c>
      <c r="D122" s="361">
        <v>1</v>
      </c>
      <c r="E122" s="46"/>
      <c r="F122" s="361">
        <v>1</v>
      </c>
      <c r="G122" s="334"/>
      <c r="H122" s="334"/>
      <c r="I122" s="334"/>
      <c r="J122" s="334"/>
      <c r="K122" s="334"/>
      <c r="L122" s="334"/>
      <c r="M122" s="334"/>
      <c r="N122" s="334"/>
      <c r="O122" s="334"/>
      <c r="P122" s="334"/>
      <c r="Q122" s="66"/>
      <c r="R122" s="66"/>
      <c r="S122" s="334"/>
    </row>
    <row r="123" spans="1:19">
      <c r="A123" s="11"/>
      <c r="B123" s="161" t="s">
        <v>26</v>
      </c>
      <c r="C123" s="160"/>
      <c r="D123" s="361"/>
      <c r="E123" s="54"/>
      <c r="F123" s="361"/>
      <c r="G123" s="17"/>
      <c r="H123" s="17"/>
      <c r="I123" s="17"/>
      <c r="J123" s="17"/>
      <c r="K123" s="17"/>
      <c r="L123" s="17"/>
      <c r="M123" s="17"/>
      <c r="N123" s="17"/>
      <c r="O123" s="17"/>
      <c r="P123" s="17"/>
      <c r="Q123" s="66"/>
      <c r="R123" s="66"/>
      <c r="S123" s="17"/>
    </row>
    <row r="124" spans="1:19">
      <c r="A124" s="11"/>
      <c r="B124" s="159" t="s">
        <v>69</v>
      </c>
      <c r="C124" s="160" t="s">
        <v>8</v>
      </c>
      <c r="D124" s="361">
        <v>2</v>
      </c>
      <c r="E124" s="50"/>
      <c r="F124" s="361">
        <v>2</v>
      </c>
      <c r="G124" s="335"/>
      <c r="H124" s="335"/>
      <c r="I124" s="335"/>
      <c r="J124" s="335"/>
      <c r="K124" s="335"/>
      <c r="L124" s="335"/>
      <c r="M124" s="335"/>
      <c r="N124" s="335"/>
      <c r="O124" s="335"/>
      <c r="P124" s="335"/>
      <c r="Q124" s="66"/>
      <c r="R124" s="66"/>
      <c r="S124" s="335"/>
    </row>
    <row r="125" spans="1:19">
      <c r="A125" s="11"/>
      <c r="B125" s="162" t="str">
        <f>"Motor sạc 220VAC cho " &amp;B124</f>
        <v xml:space="preserve">Motor sạc 220VAC cho ACB Fixed 4P 3200AT 3200AF 65kA </v>
      </c>
      <c r="C125" s="160" t="s">
        <v>8</v>
      </c>
      <c r="D125" s="361">
        <v>2</v>
      </c>
      <c r="E125" s="48"/>
      <c r="F125" s="361">
        <v>2</v>
      </c>
      <c r="G125" s="334"/>
      <c r="H125" s="334"/>
      <c r="I125" s="334"/>
      <c r="J125" s="334"/>
      <c r="K125" s="334"/>
      <c r="L125" s="334"/>
      <c r="M125" s="334"/>
      <c r="N125" s="334"/>
      <c r="O125" s="334"/>
      <c r="P125" s="334"/>
      <c r="Q125" s="66"/>
      <c r="R125" s="66"/>
      <c r="S125" s="334"/>
    </row>
    <row r="126" spans="1:19" ht="30">
      <c r="A126" s="11"/>
      <c r="B126" s="162" t="str">
        <f>"Cuộn đóng 220VAC cho " &amp;B124</f>
        <v xml:space="preserve">Cuộn đóng 220VAC cho ACB Fixed 4P 3200AT 3200AF 65kA </v>
      </c>
      <c r="C126" s="160" t="s">
        <v>8</v>
      </c>
      <c r="D126" s="361">
        <v>2</v>
      </c>
      <c r="E126" s="44"/>
      <c r="F126" s="361">
        <v>2</v>
      </c>
      <c r="G126" s="331"/>
      <c r="H126" s="331"/>
      <c r="I126" s="331"/>
      <c r="J126" s="331"/>
      <c r="K126" s="331"/>
      <c r="L126" s="331"/>
      <c r="M126" s="331"/>
      <c r="N126" s="331"/>
      <c r="O126" s="331"/>
      <c r="P126" s="331"/>
      <c r="Q126" s="127"/>
      <c r="R126" s="127"/>
      <c r="S126" s="331"/>
    </row>
    <row r="127" spans="1:19">
      <c r="A127" s="11"/>
      <c r="B127" s="159" t="s">
        <v>13</v>
      </c>
      <c r="C127" s="160" t="s">
        <v>8</v>
      </c>
      <c r="D127" s="361">
        <v>2</v>
      </c>
      <c r="E127" s="50"/>
      <c r="F127" s="361">
        <v>2</v>
      </c>
      <c r="G127" s="335"/>
      <c r="H127" s="335"/>
      <c r="I127" s="335"/>
      <c r="J127" s="335"/>
      <c r="K127" s="335"/>
      <c r="L127" s="335"/>
      <c r="M127" s="335"/>
      <c r="N127" s="335"/>
      <c r="O127" s="335"/>
      <c r="P127" s="335"/>
      <c r="Q127" s="66"/>
      <c r="R127" s="66"/>
      <c r="S127" s="335"/>
    </row>
    <row r="128" spans="1:19">
      <c r="A128" s="13"/>
      <c r="B128" s="163" t="s">
        <v>19</v>
      </c>
      <c r="C128" s="164" t="s">
        <v>20</v>
      </c>
      <c r="D128" s="361">
        <v>6</v>
      </c>
      <c r="E128" s="50"/>
      <c r="F128" s="361">
        <v>6</v>
      </c>
      <c r="G128" s="335"/>
      <c r="H128" s="335"/>
      <c r="I128" s="335"/>
      <c r="J128" s="335"/>
      <c r="K128" s="335"/>
      <c r="L128" s="335"/>
      <c r="M128" s="335"/>
      <c r="N128" s="335"/>
      <c r="O128" s="335"/>
      <c r="P128" s="335"/>
      <c r="Q128" s="66"/>
      <c r="R128" s="66"/>
      <c r="S128" s="335"/>
    </row>
    <row r="129" spans="1:19">
      <c r="A129" s="13"/>
      <c r="B129" s="163" t="s">
        <v>21</v>
      </c>
      <c r="C129" s="164" t="s">
        <v>8</v>
      </c>
      <c r="D129" s="361">
        <v>2</v>
      </c>
      <c r="E129" s="50"/>
      <c r="F129" s="361">
        <v>2</v>
      </c>
      <c r="G129" s="335"/>
      <c r="H129" s="335"/>
      <c r="I129" s="335"/>
      <c r="J129" s="335"/>
      <c r="K129" s="335"/>
      <c r="L129" s="335"/>
      <c r="M129" s="335"/>
      <c r="N129" s="335"/>
      <c r="O129" s="335"/>
      <c r="P129" s="335"/>
      <c r="Q129" s="66"/>
      <c r="R129" s="66"/>
      <c r="S129" s="335"/>
    </row>
    <row r="130" spans="1:19">
      <c r="A130" s="13"/>
      <c r="B130" s="163" t="s">
        <v>22</v>
      </c>
      <c r="C130" s="164" t="s">
        <v>8</v>
      </c>
      <c r="D130" s="361">
        <v>2</v>
      </c>
      <c r="E130" s="50"/>
      <c r="F130" s="361">
        <v>2</v>
      </c>
      <c r="G130" s="335"/>
      <c r="H130" s="335"/>
      <c r="I130" s="335"/>
      <c r="J130" s="335"/>
      <c r="K130" s="335"/>
      <c r="L130" s="335"/>
      <c r="M130" s="335"/>
      <c r="N130" s="335"/>
      <c r="O130" s="335"/>
      <c r="P130" s="335"/>
      <c r="Q130" s="66"/>
      <c r="R130" s="66"/>
      <c r="S130" s="335"/>
    </row>
    <row r="131" spans="1:19">
      <c r="A131" s="11"/>
      <c r="B131" s="159" t="s">
        <v>24</v>
      </c>
      <c r="C131" s="160" t="s">
        <v>8</v>
      </c>
      <c r="D131" s="361">
        <v>6</v>
      </c>
      <c r="E131" s="50"/>
      <c r="F131" s="361">
        <v>6</v>
      </c>
      <c r="G131" s="335"/>
      <c r="H131" s="335"/>
      <c r="I131" s="335"/>
      <c r="J131" s="335"/>
      <c r="K131" s="335"/>
      <c r="L131" s="335"/>
      <c r="M131" s="335"/>
      <c r="N131" s="335"/>
      <c r="O131" s="335"/>
      <c r="P131" s="335"/>
      <c r="Q131" s="66"/>
      <c r="R131" s="66"/>
      <c r="S131" s="335"/>
    </row>
    <row r="132" spans="1:19">
      <c r="A132" s="11"/>
      <c r="B132" s="159" t="s">
        <v>25</v>
      </c>
      <c r="C132" s="165" t="s">
        <v>8</v>
      </c>
      <c r="D132" s="361">
        <v>6</v>
      </c>
      <c r="E132" s="43"/>
      <c r="F132" s="361">
        <v>6</v>
      </c>
      <c r="G132" s="330"/>
      <c r="H132" s="330"/>
      <c r="I132" s="330"/>
      <c r="J132" s="330"/>
      <c r="K132" s="330"/>
      <c r="L132" s="330"/>
      <c r="M132" s="330"/>
      <c r="N132" s="330"/>
      <c r="O132" s="330"/>
      <c r="P132" s="330"/>
      <c r="Q132" s="66"/>
      <c r="R132" s="66"/>
      <c r="S132" s="330"/>
    </row>
    <row r="133" spans="1:19" ht="30">
      <c r="A133" s="13"/>
      <c r="B133" s="163" t="s">
        <v>46</v>
      </c>
      <c r="C133" s="164" t="s">
        <v>8</v>
      </c>
      <c r="D133" s="361">
        <v>2</v>
      </c>
      <c r="E133" s="43"/>
      <c r="F133" s="361">
        <v>2</v>
      </c>
      <c r="G133" s="330"/>
      <c r="H133" s="330"/>
      <c r="I133" s="330"/>
      <c r="J133" s="330"/>
      <c r="K133" s="330"/>
      <c r="L133" s="330"/>
      <c r="M133" s="330"/>
      <c r="N133" s="330"/>
      <c r="O133" s="330"/>
      <c r="P133" s="330"/>
      <c r="Q133" s="66"/>
      <c r="R133" s="66"/>
      <c r="S133" s="330"/>
    </row>
    <row r="134" spans="1:19">
      <c r="A134" s="18"/>
      <c r="B134" s="173" t="s">
        <v>70</v>
      </c>
      <c r="C134" s="99"/>
      <c r="D134" s="361"/>
      <c r="E134" s="43"/>
      <c r="F134" s="361"/>
      <c r="G134" s="330"/>
      <c r="H134" s="330"/>
      <c r="I134" s="330"/>
      <c r="J134" s="330"/>
      <c r="K134" s="330"/>
      <c r="L134" s="330"/>
      <c r="M134" s="330"/>
      <c r="N134" s="330"/>
      <c r="O134" s="330"/>
      <c r="P134" s="330"/>
      <c r="Q134" s="66"/>
      <c r="R134" s="66"/>
      <c r="S134" s="330"/>
    </row>
    <row r="135" spans="1:19">
      <c r="A135" s="668"/>
      <c r="B135" s="162" t="s">
        <v>71</v>
      </c>
      <c r="C135" s="103" t="s">
        <v>8</v>
      </c>
      <c r="D135" s="361">
        <v>4</v>
      </c>
      <c r="E135" s="43"/>
      <c r="F135" s="361">
        <v>4</v>
      </c>
      <c r="G135" s="330"/>
      <c r="H135" s="330"/>
      <c r="I135" s="330"/>
      <c r="J135" s="330"/>
      <c r="K135" s="330"/>
      <c r="L135" s="330"/>
      <c r="M135" s="330"/>
      <c r="N135" s="330"/>
      <c r="O135" s="330"/>
      <c r="P135" s="330"/>
      <c r="Q135" s="66"/>
      <c r="R135" s="66"/>
      <c r="S135" s="330"/>
    </row>
    <row r="136" spans="1:19">
      <c r="A136" s="668"/>
      <c r="B136" s="162" t="s">
        <v>72</v>
      </c>
      <c r="C136" s="103" t="s">
        <v>8</v>
      </c>
      <c r="D136" s="361">
        <v>1</v>
      </c>
      <c r="E136" s="50"/>
      <c r="F136" s="361">
        <v>1</v>
      </c>
      <c r="G136" s="335"/>
      <c r="H136" s="335"/>
      <c r="I136" s="335"/>
      <c r="J136" s="335"/>
      <c r="K136" s="335"/>
      <c r="L136" s="335"/>
      <c r="M136" s="335"/>
      <c r="N136" s="335"/>
      <c r="O136" s="335"/>
      <c r="P136" s="335"/>
      <c r="Q136" s="66"/>
      <c r="R136" s="66"/>
      <c r="S136" s="335"/>
    </row>
    <row r="137" spans="1:19">
      <c r="A137" s="668"/>
      <c r="B137" s="162" t="s">
        <v>73</v>
      </c>
      <c r="C137" s="103" t="s">
        <v>8</v>
      </c>
      <c r="D137" s="361">
        <v>1</v>
      </c>
      <c r="E137" s="50"/>
      <c r="F137" s="361">
        <v>1</v>
      </c>
      <c r="G137" s="335"/>
      <c r="H137" s="335"/>
      <c r="I137" s="335"/>
      <c r="J137" s="335"/>
      <c r="K137" s="335"/>
      <c r="L137" s="335"/>
      <c r="M137" s="335"/>
      <c r="N137" s="335"/>
      <c r="O137" s="335"/>
      <c r="P137" s="335"/>
      <c r="Q137" s="66"/>
      <c r="R137" s="66"/>
      <c r="S137" s="335"/>
    </row>
    <row r="138" spans="1:19">
      <c r="A138" s="668"/>
      <c r="B138" s="162" t="s">
        <v>74</v>
      </c>
      <c r="C138" s="103" t="s">
        <v>8</v>
      </c>
      <c r="D138" s="361">
        <v>2</v>
      </c>
      <c r="E138" s="44"/>
      <c r="F138" s="361">
        <v>2</v>
      </c>
      <c r="G138" s="331"/>
      <c r="H138" s="331"/>
      <c r="I138" s="331"/>
      <c r="J138" s="331"/>
      <c r="K138" s="331"/>
      <c r="L138" s="331"/>
      <c r="M138" s="331"/>
      <c r="N138" s="331"/>
      <c r="O138" s="331"/>
      <c r="P138" s="331"/>
      <c r="Q138" s="127"/>
      <c r="R138" s="127"/>
      <c r="S138" s="331"/>
    </row>
    <row r="139" spans="1:19">
      <c r="A139" s="668"/>
      <c r="B139" s="162" t="s">
        <v>75</v>
      </c>
      <c r="C139" s="103" t="s">
        <v>8</v>
      </c>
      <c r="D139" s="361">
        <v>1</v>
      </c>
      <c r="E139" s="46"/>
      <c r="F139" s="361">
        <v>1</v>
      </c>
      <c r="G139" s="334"/>
      <c r="H139" s="334"/>
      <c r="I139" s="334"/>
      <c r="J139" s="334"/>
      <c r="K139" s="334"/>
      <c r="L139" s="334"/>
      <c r="M139" s="334"/>
      <c r="N139" s="334"/>
      <c r="O139" s="334"/>
      <c r="P139" s="334"/>
      <c r="Q139" s="66"/>
      <c r="R139" s="66"/>
      <c r="S139" s="334"/>
    </row>
    <row r="140" spans="1:19">
      <c r="A140" s="668"/>
      <c r="B140" s="162" t="s">
        <v>76</v>
      </c>
      <c r="C140" s="103" t="s">
        <v>8</v>
      </c>
      <c r="D140" s="361">
        <v>1</v>
      </c>
      <c r="E140" s="47"/>
      <c r="F140" s="361">
        <v>1</v>
      </c>
      <c r="G140" s="330"/>
      <c r="H140" s="330"/>
      <c r="I140" s="330"/>
      <c r="J140" s="330"/>
      <c r="K140" s="330"/>
      <c r="L140" s="330"/>
      <c r="M140" s="330"/>
      <c r="N140" s="330"/>
      <c r="O140" s="330"/>
      <c r="P140" s="330"/>
      <c r="Q140" s="66"/>
      <c r="R140" s="66"/>
      <c r="S140" s="330"/>
    </row>
    <row r="141" spans="1:19">
      <c r="A141" s="668"/>
      <c r="B141" s="162" t="s">
        <v>77</v>
      </c>
      <c r="C141" s="103" t="s">
        <v>78</v>
      </c>
      <c r="D141" s="361">
        <v>1</v>
      </c>
      <c r="E141" s="53"/>
      <c r="F141" s="361">
        <v>1</v>
      </c>
      <c r="G141" s="15"/>
      <c r="H141" s="15"/>
      <c r="I141" s="15"/>
      <c r="J141" s="15"/>
      <c r="K141" s="15"/>
      <c r="L141" s="15"/>
      <c r="M141" s="15"/>
      <c r="N141" s="15"/>
      <c r="O141" s="15"/>
      <c r="P141" s="15"/>
      <c r="Q141" s="66"/>
      <c r="R141" s="66"/>
      <c r="S141" s="15"/>
    </row>
    <row r="142" spans="1:19" ht="30">
      <c r="A142" s="15"/>
      <c r="B142" s="159" t="s">
        <v>79</v>
      </c>
      <c r="C142" s="167" t="s">
        <v>8</v>
      </c>
      <c r="D142" s="361">
        <v>2</v>
      </c>
      <c r="E142" s="50"/>
      <c r="F142" s="361">
        <v>2</v>
      </c>
      <c r="G142" s="335"/>
      <c r="H142" s="335"/>
      <c r="I142" s="335"/>
      <c r="J142" s="335"/>
      <c r="K142" s="335"/>
      <c r="L142" s="335"/>
      <c r="M142" s="335"/>
      <c r="N142" s="335"/>
      <c r="O142" s="335"/>
      <c r="P142" s="335"/>
      <c r="Q142" s="66"/>
      <c r="R142" s="66"/>
      <c r="S142" s="335"/>
    </row>
    <row r="143" spans="1:19">
      <c r="A143" s="15"/>
      <c r="B143" s="162" t="s">
        <v>80</v>
      </c>
      <c r="C143" s="103" t="s">
        <v>8</v>
      </c>
      <c r="D143" s="361">
        <v>2</v>
      </c>
      <c r="E143" s="43"/>
      <c r="F143" s="361">
        <v>2</v>
      </c>
      <c r="G143" s="330"/>
      <c r="H143" s="330"/>
      <c r="I143" s="330"/>
      <c r="J143" s="330"/>
      <c r="K143" s="330"/>
      <c r="L143" s="330"/>
      <c r="M143" s="330"/>
      <c r="N143" s="330"/>
      <c r="O143" s="330"/>
      <c r="P143" s="330"/>
      <c r="Q143" s="66"/>
      <c r="R143" s="66"/>
      <c r="S143" s="330"/>
    </row>
    <row r="144" spans="1:19">
      <c r="A144" s="15"/>
      <c r="B144" s="162" t="s">
        <v>81</v>
      </c>
      <c r="C144" s="103" t="s">
        <v>8</v>
      </c>
      <c r="D144" s="361">
        <v>2</v>
      </c>
      <c r="E144" s="55"/>
      <c r="F144" s="361">
        <v>2</v>
      </c>
      <c r="G144" s="337"/>
      <c r="H144" s="337"/>
      <c r="I144" s="337"/>
      <c r="J144" s="337"/>
      <c r="K144" s="337"/>
      <c r="L144" s="337"/>
      <c r="M144" s="337"/>
      <c r="N144" s="337"/>
      <c r="O144" s="337"/>
      <c r="P144" s="337"/>
      <c r="Q144" s="66"/>
      <c r="R144" s="66"/>
      <c r="S144" s="337"/>
    </row>
    <row r="145" spans="1:19">
      <c r="A145" s="15"/>
      <c r="B145" s="162" t="s">
        <v>82</v>
      </c>
      <c r="C145" s="103" t="s">
        <v>8</v>
      </c>
      <c r="D145" s="361">
        <v>2</v>
      </c>
      <c r="E145" s="53"/>
      <c r="F145" s="361">
        <v>2</v>
      </c>
      <c r="G145" s="15"/>
      <c r="H145" s="15"/>
      <c r="I145" s="15"/>
      <c r="J145" s="15"/>
      <c r="K145" s="15"/>
      <c r="L145" s="15"/>
      <c r="M145" s="15"/>
      <c r="N145" s="15"/>
      <c r="O145" s="15"/>
      <c r="P145" s="15"/>
      <c r="Q145" s="66"/>
      <c r="R145" s="66"/>
      <c r="S145" s="15"/>
    </row>
    <row r="146" spans="1:19">
      <c r="A146" s="11"/>
      <c r="B146" s="159" t="s">
        <v>18</v>
      </c>
      <c r="C146" s="160" t="s">
        <v>8</v>
      </c>
      <c r="D146" s="361">
        <v>12</v>
      </c>
      <c r="E146" s="43"/>
      <c r="F146" s="361">
        <v>12</v>
      </c>
      <c r="G146" s="330"/>
      <c r="H146" s="330"/>
      <c r="I146" s="330"/>
      <c r="J146" s="330"/>
      <c r="K146" s="330"/>
      <c r="L146" s="330"/>
      <c r="M146" s="330"/>
      <c r="N146" s="330"/>
      <c r="O146" s="330"/>
      <c r="P146" s="330"/>
      <c r="Q146" s="66"/>
      <c r="R146" s="66"/>
      <c r="S146" s="330"/>
    </row>
    <row r="147" spans="1:19">
      <c r="A147" s="15"/>
      <c r="B147" s="162" t="s">
        <v>15</v>
      </c>
      <c r="C147" s="103" t="s">
        <v>8</v>
      </c>
      <c r="D147" s="361">
        <v>4</v>
      </c>
      <c r="E147" s="55"/>
      <c r="F147" s="361">
        <v>4</v>
      </c>
      <c r="G147" s="337"/>
      <c r="H147" s="337"/>
      <c r="I147" s="337"/>
      <c r="J147" s="337"/>
      <c r="K147" s="337"/>
      <c r="L147" s="337"/>
      <c r="M147" s="337"/>
      <c r="N147" s="337"/>
      <c r="O147" s="337"/>
      <c r="P147" s="337"/>
      <c r="Q147" s="66"/>
      <c r="R147" s="66"/>
      <c r="S147" s="337"/>
    </row>
    <row r="148" spans="1:19">
      <c r="A148" s="11"/>
      <c r="B148" s="159" t="s">
        <v>55</v>
      </c>
      <c r="C148" s="160" t="s">
        <v>8</v>
      </c>
      <c r="D148" s="361">
        <v>1</v>
      </c>
      <c r="E148" s="50"/>
      <c r="F148" s="361">
        <v>1</v>
      </c>
      <c r="G148" s="335"/>
      <c r="H148" s="335"/>
      <c r="I148" s="335"/>
      <c r="J148" s="335"/>
      <c r="K148" s="335"/>
      <c r="L148" s="335"/>
      <c r="M148" s="335"/>
      <c r="N148" s="335"/>
      <c r="O148" s="335"/>
      <c r="P148" s="335"/>
      <c r="Q148" s="66"/>
      <c r="R148" s="66"/>
      <c r="S148" s="335"/>
    </row>
    <row r="149" spans="1:19">
      <c r="A149" s="11"/>
      <c r="B149" s="159" t="s">
        <v>83</v>
      </c>
      <c r="C149" s="160" t="s">
        <v>17</v>
      </c>
      <c r="D149" s="361">
        <v>1</v>
      </c>
      <c r="E149" s="50"/>
      <c r="F149" s="361">
        <v>1</v>
      </c>
      <c r="G149" s="335"/>
      <c r="H149" s="335"/>
      <c r="I149" s="335"/>
      <c r="J149" s="335"/>
      <c r="K149" s="335"/>
      <c r="L149" s="335"/>
      <c r="M149" s="335"/>
      <c r="N149" s="335"/>
      <c r="O149" s="335"/>
      <c r="P149" s="335"/>
      <c r="Q149" s="66"/>
      <c r="R149" s="66"/>
      <c r="S149" s="335"/>
    </row>
    <row r="150" spans="1:19">
      <c r="A150" s="11"/>
      <c r="B150" s="168" t="s">
        <v>35</v>
      </c>
      <c r="C150" s="169" t="s">
        <v>17</v>
      </c>
      <c r="D150" s="361">
        <v>1</v>
      </c>
      <c r="E150" s="50"/>
      <c r="F150" s="361">
        <v>1</v>
      </c>
      <c r="G150" s="335"/>
      <c r="H150" s="335"/>
      <c r="I150" s="335"/>
      <c r="J150" s="335"/>
      <c r="K150" s="335"/>
      <c r="L150" s="335"/>
      <c r="M150" s="335"/>
      <c r="N150" s="335"/>
      <c r="O150" s="335"/>
      <c r="P150" s="335"/>
      <c r="Q150" s="66"/>
      <c r="R150" s="66"/>
      <c r="S150" s="335"/>
    </row>
    <row r="151" spans="1:19" ht="30">
      <c r="A151" s="15"/>
      <c r="B151" s="170" t="s">
        <v>36</v>
      </c>
      <c r="C151" s="171" t="s">
        <v>17</v>
      </c>
      <c r="D151" s="361">
        <v>1</v>
      </c>
      <c r="E151" s="53"/>
      <c r="F151" s="361">
        <v>1</v>
      </c>
      <c r="G151" s="15"/>
      <c r="H151" s="15"/>
      <c r="I151" s="15"/>
      <c r="J151" s="15"/>
      <c r="K151" s="15"/>
      <c r="L151" s="15"/>
      <c r="M151" s="15"/>
      <c r="N151" s="15"/>
      <c r="O151" s="15"/>
      <c r="P151" s="15"/>
      <c r="Q151" s="66"/>
      <c r="R151" s="66"/>
      <c r="S151" s="15"/>
    </row>
    <row r="152" spans="1:19" ht="30">
      <c r="A152" s="15"/>
      <c r="B152" s="170" t="s">
        <v>84</v>
      </c>
      <c r="C152" s="171" t="s">
        <v>17</v>
      </c>
      <c r="D152" s="361">
        <v>2</v>
      </c>
      <c r="E152" s="45"/>
      <c r="F152" s="361">
        <v>2</v>
      </c>
      <c r="G152" s="333"/>
      <c r="H152" s="333"/>
      <c r="I152" s="333"/>
      <c r="J152" s="333"/>
      <c r="K152" s="333"/>
      <c r="L152" s="333"/>
      <c r="M152" s="333"/>
      <c r="N152" s="333"/>
      <c r="O152" s="333"/>
      <c r="P152" s="333"/>
      <c r="Q152" s="66"/>
      <c r="R152" s="66"/>
      <c r="S152" s="333"/>
    </row>
    <row r="153" spans="1:19">
      <c r="A153" s="11"/>
      <c r="B153" s="168" t="s">
        <v>38</v>
      </c>
      <c r="C153" s="169" t="s">
        <v>7</v>
      </c>
      <c r="D153" s="361">
        <v>1</v>
      </c>
      <c r="E153" s="306"/>
      <c r="F153" s="361">
        <v>1</v>
      </c>
      <c r="G153" s="336"/>
      <c r="H153" s="336"/>
      <c r="I153" s="336"/>
      <c r="J153" s="336"/>
      <c r="K153" s="336"/>
      <c r="L153" s="336"/>
      <c r="M153" s="336"/>
      <c r="N153" s="336"/>
      <c r="O153" s="336"/>
      <c r="P153" s="336"/>
      <c r="Q153" s="66"/>
      <c r="R153" s="66"/>
      <c r="S153" s="336"/>
    </row>
    <row r="154" spans="1:19" s="93" customFormat="1" ht="60">
      <c r="A154" s="18">
        <f>COUNT($A$10:$A153)+1</f>
        <v>5</v>
      </c>
      <c r="B154" s="161" t="s">
        <v>85</v>
      </c>
      <c r="C154" s="172" t="s">
        <v>7</v>
      </c>
      <c r="D154" s="360">
        <v>1</v>
      </c>
      <c r="E154" s="156"/>
      <c r="F154" s="360">
        <v>1</v>
      </c>
      <c r="G154" s="357" t="s">
        <v>2326</v>
      </c>
      <c r="H154" s="357"/>
      <c r="I154" s="357" t="s">
        <v>2327</v>
      </c>
      <c r="J154" s="358" t="s">
        <v>2328</v>
      </c>
      <c r="K154" s="311">
        <v>551027705.57999992</v>
      </c>
      <c r="L154" s="311">
        <v>0</v>
      </c>
      <c r="M154" s="311">
        <v>14464000.000000002</v>
      </c>
      <c r="N154" s="311">
        <v>56939364.200000003</v>
      </c>
      <c r="O154" s="311">
        <v>39857554.940000005</v>
      </c>
      <c r="P154" s="68">
        <f>SUM(K154:O154)</f>
        <v>662288624.72000003</v>
      </c>
      <c r="Q154" s="68">
        <f>D154*P154</f>
        <v>662288624.72000003</v>
      </c>
      <c r="R154" s="127">
        <f>F154*P154</f>
        <v>662288624.72000003</v>
      </c>
      <c r="S154" s="329"/>
    </row>
    <row r="155" spans="1:19">
      <c r="A155" s="11"/>
      <c r="B155" s="159" t="s">
        <v>1885</v>
      </c>
      <c r="C155" s="160" t="s">
        <v>8</v>
      </c>
      <c r="D155" s="361">
        <v>1</v>
      </c>
      <c r="E155" s="44"/>
      <c r="F155" s="361">
        <v>1</v>
      </c>
      <c r="G155" s="331"/>
      <c r="H155" s="331"/>
      <c r="I155" s="331"/>
      <c r="J155" s="331"/>
      <c r="K155" s="331"/>
      <c r="L155" s="331"/>
      <c r="M155" s="331"/>
      <c r="N155" s="331"/>
      <c r="O155" s="331"/>
      <c r="P155" s="331"/>
      <c r="Q155" s="127"/>
      <c r="R155" s="127"/>
      <c r="S155" s="331"/>
    </row>
    <row r="156" spans="1:19">
      <c r="A156" s="11"/>
      <c r="B156" s="161" t="s">
        <v>9</v>
      </c>
      <c r="C156" s="160"/>
      <c r="D156" s="361"/>
      <c r="E156" s="46"/>
      <c r="F156" s="361"/>
      <c r="G156" s="334"/>
      <c r="H156" s="334"/>
      <c r="I156" s="334"/>
      <c r="J156" s="334"/>
      <c r="K156" s="334"/>
      <c r="L156" s="334"/>
      <c r="M156" s="334"/>
      <c r="N156" s="334"/>
      <c r="O156" s="334"/>
      <c r="P156" s="334"/>
      <c r="Q156" s="66"/>
      <c r="R156" s="66"/>
      <c r="S156" s="334"/>
    </row>
    <row r="157" spans="1:19">
      <c r="A157" s="11"/>
      <c r="B157" s="166" t="s">
        <v>28</v>
      </c>
      <c r="C157" s="160" t="s">
        <v>8</v>
      </c>
      <c r="D157" s="361">
        <v>2</v>
      </c>
      <c r="E157" s="47"/>
      <c r="F157" s="361">
        <v>2</v>
      </c>
      <c r="G157" s="330"/>
      <c r="H157" s="330"/>
      <c r="I157" s="330"/>
      <c r="J157" s="330"/>
      <c r="K157" s="330"/>
      <c r="L157" s="330"/>
      <c r="M157" s="330"/>
      <c r="N157" s="330"/>
      <c r="O157" s="330"/>
      <c r="P157" s="330"/>
      <c r="Q157" s="66"/>
      <c r="R157" s="66"/>
      <c r="S157" s="330"/>
    </row>
    <row r="158" spans="1:19">
      <c r="A158" s="11"/>
      <c r="B158" s="162" t="str">
        <f>"Motor sạc 220VAC cho " &amp;B157</f>
        <v>Motor sạc 220VAC cho ACB 4P 1600AT 1600AF 65kA Fixed</v>
      </c>
      <c r="C158" s="160" t="s">
        <v>8</v>
      </c>
      <c r="D158" s="361">
        <v>2</v>
      </c>
      <c r="E158" s="50"/>
      <c r="F158" s="361">
        <v>2</v>
      </c>
      <c r="G158" s="335"/>
      <c r="H158" s="335"/>
      <c r="I158" s="335"/>
      <c r="J158" s="335"/>
      <c r="K158" s="335"/>
      <c r="L158" s="335"/>
      <c r="M158" s="335"/>
      <c r="N158" s="335"/>
      <c r="O158" s="335"/>
      <c r="P158" s="335"/>
      <c r="Q158" s="66"/>
      <c r="R158" s="66"/>
      <c r="S158" s="335"/>
    </row>
    <row r="159" spans="1:19" ht="30">
      <c r="A159" s="11"/>
      <c r="B159" s="162" t="str">
        <f>"Cuộn đóng 220VAC cho " &amp;B157</f>
        <v>Cuộn đóng 220VAC cho ACB 4P 1600AT 1600AF 65kA Fixed</v>
      </c>
      <c r="C159" s="160" t="s">
        <v>8</v>
      </c>
      <c r="D159" s="361">
        <v>2</v>
      </c>
      <c r="E159" s="43"/>
      <c r="F159" s="361">
        <v>2</v>
      </c>
      <c r="G159" s="330"/>
      <c r="H159" s="330"/>
      <c r="I159" s="330"/>
      <c r="J159" s="330"/>
      <c r="K159" s="330"/>
      <c r="L159" s="330"/>
      <c r="M159" s="330"/>
      <c r="N159" s="330"/>
      <c r="O159" s="330"/>
      <c r="P159" s="330"/>
      <c r="Q159" s="66"/>
      <c r="R159" s="66"/>
      <c r="S159" s="330"/>
    </row>
    <row r="160" spans="1:19">
      <c r="A160" s="11"/>
      <c r="B160" s="162" t="str">
        <f>"Cuộn cắt 220VAC cho " &amp;B157</f>
        <v>Cuộn cắt 220VAC cho ACB 4P 1600AT 1600AF 65kA Fixed</v>
      </c>
      <c r="C160" s="160" t="s">
        <v>8</v>
      </c>
      <c r="D160" s="361">
        <v>2</v>
      </c>
      <c r="E160" s="55"/>
      <c r="F160" s="361">
        <v>2</v>
      </c>
      <c r="G160" s="337"/>
      <c r="H160" s="337"/>
      <c r="I160" s="337"/>
      <c r="J160" s="337"/>
      <c r="K160" s="337"/>
      <c r="L160" s="337"/>
      <c r="M160" s="337"/>
      <c r="N160" s="337"/>
      <c r="O160" s="337"/>
      <c r="P160" s="337"/>
      <c r="Q160" s="66"/>
      <c r="R160" s="66"/>
      <c r="S160" s="337"/>
    </row>
    <row r="161" spans="1:19">
      <c r="A161" s="11"/>
      <c r="B161" s="159" t="s">
        <v>15</v>
      </c>
      <c r="C161" s="160" t="s">
        <v>8</v>
      </c>
      <c r="D161" s="361">
        <v>2</v>
      </c>
      <c r="E161" s="50"/>
      <c r="F161" s="361">
        <v>2</v>
      </c>
      <c r="G161" s="335"/>
      <c r="H161" s="335"/>
      <c r="I161" s="335"/>
      <c r="J161" s="335"/>
      <c r="K161" s="335"/>
      <c r="L161" s="335"/>
      <c r="M161" s="335"/>
      <c r="N161" s="335"/>
      <c r="O161" s="335"/>
      <c r="P161" s="335"/>
      <c r="Q161" s="66"/>
      <c r="R161" s="66"/>
      <c r="S161" s="335"/>
    </row>
    <row r="162" spans="1:19">
      <c r="A162" s="11"/>
      <c r="B162" s="159" t="s">
        <v>18</v>
      </c>
      <c r="C162" s="160" t="s">
        <v>8</v>
      </c>
      <c r="D162" s="361">
        <v>6</v>
      </c>
      <c r="E162" s="56"/>
      <c r="F162" s="361">
        <v>6</v>
      </c>
      <c r="G162" s="338"/>
      <c r="H162" s="338"/>
      <c r="I162" s="338"/>
      <c r="J162" s="338"/>
      <c r="K162" s="338"/>
      <c r="L162" s="338"/>
      <c r="M162" s="338"/>
      <c r="N162" s="338"/>
      <c r="O162" s="338"/>
      <c r="P162" s="338"/>
      <c r="Q162" s="127"/>
      <c r="R162" s="127"/>
      <c r="S162" s="338"/>
    </row>
    <row r="163" spans="1:19">
      <c r="A163" s="18"/>
      <c r="B163" s="173" t="s">
        <v>70</v>
      </c>
      <c r="C163" s="99"/>
      <c r="D163" s="361"/>
      <c r="E163" s="50"/>
      <c r="F163" s="361"/>
      <c r="G163" s="335"/>
      <c r="H163" s="335"/>
      <c r="I163" s="335"/>
      <c r="J163" s="335"/>
      <c r="K163" s="335"/>
      <c r="L163" s="335"/>
      <c r="M163" s="335"/>
      <c r="N163" s="335"/>
      <c r="O163" s="335"/>
      <c r="P163" s="335"/>
      <c r="Q163" s="66"/>
      <c r="R163" s="66"/>
      <c r="S163" s="335"/>
    </row>
    <row r="164" spans="1:19">
      <c r="A164" s="668"/>
      <c r="B164" s="162" t="s">
        <v>71</v>
      </c>
      <c r="C164" s="103" t="s">
        <v>8</v>
      </c>
      <c r="D164" s="361">
        <v>4</v>
      </c>
      <c r="E164" s="56"/>
      <c r="F164" s="361">
        <v>4</v>
      </c>
      <c r="G164" s="338"/>
      <c r="H164" s="338"/>
      <c r="I164" s="338"/>
      <c r="J164" s="338"/>
      <c r="K164" s="338"/>
      <c r="L164" s="338"/>
      <c r="M164" s="338"/>
      <c r="N164" s="338"/>
      <c r="O164" s="338"/>
      <c r="P164" s="338"/>
      <c r="Q164" s="127"/>
      <c r="R164" s="127"/>
      <c r="S164" s="338"/>
    </row>
    <row r="165" spans="1:19">
      <c r="A165" s="668"/>
      <c r="B165" s="162" t="s">
        <v>86</v>
      </c>
      <c r="C165" s="103" t="s">
        <v>8</v>
      </c>
      <c r="D165" s="361">
        <v>1</v>
      </c>
      <c r="E165" s="56"/>
      <c r="F165" s="361">
        <v>1</v>
      </c>
      <c r="G165" s="338"/>
      <c r="H165" s="338"/>
      <c r="I165" s="338"/>
      <c r="J165" s="338"/>
      <c r="K165" s="338"/>
      <c r="L165" s="338"/>
      <c r="M165" s="338"/>
      <c r="N165" s="338"/>
      <c r="O165" s="338"/>
      <c r="P165" s="338"/>
      <c r="Q165" s="127"/>
      <c r="R165" s="127"/>
      <c r="S165" s="338"/>
    </row>
    <row r="166" spans="1:19">
      <c r="A166" s="668"/>
      <c r="B166" s="162" t="s">
        <v>73</v>
      </c>
      <c r="C166" s="103" t="s">
        <v>8</v>
      </c>
      <c r="D166" s="361">
        <v>1</v>
      </c>
      <c r="E166" s="50"/>
      <c r="F166" s="361">
        <v>1</v>
      </c>
      <c r="G166" s="335"/>
      <c r="H166" s="335"/>
      <c r="I166" s="335"/>
      <c r="J166" s="335"/>
      <c r="K166" s="335"/>
      <c r="L166" s="335"/>
      <c r="M166" s="335"/>
      <c r="N166" s="335"/>
      <c r="O166" s="335"/>
      <c r="P166" s="335"/>
      <c r="Q166" s="66"/>
      <c r="R166" s="66"/>
      <c r="S166" s="335"/>
    </row>
    <row r="167" spans="1:19">
      <c r="A167" s="668"/>
      <c r="B167" s="162" t="s">
        <v>74</v>
      </c>
      <c r="C167" s="103" t="s">
        <v>8</v>
      </c>
      <c r="D167" s="361">
        <v>2</v>
      </c>
      <c r="E167" s="45"/>
      <c r="F167" s="361">
        <v>2</v>
      </c>
      <c r="G167" s="333"/>
      <c r="H167" s="333"/>
      <c r="I167" s="333"/>
      <c r="J167" s="333"/>
      <c r="K167" s="333"/>
      <c r="L167" s="333"/>
      <c r="M167" s="333"/>
      <c r="N167" s="333"/>
      <c r="O167" s="333"/>
      <c r="P167" s="333"/>
      <c r="Q167" s="66"/>
      <c r="R167" s="66"/>
      <c r="S167" s="333"/>
    </row>
    <row r="168" spans="1:19">
      <c r="A168" s="668"/>
      <c r="B168" s="162" t="s">
        <v>75</v>
      </c>
      <c r="C168" s="103" t="s">
        <v>8</v>
      </c>
      <c r="D168" s="361">
        <v>1</v>
      </c>
      <c r="E168" s="306"/>
      <c r="F168" s="361">
        <v>1</v>
      </c>
      <c r="G168" s="336"/>
      <c r="H168" s="336"/>
      <c r="I168" s="336"/>
      <c r="J168" s="336"/>
      <c r="K168" s="336"/>
      <c r="L168" s="336"/>
      <c r="M168" s="336"/>
      <c r="N168" s="336"/>
      <c r="O168" s="336"/>
      <c r="P168" s="336"/>
      <c r="Q168" s="66"/>
      <c r="R168" s="66"/>
      <c r="S168" s="336"/>
    </row>
    <row r="169" spans="1:19">
      <c r="A169" s="668"/>
      <c r="B169" s="162" t="s">
        <v>76</v>
      </c>
      <c r="C169" s="103" t="s">
        <v>8</v>
      </c>
      <c r="D169" s="361">
        <v>1</v>
      </c>
      <c r="E169" s="92"/>
      <c r="F169" s="361">
        <v>1</v>
      </c>
      <c r="G169" s="329"/>
      <c r="H169" s="329"/>
      <c r="I169" s="329"/>
      <c r="J169" s="329"/>
      <c r="K169" s="329"/>
      <c r="L169" s="329"/>
      <c r="M169" s="329"/>
      <c r="N169" s="329"/>
      <c r="O169" s="329"/>
      <c r="P169" s="329"/>
      <c r="Q169" s="65"/>
      <c r="R169" s="65"/>
      <c r="S169" s="329"/>
    </row>
    <row r="170" spans="1:19">
      <c r="A170" s="668"/>
      <c r="B170" s="162" t="s">
        <v>77</v>
      </c>
      <c r="C170" s="103" t="s">
        <v>78</v>
      </c>
      <c r="D170" s="361">
        <v>1</v>
      </c>
      <c r="E170" s="303"/>
      <c r="F170" s="361">
        <v>1</v>
      </c>
      <c r="G170" s="26"/>
      <c r="H170" s="26"/>
      <c r="I170" s="26"/>
      <c r="J170" s="26"/>
      <c r="K170" s="26"/>
      <c r="L170" s="26"/>
      <c r="M170" s="26"/>
      <c r="N170" s="26"/>
      <c r="O170" s="26"/>
      <c r="P170" s="26"/>
      <c r="Q170" s="66"/>
      <c r="R170" s="66"/>
      <c r="S170" s="26"/>
    </row>
    <row r="171" spans="1:19">
      <c r="A171" s="13"/>
      <c r="B171" s="163" t="s">
        <v>87</v>
      </c>
      <c r="C171" s="164" t="s">
        <v>20</v>
      </c>
      <c r="D171" s="361">
        <v>6</v>
      </c>
      <c r="E171" s="303"/>
      <c r="F171" s="361">
        <v>6</v>
      </c>
      <c r="G171" s="26"/>
      <c r="H171" s="26"/>
      <c r="I171" s="26"/>
      <c r="J171" s="26"/>
      <c r="K171" s="26"/>
      <c r="L171" s="26"/>
      <c r="M171" s="26"/>
      <c r="N171" s="26"/>
      <c r="O171" s="26"/>
      <c r="P171" s="26"/>
      <c r="Q171" s="66"/>
      <c r="R171" s="66"/>
      <c r="S171" s="26"/>
    </row>
    <row r="172" spans="1:19">
      <c r="A172" s="13"/>
      <c r="B172" s="163" t="s">
        <v>21</v>
      </c>
      <c r="C172" s="164" t="s">
        <v>8</v>
      </c>
      <c r="D172" s="361">
        <v>2</v>
      </c>
      <c r="E172" s="56"/>
      <c r="F172" s="361">
        <v>2</v>
      </c>
      <c r="G172" s="338"/>
      <c r="H172" s="338"/>
      <c r="I172" s="338"/>
      <c r="J172" s="338"/>
      <c r="K172" s="338"/>
      <c r="L172" s="338"/>
      <c r="M172" s="338"/>
      <c r="N172" s="338"/>
      <c r="O172" s="338"/>
      <c r="P172" s="338"/>
      <c r="Q172" s="127"/>
      <c r="R172" s="127"/>
      <c r="S172" s="338"/>
    </row>
    <row r="173" spans="1:19">
      <c r="A173" s="13"/>
      <c r="B173" s="163" t="s">
        <v>22</v>
      </c>
      <c r="C173" s="164" t="s">
        <v>8</v>
      </c>
      <c r="D173" s="361">
        <v>2</v>
      </c>
      <c r="E173" s="56"/>
      <c r="F173" s="361">
        <v>2</v>
      </c>
      <c r="G173" s="338"/>
      <c r="H173" s="338"/>
      <c r="I173" s="338"/>
      <c r="J173" s="338"/>
      <c r="K173" s="338"/>
      <c r="L173" s="338"/>
      <c r="M173" s="338"/>
      <c r="N173" s="338"/>
      <c r="O173" s="338"/>
      <c r="P173" s="338"/>
      <c r="Q173" s="127"/>
      <c r="R173" s="127"/>
      <c r="S173" s="338"/>
    </row>
    <row r="174" spans="1:19">
      <c r="A174" s="11"/>
      <c r="B174" s="159" t="s">
        <v>24</v>
      </c>
      <c r="C174" s="160" t="s">
        <v>8</v>
      </c>
      <c r="D174" s="361">
        <v>6</v>
      </c>
      <c r="E174" s="303"/>
      <c r="F174" s="361">
        <v>6</v>
      </c>
      <c r="G174" s="26"/>
      <c r="H174" s="26"/>
      <c r="I174" s="26"/>
      <c r="J174" s="26"/>
      <c r="K174" s="26"/>
      <c r="L174" s="26"/>
      <c r="M174" s="26"/>
      <c r="N174" s="26"/>
      <c r="O174" s="26"/>
      <c r="P174" s="26"/>
      <c r="Q174" s="66"/>
      <c r="R174" s="66"/>
      <c r="S174" s="26"/>
    </row>
    <row r="175" spans="1:19">
      <c r="A175" s="11"/>
      <c r="B175" s="159" t="s">
        <v>25</v>
      </c>
      <c r="C175" s="165" t="s">
        <v>8</v>
      </c>
      <c r="D175" s="361">
        <v>6</v>
      </c>
      <c r="E175" s="303"/>
      <c r="F175" s="361">
        <v>6</v>
      </c>
      <c r="G175" s="26"/>
      <c r="H175" s="26"/>
      <c r="I175" s="26"/>
      <c r="J175" s="26"/>
      <c r="K175" s="26"/>
      <c r="L175" s="26"/>
      <c r="M175" s="26"/>
      <c r="N175" s="26"/>
      <c r="O175" s="26"/>
      <c r="P175" s="26"/>
      <c r="Q175" s="66"/>
      <c r="R175" s="66"/>
      <c r="S175" s="26"/>
    </row>
    <row r="176" spans="1:19" ht="30">
      <c r="A176" s="13"/>
      <c r="B176" s="163" t="s">
        <v>46</v>
      </c>
      <c r="C176" s="164" t="s">
        <v>8</v>
      </c>
      <c r="D176" s="361">
        <v>2</v>
      </c>
      <c r="E176" s="303"/>
      <c r="F176" s="361">
        <v>2</v>
      </c>
      <c r="G176" s="26"/>
      <c r="H176" s="26"/>
      <c r="I176" s="26"/>
      <c r="J176" s="26"/>
      <c r="K176" s="26"/>
      <c r="L176" s="26"/>
      <c r="M176" s="26"/>
      <c r="N176" s="26"/>
      <c r="O176" s="26"/>
      <c r="P176" s="26"/>
      <c r="Q176" s="66"/>
      <c r="R176" s="66"/>
      <c r="S176" s="26"/>
    </row>
    <row r="177" spans="1:19">
      <c r="A177" s="11"/>
      <c r="B177" s="159" t="s">
        <v>67</v>
      </c>
      <c r="C177" s="160" t="s">
        <v>8</v>
      </c>
      <c r="D177" s="361">
        <v>1</v>
      </c>
      <c r="E177" s="303"/>
      <c r="F177" s="361">
        <v>1</v>
      </c>
      <c r="G177" s="26"/>
      <c r="H177" s="26"/>
      <c r="I177" s="26"/>
      <c r="J177" s="26"/>
      <c r="K177" s="26"/>
      <c r="L177" s="26"/>
      <c r="M177" s="26"/>
      <c r="N177" s="26"/>
      <c r="O177" s="26"/>
      <c r="P177" s="26"/>
      <c r="Q177" s="66"/>
      <c r="R177" s="66"/>
      <c r="S177" s="26"/>
    </row>
    <row r="178" spans="1:19">
      <c r="A178" s="11"/>
      <c r="B178" s="159" t="s">
        <v>68</v>
      </c>
      <c r="C178" s="160" t="s">
        <v>8</v>
      </c>
      <c r="D178" s="361">
        <v>1</v>
      </c>
      <c r="E178" s="303"/>
      <c r="F178" s="361">
        <v>1</v>
      </c>
      <c r="G178" s="26"/>
      <c r="H178" s="26"/>
      <c r="I178" s="26"/>
      <c r="J178" s="26"/>
      <c r="K178" s="26"/>
      <c r="L178" s="26"/>
      <c r="M178" s="26"/>
      <c r="N178" s="26"/>
      <c r="O178" s="26"/>
      <c r="P178" s="26"/>
      <c r="Q178" s="66"/>
      <c r="R178" s="66"/>
      <c r="S178" s="26"/>
    </row>
    <row r="179" spans="1:19">
      <c r="A179" s="11"/>
      <c r="B179" s="161" t="s">
        <v>26</v>
      </c>
      <c r="C179" s="160"/>
      <c r="D179" s="361"/>
      <c r="E179" s="303"/>
      <c r="F179" s="361"/>
      <c r="G179" s="26"/>
      <c r="H179" s="26"/>
      <c r="I179" s="26"/>
      <c r="J179" s="26"/>
      <c r="K179" s="26"/>
      <c r="L179" s="26"/>
      <c r="M179" s="26"/>
      <c r="N179" s="26"/>
      <c r="O179" s="26"/>
      <c r="P179" s="26"/>
      <c r="Q179" s="66"/>
      <c r="R179" s="66"/>
      <c r="S179" s="26"/>
    </row>
    <row r="180" spans="1:19">
      <c r="A180" s="11"/>
      <c r="B180" s="159" t="s">
        <v>88</v>
      </c>
      <c r="C180" s="160" t="s">
        <v>8</v>
      </c>
      <c r="D180" s="361">
        <v>1</v>
      </c>
      <c r="E180" s="303"/>
      <c r="F180" s="361">
        <v>1</v>
      </c>
      <c r="G180" s="26"/>
      <c r="H180" s="26"/>
      <c r="I180" s="26"/>
      <c r="J180" s="26"/>
      <c r="K180" s="26"/>
      <c r="L180" s="26"/>
      <c r="M180" s="26"/>
      <c r="N180" s="26"/>
      <c r="O180" s="26"/>
      <c r="P180" s="26"/>
      <c r="Q180" s="66"/>
      <c r="R180" s="66"/>
      <c r="S180" s="26"/>
    </row>
    <row r="181" spans="1:19">
      <c r="A181" s="11"/>
      <c r="B181" s="159" t="s">
        <v>89</v>
      </c>
      <c r="C181" s="160" t="s">
        <v>8</v>
      </c>
      <c r="D181" s="361">
        <v>2</v>
      </c>
      <c r="E181" s="303"/>
      <c r="F181" s="361">
        <v>2</v>
      </c>
      <c r="G181" s="26"/>
      <c r="H181" s="26"/>
      <c r="I181" s="26"/>
      <c r="J181" s="26"/>
      <c r="K181" s="26"/>
      <c r="L181" s="26"/>
      <c r="M181" s="26"/>
      <c r="N181" s="26"/>
      <c r="O181" s="26"/>
      <c r="P181" s="26"/>
      <c r="Q181" s="66"/>
      <c r="R181" s="66"/>
      <c r="S181" s="26"/>
    </row>
    <row r="182" spans="1:19">
      <c r="A182" s="11"/>
      <c r="B182" s="159" t="s">
        <v>90</v>
      </c>
      <c r="C182" s="160" t="s">
        <v>8</v>
      </c>
      <c r="D182" s="361">
        <v>3</v>
      </c>
      <c r="E182" s="303"/>
      <c r="F182" s="361">
        <v>3</v>
      </c>
      <c r="G182" s="26"/>
      <c r="H182" s="26"/>
      <c r="I182" s="26"/>
      <c r="J182" s="26"/>
      <c r="K182" s="26"/>
      <c r="L182" s="26"/>
      <c r="M182" s="26"/>
      <c r="N182" s="26"/>
      <c r="O182" s="26"/>
      <c r="P182" s="26"/>
      <c r="Q182" s="66"/>
      <c r="R182" s="66"/>
      <c r="S182" s="26"/>
    </row>
    <row r="183" spans="1:19">
      <c r="A183" s="11"/>
      <c r="B183" s="159" t="s">
        <v>91</v>
      </c>
      <c r="C183" s="160" t="s">
        <v>8</v>
      </c>
      <c r="D183" s="361">
        <v>2</v>
      </c>
      <c r="E183" s="56"/>
      <c r="F183" s="361">
        <v>2</v>
      </c>
      <c r="G183" s="338"/>
      <c r="H183" s="338"/>
      <c r="I183" s="338"/>
      <c r="J183" s="338"/>
      <c r="K183" s="338"/>
      <c r="L183" s="338"/>
      <c r="M183" s="338"/>
      <c r="N183" s="338"/>
      <c r="O183" s="338"/>
      <c r="P183" s="338"/>
      <c r="Q183" s="127"/>
      <c r="R183" s="127"/>
      <c r="S183" s="338"/>
    </row>
    <row r="184" spans="1:19">
      <c r="A184" s="11"/>
      <c r="B184" s="159" t="s">
        <v>47</v>
      </c>
      <c r="C184" s="160" t="s">
        <v>8</v>
      </c>
      <c r="D184" s="361">
        <v>5</v>
      </c>
      <c r="E184" s="303"/>
      <c r="F184" s="361">
        <v>5</v>
      </c>
      <c r="G184" s="26"/>
      <c r="H184" s="26"/>
      <c r="I184" s="26"/>
      <c r="J184" s="26"/>
      <c r="K184" s="26"/>
      <c r="L184" s="26"/>
      <c r="M184" s="26"/>
      <c r="N184" s="26"/>
      <c r="O184" s="26"/>
      <c r="P184" s="26"/>
      <c r="Q184" s="66"/>
      <c r="R184" s="66"/>
      <c r="S184" s="26"/>
    </row>
    <row r="185" spans="1:19">
      <c r="A185" s="11"/>
      <c r="B185" s="159" t="s">
        <v>51</v>
      </c>
      <c r="C185" s="160" t="s">
        <v>8</v>
      </c>
      <c r="D185" s="361">
        <v>1</v>
      </c>
      <c r="E185" s="303"/>
      <c r="F185" s="361">
        <v>1</v>
      </c>
      <c r="G185" s="26"/>
      <c r="H185" s="26"/>
      <c r="I185" s="26"/>
      <c r="J185" s="26"/>
      <c r="K185" s="26"/>
      <c r="L185" s="26"/>
      <c r="M185" s="26"/>
      <c r="N185" s="26"/>
      <c r="O185" s="26"/>
      <c r="P185" s="26"/>
      <c r="Q185" s="66"/>
      <c r="R185" s="66"/>
      <c r="S185" s="26"/>
    </row>
    <row r="186" spans="1:19">
      <c r="A186" s="11"/>
      <c r="B186" s="159" t="s">
        <v>48</v>
      </c>
      <c r="C186" s="160" t="s">
        <v>8</v>
      </c>
      <c r="D186" s="361">
        <v>2</v>
      </c>
      <c r="E186" s="56"/>
      <c r="F186" s="361">
        <v>2</v>
      </c>
      <c r="G186" s="338"/>
      <c r="H186" s="338"/>
      <c r="I186" s="338"/>
      <c r="J186" s="338"/>
      <c r="K186" s="338"/>
      <c r="L186" s="338"/>
      <c r="M186" s="338"/>
      <c r="N186" s="338"/>
      <c r="O186" s="338"/>
      <c r="P186" s="338"/>
      <c r="Q186" s="127"/>
      <c r="R186" s="127"/>
      <c r="S186" s="338"/>
    </row>
    <row r="187" spans="1:19">
      <c r="A187" s="11"/>
      <c r="B187" s="159" t="s">
        <v>49</v>
      </c>
      <c r="C187" s="160" t="s">
        <v>8</v>
      </c>
      <c r="D187" s="361">
        <v>0</v>
      </c>
      <c r="E187" s="303"/>
      <c r="F187" s="361">
        <v>0</v>
      </c>
      <c r="G187" s="26"/>
      <c r="H187" s="26"/>
      <c r="I187" s="26"/>
      <c r="J187" s="26"/>
      <c r="K187" s="26"/>
      <c r="L187" s="26"/>
      <c r="M187" s="26"/>
      <c r="N187" s="26"/>
      <c r="O187" s="26"/>
      <c r="P187" s="26"/>
      <c r="Q187" s="66"/>
      <c r="R187" s="66"/>
      <c r="S187" s="26"/>
    </row>
    <row r="188" spans="1:19">
      <c r="A188" s="11"/>
      <c r="B188" s="159" t="s">
        <v>50</v>
      </c>
      <c r="C188" s="160" t="s">
        <v>8</v>
      </c>
      <c r="D188" s="361">
        <v>4</v>
      </c>
      <c r="E188" s="92"/>
      <c r="F188" s="361">
        <v>4</v>
      </c>
      <c r="G188" s="329"/>
      <c r="H188" s="329"/>
      <c r="I188" s="329"/>
      <c r="J188" s="329"/>
      <c r="K188" s="329"/>
      <c r="L188" s="329"/>
      <c r="M188" s="329"/>
      <c r="N188" s="329"/>
      <c r="O188" s="329"/>
      <c r="P188" s="329"/>
      <c r="Q188" s="65"/>
      <c r="R188" s="65"/>
      <c r="S188" s="329"/>
    </row>
    <row r="189" spans="1:19">
      <c r="A189" s="11"/>
      <c r="B189" s="159" t="s">
        <v>64</v>
      </c>
      <c r="C189" s="160" t="s">
        <v>8</v>
      </c>
      <c r="D189" s="361">
        <v>3</v>
      </c>
      <c r="E189" s="303"/>
      <c r="F189" s="361">
        <v>3</v>
      </c>
      <c r="G189" s="26"/>
      <c r="H189" s="26"/>
      <c r="I189" s="26"/>
      <c r="J189" s="26"/>
      <c r="K189" s="26"/>
      <c r="L189" s="26"/>
      <c r="M189" s="26"/>
      <c r="N189" s="26"/>
      <c r="O189" s="26"/>
      <c r="P189" s="26"/>
      <c r="Q189" s="66"/>
      <c r="R189" s="66"/>
      <c r="S189" s="26"/>
    </row>
    <row r="190" spans="1:19">
      <c r="A190" s="11"/>
      <c r="B190" s="159" t="s">
        <v>52</v>
      </c>
      <c r="C190" s="160" t="s">
        <v>8</v>
      </c>
      <c r="D190" s="361">
        <v>1</v>
      </c>
      <c r="E190" s="303"/>
      <c r="F190" s="361">
        <v>1</v>
      </c>
      <c r="G190" s="26"/>
      <c r="H190" s="26"/>
      <c r="I190" s="26"/>
      <c r="J190" s="26"/>
      <c r="K190" s="26"/>
      <c r="L190" s="26"/>
      <c r="M190" s="26"/>
      <c r="N190" s="26"/>
      <c r="O190" s="26"/>
      <c r="P190" s="26"/>
      <c r="Q190" s="66"/>
      <c r="R190" s="66"/>
      <c r="S190" s="26"/>
    </row>
    <row r="191" spans="1:19">
      <c r="A191" s="11"/>
      <c r="B191" s="159" t="s">
        <v>92</v>
      </c>
      <c r="C191" s="160" t="s">
        <v>8</v>
      </c>
      <c r="D191" s="361">
        <v>5</v>
      </c>
      <c r="E191" s="303"/>
      <c r="F191" s="361">
        <v>5</v>
      </c>
      <c r="G191" s="26"/>
      <c r="H191" s="26"/>
      <c r="I191" s="26"/>
      <c r="J191" s="26"/>
      <c r="K191" s="26"/>
      <c r="L191" s="26"/>
      <c r="M191" s="26"/>
      <c r="N191" s="26"/>
      <c r="O191" s="26"/>
      <c r="P191" s="26"/>
      <c r="Q191" s="66"/>
      <c r="R191" s="66"/>
      <c r="S191" s="26"/>
    </row>
    <row r="192" spans="1:19">
      <c r="A192" s="11"/>
      <c r="B192" s="159" t="s">
        <v>93</v>
      </c>
      <c r="C192" s="160" t="s">
        <v>17</v>
      </c>
      <c r="D192" s="361">
        <v>1</v>
      </c>
      <c r="E192" s="303"/>
      <c r="F192" s="361">
        <v>1</v>
      </c>
      <c r="G192" s="26"/>
      <c r="H192" s="26"/>
      <c r="I192" s="26"/>
      <c r="J192" s="26"/>
      <c r="K192" s="26"/>
      <c r="L192" s="26"/>
      <c r="M192" s="26"/>
      <c r="N192" s="26"/>
      <c r="O192" s="26"/>
      <c r="P192" s="26"/>
      <c r="Q192" s="66"/>
      <c r="R192" s="66"/>
      <c r="S192" s="26"/>
    </row>
    <row r="193" spans="1:19">
      <c r="A193" s="11"/>
      <c r="B193" s="168" t="s">
        <v>35</v>
      </c>
      <c r="C193" s="169" t="s">
        <v>17</v>
      </c>
      <c r="D193" s="361">
        <v>1</v>
      </c>
      <c r="E193" s="303"/>
      <c r="F193" s="361">
        <v>1</v>
      </c>
      <c r="G193" s="26"/>
      <c r="H193" s="26"/>
      <c r="I193" s="26"/>
      <c r="J193" s="26"/>
      <c r="K193" s="26"/>
      <c r="L193" s="26"/>
      <c r="M193" s="26"/>
      <c r="N193" s="26"/>
      <c r="O193" s="26"/>
      <c r="P193" s="26"/>
      <c r="Q193" s="66"/>
      <c r="R193" s="66"/>
      <c r="S193" s="26"/>
    </row>
    <row r="194" spans="1:19">
      <c r="A194" s="11"/>
      <c r="B194" s="168" t="s">
        <v>38</v>
      </c>
      <c r="C194" s="169" t="s">
        <v>7</v>
      </c>
      <c r="D194" s="361">
        <v>1</v>
      </c>
      <c r="E194" s="303"/>
      <c r="F194" s="361">
        <v>1</v>
      </c>
      <c r="G194" s="26"/>
      <c r="H194" s="26"/>
      <c r="I194" s="26"/>
      <c r="J194" s="26"/>
      <c r="K194" s="26"/>
      <c r="L194" s="26"/>
      <c r="M194" s="26"/>
      <c r="N194" s="26"/>
      <c r="O194" s="26"/>
      <c r="P194" s="26"/>
      <c r="Q194" s="66"/>
      <c r="R194" s="66"/>
      <c r="S194" s="26"/>
    </row>
    <row r="195" spans="1:19" s="93" customFormat="1" ht="60">
      <c r="A195" s="18">
        <f>COUNT($A$10:$A194)+1</f>
        <v>6</v>
      </c>
      <c r="B195" s="161" t="s">
        <v>94</v>
      </c>
      <c r="C195" s="172" t="s">
        <v>7</v>
      </c>
      <c r="D195" s="360">
        <v>1</v>
      </c>
      <c r="E195" s="302"/>
      <c r="F195" s="360">
        <v>1</v>
      </c>
      <c r="G195" s="357" t="s">
        <v>2326</v>
      </c>
      <c r="H195" s="357"/>
      <c r="I195" s="357" t="s">
        <v>2327</v>
      </c>
      <c r="J195" s="358" t="s">
        <v>2328</v>
      </c>
      <c r="K195" s="311">
        <v>175512583.61999997</v>
      </c>
      <c r="L195" s="311">
        <v>0</v>
      </c>
      <c r="M195" s="311">
        <v>7232000.0000000009</v>
      </c>
      <c r="N195" s="311">
        <v>18368543.800000001</v>
      </c>
      <c r="O195" s="311">
        <v>12857980.660000002</v>
      </c>
      <c r="P195" s="68">
        <f>SUM(K195:O195)</f>
        <v>213971108.07999998</v>
      </c>
      <c r="Q195" s="68">
        <f>D195*P195</f>
        <v>213971108.07999998</v>
      </c>
      <c r="R195" s="127">
        <f>F195*P195</f>
        <v>213971108.07999998</v>
      </c>
      <c r="S195" s="24"/>
    </row>
    <row r="196" spans="1:19">
      <c r="A196" s="11"/>
      <c r="B196" s="159" t="s">
        <v>1885</v>
      </c>
      <c r="C196" s="160" t="s">
        <v>8</v>
      </c>
      <c r="D196" s="361">
        <v>1</v>
      </c>
      <c r="E196" s="303"/>
      <c r="F196" s="361">
        <v>1</v>
      </c>
      <c r="G196" s="26"/>
      <c r="H196" s="26"/>
      <c r="I196" s="26"/>
      <c r="J196" s="26"/>
      <c r="K196" s="26"/>
      <c r="L196" s="26"/>
      <c r="M196" s="26"/>
      <c r="N196" s="26"/>
      <c r="O196" s="26"/>
      <c r="P196" s="26"/>
      <c r="Q196" s="66"/>
      <c r="R196" s="66"/>
      <c r="S196" s="26"/>
    </row>
    <row r="197" spans="1:19">
      <c r="A197" s="11"/>
      <c r="B197" s="161" t="s">
        <v>9</v>
      </c>
      <c r="C197" s="160"/>
      <c r="D197" s="361"/>
      <c r="E197" s="303"/>
      <c r="F197" s="361"/>
      <c r="G197" s="26"/>
      <c r="H197" s="26"/>
      <c r="I197" s="26"/>
      <c r="J197" s="26"/>
      <c r="K197" s="26"/>
      <c r="L197" s="26"/>
      <c r="M197" s="26"/>
      <c r="N197" s="26"/>
      <c r="O197" s="26"/>
      <c r="P197" s="26"/>
      <c r="Q197" s="66"/>
      <c r="R197" s="66"/>
      <c r="S197" s="26"/>
    </row>
    <row r="198" spans="1:19">
      <c r="A198" s="11"/>
      <c r="B198" s="159" t="s">
        <v>95</v>
      </c>
      <c r="C198" s="160" t="s">
        <v>8</v>
      </c>
      <c r="D198" s="361">
        <v>1</v>
      </c>
      <c r="E198" s="303"/>
      <c r="F198" s="361">
        <v>1</v>
      </c>
      <c r="G198" s="26"/>
      <c r="H198" s="26"/>
      <c r="I198" s="26"/>
      <c r="J198" s="26"/>
      <c r="K198" s="26"/>
      <c r="L198" s="26"/>
      <c r="M198" s="26"/>
      <c r="N198" s="26"/>
      <c r="O198" s="26"/>
      <c r="P198" s="26"/>
      <c r="Q198" s="66"/>
      <c r="R198" s="66"/>
      <c r="S198" s="26"/>
    </row>
    <row r="199" spans="1:19">
      <c r="A199" s="15"/>
      <c r="B199" s="162" t="str">
        <f>"Tiếp điểm báo trạng thái cho " &amp;B198</f>
        <v>Tiếp điểm báo trạng thái cho MCCB 4P 400AT 400AT 50kA</v>
      </c>
      <c r="C199" s="103" t="s">
        <v>8</v>
      </c>
      <c r="D199" s="361">
        <v>2</v>
      </c>
      <c r="E199" s="303"/>
      <c r="F199" s="361">
        <v>2</v>
      </c>
      <c r="G199" s="26"/>
      <c r="H199" s="26"/>
      <c r="I199" s="26"/>
      <c r="J199" s="26"/>
      <c r="K199" s="26"/>
      <c r="L199" s="26"/>
      <c r="M199" s="26"/>
      <c r="N199" s="26"/>
      <c r="O199" s="26"/>
      <c r="P199" s="26"/>
      <c r="Q199" s="66"/>
      <c r="R199" s="66"/>
      <c r="S199" s="26"/>
    </row>
    <row r="200" spans="1:19">
      <c r="A200" s="15"/>
      <c r="B200" s="162" t="str">
        <f>"Cuộn cắt 220VAC cho " &amp;B198</f>
        <v>Cuộn cắt 220VAC cho MCCB 4P 400AT 400AT 50kA</v>
      </c>
      <c r="C200" s="103" t="s">
        <v>8</v>
      </c>
      <c r="D200" s="361">
        <v>2</v>
      </c>
      <c r="E200" s="303"/>
      <c r="F200" s="361">
        <v>2</v>
      </c>
      <c r="G200" s="26"/>
      <c r="H200" s="26"/>
      <c r="I200" s="26"/>
      <c r="J200" s="26"/>
      <c r="K200" s="26"/>
      <c r="L200" s="26"/>
      <c r="M200" s="26"/>
      <c r="N200" s="26"/>
      <c r="O200" s="26"/>
      <c r="P200" s="26"/>
      <c r="Q200" s="66"/>
      <c r="R200" s="66"/>
      <c r="S200" s="26"/>
    </row>
    <row r="201" spans="1:19">
      <c r="A201" s="11"/>
      <c r="B201" s="159" t="s">
        <v>43</v>
      </c>
      <c r="C201" s="160" t="s">
        <v>8</v>
      </c>
      <c r="D201" s="361">
        <v>1</v>
      </c>
      <c r="E201" s="303"/>
      <c r="F201" s="361">
        <v>1</v>
      </c>
      <c r="G201" s="26"/>
      <c r="H201" s="26"/>
      <c r="I201" s="26"/>
      <c r="J201" s="26"/>
      <c r="K201" s="26"/>
      <c r="L201" s="26"/>
      <c r="M201" s="26"/>
      <c r="N201" s="26"/>
      <c r="O201" s="26"/>
      <c r="P201" s="26"/>
      <c r="Q201" s="66"/>
      <c r="R201" s="66"/>
      <c r="S201" s="26"/>
    </row>
    <row r="202" spans="1:19">
      <c r="A202" s="11"/>
      <c r="B202" s="159" t="s">
        <v>44</v>
      </c>
      <c r="C202" s="160" t="s">
        <v>8</v>
      </c>
      <c r="D202" s="361">
        <v>1</v>
      </c>
      <c r="E202" s="303"/>
      <c r="F202" s="361">
        <v>1</v>
      </c>
      <c r="G202" s="26"/>
      <c r="H202" s="26"/>
      <c r="I202" s="26"/>
      <c r="J202" s="26"/>
      <c r="K202" s="26"/>
      <c r="L202" s="26"/>
      <c r="M202" s="26"/>
      <c r="N202" s="26"/>
      <c r="O202" s="26"/>
      <c r="P202" s="26"/>
      <c r="Q202" s="66"/>
      <c r="R202" s="66"/>
      <c r="S202" s="26"/>
    </row>
    <row r="203" spans="1:19">
      <c r="A203" s="13"/>
      <c r="B203" s="163" t="s">
        <v>45</v>
      </c>
      <c r="C203" s="164" t="s">
        <v>20</v>
      </c>
      <c r="D203" s="361">
        <v>6</v>
      </c>
      <c r="E203" s="303"/>
      <c r="F203" s="361">
        <v>6</v>
      </c>
      <c r="G203" s="26"/>
      <c r="H203" s="26"/>
      <c r="I203" s="26"/>
      <c r="J203" s="26"/>
      <c r="K203" s="26"/>
      <c r="L203" s="26"/>
      <c r="M203" s="26"/>
      <c r="N203" s="26"/>
      <c r="O203" s="26"/>
      <c r="P203" s="26"/>
      <c r="Q203" s="66"/>
      <c r="R203" s="66"/>
      <c r="S203" s="26"/>
    </row>
    <row r="204" spans="1:19">
      <c r="A204" s="13"/>
      <c r="B204" s="163" t="s">
        <v>21</v>
      </c>
      <c r="C204" s="164" t="s">
        <v>8</v>
      </c>
      <c r="D204" s="361">
        <v>2</v>
      </c>
      <c r="E204" s="303"/>
      <c r="F204" s="361">
        <v>2</v>
      </c>
      <c r="G204" s="26"/>
      <c r="H204" s="26"/>
      <c r="I204" s="26"/>
      <c r="J204" s="26"/>
      <c r="K204" s="26"/>
      <c r="L204" s="26"/>
      <c r="M204" s="26"/>
      <c r="N204" s="26"/>
      <c r="O204" s="26"/>
      <c r="P204" s="26"/>
      <c r="Q204" s="66"/>
      <c r="R204" s="66"/>
      <c r="S204" s="26"/>
    </row>
    <row r="205" spans="1:19">
      <c r="A205" s="13"/>
      <c r="B205" s="163" t="s">
        <v>22</v>
      </c>
      <c r="C205" s="164" t="s">
        <v>8</v>
      </c>
      <c r="D205" s="361">
        <v>2</v>
      </c>
      <c r="E205" s="303"/>
      <c r="F205" s="361">
        <v>2</v>
      </c>
      <c r="G205" s="26"/>
      <c r="H205" s="26"/>
      <c r="I205" s="26"/>
      <c r="J205" s="26"/>
      <c r="K205" s="26"/>
      <c r="L205" s="26"/>
      <c r="M205" s="26"/>
      <c r="N205" s="26"/>
      <c r="O205" s="26"/>
      <c r="P205" s="26"/>
      <c r="Q205" s="66"/>
      <c r="R205" s="66"/>
      <c r="S205" s="26"/>
    </row>
    <row r="206" spans="1:19" ht="30">
      <c r="A206" s="13"/>
      <c r="B206" s="163" t="s">
        <v>46</v>
      </c>
      <c r="C206" s="164" t="s">
        <v>8</v>
      </c>
      <c r="D206" s="361">
        <v>2</v>
      </c>
      <c r="E206" s="303"/>
      <c r="F206" s="361">
        <v>2</v>
      </c>
      <c r="G206" s="26"/>
      <c r="H206" s="26"/>
      <c r="I206" s="26"/>
      <c r="J206" s="26"/>
      <c r="K206" s="26"/>
      <c r="L206" s="26"/>
      <c r="M206" s="26"/>
      <c r="N206" s="26"/>
      <c r="O206" s="26"/>
      <c r="P206" s="26"/>
      <c r="Q206" s="66"/>
      <c r="R206" s="66"/>
      <c r="S206" s="26"/>
    </row>
    <row r="207" spans="1:19">
      <c r="A207" s="11"/>
      <c r="B207" s="159" t="s">
        <v>24</v>
      </c>
      <c r="C207" s="160" t="s">
        <v>8</v>
      </c>
      <c r="D207" s="361">
        <v>6</v>
      </c>
      <c r="E207" s="303"/>
      <c r="F207" s="361">
        <v>6</v>
      </c>
      <c r="G207" s="26"/>
      <c r="H207" s="26"/>
      <c r="I207" s="26"/>
      <c r="J207" s="26"/>
      <c r="K207" s="26"/>
      <c r="L207" s="26"/>
      <c r="M207" s="26"/>
      <c r="N207" s="26"/>
      <c r="O207" s="26"/>
      <c r="P207" s="26"/>
      <c r="Q207" s="66"/>
      <c r="R207" s="66"/>
      <c r="S207" s="26"/>
    </row>
    <row r="208" spans="1:19">
      <c r="A208" s="11"/>
      <c r="B208" s="159" t="s">
        <v>25</v>
      </c>
      <c r="C208" s="165" t="s">
        <v>8</v>
      </c>
      <c r="D208" s="361">
        <v>0</v>
      </c>
      <c r="E208" s="303"/>
      <c r="F208" s="361">
        <v>0</v>
      </c>
      <c r="G208" s="26"/>
      <c r="H208" s="26"/>
      <c r="I208" s="26"/>
      <c r="J208" s="26"/>
      <c r="K208" s="26"/>
      <c r="L208" s="26"/>
      <c r="M208" s="26"/>
      <c r="N208" s="26"/>
      <c r="O208" s="26"/>
      <c r="P208" s="26"/>
      <c r="Q208" s="66"/>
      <c r="R208" s="66"/>
      <c r="S208" s="26"/>
    </row>
    <row r="209" spans="1:19">
      <c r="A209" s="11"/>
      <c r="B209" s="161" t="s">
        <v>26</v>
      </c>
      <c r="C209" s="160"/>
      <c r="D209" s="361"/>
      <c r="E209" s="303"/>
      <c r="F209" s="361"/>
      <c r="G209" s="26"/>
      <c r="H209" s="26"/>
      <c r="I209" s="26"/>
      <c r="J209" s="26"/>
      <c r="K209" s="26"/>
      <c r="L209" s="26"/>
      <c r="M209" s="26"/>
      <c r="N209" s="26"/>
      <c r="O209" s="26"/>
      <c r="P209" s="26"/>
      <c r="Q209" s="66"/>
      <c r="R209" s="66"/>
      <c r="S209" s="26"/>
    </row>
    <row r="210" spans="1:19">
      <c r="A210" s="11"/>
      <c r="B210" s="159" t="s">
        <v>47</v>
      </c>
      <c r="C210" s="160" t="s">
        <v>8</v>
      </c>
      <c r="D210" s="361">
        <v>2</v>
      </c>
      <c r="E210" s="303"/>
      <c r="F210" s="361">
        <v>2</v>
      </c>
      <c r="G210" s="26"/>
      <c r="H210" s="26"/>
      <c r="I210" s="26"/>
      <c r="J210" s="26"/>
      <c r="K210" s="26"/>
      <c r="L210" s="26"/>
      <c r="M210" s="26"/>
      <c r="N210" s="26"/>
      <c r="O210" s="26"/>
      <c r="P210" s="26"/>
      <c r="Q210" s="66"/>
      <c r="R210" s="66"/>
      <c r="S210" s="26"/>
    </row>
    <row r="211" spans="1:19">
      <c r="A211" s="11"/>
      <c r="B211" s="159" t="s">
        <v>49</v>
      </c>
      <c r="C211" s="160" t="s">
        <v>8</v>
      </c>
      <c r="D211" s="361">
        <v>3</v>
      </c>
      <c r="E211" s="303"/>
      <c r="F211" s="361">
        <v>3</v>
      </c>
      <c r="G211" s="26"/>
      <c r="H211" s="26"/>
      <c r="I211" s="26"/>
      <c r="J211" s="26"/>
      <c r="K211" s="26"/>
      <c r="L211" s="26"/>
      <c r="M211" s="26"/>
      <c r="N211" s="26"/>
      <c r="O211" s="26"/>
      <c r="P211" s="26"/>
      <c r="Q211" s="66"/>
      <c r="R211" s="66"/>
      <c r="S211" s="26"/>
    </row>
    <row r="212" spans="1:19">
      <c r="A212" s="11"/>
      <c r="B212" s="159" t="s">
        <v>50</v>
      </c>
      <c r="C212" s="160" t="s">
        <v>8</v>
      </c>
      <c r="D212" s="361">
        <v>4</v>
      </c>
      <c r="E212" s="302"/>
      <c r="F212" s="361">
        <v>4</v>
      </c>
      <c r="G212" s="24"/>
      <c r="H212" s="24"/>
      <c r="I212" s="24"/>
      <c r="J212" s="24"/>
      <c r="K212" s="24"/>
      <c r="L212" s="24"/>
      <c r="M212" s="24"/>
      <c r="N212" s="24"/>
      <c r="O212" s="24"/>
      <c r="P212" s="24"/>
      <c r="Q212" s="65"/>
      <c r="R212" s="65"/>
      <c r="S212" s="24"/>
    </row>
    <row r="213" spans="1:19">
      <c r="A213" s="11"/>
      <c r="B213" s="159" t="s">
        <v>55</v>
      </c>
      <c r="C213" s="160" t="s">
        <v>8</v>
      </c>
      <c r="D213" s="361">
        <v>1</v>
      </c>
      <c r="E213" s="303"/>
      <c r="F213" s="361">
        <v>1</v>
      </c>
      <c r="G213" s="26"/>
      <c r="H213" s="26"/>
      <c r="I213" s="26"/>
      <c r="J213" s="26"/>
      <c r="K213" s="26"/>
      <c r="L213" s="26"/>
      <c r="M213" s="26"/>
      <c r="N213" s="26"/>
      <c r="O213" s="26"/>
      <c r="P213" s="26"/>
      <c r="Q213" s="66"/>
      <c r="R213" s="66"/>
      <c r="S213" s="26"/>
    </row>
    <row r="214" spans="1:19">
      <c r="A214" s="11"/>
      <c r="B214" s="159" t="s">
        <v>96</v>
      </c>
      <c r="C214" s="160" t="s">
        <v>17</v>
      </c>
      <c r="D214" s="361">
        <v>1</v>
      </c>
      <c r="E214" s="303"/>
      <c r="F214" s="361">
        <v>1</v>
      </c>
      <c r="G214" s="26"/>
      <c r="H214" s="26"/>
      <c r="I214" s="26"/>
      <c r="J214" s="26"/>
      <c r="K214" s="26"/>
      <c r="L214" s="26"/>
      <c r="M214" s="26"/>
      <c r="N214" s="26"/>
      <c r="O214" s="26"/>
      <c r="P214" s="26"/>
      <c r="Q214" s="66"/>
      <c r="R214" s="66"/>
      <c r="S214" s="26"/>
    </row>
    <row r="215" spans="1:19">
      <c r="A215" s="11"/>
      <c r="B215" s="159" t="s">
        <v>97</v>
      </c>
      <c r="C215" s="160" t="s">
        <v>17</v>
      </c>
      <c r="D215" s="361">
        <v>1</v>
      </c>
      <c r="E215" s="303"/>
      <c r="F215" s="361">
        <v>1</v>
      </c>
      <c r="G215" s="26"/>
      <c r="H215" s="26"/>
      <c r="I215" s="26"/>
      <c r="J215" s="26"/>
      <c r="K215" s="26"/>
      <c r="L215" s="26"/>
      <c r="M215" s="26"/>
      <c r="N215" s="26"/>
      <c r="O215" s="26"/>
      <c r="P215" s="26"/>
      <c r="Q215" s="66"/>
      <c r="R215" s="66"/>
      <c r="S215" s="26"/>
    </row>
    <row r="216" spans="1:19">
      <c r="A216" s="11"/>
      <c r="B216" s="168" t="s">
        <v>35</v>
      </c>
      <c r="C216" s="169" t="s">
        <v>17</v>
      </c>
      <c r="D216" s="361">
        <v>1</v>
      </c>
      <c r="E216" s="303"/>
      <c r="F216" s="361">
        <v>1</v>
      </c>
      <c r="G216" s="26"/>
      <c r="H216" s="26"/>
      <c r="I216" s="26"/>
      <c r="J216" s="26"/>
      <c r="K216" s="26"/>
      <c r="L216" s="26"/>
      <c r="M216" s="26"/>
      <c r="N216" s="26"/>
      <c r="O216" s="26"/>
      <c r="P216" s="26"/>
      <c r="Q216" s="66"/>
      <c r="R216" s="66"/>
      <c r="S216" s="26"/>
    </row>
    <row r="217" spans="1:19">
      <c r="A217" s="11"/>
      <c r="B217" s="168" t="s">
        <v>57</v>
      </c>
      <c r="C217" s="169" t="s">
        <v>7</v>
      </c>
      <c r="D217" s="361">
        <v>1</v>
      </c>
      <c r="E217" s="303"/>
      <c r="F217" s="361">
        <v>1</v>
      </c>
      <c r="G217" s="26"/>
      <c r="H217" s="26"/>
      <c r="I217" s="26"/>
      <c r="J217" s="26"/>
      <c r="K217" s="26"/>
      <c r="L217" s="26"/>
      <c r="M217" s="26"/>
      <c r="N217" s="26"/>
      <c r="O217" s="26"/>
      <c r="P217" s="26"/>
      <c r="Q217" s="66"/>
      <c r="R217" s="66"/>
      <c r="S217" s="26"/>
    </row>
    <row r="218" spans="1:19" s="93" customFormat="1" ht="60">
      <c r="A218" s="18">
        <f>COUNT($A$10:$A217)+1</f>
        <v>7</v>
      </c>
      <c r="B218" s="161" t="s">
        <v>98</v>
      </c>
      <c r="C218" s="172" t="s">
        <v>7</v>
      </c>
      <c r="D218" s="360">
        <v>1</v>
      </c>
      <c r="E218" s="302"/>
      <c r="F218" s="360">
        <v>1</v>
      </c>
      <c r="G218" s="357" t="s">
        <v>2326</v>
      </c>
      <c r="H218" s="357"/>
      <c r="I218" s="357" t="s">
        <v>2327</v>
      </c>
      <c r="J218" s="358" t="s">
        <v>2328</v>
      </c>
      <c r="K218" s="311">
        <v>259190973.35999995</v>
      </c>
      <c r="L218" s="311">
        <v>0</v>
      </c>
      <c r="M218" s="311">
        <v>7232000.0000000009</v>
      </c>
      <c r="N218" s="311">
        <v>26820906.400000002</v>
      </c>
      <c r="O218" s="311">
        <v>18774634.48</v>
      </c>
      <c r="P218" s="68">
        <f>SUM(K218:O218)</f>
        <v>312018514.23999995</v>
      </c>
      <c r="Q218" s="68">
        <f>D218*P218</f>
        <v>312018514.23999995</v>
      </c>
      <c r="R218" s="127">
        <f>F218*P218</f>
        <v>312018514.23999995</v>
      </c>
      <c r="S218" s="24"/>
    </row>
    <row r="219" spans="1:19">
      <c r="A219" s="11"/>
      <c r="B219" s="159" t="s">
        <v>1885</v>
      </c>
      <c r="C219" s="160" t="s">
        <v>8</v>
      </c>
      <c r="D219" s="361">
        <v>1</v>
      </c>
      <c r="E219" s="92"/>
      <c r="F219" s="361">
        <v>1</v>
      </c>
      <c r="G219" s="329"/>
      <c r="H219" s="329"/>
      <c r="I219" s="329"/>
      <c r="J219" s="329"/>
      <c r="K219" s="329"/>
      <c r="L219" s="329"/>
      <c r="M219" s="329"/>
      <c r="N219" s="329"/>
      <c r="O219" s="329"/>
      <c r="P219" s="329"/>
      <c r="Q219" s="65"/>
      <c r="R219" s="65"/>
      <c r="S219" s="329"/>
    </row>
    <row r="220" spans="1:19">
      <c r="A220" s="11"/>
      <c r="B220" s="161" t="s">
        <v>9</v>
      </c>
      <c r="C220" s="160"/>
      <c r="D220" s="361"/>
      <c r="E220" s="57"/>
      <c r="F220" s="361"/>
      <c r="G220" s="36"/>
      <c r="H220" s="36"/>
      <c r="I220" s="36"/>
      <c r="J220" s="36"/>
      <c r="K220" s="36"/>
      <c r="L220" s="36"/>
      <c r="M220" s="36"/>
      <c r="N220" s="36"/>
      <c r="O220" s="36"/>
      <c r="P220" s="36"/>
      <c r="Q220" s="65"/>
      <c r="R220" s="65"/>
      <c r="S220" s="36"/>
    </row>
    <row r="221" spans="1:19">
      <c r="A221" s="11"/>
      <c r="B221" s="159" t="s">
        <v>31</v>
      </c>
      <c r="C221" s="160" t="s">
        <v>8</v>
      </c>
      <c r="D221" s="361">
        <v>1</v>
      </c>
      <c r="E221" s="53"/>
      <c r="F221" s="361">
        <v>1</v>
      </c>
      <c r="G221" s="15"/>
      <c r="H221" s="15"/>
      <c r="I221" s="15"/>
      <c r="J221" s="15"/>
      <c r="K221" s="15"/>
      <c r="L221" s="15"/>
      <c r="M221" s="15"/>
      <c r="N221" s="15"/>
      <c r="O221" s="15"/>
      <c r="P221" s="15"/>
      <c r="Q221" s="66"/>
      <c r="R221" s="66"/>
      <c r="S221" s="15"/>
    </row>
    <row r="222" spans="1:19">
      <c r="A222" s="15"/>
      <c r="B222" s="162" t="str">
        <f>"Tiếp điểm báo trạng thái cho " &amp;B221</f>
        <v>Tiếp điểm báo trạng thái cho MCCB 4P 400AT 400AF 50kA</v>
      </c>
      <c r="C222" s="103" t="s">
        <v>8</v>
      </c>
      <c r="D222" s="361">
        <v>2</v>
      </c>
      <c r="E222" s="58"/>
      <c r="F222" s="361">
        <v>2</v>
      </c>
      <c r="G222" s="18"/>
      <c r="H222" s="18"/>
      <c r="I222" s="18"/>
      <c r="J222" s="18"/>
      <c r="K222" s="18"/>
      <c r="L222" s="18"/>
      <c r="M222" s="18"/>
      <c r="N222" s="18"/>
      <c r="O222" s="18"/>
      <c r="P222" s="18"/>
      <c r="Q222" s="65"/>
      <c r="R222" s="65"/>
      <c r="S222" s="18"/>
    </row>
    <row r="223" spans="1:19">
      <c r="A223" s="15"/>
      <c r="B223" s="162" t="str">
        <f>"Cuộn cắt 220VAC cho " &amp;B221</f>
        <v>Cuộn cắt 220VAC cho MCCB 4P 400AT 400AF 50kA</v>
      </c>
      <c r="C223" s="103" t="s">
        <v>8</v>
      </c>
      <c r="D223" s="361">
        <v>2</v>
      </c>
      <c r="E223" s="53"/>
      <c r="F223" s="361">
        <v>2</v>
      </c>
      <c r="G223" s="15"/>
      <c r="H223" s="15"/>
      <c r="I223" s="15"/>
      <c r="J223" s="15"/>
      <c r="K223" s="15"/>
      <c r="L223" s="15"/>
      <c r="M223" s="15"/>
      <c r="N223" s="15"/>
      <c r="O223" s="15"/>
      <c r="P223" s="15"/>
      <c r="Q223" s="66"/>
      <c r="R223" s="66"/>
      <c r="S223" s="15"/>
    </row>
    <row r="224" spans="1:19">
      <c r="A224" s="11"/>
      <c r="B224" s="159" t="s">
        <v>43</v>
      </c>
      <c r="C224" s="160" t="s">
        <v>8</v>
      </c>
      <c r="D224" s="361">
        <v>1</v>
      </c>
      <c r="E224" s="53"/>
      <c r="F224" s="361">
        <v>1</v>
      </c>
      <c r="G224" s="15"/>
      <c r="H224" s="15"/>
      <c r="I224" s="15"/>
      <c r="J224" s="15"/>
      <c r="K224" s="15"/>
      <c r="L224" s="15"/>
      <c r="M224" s="15"/>
      <c r="N224" s="15"/>
      <c r="O224" s="15"/>
      <c r="P224" s="15"/>
      <c r="Q224" s="66"/>
      <c r="R224" s="66"/>
      <c r="S224" s="15"/>
    </row>
    <row r="225" spans="1:19">
      <c r="A225" s="11"/>
      <c r="B225" s="159" t="s">
        <v>44</v>
      </c>
      <c r="C225" s="160" t="s">
        <v>8</v>
      </c>
      <c r="D225" s="361">
        <v>1</v>
      </c>
      <c r="E225" s="53"/>
      <c r="F225" s="361">
        <v>1</v>
      </c>
      <c r="G225" s="15"/>
      <c r="H225" s="15"/>
      <c r="I225" s="15"/>
      <c r="J225" s="15"/>
      <c r="K225" s="15"/>
      <c r="L225" s="15"/>
      <c r="M225" s="15"/>
      <c r="N225" s="15"/>
      <c r="O225" s="15"/>
      <c r="P225" s="15"/>
      <c r="Q225" s="66"/>
      <c r="R225" s="66"/>
      <c r="S225" s="15"/>
    </row>
    <row r="226" spans="1:19">
      <c r="A226" s="13"/>
      <c r="B226" s="163" t="s">
        <v>45</v>
      </c>
      <c r="C226" s="164" t="s">
        <v>20</v>
      </c>
      <c r="D226" s="361">
        <v>6</v>
      </c>
      <c r="E226" s="53"/>
      <c r="F226" s="361">
        <v>6</v>
      </c>
      <c r="G226" s="15"/>
      <c r="H226" s="15"/>
      <c r="I226" s="15"/>
      <c r="J226" s="15"/>
      <c r="K226" s="15"/>
      <c r="L226" s="15"/>
      <c r="M226" s="15"/>
      <c r="N226" s="15"/>
      <c r="O226" s="15"/>
      <c r="P226" s="15"/>
      <c r="Q226" s="66"/>
      <c r="R226" s="66"/>
      <c r="S226" s="15"/>
    </row>
    <row r="227" spans="1:19">
      <c r="A227" s="13"/>
      <c r="B227" s="163" t="s">
        <v>21</v>
      </c>
      <c r="C227" s="164" t="s">
        <v>8</v>
      </c>
      <c r="D227" s="361">
        <v>2</v>
      </c>
      <c r="E227" s="59"/>
      <c r="F227" s="361">
        <v>2</v>
      </c>
      <c r="G227" s="37"/>
      <c r="H227" s="37"/>
      <c r="I227" s="37"/>
      <c r="J227" s="37"/>
      <c r="K227" s="37"/>
      <c r="L227" s="37"/>
      <c r="M227" s="37"/>
      <c r="N227" s="37"/>
      <c r="O227" s="37"/>
      <c r="P227" s="37"/>
      <c r="Q227" s="66"/>
      <c r="R227" s="66"/>
      <c r="S227" s="37"/>
    </row>
    <row r="228" spans="1:19">
      <c r="A228" s="13"/>
      <c r="B228" s="163" t="s">
        <v>22</v>
      </c>
      <c r="C228" s="164" t="s">
        <v>8</v>
      </c>
      <c r="D228" s="361">
        <v>2</v>
      </c>
      <c r="E228" s="59"/>
      <c r="F228" s="361">
        <v>2</v>
      </c>
      <c r="G228" s="37"/>
      <c r="H228" s="37"/>
      <c r="I228" s="37"/>
      <c r="J228" s="37"/>
      <c r="K228" s="37"/>
      <c r="L228" s="37"/>
      <c r="M228" s="37"/>
      <c r="N228" s="37"/>
      <c r="O228" s="37"/>
      <c r="P228" s="37"/>
      <c r="Q228" s="66"/>
      <c r="R228" s="66"/>
      <c r="S228" s="37"/>
    </row>
    <row r="229" spans="1:19" ht="30">
      <c r="A229" s="13"/>
      <c r="B229" s="163" t="s">
        <v>46</v>
      </c>
      <c r="C229" s="164" t="s">
        <v>8</v>
      </c>
      <c r="D229" s="361">
        <v>2</v>
      </c>
      <c r="E229" s="59"/>
      <c r="F229" s="361">
        <v>2</v>
      </c>
      <c r="G229" s="37"/>
      <c r="H229" s="37"/>
      <c r="I229" s="37"/>
      <c r="J229" s="37"/>
      <c r="K229" s="37"/>
      <c r="L229" s="37"/>
      <c r="M229" s="37"/>
      <c r="N229" s="37"/>
      <c r="O229" s="37"/>
      <c r="P229" s="37"/>
      <c r="Q229" s="66"/>
      <c r="R229" s="66"/>
      <c r="S229" s="37"/>
    </row>
    <row r="230" spans="1:19">
      <c r="A230" s="11"/>
      <c r="B230" s="159" t="s">
        <v>24</v>
      </c>
      <c r="C230" s="160" t="s">
        <v>8</v>
      </c>
      <c r="D230" s="361">
        <v>6</v>
      </c>
      <c r="E230" s="59"/>
      <c r="F230" s="361">
        <v>6</v>
      </c>
      <c r="G230" s="37"/>
      <c r="H230" s="37"/>
      <c r="I230" s="37"/>
      <c r="J230" s="37"/>
      <c r="K230" s="37"/>
      <c r="L230" s="37"/>
      <c r="M230" s="37"/>
      <c r="N230" s="37"/>
      <c r="O230" s="37"/>
      <c r="P230" s="37"/>
      <c r="Q230" s="66"/>
      <c r="R230" s="66"/>
      <c r="S230" s="37"/>
    </row>
    <row r="231" spans="1:19">
      <c r="A231" s="11"/>
      <c r="B231" s="159" t="s">
        <v>25</v>
      </c>
      <c r="C231" s="165" t="s">
        <v>8</v>
      </c>
      <c r="D231" s="361">
        <v>6</v>
      </c>
      <c r="E231" s="59"/>
      <c r="F231" s="361">
        <v>6</v>
      </c>
      <c r="G231" s="37"/>
      <c r="H231" s="37"/>
      <c r="I231" s="37"/>
      <c r="J231" s="37"/>
      <c r="K231" s="37"/>
      <c r="L231" s="37"/>
      <c r="M231" s="37"/>
      <c r="N231" s="37"/>
      <c r="O231" s="37"/>
      <c r="P231" s="37"/>
      <c r="Q231" s="66"/>
      <c r="R231" s="66"/>
      <c r="S231" s="37"/>
    </row>
    <row r="232" spans="1:19">
      <c r="A232" s="11"/>
      <c r="B232" s="161" t="s">
        <v>26</v>
      </c>
      <c r="C232" s="160"/>
      <c r="D232" s="361"/>
      <c r="E232" s="59"/>
      <c r="F232" s="361"/>
      <c r="G232" s="37"/>
      <c r="H232" s="37"/>
      <c r="I232" s="37"/>
      <c r="J232" s="37"/>
      <c r="K232" s="37"/>
      <c r="L232" s="37"/>
      <c r="M232" s="37"/>
      <c r="N232" s="37"/>
      <c r="O232" s="37"/>
      <c r="P232" s="37"/>
      <c r="Q232" s="66"/>
      <c r="R232" s="66"/>
      <c r="S232" s="37"/>
    </row>
    <row r="233" spans="1:19">
      <c r="A233" s="11"/>
      <c r="B233" s="159" t="s">
        <v>99</v>
      </c>
      <c r="C233" s="160" t="s">
        <v>8</v>
      </c>
      <c r="D233" s="361">
        <v>1</v>
      </c>
      <c r="E233" s="59"/>
      <c r="F233" s="361">
        <v>1</v>
      </c>
      <c r="G233" s="37"/>
      <c r="H233" s="37"/>
      <c r="I233" s="37"/>
      <c r="J233" s="37"/>
      <c r="K233" s="37"/>
      <c r="L233" s="37"/>
      <c r="M233" s="37"/>
      <c r="N233" s="37"/>
      <c r="O233" s="37"/>
      <c r="P233" s="37"/>
      <c r="Q233" s="66"/>
      <c r="R233" s="66"/>
      <c r="S233" s="37"/>
    </row>
    <row r="234" spans="1:19">
      <c r="A234" s="11"/>
      <c r="B234" s="159" t="s">
        <v>47</v>
      </c>
      <c r="C234" s="160" t="s">
        <v>8</v>
      </c>
      <c r="D234" s="361">
        <v>1</v>
      </c>
      <c r="E234" s="57"/>
      <c r="F234" s="361">
        <v>1</v>
      </c>
      <c r="G234" s="36"/>
      <c r="H234" s="36"/>
      <c r="I234" s="36"/>
      <c r="J234" s="36"/>
      <c r="K234" s="36"/>
      <c r="L234" s="36"/>
      <c r="M234" s="36"/>
      <c r="N234" s="36"/>
      <c r="O234" s="36"/>
      <c r="P234" s="36"/>
      <c r="Q234" s="65"/>
      <c r="R234" s="65"/>
      <c r="S234" s="36"/>
    </row>
    <row r="235" spans="1:19">
      <c r="A235" s="11"/>
      <c r="B235" s="159" t="s">
        <v>51</v>
      </c>
      <c r="C235" s="160" t="s">
        <v>8</v>
      </c>
      <c r="D235" s="361">
        <v>1</v>
      </c>
      <c r="E235" s="59"/>
      <c r="F235" s="361">
        <v>1</v>
      </c>
      <c r="G235" s="37"/>
      <c r="H235" s="37"/>
      <c r="I235" s="37"/>
      <c r="J235" s="37"/>
      <c r="K235" s="37"/>
      <c r="L235" s="37"/>
      <c r="M235" s="37"/>
      <c r="N235" s="37"/>
      <c r="O235" s="37"/>
      <c r="P235" s="37"/>
      <c r="Q235" s="66"/>
      <c r="R235" s="66"/>
      <c r="S235" s="37"/>
    </row>
    <row r="236" spans="1:19">
      <c r="A236" s="11"/>
      <c r="B236" s="159" t="s">
        <v>48</v>
      </c>
      <c r="C236" s="160" t="s">
        <v>8</v>
      </c>
      <c r="D236" s="361">
        <v>0</v>
      </c>
      <c r="E236" s="59"/>
      <c r="F236" s="361">
        <v>0</v>
      </c>
      <c r="G236" s="37"/>
      <c r="H236" s="37"/>
      <c r="I236" s="37"/>
      <c r="J236" s="37"/>
      <c r="K236" s="37"/>
      <c r="L236" s="37"/>
      <c r="M236" s="37"/>
      <c r="N236" s="37"/>
      <c r="O236" s="37"/>
      <c r="P236" s="37"/>
      <c r="Q236" s="66"/>
      <c r="R236" s="66"/>
      <c r="S236" s="37"/>
    </row>
    <row r="237" spans="1:19">
      <c r="A237" s="11"/>
      <c r="B237" s="159" t="s">
        <v>49</v>
      </c>
      <c r="C237" s="160" t="s">
        <v>8</v>
      </c>
      <c r="D237" s="361">
        <v>4</v>
      </c>
      <c r="E237" s="59"/>
      <c r="F237" s="361">
        <v>4</v>
      </c>
      <c r="G237" s="37"/>
      <c r="H237" s="37"/>
      <c r="I237" s="37"/>
      <c r="J237" s="37"/>
      <c r="K237" s="37"/>
      <c r="L237" s="37"/>
      <c r="M237" s="37"/>
      <c r="N237" s="37"/>
      <c r="O237" s="37"/>
      <c r="P237" s="37"/>
      <c r="Q237" s="66"/>
      <c r="R237" s="66"/>
      <c r="S237" s="37"/>
    </row>
    <row r="238" spans="1:19">
      <c r="A238" s="11"/>
      <c r="B238" s="159" t="s">
        <v>50</v>
      </c>
      <c r="C238" s="160" t="s">
        <v>8</v>
      </c>
      <c r="D238" s="361">
        <v>2</v>
      </c>
      <c r="E238" s="59"/>
      <c r="F238" s="361">
        <v>2</v>
      </c>
      <c r="G238" s="37"/>
      <c r="H238" s="37"/>
      <c r="I238" s="37"/>
      <c r="J238" s="37"/>
      <c r="K238" s="37"/>
      <c r="L238" s="37"/>
      <c r="M238" s="37"/>
      <c r="N238" s="37"/>
      <c r="O238" s="37"/>
      <c r="P238" s="37"/>
      <c r="Q238" s="66"/>
      <c r="R238" s="66"/>
      <c r="S238" s="37"/>
    </row>
    <row r="239" spans="1:19">
      <c r="A239" s="11"/>
      <c r="B239" s="159" t="s">
        <v>64</v>
      </c>
      <c r="C239" s="160" t="s">
        <v>8</v>
      </c>
      <c r="D239" s="361">
        <v>3</v>
      </c>
      <c r="E239" s="60"/>
      <c r="F239" s="361">
        <v>3</v>
      </c>
      <c r="G239" s="38"/>
      <c r="H239" s="38"/>
      <c r="I239" s="38"/>
      <c r="J239" s="38"/>
      <c r="K239" s="38"/>
      <c r="L239" s="38"/>
      <c r="M239" s="38"/>
      <c r="N239" s="38"/>
      <c r="O239" s="38"/>
      <c r="P239" s="38"/>
      <c r="Q239" s="65"/>
      <c r="R239" s="65"/>
      <c r="S239" s="38"/>
    </row>
    <row r="240" spans="1:19">
      <c r="A240" s="11"/>
      <c r="B240" s="159" t="s">
        <v>92</v>
      </c>
      <c r="C240" s="160" t="s">
        <v>8</v>
      </c>
      <c r="D240" s="361">
        <v>2</v>
      </c>
      <c r="E240" s="57"/>
      <c r="F240" s="361">
        <v>2</v>
      </c>
      <c r="G240" s="36"/>
      <c r="H240" s="36"/>
      <c r="I240" s="36"/>
      <c r="J240" s="36"/>
      <c r="K240" s="36"/>
      <c r="L240" s="36"/>
      <c r="M240" s="36"/>
      <c r="N240" s="36"/>
      <c r="O240" s="36"/>
      <c r="P240" s="36"/>
      <c r="Q240" s="65"/>
      <c r="R240" s="65"/>
      <c r="S240" s="36"/>
    </row>
    <row r="241" spans="1:19">
      <c r="A241" s="11"/>
      <c r="B241" s="159" t="s">
        <v>55</v>
      </c>
      <c r="C241" s="160" t="s">
        <v>8</v>
      </c>
      <c r="D241" s="361">
        <v>1</v>
      </c>
      <c r="E241" s="53"/>
      <c r="F241" s="361">
        <v>1</v>
      </c>
      <c r="G241" s="15"/>
      <c r="H241" s="15"/>
      <c r="I241" s="15"/>
      <c r="J241" s="15"/>
      <c r="K241" s="15"/>
      <c r="L241" s="15"/>
      <c r="M241" s="15"/>
      <c r="N241" s="15"/>
      <c r="O241" s="15"/>
      <c r="P241" s="15"/>
      <c r="Q241" s="66"/>
      <c r="R241" s="66"/>
      <c r="S241" s="15"/>
    </row>
    <row r="242" spans="1:19">
      <c r="A242" s="11"/>
      <c r="B242" s="159" t="s">
        <v>97</v>
      </c>
      <c r="C242" s="160" t="s">
        <v>17</v>
      </c>
      <c r="D242" s="361">
        <v>1</v>
      </c>
      <c r="E242" s="58"/>
      <c r="F242" s="361">
        <v>1</v>
      </c>
      <c r="G242" s="18"/>
      <c r="H242" s="18"/>
      <c r="I242" s="18"/>
      <c r="J242" s="18"/>
      <c r="K242" s="18"/>
      <c r="L242" s="18"/>
      <c r="M242" s="18"/>
      <c r="N242" s="18"/>
      <c r="O242" s="18"/>
      <c r="P242" s="18"/>
      <c r="Q242" s="65"/>
      <c r="R242" s="65"/>
      <c r="S242" s="18"/>
    </row>
    <row r="243" spans="1:19">
      <c r="A243" s="11"/>
      <c r="B243" s="168" t="s">
        <v>35</v>
      </c>
      <c r="C243" s="169" t="s">
        <v>17</v>
      </c>
      <c r="D243" s="361">
        <v>1</v>
      </c>
      <c r="E243" s="53"/>
      <c r="F243" s="361">
        <v>1</v>
      </c>
      <c r="G243" s="15"/>
      <c r="H243" s="15"/>
      <c r="I243" s="15"/>
      <c r="J243" s="15"/>
      <c r="K243" s="15"/>
      <c r="L243" s="15"/>
      <c r="M243" s="15"/>
      <c r="N243" s="15"/>
      <c r="O243" s="15"/>
      <c r="P243" s="15"/>
      <c r="Q243" s="66"/>
      <c r="R243" s="66"/>
      <c r="S243" s="15"/>
    </row>
    <row r="244" spans="1:19">
      <c r="A244" s="11"/>
      <c r="B244" s="168" t="s">
        <v>57</v>
      </c>
      <c r="C244" s="169" t="s">
        <v>7</v>
      </c>
      <c r="D244" s="361">
        <v>1</v>
      </c>
      <c r="E244" s="53"/>
      <c r="F244" s="361">
        <v>1</v>
      </c>
      <c r="G244" s="15"/>
      <c r="H244" s="15"/>
      <c r="I244" s="15"/>
      <c r="J244" s="15"/>
      <c r="K244" s="15"/>
      <c r="L244" s="15"/>
      <c r="M244" s="15"/>
      <c r="N244" s="15"/>
      <c r="O244" s="15"/>
      <c r="P244" s="15"/>
      <c r="Q244" s="66"/>
      <c r="R244" s="66"/>
      <c r="S244" s="15"/>
    </row>
    <row r="245" spans="1:19" s="93" customFormat="1" ht="60">
      <c r="A245" s="18">
        <f>COUNT($A$10:$A244)+1</f>
        <v>8</v>
      </c>
      <c r="B245" s="161" t="s">
        <v>100</v>
      </c>
      <c r="C245" s="172" t="s">
        <v>7</v>
      </c>
      <c r="D245" s="360">
        <v>1</v>
      </c>
      <c r="E245" s="58"/>
      <c r="F245" s="360">
        <v>1</v>
      </c>
      <c r="G245" s="357" t="s">
        <v>2326</v>
      </c>
      <c r="H245" s="357"/>
      <c r="I245" s="357" t="s">
        <v>2327</v>
      </c>
      <c r="J245" s="358" t="s">
        <v>2328</v>
      </c>
      <c r="K245" s="311">
        <v>852660635.30999994</v>
      </c>
      <c r="L245" s="311">
        <v>0</v>
      </c>
      <c r="M245" s="311">
        <v>14464000.000000002</v>
      </c>
      <c r="N245" s="311">
        <v>87407336.900000006</v>
      </c>
      <c r="O245" s="311">
        <v>61185135.830000006</v>
      </c>
      <c r="P245" s="68">
        <f>SUM(K245:O245)</f>
        <v>1015717108.04</v>
      </c>
      <c r="Q245" s="68">
        <f>D245*P245</f>
        <v>1015717108.04</v>
      </c>
      <c r="R245" s="127">
        <f>F245*P245</f>
        <v>1015717108.04</v>
      </c>
      <c r="S245" s="18"/>
    </row>
    <row r="246" spans="1:19">
      <c r="A246" s="11"/>
      <c r="B246" s="159" t="s">
        <v>1885</v>
      </c>
      <c r="C246" s="160" t="s">
        <v>8</v>
      </c>
      <c r="D246" s="361">
        <v>1</v>
      </c>
      <c r="E246" s="53"/>
      <c r="F246" s="361">
        <v>1</v>
      </c>
      <c r="G246" s="15"/>
      <c r="H246" s="15"/>
      <c r="I246" s="15"/>
      <c r="J246" s="15"/>
      <c r="K246" s="15"/>
      <c r="L246" s="15"/>
      <c r="M246" s="15"/>
      <c r="N246" s="15"/>
      <c r="O246" s="15"/>
      <c r="P246" s="15"/>
      <c r="Q246" s="66"/>
      <c r="R246" s="66"/>
      <c r="S246" s="15"/>
    </row>
    <row r="247" spans="1:19">
      <c r="A247" s="11"/>
      <c r="B247" s="161" t="s">
        <v>9</v>
      </c>
      <c r="C247" s="160"/>
      <c r="D247" s="361"/>
      <c r="E247" s="59"/>
      <c r="F247" s="361"/>
      <c r="G247" s="37"/>
      <c r="H247" s="37"/>
      <c r="I247" s="37"/>
      <c r="J247" s="37"/>
      <c r="K247" s="37"/>
      <c r="L247" s="37"/>
      <c r="M247" s="37"/>
      <c r="N247" s="37"/>
      <c r="O247" s="37"/>
      <c r="P247" s="37"/>
      <c r="Q247" s="66"/>
      <c r="R247" s="66"/>
      <c r="S247" s="37"/>
    </row>
    <row r="248" spans="1:19" ht="45">
      <c r="A248" s="11"/>
      <c r="B248" s="159" t="s">
        <v>10</v>
      </c>
      <c r="C248" s="160" t="s">
        <v>8</v>
      </c>
      <c r="D248" s="361">
        <v>1</v>
      </c>
      <c r="E248" s="59"/>
      <c r="F248" s="361">
        <v>1</v>
      </c>
      <c r="G248" s="37"/>
      <c r="H248" s="37"/>
      <c r="I248" s="37"/>
      <c r="J248" s="37"/>
      <c r="K248" s="37"/>
      <c r="L248" s="37"/>
      <c r="M248" s="37"/>
      <c r="N248" s="37"/>
      <c r="O248" s="37"/>
      <c r="P248" s="37"/>
      <c r="Q248" s="66"/>
      <c r="R248" s="66"/>
      <c r="S248" s="37"/>
    </row>
    <row r="249" spans="1:19">
      <c r="A249" s="11"/>
      <c r="B249" s="162" t="s">
        <v>11</v>
      </c>
      <c r="C249" s="160" t="s">
        <v>8</v>
      </c>
      <c r="D249" s="361">
        <v>1</v>
      </c>
      <c r="E249" s="59"/>
      <c r="F249" s="361">
        <v>1</v>
      </c>
      <c r="G249" s="37"/>
      <c r="H249" s="37"/>
      <c r="I249" s="37"/>
      <c r="J249" s="37"/>
      <c r="K249" s="37"/>
      <c r="L249" s="37"/>
      <c r="M249" s="37"/>
      <c r="N249" s="37"/>
      <c r="O249" s="37"/>
      <c r="P249" s="37"/>
      <c r="Q249" s="66"/>
      <c r="R249" s="66"/>
      <c r="S249" s="37"/>
    </row>
    <row r="250" spans="1:19">
      <c r="A250" s="11"/>
      <c r="B250" s="162" t="s">
        <v>12</v>
      </c>
      <c r="C250" s="160" t="s">
        <v>8</v>
      </c>
      <c r="D250" s="361">
        <v>1</v>
      </c>
      <c r="E250" s="59"/>
      <c r="F250" s="361">
        <v>1</v>
      </c>
      <c r="G250" s="37"/>
      <c r="H250" s="37"/>
      <c r="I250" s="37"/>
      <c r="J250" s="37"/>
      <c r="K250" s="37"/>
      <c r="L250" s="37"/>
      <c r="M250" s="37"/>
      <c r="N250" s="37"/>
      <c r="O250" s="37"/>
      <c r="P250" s="37"/>
      <c r="Q250" s="66"/>
      <c r="R250" s="66"/>
      <c r="S250" s="37"/>
    </row>
    <row r="251" spans="1:19">
      <c r="A251" s="11"/>
      <c r="B251" s="159" t="s">
        <v>13</v>
      </c>
      <c r="C251" s="160" t="s">
        <v>8</v>
      </c>
      <c r="D251" s="361">
        <v>1</v>
      </c>
      <c r="E251" s="59"/>
      <c r="F251" s="361">
        <v>1</v>
      </c>
      <c r="G251" s="37"/>
      <c r="H251" s="37"/>
      <c r="I251" s="37"/>
      <c r="J251" s="37"/>
      <c r="K251" s="37"/>
      <c r="L251" s="37"/>
      <c r="M251" s="37"/>
      <c r="N251" s="37"/>
      <c r="O251" s="37"/>
      <c r="P251" s="37"/>
      <c r="Q251" s="66"/>
      <c r="R251" s="66"/>
      <c r="S251" s="37"/>
    </row>
    <row r="252" spans="1:19">
      <c r="A252" s="11"/>
      <c r="B252" s="159" t="s">
        <v>15</v>
      </c>
      <c r="C252" s="160" t="s">
        <v>8</v>
      </c>
      <c r="D252" s="361">
        <v>1</v>
      </c>
      <c r="E252" s="57"/>
      <c r="F252" s="361">
        <v>1</v>
      </c>
      <c r="G252" s="36"/>
      <c r="H252" s="36"/>
      <c r="I252" s="36"/>
      <c r="J252" s="36"/>
      <c r="K252" s="36"/>
      <c r="L252" s="36"/>
      <c r="M252" s="36"/>
      <c r="N252" s="36"/>
      <c r="O252" s="36"/>
      <c r="P252" s="36"/>
      <c r="Q252" s="65"/>
      <c r="R252" s="65"/>
      <c r="S252" s="36"/>
    </row>
    <row r="253" spans="1:19">
      <c r="A253" s="11"/>
      <c r="B253" s="159" t="s">
        <v>18</v>
      </c>
      <c r="C253" s="160" t="s">
        <v>8</v>
      </c>
      <c r="D253" s="361">
        <v>3</v>
      </c>
      <c r="E253" s="59"/>
      <c r="F253" s="361">
        <v>3</v>
      </c>
      <c r="G253" s="37"/>
      <c r="H253" s="37"/>
      <c r="I253" s="37"/>
      <c r="J253" s="37"/>
      <c r="K253" s="37"/>
      <c r="L253" s="37"/>
      <c r="M253" s="37"/>
      <c r="N253" s="37"/>
      <c r="O253" s="37"/>
      <c r="P253" s="37"/>
      <c r="Q253" s="66"/>
      <c r="R253" s="66"/>
      <c r="S253" s="37"/>
    </row>
    <row r="254" spans="1:19">
      <c r="A254" s="13"/>
      <c r="B254" s="163" t="s">
        <v>19</v>
      </c>
      <c r="C254" s="164" t="s">
        <v>20</v>
      </c>
      <c r="D254" s="361">
        <v>3</v>
      </c>
      <c r="E254" s="59"/>
      <c r="F254" s="361">
        <v>3</v>
      </c>
      <c r="G254" s="37"/>
      <c r="H254" s="37"/>
      <c r="I254" s="37"/>
      <c r="J254" s="37"/>
      <c r="K254" s="37"/>
      <c r="L254" s="37"/>
      <c r="M254" s="37"/>
      <c r="N254" s="37"/>
      <c r="O254" s="37"/>
      <c r="P254" s="37"/>
      <c r="Q254" s="66"/>
      <c r="R254" s="66"/>
      <c r="S254" s="37"/>
    </row>
    <row r="255" spans="1:19">
      <c r="A255" s="13"/>
      <c r="B255" s="163" t="s">
        <v>21</v>
      </c>
      <c r="C255" s="164" t="s">
        <v>8</v>
      </c>
      <c r="D255" s="361">
        <v>1</v>
      </c>
      <c r="E255" s="59"/>
      <c r="F255" s="361">
        <v>1</v>
      </c>
      <c r="G255" s="37"/>
      <c r="H255" s="37"/>
      <c r="I255" s="37"/>
      <c r="J255" s="37"/>
      <c r="K255" s="37"/>
      <c r="L255" s="37"/>
      <c r="M255" s="37"/>
      <c r="N255" s="37"/>
      <c r="O255" s="37"/>
      <c r="P255" s="37"/>
      <c r="Q255" s="66"/>
      <c r="R255" s="66"/>
      <c r="S255" s="37"/>
    </row>
    <row r="256" spans="1:19">
      <c r="A256" s="13"/>
      <c r="B256" s="163" t="s">
        <v>22</v>
      </c>
      <c r="C256" s="164" t="s">
        <v>8</v>
      </c>
      <c r="D256" s="361">
        <v>1</v>
      </c>
      <c r="E256" s="59"/>
      <c r="F256" s="361">
        <v>1</v>
      </c>
      <c r="G256" s="37"/>
      <c r="H256" s="37"/>
      <c r="I256" s="37"/>
      <c r="J256" s="37"/>
      <c r="K256" s="37"/>
      <c r="L256" s="37"/>
      <c r="M256" s="37"/>
      <c r="N256" s="37"/>
      <c r="O256" s="37"/>
      <c r="P256" s="37"/>
      <c r="Q256" s="66"/>
      <c r="R256" s="66"/>
      <c r="S256" s="37"/>
    </row>
    <row r="257" spans="1:19">
      <c r="A257" s="11"/>
      <c r="B257" s="159" t="s">
        <v>24</v>
      </c>
      <c r="C257" s="160" t="s">
        <v>8</v>
      </c>
      <c r="D257" s="361">
        <v>3</v>
      </c>
      <c r="E257" s="57"/>
      <c r="F257" s="361">
        <v>3</v>
      </c>
      <c r="G257" s="36"/>
      <c r="H257" s="36"/>
      <c r="I257" s="36"/>
      <c r="J257" s="36"/>
      <c r="K257" s="36"/>
      <c r="L257" s="36"/>
      <c r="M257" s="36"/>
      <c r="N257" s="36"/>
      <c r="O257" s="36"/>
      <c r="P257" s="36"/>
      <c r="Q257" s="65"/>
      <c r="R257" s="65"/>
      <c r="S257" s="36"/>
    </row>
    <row r="258" spans="1:19">
      <c r="A258" s="11"/>
      <c r="B258" s="159" t="s">
        <v>25</v>
      </c>
      <c r="C258" s="165" t="s">
        <v>8</v>
      </c>
      <c r="D258" s="361">
        <v>3</v>
      </c>
      <c r="E258" s="59"/>
      <c r="F258" s="361">
        <v>3</v>
      </c>
      <c r="G258" s="37"/>
      <c r="H258" s="37"/>
      <c r="I258" s="37"/>
      <c r="J258" s="37"/>
      <c r="K258" s="37"/>
      <c r="L258" s="37"/>
      <c r="M258" s="37"/>
      <c r="N258" s="37"/>
      <c r="O258" s="37"/>
      <c r="P258" s="37"/>
      <c r="Q258" s="66"/>
      <c r="R258" s="66"/>
      <c r="S258" s="37"/>
    </row>
    <row r="259" spans="1:19" ht="30">
      <c r="A259" s="13"/>
      <c r="B259" s="163" t="s">
        <v>46</v>
      </c>
      <c r="C259" s="164" t="s">
        <v>8</v>
      </c>
      <c r="D259" s="361">
        <v>1</v>
      </c>
      <c r="E259" s="59"/>
      <c r="F259" s="361">
        <v>1</v>
      </c>
      <c r="G259" s="37"/>
      <c r="H259" s="37"/>
      <c r="I259" s="37"/>
      <c r="J259" s="37"/>
      <c r="K259" s="37"/>
      <c r="L259" s="37"/>
      <c r="M259" s="37"/>
      <c r="N259" s="37"/>
      <c r="O259" s="37"/>
      <c r="P259" s="37"/>
      <c r="Q259" s="66"/>
      <c r="R259" s="66"/>
      <c r="S259" s="37"/>
    </row>
    <row r="260" spans="1:19">
      <c r="A260" s="11"/>
      <c r="B260" s="159" t="s">
        <v>67</v>
      </c>
      <c r="C260" s="160" t="s">
        <v>8</v>
      </c>
      <c r="D260" s="361">
        <v>1</v>
      </c>
      <c r="E260" s="59"/>
      <c r="F260" s="361">
        <v>1</v>
      </c>
      <c r="G260" s="37"/>
      <c r="H260" s="37"/>
      <c r="I260" s="37"/>
      <c r="J260" s="37"/>
      <c r="K260" s="37"/>
      <c r="L260" s="37"/>
      <c r="M260" s="37"/>
      <c r="N260" s="37"/>
      <c r="O260" s="37"/>
      <c r="P260" s="37"/>
      <c r="Q260" s="66"/>
      <c r="R260" s="66"/>
      <c r="S260" s="37"/>
    </row>
    <row r="261" spans="1:19">
      <c r="A261" s="11"/>
      <c r="B261" s="159" t="s">
        <v>68</v>
      </c>
      <c r="C261" s="160" t="s">
        <v>8</v>
      </c>
      <c r="D261" s="361">
        <v>1</v>
      </c>
      <c r="E261" s="59"/>
      <c r="F261" s="361">
        <v>1</v>
      </c>
      <c r="G261" s="37"/>
      <c r="H261" s="37"/>
      <c r="I261" s="37"/>
      <c r="J261" s="37"/>
      <c r="K261" s="37"/>
      <c r="L261" s="37"/>
      <c r="M261" s="37"/>
      <c r="N261" s="37"/>
      <c r="O261" s="37"/>
      <c r="P261" s="37"/>
      <c r="Q261" s="66"/>
      <c r="R261" s="66"/>
      <c r="S261" s="37"/>
    </row>
    <row r="262" spans="1:19">
      <c r="A262" s="11"/>
      <c r="B262" s="161" t="s">
        <v>26</v>
      </c>
      <c r="C262" s="160"/>
      <c r="D262" s="361"/>
      <c r="E262" s="59"/>
      <c r="F262" s="361"/>
      <c r="G262" s="37"/>
      <c r="H262" s="37"/>
      <c r="I262" s="37"/>
      <c r="J262" s="37"/>
      <c r="K262" s="37"/>
      <c r="L262" s="37"/>
      <c r="M262" s="37"/>
      <c r="N262" s="37"/>
      <c r="O262" s="37"/>
      <c r="P262" s="37"/>
      <c r="Q262" s="66"/>
      <c r="R262" s="66"/>
      <c r="S262" s="37"/>
    </row>
    <row r="263" spans="1:19">
      <c r="A263" s="11"/>
      <c r="B263" s="166" t="s">
        <v>28</v>
      </c>
      <c r="C263" s="160" t="s">
        <v>8</v>
      </c>
      <c r="D263" s="361">
        <v>2</v>
      </c>
      <c r="E263" s="59"/>
      <c r="F263" s="361">
        <v>2</v>
      </c>
      <c r="G263" s="37"/>
      <c r="H263" s="37"/>
      <c r="I263" s="37"/>
      <c r="J263" s="37"/>
      <c r="K263" s="37"/>
      <c r="L263" s="37"/>
      <c r="M263" s="37"/>
      <c r="N263" s="37"/>
      <c r="O263" s="37"/>
      <c r="P263" s="37"/>
      <c r="Q263" s="66"/>
      <c r="R263" s="66"/>
      <c r="S263" s="37"/>
    </row>
    <row r="264" spans="1:19">
      <c r="A264" s="11"/>
      <c r="B264" s="162" t="str">
        <f>"Motor sạc 220VAC cho " &amp;B263</f>
        <v>Motor sạc 220VAC cho ACB 4P 1600AT 1600AF 65kA Fixed</v>
      </c>
      <c r="C264" s="160" t="s">
        <v>8</v>
      </c>
      <c r="D264" s="361">
        <v>2</v>
      </c>
      <c r="E264" s="60"/>
      <c r="F264" s="361">
        <v>2</v>
      </c>
      <c r="G264" s="38"/>
      <c r="H264" s="38"/>
      <c r="I264" s="38"/>
      <c r="J264" s="38"/>
      <c r="K264" s="38"/>
      <c r="L264" s="38"/>
      <c r="M264" s="38"/>
      <c r="N264" s="38"/>
      <c r="O264" s="38"/>
      <c r="P264" s="38"/>
      <c r="Q264" s="65"/>
      <c r="R264" s="65"/>
      <c r="S264" s="38"/>
    </row>
    <row r="265" spans="1:19" ht="30">
      <c r="A265" s="11"/>
      <c r="B265" s="162" t="str">
        <f>"Cuộn đóng 220VAC cho " &amp;B263</f>
        <v>Cuộn đóng 220VAC cho ACB 4P 1600AT 1600AF 65kA Fixed</v>
      </c>
      <c r="C265" s="160" t="s">
        <v>8</v>
      </c>
      <c r="D265" s="361">
        <v>2</v>
      </c>
      <c r="E265" s="57"/>
      <c r="F265" s="361">
        <v>2</v>
      </c>
      <c r="G265" s="36"/>
      <c r="H265" s="36"/>
      <c r="I265" s="36"/>
      <c r="J265" s="36"/>
      <c r="K265" s="36"/>
      <c r="L265" s="36"/>
      <c r="M265" s="36"/>
      <c r="N265" s="36"/>
      <c r="O265" s="36"/>
      <c r="P265" s="36"/>
      <c r="Q265" s="65"/>
      <c r="R265" s="65"/>
      <c r="S265" s="36"/>
    </row>
    <row r="266" spans="1:19">
      <c r="A266" s="11"/>
      <c r="B266" s="162" t="str">
        <f>"Cuộn cắt 220VAC cho " &amp;B263</f>
        <v>Cuộn cắt 220VAC cho ACB 4P 1600AT 1600AF 65kA Fixed</v>
      </c>
      <c r="C266" s="160" t="s">
        <v>8</v>
      </c>
      <c r="D266" s="361">
        <v>2</v>
      </c>
      <c r="E266" s="53"/>
      <c r="F266" s="361">
        <v>2</v>
      </c>
      <c r="G266" s="15"/>
      <c r="H266" s="15"/>
      <c r="I266" s="15"/>
      <c r="J266" s="15"/>
      <c r="K266" s="15"/>
      <c r="L266" s="15"/>
      <c r="M266" s="15"/>
      <c r="N266" s="15"/>
      <c r="O266" s="15"/>
      <c r="P266" s="15"/>
      <c r="Q266" s="66"/>
      <c r="R266" s="66"/>
      <c r="S266" s="15"/>
    </row>
    <row r="267" spans="1:19">
      <c r="A267" s="11"/>
      <c r="B267" s="159" t="s">
        <v>15</v>
      </c>
      <c r="C267" s="160" t="s">
        <v>8</v>
      </c>
      <c r="D267" s="361">
        <v>2</v>
      </c>
      <c r="E267" s="58"/>
      <c r="F267" s="361">
        <v>2</v>
      </c>
      <c r="G267" s="18"/>
      <c r="H267" s="18"/>
      <c r="I267" s="18"/>
      <c r="J267" s="18"/>
      <c r="K267" s="18"/>
      <c r="L267" s="18"/>
      <c r="M267" s="18"/>
      <c r="N267" s="18"/>
      <c r="O267" s="18"/>
      <c r="P267" s="18"/>
      <c r="Q267" s="65"/>
      <c r="R267" s="65"/>
      <c r="S267" s="18"/>
    </row>
    <row r="268" spans="1:19">
      <c r="A268" s="11"/>
      <c r="B268" s="159" t="s">
        <v>18</v>
      </c>
      <c r="C268" s="160" t="s">
        <v>8</v>
      </c>
      <c r="D268" s="361">
        <v>6</v>
      </c>
      <c r="E268" s="53"/>
      <c r="F268" s="361">
        <v>6</v>
      </c>
      <c r="G268" s="15"/>
      <c r="H268" s="15"/>
      <c r="I268" s="15"/>
      <c r="J268" s="15"/>
      <c r="K268" s="15"/>
      <c r="L268" s="15"/>
      <c r="M268" s="15"/>
      <c r="N268" s="15"/>
      <c r="O268" s="15"/>
      <c r="P268" s="15"/>
      <c r="Q268" s="66"/>
      <c r="R268" s="66"/>
      <c r="S268" s="15"/>
    </row>
    <row r="269" spans="1:19">
      <c r="A269" s="18"/>
      <c r="B269" s="173" t="s">
        <v>70</v>
      </c>
      <c r="C269" s="99"/>
      <c r="D269" s="361"/>
      <c r="E269" s="53"/>
      <c r="F269" s="361"/>
      <c r="G269" s="15"/>
      <c r="H269" s="15"/>
      <c r="I269" s="15"/>
      <c r="J269" s="15"/>
      <c r="K269" s="15"/>
      <c r="L269" s="15"/>
      <c r="M269" s="15"/>
      <c r="N269" s="15"/>
      <c r="O269" s="15"/>
      <c r="P269" s="15"/>
      <c r="Q269" s="66"/>
      <c r="R269" s="66"/>
      <c r="S269" s="15"/>
    </row>
    <row r="270" spans="1:19">
      <c r="A270" s="668"/>
      <c r="B270" s="162" t="s">
        <v>71</v>
      </c>
      <c r="C270" s="103" t="s">
        <v>8</v>
      </c>
      <c r="D270" s="361">
        <v>4</v>
      </c>
      <c r="E270" s="53"/>
      <c r="F270" s="361">
        <v>4</v>
      </c>
      <c r="G270" s="15"/>
      <c r="H270" s="15"/>
      <c r="I270" s="15"/>
      <c r="J270" s="15"/>
      <c r="K270" s="15"/>
      <c r="L270" s="15"/>
      <c r="M270" s="15"/>
      <c r="N270" s="15"/>
      <c r="O270" s="15"/>
      <c r="P270" s="15"/>
      <c r="Q270" s="66"/>
      <c r="R270" s="66"/>
      <c r="S270" s="15"/>
    </row>
    <row r="271" spans="1:19">
      <c r="A271" s="668"/>
      <c r="B271" s="162" t="s">
        <v>101</v>
      </c>
      <c r="C271" s="103" t="s">
        <v>8</v>
      </c>
      <c r="D271" s="361">
        <v>1</v>
      </c>
      <c r="E271" s="53"/>
      <c r="F271" s="361">
        <v>1</v>
      </c>
      <c r="G271" s="15"/>
      <c r="H271" s="15"/>
      <c r="I271" s="15"/>
      <c r="J271" s="15"/>
      <c r="K271" s="15"/>
      <c r="L271" s="15"/>
      <c r="M271" s="15"/>
      <c r="N271" s="15"/>
      <c r="O271" s="15"/>
      <c r="P271" s="15"/>
      <c r="Q271" s="66"/>
      <c r="R271" s="66"/>
      <c r="S271" s="15"/>
    </row>
    <row r="272" spans="1:19">
      <c r="A272" s="668"/>
      <c r="B272" s="162" t="s">
        <v>73</v>
      </c>
      <c r="C272" s="103" t="s">
        <v>8</v>
      </c>
      <c r="D272" s="361">
        <v>1</v>
      </c>
      <c r="E272" s="59"/>
      <c r="F272" s="361">
        <v>1</v>
      </c>
      <c r="G272" s="37"/>
      <c r="H272" s="37"/>
      <c r="I272" s="37"/>
      <c r="J272" s="37"/>
      <c r="K272" s="37"/>
      <c r="L272" s="37"/>
      <c r="M272" s="37"/>
      <c r="N272" s="37"/>
      <c r="O272" s="37"/>
      <c r="P272" s="37"/>
      <c r="Q272" s="66"/>
      <c r="R272" s="66"/>
      <c r="S272" s="37"/>
    </row>
    <row r="273" spans="1:19">
      <c r="A273" s="668"/>
      <c r="B273" s="162" t="s">
        <v>74</v>
      </c>
      <c r="C273" s="103" t="s">
        <v>8</v>
      </c>
      <c r="D273" s="361">
        <v>2</v>
      </c>
      <c r="E273" s="60"/>
      <c r="F273" s="361">
        <v>2</v>
      </c>
      <c r="G273" s="38"/>
      <c r="H273" s="38"/>
      <c r="I273" s="38"/>
      <c r="J273" s="38"/>
      <c r="K273" s="38"/>
      <c r="L273" s="38"/>
      <c r="M273" s="38"/>
      <c r="N273" s="38"/>
      <c r="O273" s="38"/>
      <c r="P273" s="38"/>
      <c r="Q273" s="65"/>
      <c r="R273" s="65"/>
      <c r="S273" s="38"/>
    </row>
    <row r="274" spans="1:19">
      <c r="A274" s="668"/>
      <c r="B274" s="162" t="s">
        <v>75</v>
      </c>
      <c r="C274" s="103" t="s">
        <v>8</v>
      </c>
      <c r="D274" s="361">
        <v>1</v>
      </c>
      <c r="E274" s="57"/>
      <c r="F274" s="361">
        <v>1</v>
      </c>
      <c r="G274" s="36"/>
      <c r="H274" s="36"/>
      <c r="I274" s="36"/>
      <c r="J274" s="36"/>
      <c r="K274" s="36"/>
      <c r="L274" s="36"/>
      <c r="M274" s="36"/>
      <c r="N274" s="36"/>
      <c r="O274" s="36"/>
      <c r="P274" s="36"/>
      <c r="Q274" s="65"/>
      <c r="R274" s="65"/>
      <c r="S274" s="36"/>
    </row>
    <row r="275" spans="1:19">
      <c r="A275" s="668"/>
      <c r="B275" s="162" t="s">
        <v>76</v>
      </c>
      <c r="C275" s="103" t="s">
        <v>8</v>
      </c>
      <c r="D275" s="361">
        <v>1</v>
      </c>
      <c r="E275" s="53"/>
      <c r="F275" s="361">
        <v>1</v>
      </c>
      <c r="G275" s="15"/>
      <c r="H275" s="15"/>
      <c r="I275" s="15"/>
      <c r="J275" s="15"/>
      <c r="K275" s="15"/>
      <c r="L275" s="15"/>
      <c r="M275" s="15"/>
      <c r="N275" s="15"/>
      <c r="O275" s="15"/>
      <c r="P275" s="15"/>
      <c r="Q275" s="66"/>
      <c r="R275" s="66"/>
      <c r="S275" s="15"/>
    </row>
    <row r="276" spans="1:19">
      <c r="A276" s="668"/>
      <c r="B276" s="162" t="s">
        <v>77</v>
      </c>
      <c r="C276" s="103" t="s">
        <v>78</v>
      </c>
      <c r="D276" s="361">
        <v>1</v>
      </c>
      <c r="E276" s="58"/>
      <c r="F276" s="361">
        <v>1</v>
      </c>
      <c r="G276" s="18"/>
      <c r="H276" s="18"/>
      <c r="I276" s="18"/>
      <c r="J276" s="18"/>
      <c r="K276" s="18"/>
      <c r="L276" s="18"/>
      <c r="M276" s="18"/>
      <c r="N276" s="18"/>
      <c r="O276" s="18"/>
      <c r="P276" s="18"/>
      <c r="Q276" s="65"/>
      <c r="R276" s="65"/>
      <c r="S276" s="18"/>
    </row>
    <row r="277" spans="1:19">
      <c r="A277" s="13"/>
      <c r="B277" s="163" t="s">
        <v>102</v>
      </c>
      <c r="C277" s="164" t="s">
        <v>20</v>
      </c>
      <c r="D277" s="361">
        <v>6</v>
      </c>
      <c r="E277" s="53"/>
      <c r="F277" s="361">
        <v>6</v>
      </c>
      <c r="G277" s="15"/>
      <c r="H277" s="15"/>
      <c r="I277" s="15"/>
      <c r="J277" s="15"/>
      <c r="K277" s="15"/>
      <c r="L277" s="15"/>
      <c r="M277" s="15"/>
      <c r="N277" s="15"/>
      <c r="O277" s="15"/>
      <c r="P277" s="15"/>
      <c r="Q277" s="66"/>
      <c r="R277" s="66"/>
      <c r="S277" s="15"/>
    </row>
    <row r="278" spans="1:19">
      <c r="A278" s="13"/>
      <c r="B278" s="163" t="s">
        <v>21</v>
      </c>
      <c r="C278" s="164" t="s">
        <v>8</v>
      </c>
      <c r="D278" s="361">
        <v>2</v>
      </c>
      <c r="E278" s="53"/>
      <c r="F278" s="361">
        <v>2</v>
      </c>
      <c r="G278" s="15"/>
      <c r="H278" s="15"/>
      <c r="I278" s="15"/>
      <c r="J278" s="15"/>
      <c r="K278" s="15"/>
      <c r="L278" s="15"/>
      <c r="M278" s="15"/>
      <c r="N278" s="15"/>
      <c r="O278" s="15"/>
      <c r="P278" s="15"/>
      <c r="Q278" s="66"/>
      <c r="R278" s="66"/>
      <c r="S278" s="15"/>
    </row>
    <row r="279" spans="1:19">
      <c r="A279" s="13"/>
      <c r="B279" s="163" t="s">
        <v>22</v>
      </c>
      <c r="C279" s="164" t="s">
        <v>8</v>
      </c>
      <c r="D279" s="361">
        <v>2</v>
      </c>
      <c r="E279" s="59"/>
      <c r="F279" s="361">
        <v>2</v>
      </c>
      <c r="G279" s="37"/>
      <c r="H279" s="37"/>
      <c r="I279" s="37"/>
      <c r="J279" s="37"/>
      <c r="K279" s="37"/>
      <c r="L279" s="37"/>
      <c r="M279" s="37"/>
      <c r="N279" s="37"/>
      <c r="O279" s="37"/>
      <c r="P279" s="37"/>
      <c r="Q279" s="66"/>
      <c r="R279" s="66"/>
      <c r="S279" s="37"/>
    </row>
    <row r="280" spans="1:19">
      <c r="A280" s="11"/>
      <c r="B280" s="159" t="s">
        <v>24</v>
      </c>
      <c r="C280" s="160" t="s">
        <v>8</v>
      </c>
      <c r="D280" s="361">
        <v>6</v>
      </c>
      <c r="E280" s="59"/>
      <c r="F280" s="361">
        <v>6</v>
      </c>
      <c r="G280" s="37"/>
      <c r="H280" s="37"/>
      <c r="I280" s="37"/>
      <c r="J280" s="37"/>
      <c r="K280" s="37"/>
      <c r="L280" s="37"/>
      <c r="M280" s="37"/>
      <c r="N280" s="37"/>
      <c r="O280" s="37"/>
      <c r="P280" s="37"/>
      <c r="Q280" s="66"/>
      <c r="R280" s="66"/>
      <c r="S280" s="37"/>
    </row>
    <row r="281" spans="1:19">
      <c r="A281" s="11"/>
      <c r="B281" s="159" t="s">
        <v>25</v>
      </c>
      <c r="C281" s="165" t="s">
        <v>8</v>
      </c>
      <c r="D281" s="361">
        <v>6</v>
      </c>
      <c r="E281" s="59"/>
      <c r="F281" s="361">
        <v>6</v>
      </c>
      <c r="G281" s="37"/>
      <c r="H281" s="37"/>
      <c r="I281" s="37"/>
      <c r="J281" s="37"/>
      <c r="K281" s="37"/>
      <c r="L281" s="37"/>
      <c r="M281" s="37"/>
      <c r="N281" s="37"/>
      <c r="O281" s="37"/>
      <c r="P281" s="37"/>
      <c r="Q281" s="66"/>
      <c r="R281" s="66"/>
      <c r="S281" s="37"/>
    </row>
    <row r="282" spans="1:19" ht="30">
      <c r="A282" s="13"/>
      <c r="B282" s="163" t="s">
        <v>46</v>
      </c>
      <c r="C282" s="164" t="s">
        <v>8</v>
      </c>
      <c r="D282" s="361">
        <v>2</v>
      </c>
      <c r="E282" s="59"/>
      <c r="F282" s="361">
        <v>2</v>
      </c>
      <c r="G282" s="37"/>
      <c r="H282" s="37"/>
      <c r="I282" s="37"/>
      <c r="J282" s="37"/>
      <c r="K282" s="37"/>
      <c r="L282" s="37"/>
      <c r="M282" s="37"/>
      <c r="N282" s="37"/>
      <c r="O282" s="37"/>
      <c r="P282" s="37"/>
      <c r="Q282" s="66"/>
      <c r="R282" s="66"/>
      <c r="S282" s="37"/>
    </row>
    <row r="283" spans="1:19">
      <c r="A283" s="11"/>
      <c r="B283" s="161" t="s">
        <v>26</v>
      </c>
      <c r="C283" s="160"/>
      <c r="D283" s="361"/>
      <c r="E283" s="60"/>
      <c r="F283" s="361"/>
      <c r="G283" s="38"/>
      <c r="H283" s="38"/>
      <c r="I283" s="38"/>
      <c r="J283" s="38"/>
      <c r="K283" s="38"/>
      <c r="L283" s="38"/>
      <c r="M283" s="38"/>
      <c r="N283" s="38"/>
      <c r="O283" s="38"/>
      <c r="P283" s="38"/>
      <c r="Q283" s="65"/>
      <c r="R283" s="65"/>
      <c r="S283" s="38"/>
    </row>
    <row r="284" spans="1:19">
      <c r="A284" s="11"/>
      <c r="B284" s="159" t="s">
        <v>88</v>
      </c>
      <c r="C284" s="160" t="s">
        <v>8</v>
      </c>
      <c r="D284" s="361">
        <v>1</v>
      </c>
      <c r="E284" s="57"/>
      <c r="F284" s="361">
        <v>1</v>
      </c>
      <c r="G284" s="36"/>
      <c r="H284" s="36"/>
      <c r="I284" s="36"/>
      <c r="J284" s="36"/>
      <c r="K284" s="36"/>
      <c r="L284" s="36"/>
      <c r="M284" s="36"/>
      <c r="N284" s="36"/>
      <c r="O284" s="36"/>
      <c r="P284" s="36"/>
      <c r="Q284" s="65"/>
      <c r="R284" s="65"/>
      <c r="S284" s="36"/>
    </row>
    <row r="285" spans="1:19">
      <c r="A285" s="11"/>
      <c r="B285" s="159" t="s">
        <v>103</v>
      </c>
      <c r="C285" s="160" t="s">
        <v>8</v>
      </c>
      <c r="D285" s="361">
        <v>1</v>
      </c>
      <c r="E285" s="53"/>
      <c r="F285" s="361">
        <v>1</v>
      </c>
      <c r="G285" s="15"/>
      <c r="H285" s="15"/>
      <c r="I285" s="15"/>
      <c r="J285" s="15"/>
      <c r="K285" s="15"/>
      <c r="L285" s="15"/>
      <c r="M285" s="15"/>
      <c r="N285" s="15"/>
      <c r="O285" s="15"/>
      <c r="P285" s="15"/>
      <c r="Q285" s="66"/>
      <c r="R285" s="66"/>
      <c r="S285" s="15"/>
    </row>
    <row r="286" spans="1:19">
      <c r="A286" s="11"/>
      <c r="B286" s="159" t="s">
        <v>104</v>
      </c>
      <c r="C286" s="160" t="s">
        <v>8</v>
      </c>
      <c r="D286" s="361">
        <v>2</v>
      </c>
      <c r="E286" s="58"/>
      <c r="F286" s="361">
        <v>2</v>
      </c>
      <c r="G286" s="18"/>
      <c r="H286" s="18"/>
      <c r="I286" s="18"/>
      <c r="J286" s="18"/>
      <c r="K286" s="18"/>
      <c r="L286" s="18"/>
      <c r="M286" s="18"/>
      <c r="N286" s="18"/>
      <c r="O286" s="18"/>
      <c r="P286" s="18"/>
      <c r="Q286" s="65"/>
      <c r="R286" s="65"/>
      <c r="S286" s="18"/>
    </row>
    <row r="287" spans="1:19">
      <c r="A287" s="11"/>
      <c r="B287" s="159" t="s">
        <v>91</v>
      </c>
      <c r="C287" s="160" t="s">
        <v>8</v>
      </c>
      <c r="D287" s="361">
        <v>3</v>
      </c>
      <c r="E287" s="53"/>
      <c r="F287" s="361">
        <v>3</v>
      </c>
      <c r="G287" s="15"/>
      <c r="H287" s="15"/>
      <c r="I287" s="15"/>
      <c r="J287" s="15"/>
      <c r="K287" s="15"/>
      <c r="L287" s="15"/>
      <c r="M287" s="15"/>
      <c r="N287" s="15"/>
      <c r="O287" s="15"/>
      <c r="P287" s="15"/>
      <c r="Q287" s="66"/>
      <c r="R287" s="66"/>
      <c r="S287" s="15"/>
    </row>
    <row r="288" spans="1:19">
      <c r="A288" s="11"/>
      <c r="B288" s="159" t="s">
        <v>51</v>
      </c>
      <c r="C288" s="160" t="s">
        <v>8</v>
      </c>
      <c r="D288" s="361">
        <v>2</v>
      </c>
      <c r="E288" s="53"/>
      <c r="F288" s="361">
        <v>2</v>
      </c>
      <c r="G288" s="15"/>
      <c r="H288" s="15"/>
      <c r="I288" s="15"/>
      <c r="J288" s="15"/>
      <c r="K288" s="15"/>
      <c r="L288" s="15"/>
      <c r="M288" s="15"/>
      <c r="N288" s="15"/>
      <c r="O288" s="15"/>
      <c r="P288" s="15"/>
      <c r="Q288" s="66"/>
      <c r="R288" s="66"/>
      <c r="S288" s="15"/>
    </row>
    <row r="289" spans="1:19">
      <c r="A289" s="11"/>
      <c r="B289" s="159" t="s">
        <v>64</v>
      </c>
      <c r="C289" s="160" t="s">
        <v>8</v>
      </c>
      <c r="D289" s="361">
        <v>1</v>
      </c>
      <c r="E289" s="53"/>
      <c r="F289" s="361">
        <v>1</v>
      </c>
      <c r="G289" s="15"/>
      <c r="H289" s="15"/>
      <c r="I289" s="15"/>
      <c r="J289" s="15"/>
      <c r="K289" s="15"/>
      <c r="L289" s="15"/>
      <c r="M289" s="15"/>
      <c r="N289" s="15"/>
      <c r="O289" s="15"/>
      <c r="P289" s="15"/>
      <c r="Q289" s="66"/>
      <c r="R289" s="66"/>
      <c r="S289" s="15"/>
    </row>
    <row r="290" spans="1:19">
      <c r="A290" s="11"/>
      <c r="B290" s="159" t="s">
        <v>55</v>
      </c>
      <c r="C290" s="160" t="s">
        <v>8</v>
      </c>
      <c r="D290" s="361">
        <v>1</v>
      </c>
      <c r="E290" s="53"/>
      <c r="F290" s="361">
        <v>1</v>
      </c>
      <c r="G290" s="15"/>
      <c r="H290" s="15"/>
      <c r="I290" s="15"/>
      <c r="J290" s="15"/>
      <c r="K290" s="15"/>
      <c r="L290" s="15"/>
      <c r="M290" s="15"/>
      <c r="N290" s="15"/>
      <c r="O290" s="15"/>
      <c r="P290" s="15"/>
      <c r="Q290" s="66"/>
      <c r="R290" s="66"/>
      <c r="S290" s="15"/>
    </row>
    <row r="291" spans="1:19">
      <c r="A291" s="11"/>
      <c r="B291" s="159" t="s">
        <v>93</v>
      </c>
      <c r="C291" s="160" t="s">
        <v>17</v>
      </c>
      <c r="D291" s="361">
        <v>1</v>
      </c>
      <c r="E291" s="59"/>
      <c r="F291" s="361">
        <v>1</v>
      </c>
      <c r="G291" s="37"/>
      <c r="H291" s="37"/>
      <c r="I291" s="37"/>
      <c r="J291" s="37"/>
      <c r="K291" s="37"/>
      <c r="L291" s="37"/>
      <c r="M291" s="37"/>
      <c r="N291" s="37"/>
      <c r="O291" s="37"/>
      <c r="P291" s="37"/>
      <c r="Q291" s="66"/>
      <c r="R291" s="66"/>
      <c r="S291" s="37"/>
    </row>
    <row r="292" spans="1:19">
      <c r="A292" s="11"/>
      <c r="B292" s="168" t="s">
        <v>35</v>
      </c>
      <c r="C292" s="169" t="s">
        <v>17</v>
      </c>
      <c r="D292" s="361">
        <v>1</v>
      </c>
      <c r="E292" s="59"/>
      <c r="F292" s="361">
        <v>1</v>
      </c>
      <c r="G292" s="37"/>
      <c r="H292" s="37"/>
      <c r="I292" s="37"/>
      <c r="J292" s="37"/>
      <c r="K292" s="37"/>
      <c r="L292" s="37"/>
      <c r="M292" s="37"/>
      <c r="N292" s="37"/>
      <c r="O292" s="37"/>
      <c r="P292" s="37"/>
      <c r="Q292" s="66"/>
      <c r="R292" s="66"/>
      <c r="S292" s="37"/>
    </row>
    <row r="293" spans="1:19" ht="30">
      <c r="A293" s="15"/>
      <c r="B293" s="170" t="s">
        <v>37</v>
      </c>
      <c r="C293" s="171" t="s">
        <v>17</v>
      </c>
      <c r="D293" s="361">
        <v>1</v>
      </c>
      <c r="E293" s="59"/>
      <c r="F293" s="361">
        <v>1</v>
      </c>
      <c r="G293" s="37"/>
      <c r="H293" s="37"/>
      <c r="I293" s="37"/>
      <c r="J293" s="37"/>
      <c r="K293" s="37"/>
      <c r="L293" s="37"/>
      <c r="M293" s="37"/>
      <c r="N293" s="37"/>
      <c r="O293" s="37"/>
      <c r="P293" s="37"/>
      <c r="Q293" s="66"/>
      <c r="R293" s="66"/>
      <c r="S293" s="37"/>
    </row>
    <row r="294" spans="1:19">
      <c r="A294" s="11"/>
      <c r="B294" s="168" t="s">
        <v>38</v>
      </c>
      <c r="C294" s="169" t="s">
        <v>7</v>
      </c>
      <c r="D294" s="361">
        <v>1</v>
      </c>
      <c r="E294" s="59"/>
      <c r="F294" s="361">
        <v>1</v>
      </c>
      <c r="G294" s="37"/>
      <c r="H294" s="37"/>
      <c r="I294" s="37"/>
      <c r="J294" s="37"/>
      <c r="K294" s="37"/>
      <c r="L294" s="37"/>
      <c r="M294" s="37"/>
      <c r="N294" s="37"/>
      <c r="O294" s="37"/>
      <c r="P294" s="37"/>
      <c r="Q294" s="66"/>
      <c r="R294" s="66"/>
      <c r="S294" s="37"/>
    </row>
    <row r="295" spans="1:19" s="93" customFormat="1" ht="60">
      <c r="A295" s="18">
        <f>COUNT($A$10:$A294)+1</f>
        <v>9</v>
      </c>
      <c r="B295" s="161" t="s">
        <v>105</v>
      </c>
      <c r="C295" s="172" t="s">
        <v>7</v>
      </c>
      <c r="D295" s="360">
        <v>1</v>
      </c>
      <c r="E295" s="58"/>
      <c r="F295" s="360">
        <v>1</v>
      </c>
      <c r="G295" s="357" t="s">
        <v>2326</v>
      </c>
      <c r="H295" s="357"/>
      <c r="I295" s="357" t="s">
        <v>2327</v>
      </c>
      <c r="J295" s="358" t="s">
        <v>2328</v>
      </c>
      <c r="K295" s="311">
        <v>340914063.59999996</v>
      </c>
      <c r="L295" s="311">
        <v>0</v>
      </c>
      <c r="M295" s="311">
        <v>3616000.0000000005</v>
      </c>
      <c r="N295" s="311">
        <v>34755764</v>
      </c>
      <c r="O295" s="311">
        <v>24329034.800000001</v>
      </c>
      <c r="P295" s="68">
        <f>SUM(K295:O295)</f>
        <v>403614862.39999998</v>
      </c>
      <c r="Q295" s="68">
        <f>D295*P295</f>
        <v>403614862.39999998</v>
      </c>
      <c r="R295" s="127">
        <f>F295*P295</f>
        <v>403614862.39999998</v>
      </c>
      <c r="S295" s="18"/>
    </row>
    <row r="296" spans="1:19">
      <c r="A296" s="11"/>
      <c r="B296" s="159" t="s">
        <v>1885</v>
      </c>
      <c r="C296" s="160" t="s">
        <v>8</v>
      </c>
      <c r="D296" s="361">
        <v>1</v>
      </c>
      <c r="E296" s="307"/>
      <c r="F296" s="361">
        <v>1</v>
      </c>
      <c r="G296" s="308"/>
      <c r="H296" s="308"/>
      <c r="I296" s="308"/>
      <c r="J296" s="308"/>
      <c r="K296" s="308"/>
      <c r="L296" s="308"/>
      <c r="M296" s="308"/>
      <c r="N296" s="308"/>
      <c r="O296" s="308"/>
      <c r="P296" s="308"/>
      <c r="Q296" s="66"/>
      <c r="R296" s="66"/>
      <c r="S296" s="308"/>
    </row>
    <row r="297" spans="1:19">
      <c r="A297" s="11"/>
      <c r="B297" s="161" t="s">
        <v>9</v>
      </c>
      <c r="C297" s="160"/>
      <c r="D297" s="361"/>
      <c r="E297" s="60"/>
      <c r="F297" s="361"/>
      <c r="G297" s="38"/>
      <c r="H297" s="38"/>
      <c r="I297" s="38"/>
      <c r="J297" s="38"/>
      <c r="K297" s="38"/>
      <c r="L297" s="38"/>
      <c r="M297" s="38"/>
      <c r="N297" s="38"/>
      <c r="O297" s="38"/>
      <c r="P297" s="38"/>
      <c r="Q297" s="65"/>
      <c r="R297" s="65"/>
      <c r="S297" s="38"/>
    </row>
    <row r="298" spans="1:19">
      <c r="A298" s="11"/>
      <c r="B298" s="159" t="s">
        <v>106</v>
      </c>
      <c r="C298" s="160" t="s">
        <v>8</v>
      </c>
      <c r="D298" s="361">
        <v>2</v>
      </c>
      <c r="E298" s="57"/>
      <c r="F298" s="361">
        <v>2</v>
      </c>
      <c r="G298" s="36"/>
      <c r="H298" s="36"/>
      <c r="I298" s="36"/>
      <c r="J298" s="36"/>
      <c r="K298" s="36"/>
      <c r="L298" s="36"/>
      <c r="M298" s="36"/>
      <c r="N298" s="36"/>
      <c r="O298" s="36"/>
      <c r="P298" s="36"/>
      <c r="Q298" s="65"/>
      <c r="R298" s="65"/>
      <c r="S298" s="36"/>
    </row>
    <row r="299" spans="1:19" ht="30">
      <c r="A299" s="15"/>
      <c r="B299" s="162" t="str">
        <f>"Tiếp điểm báo trạng thái cho " &amp;B298</f>
        <v>Tiếp điểm báo trạng thái cho MCCB 4P 1250AT 1250AT 50kA</v>
      </c>
      <c r="C299" s="103" t="s">
        <v>8</v>
      </c>
      <c r="D299" s="361">
        <v>4</v>
      </c>
      <c r="E299" s="53"/>
      <c r="F299" s="361">
        <v>4</v>
      </c>
      <c r="G299" s="15"/>
      <c r="H299" s="15"/>
      <c r="I299" s="15"/>
      <c r="J299" s="15"/>
      <c r="K299" s="15"/>
      <c r="L299" s="15"/>
      <c r="M299" s="15"/>
      <c r="N299" s="15"/>
      <c r="O299" s="15"/>
      <c r="P299" s="15"/>
      <c r="Q299" s="66"/>
      <c r="R299" s="66"/>
      <c r="S299" s="15"/>
    </row>
    <row r="300" spans="1:19">
      <c r="A300" s="15"/>
      <c r="B300" s="162" t="str">
        <f>"Cuộn cắt 220VAC cho " &amp;B298</f>
        <v>Cuộn cắt 220VAC cho MCCB 4P 1250AT 1250AT 50kA</v>
      </c>
      <c r="C300" s="103" t="s">
        <v>8</v>
      </c>
      <c r="D300" s="361">
        <v>4</v>
      </c>
      <c r="E300" s="58"/>
      <c r="F300" s="361">
        <v>4</v>
      </c>
      <c r="G300" s="18"/>
      <c r="H300" s="18"/>
      <c r="I300" s="18"/>
      <c r="J300" s="18"/>
      <c r="K300" s="18"/>
      <c r="L300" s="18"/>
      <c r="M300" s="18"/>
      <c r="N300" s="18"/>
      <c r="O300" s="18"/>
      <c r="P300" s="18"/>
      <c r="Q300" s="65"/>
      <c r="R300" s="65"/>
      <c r="S300" s="18"/>
    </row>
    <row r="301" spans="1:19">
      <c r="A301" s="18"/>
      <c r="B301" s="173" t="s">
        <v>107</v>
      </c>
      <c r="C301" s="99"/>
      <c r="D301" s="361"/>
      <c r="E301" s="53"/>
      <c r="F301" s="361"/>
      <c r="G301" s="15"/>
      <c r="H301" s="15"/>
      <c r="I301" s="15"/>
      <c r="J301" s="15"/>
      <c r="K301" s="15"/>
      <c r="L301" s="15"/>
      <c r="M301" s="15"/>
      <c r="N301" s="15"/>
      <c r="O301" s="15"/>
      <c r="P301" s="15"/>
      <c r="Q301" s="66"/>
      <c r="R301" s="66"/>
      <c r="S301" s="15"/>
    </row>
    <row r="302" spans="1:19">
      <c r="A302" s="668"/>
      <c r="B302" s="162" t="s">
        <v>71</v>
      </c>
      <c r="C302" s="103" t="s">
        <v>8</v>
      </c>
      <c r="D302" s="361">
        <v>4</v>
      </c>
      <c r="E302" s="53"/>
      <c r="F302" s="361">
        <v>4</v>
      </c>
      <c r="G302" s="15"/>
      <c r="H302" s="15"/>
      <c r="I302" s="15"/>
      <c r="J302" s="15"/>
      <c r="K302" s="15"/>
      <c r="L302" s="15"/>
      <c r="M302" s="15"/>
      <c r="N302" s="15"/>
      <c r="O302" s="15"/>
      <c r="P302" s="15"/>
      <c r="Q302" s="66"/>
      <c r="R302" s="66"/>
      <c r="S302" s="15"/>
    </row>
    <row r="303" spans="1:19">
      <c r="A303" s="668"/>
      <c r="B303" s="162" t="s">
        <v>73</v>
      </c>
      <c r="C303" s="103" t="s">
        <v>8</v>
      </c>
      <c r="D303" s="361">
        <v>1</v>
      </c>
      <c r="E303" s="53"/>
      <c r="F303" s="361">
        <v>1</v>
      </c>
      <c r="G303" s="15"/>
      <c r="H303" s="15"/>
      <c r="I303" s="15"/>
      <c r="J303" s="15"/>
      <c r="K303" s="15"/>
      <c r="L303" s="15"/>
      <c r="M303" s="15"/>
      <c r="N303" s="15"/>
      <c r="O303" s="15"/>
      <c r="P303" s="15"/>
      <c r="Q303" s="66"/>
      <c r="R303" s="66"/>
      <c r="S303" s="15"/>
    </row>
    <row r="304" spans="1:19">
      <c r="A304" s="668"/>
      <c r="B304" s="162" t="s">
        <v>74</v>
      </c>
      <c r="C304" s="103" t="s">
        <v>8</v>
      </c>
      <c r="D304" s="361">
        <v>2</v>
      </c>
      <c r="E304" s="53"/>
      <c r="F304" s="361">
        <v>2</v>
      </c>
      <c r="G304" s="15"/>
      <c r="H304" s="15"/>
      <c r="I304" s="15"/>
      <c r="J304" s="15"/>
      <c r="K304" s="15"/>
      <c r="L304" s="15"/>
      <c r="M304" s="15"/>
      <c r="N304" s="15"/>
      <c r="O304" s="15"/>
      <c r="P304" s="15"/>
      <c r="Q304" s="66"/>
      <c r="R304" s="66"/>
      <c r="S304" s="15"/>
    </row>
    <row r="305" spans="1:19">
      <c r="A305" s="668"/>
      <c r="B305" s="162" t="s">
        <v>75</v>
      </c>
      <c r="C305" s="103" t="s">
        <v>8</v>
      </c>
      <c r="D305" s="361">
        <v>1</v>
      </c>
      <c r="E305" s="59"/>
      <c r="F305" s="361">
        <v>1</v>
      </c>
      <c r="G305" s="37"/>
      <c r="H305" s="37"/>
      <c r="I305" s="37"/>
      <c r="J305" s="37"/>
      <c r="K305" s="37"/>
      <c r="L305" s="37"/>
      <c r="M305" s="37"/>
      <c r="N305" s="37"/>
      <c r="O305" s="37"/>
      <c r="P305" s="37"/>
      <c r="Q305" s="66"/>
      <c r="R305" s="66"/>
      <c r="S305" s="37"/>
    </row>
    <row r="306" spans="1:19">
      <c r="A306" s="668"/>
      <c r="B306" s="162" t="s">
        <v>76</v>
      </c>
      <c r="C306" s="103" t="s">
        <v>8</v>
      </c>
      <c r="D306" s="361">
        <v>1</v>
      </c>
      <c r="E306" s="59"/>
      <c r="F306" s="361">
        <v>1</v>
      </c>
      <c r="G306" s="37"/>
      <c r="H306" s="37"/>
      <c r="I306" s="37"/>
      <c r="J306" s="37"/>
      <c r="K306" s="37"/>
      <c r="L306" s="37"/>
      <c r="M306" s="37"/>
      <c r="N306" s="37"/>
      <c r="O306" s="37"/>
      <c r="P306" s="37"/>
      <c r="Q306" s="66"/>
      <c r="R306" s="66"/>
      <c r="S306" s="37"/>
    </row>
    <row r="307" spans="1:19">
      <c r="A307" s="668"/>
      <c r="B307" s="162" t="s">
        <v>77</v>
      </c>
      <c r="C307" s="103" t="s">
        <v>78</v>
      </c>
      <c r="D307" s="361">
        <v>1</v>
      </c>
      <c r="E307" s="59"/>
      <c r="F307" s="361">
        <v>1</v>
      </c>
      <c r="G307" s="37"/>
      <c r="H307" s="37"/>
      <c r="I307" s="37"/>
      <c r="J307" s="37"/>
      <c r="K307" s="37"/>
      <c r="L307" s="37"/>
      <c r="M307" s="37"/>
      <c r="N307" s="37"/>
      <c r="O307" s="37"/>
      <c r="P307" s="37"/>
      <c r="Q307" s="66"/>
      <c r="R307" s="66"/>
      <c r="S307" s="37"/>
    </row>
    <row r="308" spans="1:19">
      <c r="A308" s="13"/>
      <c r="B308" s="163" t="s">
        <v>108</v>
      </c>
      <c r="C308" s="164" t="s">
        <v>20</v>
      </c>
      <c r="D308" s="361">
        <v>6</v>
      </c>
      <c r="E308" s="59"/>
      <c r="F308" s="361">
        <v>6</v>
      </c>
      <c r="G308" s="37"/>
      <c r="H308" s="37"/>
      <c r="I308" s="37"/>
      <c r="J308" s="37"/>
      <c r="K308" s="37"/>
      <c r="L308" s="37"/>
      <c r="M308" s="37"/>
      <c r="N308" s="37"/>
      <c r="O308" s="37"/>
      <c r="P308" s="37"/>
      <c r="Q308" s="66"/>
      <c r="R308" s="66"/>
      <c r="S308" s="37"/>
    </row>
    <row r="309" spans="1:19">
      <c r="A309" s="13"/>
      <c r="B309" s="163" t="s">
        <v>21</v>
      </c>
      <c r="C309" s="164" t="s">
        <v>8</v>
      </c>
      <c r="D309" s="361">
        <v>2</v>
      </c>
      <c r="E309" s="53"/>
      <c r="F309" s="361">
        <v>2</v>
      </c>
      <c r="G309" s="15"/>
      <c r="H309" s="15"/>
      <c r="I309" s="15"/>
      <c r="J309" s="15"/>
      <c r="K309" s="15"/>
      <c r="L309" s="15"/>
      <c r="M309" s="15"/>
      <c r="N309" s="15"/>
      <c r="O309" s="15"/>
      <c r="P309" s="15"/>
      <c r="Q309" s="66"/>
      <c r="R309" s="66"/>
      <c r="S309" s="15"/>
    </row>
    <row r="310" spans="1:19">
      <c r="A310" s="13"/>
      <c r="B310" s="163" t="s">
        <v>22</v>
      </c>
      <c r="C310" s="164" t="s">
        <v>8</v>
      </c>
      <c r="D310" s="361">
        <v>2</v>
      </c>
      <c r="E310" s="307"/>
      <c r="F310" s="361">
        <v>2</v>
      </c>
      <c r="G310" s="308"/>
      <c r="H310" s="308"/>
      <c r="I310" s="308"/>
      <c r="J310" s="308"/>
      <c r="K310" s="308"/>
      <c r="L310" s="308"/>
      <c r="M310" s="308"/>
      <c r="N310" s="308"/>
      <c r="O310" s="308"/>
      <c r="P310" s="308"/>
      <c r="Q310" s="66"/>
      <c r="R310" s="66"/>
      <c r="S310" s="308"/>
    </row>
    <row r="311" spans="1:19">
      <c r="A311" s="11"/>
      <c r="B311" s="159" t="s">
        <v>24</v>
      </c>
      <c r="C311" s="160" t="s">
        <v>8</v>
      </c>
      <c r="D311" s="361">
        <v>6</v>
      </c>
      <c r="E311" s="60"/>
      <c r="F311" s="361">
        <v>6</v>
      </c>
      <c r="G311" s="38"/>
      <c r="H311" s="38"/>
      <c r="I311" s="38"/>
      <c r="J311" s="38"/>
      <c r="K311" s="38"/>
      <c r="L311" s="38"/>
      <c r="M311" s="38"/>
      <c r="N311" s="38"/>
      <c r="O311" s="38"/>
      <c r="P311" s="38"/>
      <c r="Q311" s="65"/>
      <c r="R311" s="65"/>
      <c r="S311" s="38"/>
    </row>
    <row r="312" spans="1:19">
      <c r="A312" s="11"/>
      <c r="B312" s="159" t="s">
        <v>25</v>
      </c>
      <c r="C312" s="165" t="s">
        <v>8</v>
      </c>
      <c r="D312" s="361">
        <v>6</v>
      </c>
      <c r="E312" s="57"/>
      <c r="F312" s="361">
        <v>6</v>
      </c>
      <c r="G312" s="36"/>
      <c r="H312" s="36"/>
      <c r="I312" s="36"/>
      <c r="J312" s="36"/>
      <c r="K312" s="36"/>
      <c r="L312" s="36"/>
      <c r="M312" s="36"/>
      <c r="N312" s="36"/>
      <c r="O312" s="36"/>
      <c r="P312" s="36"/>
      <c r="Q312" s="65"/>
      <c r="R312" s="65"/>
      <c r="S312" s="36"/>
    </row>
    <row r="313" spans="1:19" ht="30">
      <c r="A313" s="11"/>
      <c r="B313" s="163" t="s">
        <v>46</v>
      </c>
      <c r="C313" s="164" t="s">
        <v>8</v>
      </c>
      <c r="D313" s="361">
        <v>2</v>
      </c>
      <c r="E313" s="53"/>
      <c r="F313" s="361">
        <v>2</v>
      </c>
      <c r="G313" s="15"/>
      <c r="H313" s="15"/>
      <c r="I313" s="15"/>
      <c r="J313" s="15"/>
      <c r="K313" s="15"/>
      <c r="L313" s="15"/>
      <c r="M313" s="15"/>
      <c r="N313" s="15"/>
      <c r="O313" s="15"/>
      <c r="P313" s="15"/>
      <c r="Q313" s="66"/>
      <c r="R313" s="66"/>
      <c r="S313" s="15"/>
    </row>
    <row r="314" spans="1:19">
      <c r="A314" s="11"/>
      <c r="B314" s="163" t="s">
        <v>109</v>
      </c>
      <c r="C314" s="164" t="s">
        <v>17</v>
      </c>
      <c r="D314" s="361">
        <v>2</v>
      </c>
      <c r="E314" s="58"/>
      <c r="F314" s="361">
        <v>2</v>
      </c>
      <c r="G314" s="18"/>
      <c r="H314" s="18"/>
      <c r="I314" s="18"/>
      <c r="J314" s="18"/>
      <c r="K314" s="18"/>
      <c r="L314" s="18"/>
      <c r="M314" s="18"/>
      <c r="N314" s="18"/>
      <c r="O314" s="18"/>
      <c r="P314" s="18"/>
      <c r="Q314" s="65"/>
      <c r="R314" s="65"/>
      <c r="S314" s="18"/>
    </row>
    <row r="315" spans="1:19">
      <c r="A315" s="11"/>
      <c r="B315" s="161" t="s">
        <v>26</v>
      </c>
      <c r="C315" s="160"/>
      <c r="D315" s="361"/>
      <c r="E315" s="53"/>
      <c r="F315" s="361"/>
      <c r="G315" s="15"/>
      <c r="H315" s="15"/>
      <c r="I315" s="15"/>
      <c r="J315" s="15"/>
      <c r="K315" s="15"/>
      <c r="L315" s="15"/>
      <c r="M315" s="15"/>
      <c r="N315" s="15"/>
      <c r="O315" s="15"/>
      <c r="P315" s="15"/>
      <c r="Q315" s="66"/>
      <c r="R315" s="66"/>
      <c r="S315" s="15"/>
    </row>
    <row r="316" spans="1:19">
      <c r="A316" s="11"/>
      <c r="B316" s="159" t="s">
        <v>88</v>
      </c>
      <c r="C316" s="160" t="s">
        <v>8</v>
      </c>
      <c r="D316" s="361">
        <v>1</v>
      </c>
      <c r="E316" s="53"/>
      <c r="F316" s="361">
        <v>1</v>
      </c>
      <c r="G316" s="15"/>
      <c r="H316" s="15"/>
      <c r="I316" s="15"/>
      <c r="J316" s="15"/>
      <c r="K316" s="15"/>
      <c r="L316" s="15"/>
      <c r="M316" s="15"/>
      <c r="N316" s="15"/>
      <c r="O316" s="15"/>
      <c r="P316" s="15"/>
      <c r="Q316" s="66"/>
      <c r="R316" s="66"/>
      <c r="S316" s="15"/>
    </row>
    <row r="317" spans="1:19">
      <c r="A317" s="11"/>
      <c r="B317" s="159" t="s">
        <v>103</v>
      </c>
      <c r="C317" s="160" t="s">
        <v>8</v>
      </c>
      <c r="D317" s="361">
        <v>1</v>
      </c>
      <c r="E317" s="53"/>
      <c r="F317" s="361">
        <v>1</v>
      </c>
      <c r="G317" s="15"/>
      <c r="H317" s="15"/>
      <c r="I317" s="15"/>
      <c r="J317" s="15"/>
      <c r="K317" s="15"/>
      <c r="L317" s="15"/>
      <c r="M317" s="15"/>
      <c r="N317" s="15"/>
      <c r="O317" s="15"/>
      <c r="P317" s="15"/>
      <c r="Q317" s="66"/>
      <c r="R317" s="66"/>
      <c r="S317" s="15"/>
    </row>
    <row r="318" spans="1:19">
      <c r="A318" s="11"/>
      <c r="B318" s="159" t="s">
        <v>104</v>
      </c>
      <c r="C318" s="160" t="s">
        <v>8</v>
      </c>
      <c r="D318" s="361">
        <v>1</v>
      </c>
      <c r="E318" s="53"/>
      <c r="F318" s="361">
        <v>1</v>
      </c>
      <c r="G318" s="15"/>
      <c r="H318" s="15"/>
      <c r="I318" s="15"/>
      <c r="J318" s="15"/>
      <c r="K318" s="15"/>
      <c r="L318" s="15"/>
      <c r="M318" s="15"/>
      <c r="N318" s="15"/>
      <c r="O318" s="15"/>
      <c r="P318" s="15"/>
      <c r="Q318" s="66"/>
      <c r="R318" s="66"/>
      <c r="S318" s="15"/>
    </row>
    <row r="319" spans="1:19">
      <c r="A319" s="11"/>
      <c r="B319" s="159" t="s">
        <v>90</v>
      </c>
      <c r="C319" s="160" t="s">
        <v>8</v>
      </c>
      <c r="D319" s="361">
        <v>1</v>
      </c>
      <c r="E319" s="59"/>
      <c r="F319" s="361">
        <v>1</v>
      </c>
      <c r="G319" s="37"/>
      <c r="H319" s="37"/>
      <c r="I319" s="37"/>
      <c r="J319" s="37"/>
      <c r="K319" s="37"/>
      <c r="L319" s="37"/>
      <c r="M319" s="37"/>
      <c r="N319" s="37"/>
      <c r="O319" s="37"/>
      <c r="P319" s="37"/>
      <c r="Q319" s="66"/>
      <c r="R319" s="66"/>
      <c r="S319" s="37"/>
    </row>
    <row r="320" spans="1:19">
      <c r="A320" s="11"/>
      <c r="B320" s="159" t="s">
        <v>51</v>
      </c>
      <c r="C320" s="160" t="s">
        <v>8</v>
      </c>
      <c r="D320" s="361">
        <v>1</v>
      </c>
      <c r="E320" s="59"/>
      <c r="F320" s="361">
        <v>1</v>
      </c>
      <c r="G320" s="37"/>
      <c r="H320" s="37"/>
      <c r="I320" s="37"/>
      <c r="J320" s="37"/>
      <c r="K320" s="37"/>
      <c r="L320" s="37"/>
      <c r="M320" s="37"/>
      <c r="N320" s="37"/>
      <c r="O320" s="37"/>
      <c r="P320" s="37"/>
      <c r="Q320" s="66"/>
      <c r="R320" s="66"/>
      <c r="S320" s="37"/>
    </row>
    <row r="321" spans="1:19">
      <c r="A321" s="11"/>
      <c r="B321" s="159" t="s">
        <v>110</v>
      </c>
      <c r="C321" s="160" t="s">
        <v>17</v>
      </c>
      <c r="D321" s="361">
        <v>1</v>
      </c>
      <c r="E321" s="59"/>
      <c r="F321" s="361">
        <v>1</v>
      </c>
      <c r="G321" s="37"/>
      <c r="H321" s="37"/>
      <c r="I321" s="37"/>
      <c r="J321" s="37"/>
      <c r="K321" s="37"/>
      <c r="L321" s="37"/>
      <c r="M321" s="37"/>
      <c r="N321" s="37"/>
      <c r="O321" s="37"/>
      <c r="P321" s="37"/>
      <c r="Q321" s="66"/>
      <c r="R321" s="66"/>
      <c r="S321" s="37"/>
    </row>
    <row r="322" spans="1:19">
      <c r="A322" s="11"/>
      <c r="B322" s="168" t="s">
        <v>35</v>
      </c>
      <c r="C322" s="169" t="s">
        <v>17</v>
      </c>
      <c r="D322" s="361">
        <v>1</v>
      </c>
      <c r="E322" s="59"/>
      <c r="F322" s="361">
        <v>1</v>
      </c>
      <c r="G322" s="37"/>
      <c r="H322" s="37"/>
      <c r="I322" s="37"/>
      <c r="J322" s="37"/>
      <c r="K322" s="37"/>
      <c r="L322" s="37"/>
      <c r="M322" s="37"/>
      <c r="N322" s="37"/>
      <c r="O322" s="37"/>
      <c r="P322" s="37"/>
      <c r="Q322" s="66"/>
      <c r="R322" s="66"/>
      <c r="S322" s="37"/>
    </row>
    <row r="323" spans="1:19">
      <c r="A323" s="20"/>
      <c r="B323" s="174" t="s">
        <v>38</v>
      </c>
      <c r="C323" s="175" t="s">
        <v>7</v>
      </c>
      <c r="D323" s="362">
        <v>1</v>
      </c>
      <c r="E323" s="176"/>
      <c r="F323" s="362">
        <v>1</v>
      </c>
      <c r="G323" s="177"/>
      <c r="H323" s="177"/>
      <c r="I323" s="177"/>
      <c r="J323" s="177"/>
      <c r="K323" s="177"/>
      <c r="L323" s="177"/>
      <c r="M323" s="177"/>
      <c r="N323" s="177"/>
      <c r="O323" s="177"/>
      <c r="P323" s="177"/>
      <c r="Q323" s="287"/>
      <c r="R323" s="287"/>
      <c r="S323" s="177"/>
    </row>
    <row r="324" spans="1:19">
      <c r="A324" s="183" t="s">
        <v>114</v>
      </c>
      <c r="B324" s="184" t="s">
        <v>157</v>
      </c>
      <c r="C324" s="183"/>
      <c r="D324" s="354"/>
      <c r="E324" s="185"/>
      <c r="F324" s="354"/>
      <c r="G324" s="185"/>
      <c r="H324" s="185"/>
      <c r="I324" s="185"/>
      <c r="J324" s="185"/>
      <c r="K324" s="185"/>
      <c r="L324" s="185"/>
      <c r="M324" s="185"/>
      <c r="N324" s="185"/>
      <c r="O324" s="185"/>
      <c r="P324" s="185"/>
      <c r="Q324" s="310"/>
      <c r="R324" s="310"/>
      <c r="S324" s="185"/>
    </row>
    <row r="325" spans="1:19">
      <c r="A325" s="21"/>
      <c r="B325" s="180" t="s">
        <v>115</v>
      </c>
      <c r="C325" s="23"/>
      <c r="D325" s="363"/>
      <c r="E325" s="178"/>
      <c r="F325" s="363"/>
      <c r="G325" s="179"/>
      <c r="H325" s="179"/>
      <c r="I325" s="179"/>
      <c r="J325" s="179"/>
      <c r="K325" s="179"/>
      <c r="L325" s="179"/>
      <c r="M325" s="179"/>
      <c r="N325" s="179"/>
      <c r="O325" s="179"/>
      <c r="P325" s="179"/>
      <c r="Q325" s="345"/>
      <c r="R325" s="345"/>
      <c r="S325" s="179"/>
    </row>
    <row r="326" spans="1:19" ht="30">
      <c r="A326" s="26">
        <v>1</v>
      </c>
      <c r="B326" s="25" t="s">
        <v>116</v>
      </c>
      <c r="C326" s="26" t="s">
        <v>117</v>
      </c>
      <c r="D326" s="351">
        <v>2760</v>
      </c>
      <c r="E326" s="59"/>
      <c r="F326" s="351">
        <v>2760</v>
      </c>
      <c r="G326" s="365" t="s">
        <v>2329</v>
      </c>
      <c r="H326" s="365"/>
      <c r="I326" s="365" t="s">
        <v>2330</v>
      </c>
      <c r="J326" s="365" t="s">
        <v>2328</v>
      </c>
      <c r="K326" s="311">
        <v>994257.23400000017</v>
      </c>
      <c r="L326" s="311">
        <v>0</v>
      </c>
      <c r="M326" s="311">
        <v>32297.561739130444</v>
      </c>
      <c r="N326" s="311">
        <v>94074.451304347836</v>
      </c>
      <c r="O326" s="311">
        <v>65852.115913043497</v>
      </c>
      <c r="P326" s="68">
        <f t="shared" ref="P326:P337" si="0">SUM(K326:O326)</f>
        <v>1186481.3629565218</v>
      </c>
      <c r="Q326" s="68">
        <f t="shared" ref="Q326:Q337" si="1">D326*P326</f>
        <v>3274688561.7600002</v>
      </c>
      <c r="R326" s="127">
        <f t="shared" ref="R326:R337" si="2">F326*P326</f>
        <v>3274688561.7600002</v>
      </c>
      <c r="S326" s="37"/>
    </row>
    <row r="327" spans="1:19" ht="30">
      <c r="A327" s="26">
        <v>2</v>
      </c>
      <c r="B327" s="25" t="s">
        <v>118</v>
      </c>
      <c r="C327" s="26" t="s">
        <v>117</v>
      </c>
      <c r="D327" s="351">
        <v>1413</v>
      </c>
      <c r="E327" s="59"/>
      <c r="F327" s="351">
        <v>1413</v>
      </c>
      <c r="G327" s="365" t="s">
        <v>2331</v>
      </c>
      <c r="H327" s="365"/>
      <c r="I327" s="365" t="s">
        <v>2330</v>
      </c>
      <c r="J327" s="365" t="s">
        <v>2328</v>
      </c>
      <c r="K327" s="311">
        <v>3648754.9440000006</v>
      </c>
      <c r="L327" s="311">
        <v>0</v>
      </c>
      <c r="M327" s="311">
        <v>102019.74086956526</v>
      </c>
      <c r="N327" s="311">
        <v>343776.45565217396</v>
      </c>
      <c r="O327" s="311">
        <v>240643.51895652179</v>
      </c>
      <c r="P327" s="68">
        <f t="shared" si="0"/>
        <v>4335194.6594782621</v>
      </c>
      <c r="Q327" s="68">
        <f t="shared" si="1"/>
        <v>6125630053.8427839</v>
      </c>
      <c r="R327" s="127">
        <f t="shared" si="2"/>
        <v>6125630053.8427839</v>
      </c>
      <c r="S327" s="37"/>
    </row>
    <row r="328" spans="1:19" ht="30">
      <c r="A328" s="26">
        <v>3</v>
      </c>
      <c r="B328" s="25" t="s">
        <v>119</v>
      </c>
      <c r="C328" s="26" t="s">
        <v>117</v>
      </c>
      <c r="D328" s="351">
        <v>1288</v>
      </c>
      <c r="E328" s="59"/>
      <c r="F328" s="351">
        <v>1288</v>
      </c>
      <c r="G328" s="365" t="s">
        <v>2332</v>
      </c>
      <c r="H328" s="365"/>
      <c r="I328" s="365" t="s">
        <v>2330</v>
      </c>
      <c r="J328" s="365" t="s">
        <v>2328</v>
      </c>
      <c r="K328" s="311">
        <v>762904.4724000002</v>
      </c>
      <c r="L328" s="311">
        <v>0</v>
      </c>
      <c r="M328" s="311">
        <v>24865.085000000006</v>
      </c>
      <c r="N328" s="311">
        <v>72191.686000000016</v>
      </c>
      <c r="O328" s="311">
        <v>50534.18020000001</v>
      </c>
      <c r="P328" s="68">
        <f t="shared" si="0"/>
        <v>910495.42360000021</v>
      </c>
      <c r="Q328" s="68">
        <f t="shared" si="1"/>
        <v>1172718105.5968003</v>
      </c>
      <c r="R328" s="127">
        <f t="shared" si="2"/>
        <v>1172718105.5968003</v>
      </c>
      <c r="S328" s="37"/>
    </row>
    <row r="329" spans="1:19" ht="30">
      <c r="A329" s="26">
        <v>4</v>
      </c>
      <c r="B329" s="25" t="s">
        <v>120</v>
      </c>
      <c r="C329" s="26" t="s">
        <v>117</v>
      </c>
      <c r="D329" s="351">
        <v>2464</v>
      </c>
      <c r="E329" s="60"/>
      <c r="F329" s="351">
        <v>2464</v>
      </c>
      <c r="G329" s="365" t="s">
        <v>2333</v>
      </c>
      <c r="H329" s="365"/>
      <c r="I329" s="365" t="s">
        <v>2330</v>
      </c>
      <c r="J329" s="365" t="s">
        <v>2328</v>
      </c>
      <c r="K329" s="311">
        <v>502849.22040000011</v>
      </c>
      <c r="L329" s="311">
        <v>0</v>
      </c>
      <c r="M329" s="311">
        <v>22182.606250000001</v>
      </c>
      <c r="N329" s="311">
        <v>48096.018500000006</v>
      </c>
      <c r="O329" s="311">
        <v>33667.212950000008</v>
      </c>
      <c r="P329" s="68">
        <f t="shared" si="0"/>
        <v>606795.05810000002</v>
      </c>
      <c r="Q329" s="68">
        <f t="shared" si="1"/>
        <v>1495143023.1584001</v>
      </c>
      <c r="R329" s="127">
        <f t="shared" si="2"/>
        <v>1495143023.1584001</v>
      </c>
      <c r="S329" s="38"/>
    </row>
    <row r="330" spans="1:19" ht="30">
      <c r="A330" s="26">
        <v>5</v>
      </c>
      <c r="B330" s="25" t="s">
        <v>121</v>
      </c>
      <c r="C330" s="26" t="s">
        <v>117</v>
      </c>
      <c r="D330" s="351">
        <v>2008</v>
      </c>
      <c r="E330" s="53"/>
      <c r="F330" s="351">
        <v>2008</v>
      </c>
      <c r="G330" s="365" t="s">
        <v>2334</v>
      </c>
      <c r="H330" s="365"/>
      <c r="I330" s="365" t="s">
        <v>2330</v>
      </c>
      <c r="J330" s="365" t="s">
        <v>2328</v>
      </c>
      <c r="K330" s="311">
        <v>295012.20600000006</v>
      </c>
      <c r="L330" s="311">
        <v>0</v>
      </c>
      <c r="M330" s="311">
        <v>16640.425200000001</v>
      </c>
      <c r="N330" s="311">
        <v>28537.944000000003</v>
      </c>
      <c r="O330" s="311">
        <v>19976.560800000003</v>
      </c>
      <c r="P330" s="68">
        <f t="shared" si="0"/>
        <v>360167.13600000006</v>
      </c>
      <c r="Q330" s="68">
        <f t="shared" si="1"/>
        <v>723215609.08800006</v>
      </c>
      <c r="R330" s="127">
        <f t="shared" si="2"/>
        <v>723215609.08800006</v>
      </c>
      <c r="S330" s="15"/>
    </row>
    <row r="331" spans="1:19" ht="30">
      <c r="A331" s="26">
        <v>6</v>
      </c>
      <c r="B331" s="25" t="s">
        <v>122</v>
      </c>
      <c r="C331" s="26" t="s">
        <v>117</v>
      </c>
      <c r="D331" s="351">
        <v>709</v>
      </c>
      <c r="E331" s="58"/>
      <c r="F331" s="351">
        <v>709</v>
      </c>
      <c r="G331" s="365" t="s">
        <v>2335</v>
      </c>
      <c r="H331" s="365"/>
      <c r="I331" s="365" t="s">
        <v>2330</v>
      </c>
      <c r="J331" s="365" t="s">
        <v>2328</v>
      </c>
      <c r="K331" s="311">
        <v>859222.97640000016</v>
      </c>
      <c r="L331" s="311">
        <v>0</v>
      </c>
      <c r="M331" s="311">
        <v>38828.608</v>
      </c>
      <c r="N331" s="311">
        <v>82263.956000000006</v>
      </c>
      <c r="O331" s="311">
        <v>57584.76920000001</v>
      </c>
      <c r="P331" s="68">
        <f t="shared" si="0"/>
        <v>1037900.3096000002</v>
      </c>
      <c r="Q331" s="68">
        <f t="shared" si="1"/>
        <v>735871319.50640011</v>
      </c>
      <c r="R331" s="127">
        <f t="shared" si="2"/>
        <v>735871319.50640011</v>
      </c>
      <c r="S331" s="18"/>
    </row>
    <row r="332" spans="1:19" ht="30">
      <c r="A332" s="26">
        <v>7</v>
      </c>
      <c r="B332" s="25" t="s">
        <v>123</v>
      </c>
      <c r="C332" s="26" t="s">
        <v>117</v>
      </c>
      <c r="D332" s="351">
        <v>37</v>
      </c>
      <c r="E332" s="53"/>
      <c r="F332" s="351">
        <v>37</v>
      </c>
      <c r="G332" s="365" t="s">
        <v>2336</v>
      </c>
      <c r="H332" s="365"/>
      <c r="I332" s="365" t="s">
        <v>2330</v>
      </c>
      <c r="J332" s="365" t="s">
        <v>2328</v>
      </c>
      <c r="K332" s="311">
        <v>658147.79880000011</v>
      </c>
      <c r="L332" s="311">
        <v>0</v>
      </c>
      <c r="M332" s="311">
        <v>27437.269230769234</v>
      </c>
      <c r="N332" s="311">
        <v>62808.608923076936</v>
      </c>
      <c r="O332" s="311">
        <v>43966.026246153859</v>
      </c>
      <c r="P332" s="68">
        <f t="shared" si="0"/>
        <v>792359.70320000011</v>
      </c>
      <c r="Q332" s="68">
        <f t="shared" si="1"/>
        <v>29317309.018400002</v>
      </c>
      <c r="R332" s="127">
        <f t="shared" si="2"/>
        <v>29317309.018400002</v>
      </c>
      <c r="S332" s="15"/>
    </row>
    <row r="333" spans="1:19" ht="30">
      <c r="A333" s="26">
        <v>8</v>
      </c>
      <c r="B333" s="25" t="s">
        <v>124</v>
      </c>
      <c r="C333" s="26" t="s">
        <v>117</v>
      </c>
      <c r="D333" s="351">
        <v>666</v>
      </c>
      <c r="E333" s="53"/>
      <c r="F333" s="351">
        <v>666</v>
      </c>
      <c r="G333" s="365" t="s">
        <v>2337</v>
      </c>
      <c r="H333" s="365"/>
      <c r="I333" s="365" t="s">
        <v>2330</v>
      </c>
      <c r="J333" s="365" t="s">
        <v>2328</v>
      </c>
      <c r="K333" s="311">
        <v>482447.16720000003</v>
      </c>
      <c r="L333" s="311">
        <v>0</v>
      </c>
      <c r="M333" s="311">
        <v>23130.230769230773</v>
      </c>
      <c r="N333" s="311">
        <v>46308.131076923077</v>
      </c>
      <c r="O333" s="311">
        <v>32415.691753846157</v>
      </c>
      <c r="P333" s="68">
        <f t="shared" si="0"/>
        <v>584301.22080000001</v>
      </c>
      <c r="Q333" s="68">
        <f t="shared" si="1"/>
        <v>389144613.0528</v>
      </c>
      <c r="R333" s="127">
        <f t="shared" si="2"/>
        <v>389144613.0528</v>
      </c>
      <c r="S333" s="15"/>
    </row>
    <row r="334" spans="1:19" ht="30">
      <c r="A334" s="26">
        <v>9</v>
      </c>
      <c r="B334" s="25" t="s">
        <v>125</v>
      </c>
      <c r="C334" s="26" t="s">
        <v>117</v>
      </c>
      <c r="D334" s="351">
        <v>58</v>
      </c>
      <c r="E334" s="53"/>
      <c r="F334" s="351">
        <v>58</v>
      </c>
      <c r="G334" s="365" t="s">
        <v>2341</v>
      </c>
      <c r="H334" s="365"/>
      <c r="I334" s="365" t="s">
        <v>2330</v>
      </c>
      <c r="J334" s="365" t="s">
        <v>2328</v>
      </c>
      <c r="K334" s="311">
        <v>321091.89480000007</v>
      </c>
      <c r="L334" s="311">
        <v>0</v>
      </c>
      <c r="M334" s="311">
        <v>18592.846153846152</v>
      </c>
      <c r="N334" s="311">
        <v>31103.356615384619</v>
      </c>
      <c r="O334" s="311">
        <v>21772.349630769233</v>
      </c>
      <c r="P334" s="68">
        <f t="shared" si="0"/>
        <v>392560.44720000005</v>
      </c>
      <c r="Q334" s="68">
        <f t="shared" si="1"/>
        <v>22768505.937600002</v>
      </c>
      <c r="R334" s="127">
        <f t="shared" si="2"/>
        <v>22768505.937600002</v>
      </c>
      <c r="S334" s="15"/>
    </row>
    <row r="335" spans="1:19" ht="30">
      <c r="A335" s="26">
        <v>10</v>
      </c>
      <c r="B335" s="25" t="s">
        <v>126</v>
      </c>
      <c r="C335" s="26" t="s">
        <v>117</v>
      </c>
      <c r="D335" s="351">
        <v>1255</v>
      </c>
      <c r="E335" s="53"/>
      <c r="F335" s="351">
        <v>1255</v>
      </c>
      <c r="G335" s="365" t="s">
        <v>2338</v>
      </c>
      <c r="H335" s="365"/>
      <c r="I335" s="365" t="s">
        <v>2330</v>
      </c>
      <c r="J335" s="365" t="s">
        <v>2328</v>
      </c>
      <c r="K335" s="311">
        <v>216691.91280000002</v>
      </c>
      <c r="L335" s="311">
        <v>0</v>
      </c>
      <c r="M335" s="311">
        <v>16326.326923076924</v>
      </c>
      <c r="N335" s="311">
        <v>21324.799692307693</v>
      </c>
      <c r="O335" s="311">
        <v>14927.359784615386</v>
      </c>
      <c r="P335" s="68">
        <f t="shared" si="0"/>
        <v>269270.39920000004</v>
      </c>
      <c r="Q335" s="68">
        <f t="shared" si="1"/>
        <v>337934350.99600005</v>
      </c>
      <c r="R335" s="127">
        <f t="shared" si="2"/>
        <v>337934350.99600005</v>
      </c>
      <c r="S335" s="15"/>
    </row>
    <row r="336" spans="1:19" ht="30">
      <c r="A336" s="26">
        <v>11</v>
      </c>
      <c r="B336" s="25" t="s">
        <v>127</v>
      </c>
      <c r="C336" s="26" t="s">
        <v>117</v>
      </c>
      <c r="D336" s="351">
        <v>80</v>
      </c>
      <c r="E336" s="59"/>
      <c r="F336" s="351">
        <v>80</v>
      </c>
      <c r="G336" s="365" t="s">
        <v>2339</v>
      </c>
      <c r="H336" s="365"/>
      <c r="I336" s="365" t="s">
        <v>2330</v>
      </c>
      <c r="J336" s="365" t="s">
        <v>2328</v>
      </c>
      <c r="K336" s="311">
        <v>142332.89760000003</v>
      </c>
      <c r="L336" s="311">
        <v>0</v>
      </c>
      <c r="M336" s="311">
        <v>11912.543703703706</v>
      </c>
      <c r="N336" s="311">
        <v>14112.27140740741</v>
      </c>
      <c r="O336" s="311">
        <v>9878.5899851851864</v>
      </c>
      <c r="P336" s="68">
        <f t="shared" si="0"/>
        <v>178236.30269629633</v>
      </c>
      <c r="Q336" s="68">
        <f t="shared" si="1"/>
        <v>14258904.215703707</v>
      </c>
      <c r="R336" s="127">
        <f t="shared" si="2"/>
        <v>14258904.215703707</v>
      </c>
      <c r="S336" s="37"/>
    </row>
    <row r="337" spans="1:19" ht="30">
      <c r="A337" s="26">
        <v>12</v>
      </c>
      <c r="B337" s="25" t="s">
        <v>128</v>
      </c>
      <c r="C337" s="26" t="s">
        <v>117</v>
      </c>
      <c r="D337" s="351">
        <v>683</v>
      </c>
      <c r="E337" s="59"/>
      <c r="F337" s="351">
        <v>683</v>
      </c>
      <c r="G337" s="365" t="s">
        <v>2340</v>
      </c>
      <c r="H337" s="365"/>
      <c r="I337" s="365" t="s">
        <v>2330</v>
      </c>
      <c r="J337" s="365" t="s">
        <v>2328</v>
      </c>
      <c r="K337" s="311">
        <v>105213.42720000001</v>
      </c>
      <c r="L337" s="311">
        <v>0</v>
      </c>
      <c r="M337" s="311">
        <v>10376.74814814815</v>
      </c>
      <c r="N337" s="311">
        <v>10570.904296296298</v>
      </c>
      <c r="O337" s="311">
        <v>7399.6330074074085</v>
      </c>
      <c r="P337" s="68">
        <f t="shared" si="0"/>
        <v>133560.71265185188</v>
      </c>
      <c r="Q337" s="68">
        <f t="shared" si="1"/>
        <v>91221966.741214827</v>
      </c>
      <c r="R337" s="127">
        <f t="shared" si="2"/>
        <v>91221966.741214827</v>
      </c>
      <c r="S337" s="37"/>
    </row>
    <row r="338" spans="1:19" ht="28.5">
      <c r="A338" s="24"/>
      <c r="B338" s="27" t="s">
        <v>129</v>
      </c>
      <c r="C338" s="26"/>
      <c r="D338" s="351"/>
      <c r="E338" s="59"/>
      <c r="F338" s="351"/>
      <c r="G338" s="37"/>
      <c r="H338" s="37"/>
      <c r="I338" s="37"/>
      <c r="J338" s="37"/>
      <c r="K338" s="37"/>
      <c r="L338" s="37"/>
      <c r="M338" s="37"/>
      <c r="N338" s="37"/>
      <c r="O338" s="37"/>
      <c r="P338" s="37"/>
      <c r="Q338" s="66"/>
      <c r="R338" s="66"/>
      <c r="S338" s="37"/>
    </row>
    <row r="339" spans="1:19" ht="30">
      <c r="A339" s="26">
        <v>1</v>
      </c>
      <c r="B339" s="25" t="s">
        <v>130</v>
      </c>
      <c r="C339" s="26" t="s">
        <v>117</v>
      </c>
      <c r="D339" s="351">
        <v>1096</v>
      </c>
      <c r="E339" s="59"/>
      <c r="F339" s="351">
        <v>1096</v>
      </c>
      <c r="G339" s="365" t="s">
        <v>2342</v>
      </c>
      <c r="H339" s="365"/>
      <c r="I339" s="365" t="s">
        <v>2330</v>
      </c>
      <c r="J339" s="365" t="s">
        <v>2328</v>
      </c>
      <c r="K339" s="311">
        <v>2959038.1728000008</v>
      </c>
      <c r="L339" s="311">
        <v>0</v>
      </c>
      <c r="M339" s="311">
        <v>102019.74086956526</v>
      </c>
      <c r="N339" s="311">
        <v>280499.68765217398</v>
      </c>
      <c r="O339" s="311">
        <v>196349.78135652179</v>
      </c>
      <c r="P339" s="68">
        <f t="shared" ref="P339:P352" si="3">SUM(K339:O339)</f>
        <v>3537907.382678262</v>
      </c>
      <c r="Q339" s="68">
        <f t="shared" ref="Q339:Q352" si="4">D339*P339</f>
        <v>3877546491.4153752</v>
      </c>
      <c r="R339" s="127">
        <f t="shared" ref="R339:R352" si="5">F339*P339</f>
        <v>3877546491.4153752</v>
      </c>
      <c r="S339" s="37"/>
    </row>
    <row r="340" spans="1:19" ht="30">
      <c r="A340" s="26">
        <v>2</v>
      </c>
      <c r="B340" s="25" t="s">
        <v>131</v>
      </c>
      <c r="C340" s="26" t="s">
        <v>117</v>
      </c>
      <c r="D340" s="351">
        <v>15</v>
      </c>
      <c r="E340" s="57"/>
      <c r="F340" s="351">
        <v>15</v>
      </c>
      <c r="G340" s="365" t="s">
        <v>2343</v>
      </c>
      <c r="H340" s="365"/>
      <c r="I340" s="365" t="s">
        <v>2330</v>
      </c>
      <c r="J340" s="365" t="s">
        <v>2328</v>
      </c>
      <c r="K340" s="311">
        <v>2273807.7108000005</v>
      </c>
      <c r="L340" s="311">
        <v>0</v>
      </c>
      <c r="M340" s="311">
        <v>76486.121666666673</v>
      </c>
      <c r="N340" s="311">
        <v>215374.89533333338</v>
      </c>
      <c r="O340" s="311">
        <v>150762.42673333336</v>
      </c>
      <c r="P340" s="68">
        <f t="shared" si="3"/>
        <v>2716431.1545333336</v>
      </c>
      <c r="Q340" s="68">
        <f t="shared" si="4"/>
        <v>40746467.318000004</v>
      </c>
      <c r="R340" s="127">
        <f t="shared" si="5"/>
        <v>40746467.318000004</v>
      </c>
      <c r="S340" s="36"/>
    </row>
    <row r="341" spans="1:19" ht="30">
      <c r="A341" s="26">
        <v>3</v>
      </c>
      <c r="B341" s="25" t="s">
        <v>132</v>
      </c>
      <c r="C341" s="26" t="s">
        <v>117</v>
      </c>
      <c r="D341" s="351">
        <v>14</v>
      </c>
      <c r="E341" s="59"/>
      <c r="F341" s="351">
        <v>14</v>
      </c>
      <c r="G341" s="365" t="s">
        <v>2344</v>
      </c>
      <c r="H341" s="365"/>
      <c r="I341" s="365" t="s">
        <v>2330</v>
      </c>
      <c r="J341" s="365" t="s">
        <v>2328</v>
      </c>
      <c r="K341" s="311">
        <v>1504469.8404000001</v>
      </c>
      <c r="L341" s="311">
        <v>0</v>
      </c>
      <c r="M341" s="311">
        <v>67211.458333333343</v>
      </c>
      <c r="N341" s="311">
        <v>143972.67266666668</v>
      </c>
      <c r="O341" s="311">
        <v>100780.87086666668</v>
      </c>
      <c r="P341" s="68">
        <f t="shared" si="3"/>
        <v>1816434.8422666669</v>
      </c>
      <c r="Q341" s="68">
        <f t="shared" si="4"/>
        <v>25430087.791733336</v>
      </c>
      <c r="R341" s="127">
        <f t="shared" si="5"/>
        <v>25430087.791733336</v>
      </c>
      <c r="S341" s="37"/>
    </row>
    <row r="342" spans="1:19" ht="30">
      <c r="A342" s="26">
        <v>4</v>
      </c>
      <c r="B342" s="25" t="s">
        <v>133</v>
      </c>
      <c r="C342" s="26" t="s">
        <v>117</v>
      </c>
      <c r="D342" s="351">
        <v>1343</v>
      </c>
      <c r="E342" s="59"/>
      <c r="F342" s="351">
        <v>1343</v>
      </c>
      <c r="G342" s="365" t="s">
        <v>2345</v>
      </c>
      <c r="H342" s="365"/>
      <c r="I342" s="365" t="s">
        <v>2330</v>
      </c>
      <c r="J342" s="365" t="s">
        <v>2328</v>
      </c>
      <c r="K342" s="311">
        <v>610460.60400000017</v>
      </c>
      <c r="L342" s="311">
        <v>0</v>
      </c>
      <c r="M342" s="311">
        <v>24865.085000000006</v>
      </c>
      <c r="N342" s="311">
        <v>58206.010000000009</v>
      </c>
      <c r="O342" s="311">
        <v>40744.207000000009</v>
      </c>
      <c r="P342" s="68">
        <f t="shared" si="3"/>
        <v>734275.90600000019</v>
      </c>
      <c r="Q342" s="68">
        <f t="shared" si="4"/>
        <v>986132541.75800025</v>
      </c>
      <c r="R342" s="127">
        <f t="shared" si="5"/>
        <v>986132541.75800025</v>
      </c>
      <c r="S342" s="37"/>
    </row>
    <row r="343" spans="1:19" ht="30">
      <c r="A343" s="26">
        <v>5</v>
      </c>
      <c r="B343" s="25" t="s">
        <v>134</v>
      </c>
      <c r="C343" s="26" t="s">
        <v>117</v>
      </c>
      <c r="D343" s="351">
        <v>1111</v>
      </c>
      <c r="E343" s="59"/>
      <c r="F343" s="351">
        <v>1111</v>
      </c>
      <c r="G343" s="365" t="s">
        <v>2346</v>
      </c>
      <c r="H343" s="365"/>
      <c r="I343" s="365" t="s">
        <v>2330</v>
      </c>
      <c r="J343" s="365" t="s">
        <v>2328</v>
      </c>
      <c r="K343" s="311">
        <v>394106.54760000005</v>
      </c>
      <c r="L343" s="311">
        <v>0</v>
      </c>
      <c r="M343" s="311">
        <v>22182.606250000001</v>
      </c>
      <c r="N343" s="311">
        <v>38119.626500000006</v>
      </c>
      <c r="O343" s="311">
        <v>26683.738550000002</v>
      </c>
      <c r="P343" s="68">
        <f t="shared" si="3"/>
        <v>481092.51890000008</v>
      </c>
      <c r="Q343" s="68">
        <f t="shared" si="4"/>
        <v>534493788.49790007</v>
      </c>
      <c r="R343" s="127">
        <f t="shared" si="5"/>
        <v>534493788.49790007</v>
      </c>
      <c r="S343" s="37"/>
    </row>
    <row r="344" spans="1:19" ht="30">
      <c r="A344" s="26">
        <v>6</v>
      </c>
      <c r="B344" s="25" t="s">
        <v>135</v>
      </c>
      <c r="C344" s="26" t="s">
        <v>117</v>
      </c>
      <c r="D344" s="351">
        <v>346</v>
      </c>
      <c r="E344" s="59"/>
      <c r="F344" s="351">
        <v>346</v>
      </c>
      <c r="G344" s="365" t="s">
        <v>2347</v>
      </c>
      <c r="H344" s="365"/>
      <c r="I344" s="365" t="s">
        <v>2330</v>
      </c>
      <c r="J344" s="365" t="s">
        <v>2328</v>
      </c>
      <c r="K344" s="311">
        <v>315032.84640000004</v>
      </c>
      <c r="L344" s="311">
        <v>0</v>
      </c>
      <c r="M344" s="311">
        <v>19808.854800000001</v>
      </c>
      <c r="N344" s="311">
        <v>30655.092000000004</v>
      </c>
      <c r="O344" s="311">
        <v>21458.564400000007</v>
      </c>
      <c r="P344" s="68">
        <f t="shared" si="3"/>
        <v>386955.35760000005</v>
      </c>
      <c r="Q344" s="68">
        <f t="shared" si="4"/>
        <v>133886553.72960001</v>
      </c>
      <c r="R344" s="127">
        <f t="shared" si="5"/>
        <v>133886553.72960001</v>
      </c>
      <c r="S344" s="37"/>
    </row>
    <row r="345" spans="1:19" ht="30">
      <c r="A345" s="26">
        <v>7</v>
      </c>
      <c r="B345" s="25" t="s">
        <v>136</v>
      </c>
      <c r="C345" s="26" t="s">
        <v>117</v>
      </c>
      <c r="D345" s="351">
        <v>1754</v>
      </c>
      <c r="E345" s="60"/>
      <c r="F345" s="351">
        <v>1754</v>
      </c>
      <c r="G345" s="365" t="s">
        <v>2348</v>
      </c>
      <c r="H345" s="365"/>
      <c r="I345" s="365" t="s">
        <v>2330</v>
      </c>
      <c r="J345" s="365" t="s">
        <v>2328</v>
      </c>
      <c r="K345" s="311">
        <v>229112.55000000002</v>
      </c>
      <c r="L345" s="311">
        <v>0</v>
      </c>
      <c r="M345" s="311">
        <v>16640.425200000001</v>
      </c>
      <c r="N345" s="311">
        <v>22492.104000000003</v>
      </c>
      <c r="O345" s="311">
        <v>15744.472800000001</v>
      </c>
      <c r="P345" s="68">
        <f t="shared" si="3"/>
        <v>283989.55200000003</v>
      </c>
      <c r="Q345" s="68">
        <f t="shared" si="4"/>
        <v>498117674.20800006</v>
      </c>
      <c r="R345" s="127">
        <f t="shared" si="5"/>
        <v>498117674.20800006</v>
      </c>
      <c r="S345" s="38"/>
    </row>
    <row r="346" spans="1:19" ht="30">
      <c r="A346" s="26">
        <v>8</v>
      </c>
      <c r="B346" s="25" t="s">
        <v>137</v>
      </c>
      <c r="C346" s="26" t="s">
        <v>117</v>
      </c>
      <c r="D346" s="351">
        <v>550</v>
      </c>
      <c r="E346" s="57"/>
      <c r="F346" s="351">
        <v>550</v>
      </c>
      <c r="G346" s="365" t="s">
        <v>2349</v>
      </c>
      <c r="H346" s="365"/>
      <c r="I346" s="365" t="s">
        <v>2330</v>
      </c>
      <c r="J346" s="365" t="s">
        <v>2328</v>
      </c>
      <c r="K346" s="311">
        <v>669466.57680000004</v>
      </c>
      <c r="L346" s="311">
        <v>0</v>
      </c>
      <c r="M346" s="311">
        <v>38828.608</v>
      </c>
      <c r="N346" s="311">
        <v>64855.112000000001</v>
      </c>
      <c r="O346" s="311">
        <v>45398.578400000006</v>
      </c>
      <c r="P346" s="68">
        <f t="shared" si="3"/>
        <v>818548.87520000001</v>
      </c>
      <c r="Q346" s="68">
        <f t="shared" si="4"/>
        <v>450201881.36000001</v>
      </c>
      <c r="R346" s="127">
        <f t="shared" si="5"/>
        <v>450201881.36000001</v>
      </c>
      <c r="S346" s="36"/>
    </row>
    <row r="347" spans="1:19" ht="30">
      <c r="A347" s="26">
        <v>9</v>
      </c>
      <c r="B347" s="25" t="s">
        <v>138</v>
      </c>
      <c r="C347" s="26" t="s">
        <v>117</v>
      </c>
      <c r="D347" s="351">
        <v>512</v>
      </c>
      <c r="E347" s="53"/>
      <c r="F347" s="351">
        <v>512</v>
      </c>
      <c r="G347" s="365" t="s">
        <v>2350</v>
      </c>
      <c r="H347" s="365"/>
      <c r="I347" s="365" t="s">
        <v>2330</v>
      </c>
      <c r="J347" s="365" t="s">
        <v>2328</v>
      </c>
      <c r="K347" s="311">
        <v>503829.82800000004</v>
      </c>
      <c r="L347" s="311">
        <v>0</v>
      </c>
      <c r="M347" s="311">
        <v>27437.269230769234</v>
      </c>
      <c r="N347" s="311">
        <v>48650.996923076927</v>
      </c>
      <c r="O347" s="311">
        <v>34055.697846153853</v>
      </c>
      <c r="P347" s="68">
        <f t="shared" si="3"/>
        <v>613973.79200000002</v>
      </c>
      <c r="Q347" s="68">
        <f t="shared" si="4"/>
        <v>314354581.50400001</v>
      </c>
      <c r="R347" s="127">
        <f t="shared" si="5"/>
        <v>314354581.50400001</v>
      </c>
      <c r="S347" s="15"/>
    </row>
    <row r="348" spans="1:19" ht="30">
      <c r="A348" s="26">
        <v>10</v>
      </c>
      <c r="B348" s="25" t="s">
        <v>139</v>
      </c>
      <c r="C348" s="26" t="s">
        <v>117</v>
      </c>
      <c r="D348" s="351">
        <v>194</v>
      </c>
      <c r="E348" s="58"/>
      <c r="F348" s="351">
        <v>194</v>
      </c>
      <c r="G348" s="365" t="s">
        <v>2351</v>
      </c>
      <c r="H348" s="365"/>
      <c r="I348" s="365" t="s">
        <v>2330</v>
      </c>
      <c r="J348" s="365" t="s">
        <v>2328</v>
      </c>
      <c r="K348" s="311">
        <v>362518.74000000005</v>
      </c>
      <c r="L348" s="311">
        <v>0</v>
      </c>
      <c r="M348" s="311">
        <v>23130.230769230773</v>
      </c>
      <c r="N348" s="311">
        <v>35305.523076923077</v>
      </c>
      <c r="O348" s="311">
        <v>24713.866153846157</v>
      </c>
      <c r="P348" s="68">
        <f t="shared" si="3"/>
        <v>445668.36000000004</v>
      </c>
      <c r="Q348" s="68">
        <f t="shared" si="4"/>
        <v>86459661.840000004</v>
      </c>
      <c r="R348" s="127">
        <f t="shared" si="5"/>
        <v>86459661.840000004</v>
      </c>
      <c r="S348" s="18"/>
    </row>
    <row r="349" spans="1:19" ht="30">
      <c r="A349" s="26">
        <v>11</v>
      </c>
      <c r="B349" s="25" t="s">
        <v>140</v>
      </c>
      <c r="C349" s="26" t="s">
        <v>117</v>
      </c>
      <c r="D349" s="351">
        <v>1003</v>
      </c>
      <c r="E349" s="53"/>
      <c r="F349" s="351">
        <v>1003</v>
      </c>
      <c r="G349" s="365" t="s">
        <v>2352</v>
      </c>
      <c r="H349" s="365"/>
      <c r="I349" s="365" t="s">
        <v>2330</v>
      </c>
      <c r="J349" s="365" t="s">
        <v>2328</v>
      </c>
      <c r="K349" s="311">
        <v>233957.90520000004</v>
      </c>
      <c r="L349" s="311">
        <v>0</v>
      </c>
      <c r="M349" s="311">
        <v>18592.846153846152</v>
      </c>
      <c r="N349" s="311">
        <v>23109.412615384619</v>
      </c>
      <c r="O349" s="311">
        <v>16176.588830769235</v>
      </c>
      <c r="P349" s="68">
        <f t="shared" si="3"/>
        <v>291836.75280000007</v>
      </c>
      <c r="Q349" s="68">
        <f t="shared" si="4"/>
        <v>292712263.05840009</v>
      </c>
      <c r="R349" s="127">
        <f t="shared" si="5"/>
        <v>292712263.05840009</v>
      </c>
      <c r="S349" s="15"/>
    </row>
    <row r="350" spans="1:19" ht="30">
      <c r="A350" s="26">
        <v>12</v>
      </c>
      <c r="B350" s="25" t="s">
        <v>141</v>
      </c>
      <c r="C350" s="26" t="s">
        <v>117</v>
      </c>
      <c r="D350" s="351">
        <v>1227</v>
      </c>
      <c r="E350" s="53"/>
      <c r="F350" s="351">
        <v>1227</v>
      </c>
      <c r="G350" s="365" t="s">
        <v>2353</v>
      </c>
      <c r="H350" s="365"/>
      <c r="I350" s="365" t="s">
        <v>2330</v>
      </c>
      <c r="J350" s="365" t="s">
        <v>2328</v>
      </c>
      <c r="K350" s="311">
        <v>152715.80160000004</v>
      </c>
      <c r="L350" s="311">
        <v>0</v>
      </c>
      <c r="M350" s="311">
        <v>16326.326923076924</v>
      </c>
      <c r="N350" s="311">
        <v>15455.431692307693</v>
      </c>
      <c r="O350" s="311">
        <v>10818.802184615386</v>
      </c>
      <c r="P350" s="68">
        <f t="shared" si="3"/>
        <v>195316.36240000004</v>
      </c>
      <c r="Q350" s="68">
        <f t="shared" si="4"/>
        <v>239653176.66480005</v>
      </c>
      <c r="R350" s="127">
        <f t="shared" si="5"/>
        <v>239653176.66480005</v>
      </c>
      <c r="S350" s="15"/>
    </row>
    <row r="351" spans="1:19" ht="30">
      <c r="A351" s="26">
        <v>13</v>
      </c>
      <c r="B351" s="25" t="s">
        <v>142</v>
      </c>
      <c r="C351" s="26" t="s">
        <v>117</v>
      </c>
      <c r="D351" s="351">
        <v>537</v>
      </c>
      <c r="E351" s="53"/>
      <c r="F351" s="351">
        <v>537</v>
      </c>
      <c r="G351" s="365" t="s">
        <v>2354</v>
      </c>
      <c r="H351" s="365"/>
      <c r="I351" s="365" t="s">
        <v>2330</v>
      </c>
      <c r="J351" s="365" t="s">
        <v>2328</v>
      </c>
      <c r="K351" s="311">
        <v>95860.573200000013</v>
      </c>
      <c r="L351" s="311">
        <v>0</v>
      </c>
      <c r="M351" s="311">
        <v>11912.543703703706</v>
      </c>
      <c r="N351" s="311">
        <v>9848.7554074074087</v>
      </c>
      <c r="O351" s="311">
        <v>6894.1287851851866</v>
      </c>
      <c r="P351" s="68">
        <f t="shared" si="3"/>
        <v>124516.00109629631</v>
      </c>
      <c r="Q351" s="68">
        <f t="shared" si="4"/>
        <v>66865092.58871112</v>
      </c>
      <c r="R351" s="127">
        <f t="shared" si="5"/>
        <v>66865092.58871112</v>
      </c>
      <c r="S351" s="15"/>
    </row>
    <row r="352" spans="1:19" ht="30">
      <c r="A352" s="26">
        <v>14</v>
      </c>
      <c r="B352" s="25" t="s">
        <v>143</v>
      </c>
      <c r="C352" s="26" t="s">
        <v>117</v>
      </c>
      <c r="D352" s="351">
        <v>113</v>
      </c>
      <c r="E352" s="53"/>
      <c r="F352" s="351">
        <v>113</v>
      </c>
      <c r="G352" s="365" t="s">
        <v>2355</v>
      </c>
      <c r="H352" s="365"/>
      <c r="I352" s="365" t="s">
        <v>2330</v>
      </c>
      <c r="J352" s="365" t="s">
        <v>2328</v>
      </c>
      <c r="K352" s="311">
        <v>66148.045200000008</v>
      </c>
      <c r="L352" s="311">
        <v>0</v>
      </c>
      <c r="M352" s="311">
        <v>10376.74814814815</v>
      </c>
      <c r="N352" s="311">
        <v>6986.9242962962981</v>
      </c>
      <c r="O352" s="311">
        <v>4890.8470074074085</v>
      </c>
      <c r="P352" s="68">
        <f t="shared" si="3"/>
        <v>88402.564651851877</v>
      </c>
      <c r="Q352" s="68">
        <f t="shared" si="4"/>
        <v>9989489.8056592625</v>
      </c>
      <c r="R352" s="127">
        <f t="shared" si="5"/>
        <v>9989489.8056592625</v>
      </c>
      <c r="S352" s="15"/>
    </row>
    <row r="353" spans="1:19">
      <c r="A353" s="24"/>
      <c r="B353" s="27" t="s">
        <v>145</v>
      </c>
      <c r="C353" s="26"/>
      <c r="D353" s="351"/>
      <c r="E353" s="53"/>
      <c r="F353" s="351"/>
      <c r="G353" s="15"/>
      <c r="H353" s="15"/>
      <c r="I353" s="15"/>
      <c r="J353" s="15"/>
      <c r="K353" s="15"/>
      <c r="L353" s="15"/>
      <c r="M353" s="15"/>
      <c r="N353" s="15"/>
      <c r="O353" s="15"/>
      <c r="P353" s="15"/>
      <c r="Q353" s="66"/>
      <c r="R353" s="66"/>
      <c r="S353" s="15"/>
    </row>
    <row r="354" spans="1:19">
      <c r="A354" s="26">
        <v>1</v>
      </c>
      <c r="B354" s="25" t="s">
        <v>146</v>
      </c>
      <c r="C354" s="26" t="s">
        <v>117</v>
      </c>
      <c r="D354" s="351">
        <v>87</v>
      </c>
      <c r="E354" s="59"/>
      <c r="F354" s="351">
        <v>87</v>
      </c>
      <c r="G354" s="365" t="s">
        <v>2356</v>
      </c>
      <c r="H354" s="365"/>
      <c r="I354" s="365" t="s">
        <v>2330</v>
      </c>
      <c r="J354" s="365" t="s">
        <v>2328</v>
      </c>
      <c r="K354" s="311">
        <v>605623.48920000007</v>
      </c>
      <c r="L354" s="311">
        <v>0</v>
      </c>
      <c r="M354" s="311">
        <v>23681.033333333336</v>
      </c>
      <c r="N354" s="311">
        <v>57657.454666666665</v>
      </c>
      <c r="O354" s="311">
        <v>40360.21826666667</v>
      </c>
      <c r="P354" s="68">
        <f t="shared" ref="P354:P364" si="6">SUM(K354:O354)</f>
        <v>727322.19546666672</v>
      </c>
      <c r="Q354" s="68">
        <f t="shared" ref="Q354:Q364" si="7">D354*P354</f>
        <v>63277031.005600005</v>
      </c>
      <c r="R354" s="127">
        <f t="shared" ref="R354:R364" si="8">F354*P354</f>
        <v>63277031.005600005</v>
      </c>
      <c r="S354" s="37"/>
    </row>
    <row r="355" spans="1:19">
      <c r="A355" s="26">
        <v>2</v>
      </c>
      <c r="B355" s="25" t="s">
        <v>147</v>
      </c>
      <c r="C355" s="26" t="s">
        <v>117</v>
      </c>
      <c r="D355" s="351">
        <v>114</v>
      </c>
      <c r="E355" s="59"/>
      <c r="F355" s="351">
        <v>114</v>
      </c>
      <c r="G355" s="365" t="s">
        <v>2357</v>
      </c>
      <c r="H355" s="365"/>
      <c r="I355" s="365" t="s">
        <v>2330</v>
      </c>
      <c r="J355" s="365" t="s">
        <v>2328</v>
      </c>
      <c r="K355" s="311">
        <v>391257.72360000008</v>
      </c>
      <c r="L355" s="311">
        <v>0</v>
      </c>
      <c r="M355" s="311">
        <v>21126.291666666672</v>
      </c>
      <c r="N355" s="311">
        <v>37764.787333333334</v>
      </c>
      <c r="O355" s="311">
        <v>26435.351133333337</v>
      </c>
      <c r="P355" s="68">
        <f t="shared" si="6"/>
        <v>476584.15373333346</v>
      </c>
      <c r="Q355" s="68">
        <f t="shared" si="7"/>
        <v>54330593.525600016</v>
      </c>
      <c r="R355" s="127">
        <f t="shared" si="8"/>
        <v>54330593.525600016</v>
      </c>
      <c r="S355" s="37"/>
    </row>
    <row r="356" spans="1:19">
      <c r="A356" s="26">
        <v>3</v>
      </c>
      <c r="B356" s="25" t="s">
        <v>148</v>
      </c>
      <c r="C356" s="26" t="s">
        <v>117</v>
      </c>
      <c r="D356" s="351">
        <v>32</v>
      </c>
      <c r="E356" s="59"/>
      <c r="F356" s="351">
        <v>32</v>
      </c>
      <c r="G356" s="365" t="s">
        <v>2358</v>
      </c>
      <c r="H356" s="365"/>
      <c r="I356" s="365" t="s">
        <v>2330</v>
      </c>
      <c r="J356" s="365" t="s">
        <v>2328</v>
      </c>
      <c r="K356" s="311">
        <v>313102.23840000003</v>
      </c>
      <c r="L356" s="311">
        <v>0</v>
      </c>
      <c r="M356" s="311">
        <v>18865.576000000001</v>
      </c>
      <c r="N356" s="311">
        <v>30394.496000000003</v>
      </c>
      <c r="O356" s="311">
        <v>21276.147200000003</v>
      </c>
      <c r="P356" s="68">
        <f t="shared" si="6"/>
        <v>383638.45760000002</v>
      </c>
      <c r="Q356" s="68">
        <f t="shared" si="7"/>
        <v>12276430.643200001</v>
      </c>
      <c r="R356" s="127">
        <f t="shared" si="8"/>
        <v>12276430.643200001</v>
      </c>
      <c r="S356" s="37"/>
    </row>
    <row r="357" spans="1:19">
      <c r="A357" s="26">
        <v>4</v>
      </c>
      <c r="B357" s="25" t="s">
        <v>149</v>
      </c>
      <c r="C357" s="26" t="s">
        <v>117</v>
      </c>
      <c r="D357" s="351">
        <v>214</v>
      </c>
      <c r="E357" s="59"/>
      <c r="F357" s="351">
        <v>214</v>
      </c>
      <c r="G357" s="365" t="s">
        <v>2359</v>
      </c>
      <c r="H357" s="365"/>
      <c r="I357" s="365" t="s">
        <v>2330</v>
      </c>
      <c r="J357" s="365" t="s">
        <v>2328</v>
      </c>
      <c r="K357" s="311">
        <v>226553.31720000005</v>
      </c>
      <c r="L357" s="311">
        <v>0</v>
      </c>
      <c r="M357" s="311">
        <v>15848.024000000001</v>
      </c>
      <c r="N357" s="311">
        <v>22187.188000000002</v>
      </c>
      <c r="O357" s="311">
        <v>15531.031600000002</v>
      </c>
      <c r="P357" s="68">
        <f t="shared" si="6"/>
        <v>280119.56080000004</v>
      </c>
      <c r="Q357" s="68">
        <f t="shared" si="7"/>
        <v>59945586.011200011</v>
      </c>
      <c r="R357" s="127">
        <f t="shared" si="8"/>
        <v>59945586.011200011</v>
      </c>
      <c r="S357" s="37"/>
    </row>
    <row r="358" spans="1:19">
      <c r="A358" s="26">
        <v>5</v>
      </c>
      <c r="B358" s="25" t="s">
        <v>150</v>
      </c>
      <c r="C358" s="26" t="s">
        <v>117</v>
      </c>
      <c r="D358" s="351">
        <v>43</v>
      </c>
      <c r="E358" s="59"/>
      <c r="F358" s="351">
        <v>43</v>
      </c>
      <c r="G358" s="365" t="s">
        <v>2360</v>
      </c>
      <c r="H358" s="365"/>
      <c r="I358" s="365" t="s">
        <v>2330</v>
      </c>
      <c r="J358" s="365" t="s">
        <v>2328</v>
      </c>
      <c r="K358" s="311">
        <v>158302.79280000002</v>
      </c>
      <c r="L358" s="311">
        <v>0</v>
      </c>
      <c r="M358" s="311">
        <v>13867.36</v>
      </c>
      <c r="N358" s="311">
        <v>15750.392000000002</v>
      </c>
      <c r="O358" s="311">
        <v>11025.274400000002</v>
      </c>
      <c r="P358" s="68">
        <f t="shared" si="6"/>
        <v>198945.81920000003</v>
      </c>
      <c r="Q358" s="68">
        <f t="shared" si="7"/>
        <v>8554670.2256000005</v>
      </c>
      <c r="R358" s="127">
        <f t="shared" si="8"/>
        <v>8554670.2256000005</v>
      </c>
      <c r="S358" s="37"/>
    </row>
    <row r="359" spans="1:19">
      <c r="A359" s="26">
        <v>6</v>
      </c>
      <c r="B359" s="25" t="s">
        <v>151</v>
      </c>
      <c r="C359" s="26" t="s">
        <v>117</v>
      </c>
      <c r="D359" s="351">
        <v>333</v>
      </c>
      <c r="E359" s="59"/>
      <c r="F359" s="351">
        <v>333</v>
      </c>
      <c r="G359" s="365" t="s">
        <v>2361</v>
      </c>
      <c r="H359" s="365"/>
      <c r="I359" s="365" t="s">
        <v>2330</v>
      </c>
      <c r="J359" s="365" t="s">
        <v>2328</v>
      </c>
      <c r="K359" s="311">
        <v>117134.93160000001</v>
      </c>
      <c r="L359" s="311">
        <v>0</v>
      </c>
      <c r="M359" s="311">
        <v>10974.907692307692</v>
      </c>
      <c r="N359" s="311">
        <v>11717.55476923077</v>
      </c>
      <c r="O359" s="311">
        <v>8202.2883384615398</v>
      </c>
      <c r="P359" s="68">
        <f t="shared" si="6"/>
        <v>148029.68240000002</v>
      </c>
      <c r="Q359" s="68">
        <f t="shared" si="7"/>
        <v>49293884.239200003</v>
      </c>
      <c r="R359" s="127">
        <f t="shared" si="8"/>
        <v>49293884.239200003</v>
      </c>
      <c r="S359" s="37"/>
    </row>
    <row r="360" spans="1:19">
      <c r="A360" s="26">
        <v>7</v>
      </c>
      <c r="B360" s="25" t="s">
        <v>152</v>
      </c>
      <c r="C360" s="26" t="s">
        <v>117</v>
      </c>
      <c r="D360" s="351">
        <v>437</v>
      </c>
      <c r="E360" s="59"/>
      <c r="F360" s="351">
        <v>437</v>
      </c>
      <c r="G360" s="365" t="s">
        <v>2362</v>
      </c>
      <c r="H360" s="365"/>
      <c r="I360" s="365" t="s">
        <v>2330</v>
      </c>
      <c r="J360" s="365" t="s">
        <v>2328</v>
      </c>
      <c r="K360" s="311">
        <v>85146.876000000018</v>
      </c>
      <c r="L360" s="311">
        <v>0</v>
      </c>
      <c r="M360" s="311">
        <v>9252.0923076923082</v>
      </c>
      <c r="N360" s="311">
        <v>8630.4092307692317</v>
      </c>
      <c r="O360" s="311">
        <v>6041.2864615384633</v>
      </c>
      <c r="P360" s="68">
        <f t="shared" si="6"/>
        <v>109070.66400000002</v>
      </c>
      <c r="Q360" s="68">
        <f t="shared" si="7"/>
        <v>47663880.168000005</v>
      </c>
      <c r="R360" s="127">
        <f t="shared" si="8"/>
        <v>47663880.168000005</v>
      </c>
      <c r="S360" s="37"/>
    </row>
    <row r="361" spans="1:19">
      <c r="A361" s="26">
        <v>8</v>
      </c>
      <c r="B361" s="25" t="s">
        <v>153</v>
      </c>
      <c r="C361" s="26" t="s">
        <v>117</v>
      </c>
      <c r="D361" s="351">
        <v>884</v>
      </c>
      <c r="E361" s="59"/>
      <c r="F361" s="351">
        <v>884</v>
      </c>
      <c r="G361" s="365" t="s">
        <v>2363</v>
      </c>
      <c r="H361" s="365"/>
      <c r="I361" s="365" t="s">
        <v>2330</v>
      </c>
      <c r="J361" s="365" t="s">
        <v>2328</v>
      </c>
      <c r="K361" s="311">
        <v>54275.98320000001</v>
      </c>
      <c r="L361" s="311">
        <v>0</v>
      </c>
      <c r="M361" s="311">
        <v>7437.1384615384613</v>
      </c>
      <c r="N361" s="311">
        <v>5637.601846153847</v>
      </c>
      <c r="O361" s="311">
        <v>3946.3212923076931</v>
      </c>
      <c r="P361" s="68">
        <f t="shared" si="6"/>
        <v>71297.044800000003</v>
      </c>
      <c r="Q361" s="68">
        <f t="shared" si="7"/>
        <v>63026587.603200004</v>
      </c>
      <c r="R361" s="127">
        <f t="shared" si="8"/>
        <v>63026587.603200004</v>
      </c>
      <c r="S361" s="37"/>
    </row>
    <row r="362" spans="1:19">
      <c r="A362" s="26">
        <v>9</v>
      </c>
      <c r="B362" s="25" t="s">
        <v>154</v>
      </c>
      <c r="C362" s="26" t="s">
        <v>117</v>
      </c>
      <c r="D362" s="351">
        <v>661</v>
      </c>
      <c r="E362" s="59"/>
      <c r="F362" s="351">
        <v>661</v>
      </c>
      <c r="G362" s="365" t="s">
        <v>2364</v>
      </c>
      <c r="H362" s="365"/>
      <c r="I362" s="365" t="s">
        <v>2330</v>
      </c>
      <c r="J362" s="365" t="s">
        <v>2328</v>
      </c>
      <c r="K362" s="311">
        <v>34964.017200000002</v>
      </c>
      <c r="L362" s="311">
        <v>0</v>
      </c>
      <c r="M362" s="311">
        <v>6530.5307692307688</v>
      </c>
      <c r="N362" s="311">
        <v>3785.6310769230768</v>
      </c>
      <c r="O362" s="311">
        <v>2649.9417538461539</v>
      </c>
      <c r="P362" s="68">
        <f t="shared" si="6"/>
        <v>47930.120800000004</v>
      </c>
      <c r="Q362" s="68">
        <f t="shared" si="7"/>
        <v>31681809.848800004</v>
      </c>
      <c r="R362" s="127">
        <f t="shared" si="8"/>
        <v>31681809.848800004</v>
      </c>
      <c r="S362" s="37"/>
    </row>
    <row r="363" spans="1:19">
      <c r="A363" s="26">
        <v>10</v>
      </c>
      <c r="B363" s="25" t="s">
        <v>155</v>
      </c>
      <c r="C363" s="26" t="s">
        <v>117</v>
      </c>
      <c r="D363" s="351">
        <v>80</v>
      </c>
      <c r="E363" s="59"/>
      <c r="F363" s="351">
        <v>80</v>
      </c>
      <c r="G363" s="365" t="s">
        <v>2365</v>
      </c>
      <c r="H363" s="365"/>
      <c r="I363" s="365" t="s">
        <v>2330</v>
      </c>
      <c r="J363" s="365" t="s">
        <v>2328</v>
      </c>
      <c r="K363" s="311">
        <v>21240.219600000004</v>
      </c>
      <c r="L363" s="311">
        <v>0</v>
      </c>
      <c r="M363" s="311">
        <v>5414.7925925925929</v>
      </c>
      <c r="N363" s="311">
        <v>2427.8291851851855</v>
      </c>
      <c r="O363" s="311">
        <v>1699.48042962963</v>
      </c>
      <c r="P363" s="68">
        <f t="shared" si="6"/>
        <v>30782.321807407414</v>
      </c>
      <c r="Q363" s="68">
        <f t="shared" si="7"/>
        <v>2462585.7445925931</v>
      </c>
      <c r="R363" s="127">
        <f t="shared" si="8"/>
        <v>2462585.7445925931</v>
      </c>
      <c r="S363" s="37"/>
    </row>
    <row r="364" spans="1:19">
      <c r="A364" s="26">
        <v>11</v>
      </c>
      <c r="B364" s="25" t="s">
        <v>156</v>
      </c>
      <c r="C364" s="26" t="s">
        <v>117</v>
      </c>
      <c r="D364" s="351">
        <v>379</v>
      </c>
      <c r="E364" s="59"/>
      <c r="F364" s="351">
        <v>379</v>
      </c>
      <c r="G364" s="365" t="s">
        <v>2366</v>
      </c>
      <c r="H364" s="365"/>
      <c r="I364" s="365" t="s">
        <v>2330</v>
      </c>
      <c r="J364" s="365" t="s">
        <v>2328</v>
      </c>
      <c r="K364" s="311">
        <v>14466.610800000002</v>
      </c>
      <c r="L364" s="311">
        <v>0</v>
      </c>
      <c r="M364" s="311">
        <v>4716.7037037037044</v>
      </c>
      <c r="N364" s="311">
        <v>1744.6194074074076</v>
      </c>
      <c r="O364" s="311">
        <v>1221.2335851851853</v>
      </c>
      <c r="P364" s="68">
        <f t="shared" si="6"/>
        <v>22149.167496296301</v>
      </c>
      <c r="Q364" s="68">
        <f t="shared" si="7"/>
        <v>8394534.4810962975</v>
      </c>
      <c r="R364" s="127">
        <f t="shared" si="8"/>
        <v>8394534.4810962975</v>
      </c>
      <c r="S364" s="37"/>
    </row>
    <row r="365" spans="1:19">
      <c r="A365" s="234"/>
      <c r="B365" s="236" t="s">
        <v>2286</v>
      </c>
      <c r="C365" s="235"/>
      <c r="D365" s="351"/>
      <c r="E365" s="59"/>
      <c r="F365" s="351"/>
      <c r="G365" s="366"/>
      <c r="H365" s="366"/>
      <c r="I365" s="37"/>
      <c r="J365" s="37"/>
      <c r="K365" s="37"/>
      <c r="L365" s="37"/>
      <c r="M365" s="37"/>
      <c r="N365" s="37"/>
      <c r="O365" s="37"/>
      <c r="P365" s="37"/>
      <c r="Q365" s="66"/>
      <c r="R365" s="66"/>
      <c r="S365" s="37"/>
    </row>
    <row r="366" spans="1:19">
      <c r="A366" s="24">
        <v>1</v>
      </c>
      <c r="B366" s="25" t="s">
        <v>2287</v>
      </c>
      <c r="C366" s="26" t="s">
        <v>117</v>
      </c>
      <c r="D366" s="351">
        <v>1400</v>
      </c>
      <c r="E366" s="59"/>
      <c r="F366" s="351">
        <v>1400</v>
      </c>
      <c r="G366" s="37"/>
      <c r="H366" s="365" t="s">
        <v>2367</v>
      </c>
      <c r="I366" s="365" t="s">
        <v>2368</v>
      </c>
      <c r="J366" s="365" t="s">
        <v>2328</v>
      </c>
      <c r="K366" s="311">
        <v>66811.250000000015</v>
      </c>
      <c r="L366" s="311">
        <v>0</v>
      </c>
      <c r="M366" s="311">
        <v>20728.72</v>
      </c>
      <c r="N366" s="311">
        <v>7746.9000000000005</v>
      </c>
      <c r="O366" s="311">
        <v>5422.8300000000008</v>
      </c>
      <c r="P366" s="68">
        <f>SUM(K366:O366)</f>
        <v>100709.70000000001</v>
      </c>
      <c r="Q366" s="68">
        <f>D366*P366</f>
        <v>140993580.00000003</v>
      </c>
      <c r="R366" s="127">
        <f>F366*P366</f>
        <v>140993580.00000003</v>
      </c>
      <c r="S366" s="37"/>
    </row>
    <row r="367" spans="1:19">
      <c r="A367" s="183" t="s">
        <v>144</v>
      </c>
      <c r="B367" s="184" t="s">
        <v>158</v>
      </c>
      <c r="C367" s="183"/>
      <c r="D367" s="355"/>
      <c r="E367" s="186"/>
      <c r="F367" s="355"/>
      <c r="G367" s="260"/>
      <c r="H367" s="260"/>
      <c r="I367" s="260"/>
      <c r="J367" s="260"/>
      <c r="K367" s="260"/>
      <c r="L367" s="260"/>
      <c r="M367" s="260"/>
      <c r="N367" s="260"/>
      <c r="O367" s="260"/>
      <c r="P367" s="260"/>
      <c r="Q367" s="208"/>
      <c r="R367" s="208"/>
      <c r="S367" s="260"/>
    </row>
    <row r="368" spans="1:19" ht="44.25" customHeight="1">
      <c r="A368" s="21">
        <v>1</v>
      </c>
      <c r="B368" s="22" t="s">
        <v>159</v>
      </c>
      <c r="C368" s="23" t="s">
        <v>7</v>
      </c>
      <c r="D368" s="351">
        <v>1</v>
      </c>
      <c r="E368" s="59"/>
      <c r="F368" s="351">
        <v>1</v>
      </c>
      <c r="G368" s="26" t="s">
        <v>2326</v>
      </c>
      <c r="H368" s="26"/>
      <c r="I368" s="26" t="s">
        <v>2327</v>
      </c>
      <c r="J368" s="26" t="s">
        <v>2328</v>
      </c>
      <c r="K368" s="311">
        <v>30457783.619999997</v>
      </c>
      <c r="L368" s="311">
        <v>0</v>
      </c>
      <c r="M368" s="311">
        <v>2486000.0000000009</v>
      </c>
      <c r="N368" s="311">
        <v>3296543.8000000003</v>
      </c>
      <c r="O368" s="311">
        <v>2307580.66</v>
      </c>
      <c r="P368" s="68">
        <f>SUM(K368:O368)</f>
        <v>38547908.079999998</v>
      </c>
      <c r="Q368" s="68">
        <f>D368*P368</f>
        <v>38547908.079999998</v>
      </c>
      <c r="R368" s="127">
        <f>F368*P368</f>
        <v>38547908.079999998</v>
      </c>
      <c r="S368" s="37"/>
    </row>
    <row r="369" spans="1:19" ht="30">
      <c r="A369" s="24"/>
      <c r="B369" s="25" t="s">
        <v>160</v>
      </c>
      <c r="C369" s="26" t="s">
        <v>8</v>
      </c>
      <c r="D369" s="351">
        <v>1</v>
      </c>
      <c r="E369" s="59"/>
      <c r="F369" s="351">
        <v>1</v>
      </c>
      <c r="G369" s="37"/>
      <c r="H369" s="37"/>
      <c r="I369" s="37"/>
      <c r="J369" s="37"/>
      <c r="K369" s="37"/>
      <c r="L369" s="37"/>
      <c r="M369" s="37"/>
      <c r="N369" s="37"/>
      <c r="O369" s="37"/>
      <c r="P369" s="37"/>
      <c r="Q369" s="66"/>
      <c r="R369" s="66"/>
      <c r="S369" s="37"/>
    </row>
    <row r="370" spans="1:19">
      <c r="A370" s="24"/>
      <c r="B370" s="25" t="s">
        <v>161</v>
      </c>
      <c r="C370" s="26"/>
      <c r="D370" s="351"/>
      <c r="E370" s="59"/>
      <c r="F370" s="351"/>
      <c r="G370" s="37"/>
      <c r="H370" s="37"/>
      <c r="I370" s="37"/>
      <c r="J370" s="37"/>
      <c r="K370" s="37"/>
      <c r="L370" s="37"/>
      <c r="M370" s="37"/>
      <c r="N370" s="37"/>
      <c r="O370" s="37"/>
      <c r="P370" s="37"/>
      <c r="Q370" s="66"/>
      <c r="R370" s="66"/>
      <c r="S370" s="37"/>
    </row>
    <row r="371" spans="1:19">
      <c r="A371" s="24"/>
      <c r="B371" s="25" t="s">
        <v>162</v>
      </c>
      <c r="C371" s="26" t="s">
        <v>8</v>
      </c>
      <c r="D371" s="351">
        <v>1</v>
      </c>
      <c r="E371" s="59"/>
      <c r="F371" s="351">
        <v>1</v>
      </c>
      <c r="G371" s="37"/>
      <c r="H371" s="37"/>
      <c r="I371" s="37"/>
      <c r="J371" s="37"/>
      <c r="K371" s="37"/>
      <c r="L371" s="37"/>
      <c r="M371" s="37"/>
      <c r="N371" s="37"/>
      <c r="O371" s="37"/>
      <c r="P371" s="37"/>
      <c r="Q371" s="66"/>
      <c r="R371" s="66"/>
      <c r="S371" s="37"/>
    </row>
    <row r="372" spans="1:19">
      <c r="A372" s="24"/>
      <c r="B372" s="25" t="s">
        <v>24</v>
      </c>
      <c r="C372" s="26" t="s">
        <v>8</v>
      </c>
      <c r="D372" s="351">
        <v>3</v>
      </c>
      <c r="E372" s="59"/>
      <c r="F372" s="351">
        <v>3</v>
      </c>
      <c r="G372" s="37"/>
      <c r="H372" s="37"/>
      <c r="I372" s="37"/>
      <c r="J372" s="37"/>
      <c r="K372" s="37"/>
      <c r="L372" s="37"/>
      <c r="M372" s="37"/>
      <c r="N372" s="37"/>
      <c r="O372" s="37"/>
      <c r="P372" s="37"/>
      <c r="Q372" s="66"/>
      <c r="R372" s="66"/>
      <c r="S372" s="37"/>
    </row>
    <row r="373" spans="1:19">
      <c r="A373" s="24"/>
      <c r="B373" s="25" t="s">
        <v>163</v>
      </c>
      <c r="C373" s="26" t="s">
        <v>8</v>
      </c>
      <c r="D373" s="351">
        <v>3</v>
      </c>
      <c r="E373" s="59"/>
      <c r="F373" s="351">
        <v>3</v>
      </c>
      <c r="G373" s="37"/>
      <c r="H373" s="37"/>
      <c r="I373" s="37"/>
      <c r="J373" s="37"/>
      <c r="K373" s="37"/>
      <c r="L373" s="37"/>
      <c r="M373" s="37"/>
      <c r="N373" s="37"/>
      <c r="O373" s="37"/>
      <c r="P373" s="37"/>
      <c r="Q373" s="66"/>
      <c r="R373" s="66"/>
      <c r="S373" s="37"/>
    </row>
    <row r="374" spans="1:19">
      <c r="A374" s="24"/>
      <c r="B374" s="25" t="s">
        <v>164</v>
      </c>
      <c r="C374" s="26"/>
      <c r="D374" s="351"/>
      <c r="E374" s="59"/>
      <c r="F374" s="351"/>
      <c r="G374" s="37"/>
      <c r="H374" s="37"/>
      <c r="I374" s="37"/>
      <c r="J374" s="37"/>
      <c r="K374" s="37"/>
      <c r="L374" s="37"/>
      <c r="M374" s="37"/>
      <c r="N374" s="37"/>
      <c r="O374" s="37"/>
      <c r="P374" s="37"/>
      <c r="Q374" s="66"/>
      <c r="R374" s="66"/>
      <c r="S374" s="37"/>
    </row>
    <row r="375" spans="1:19">
      <c r="A375" s="24"/>
      <c r="B375" s="25" t="s">
        <v>165</v>
      </c>
      <c r="C375" s="26" t="s">
        <v>8</v>
      </c>
      <c r="D375" s="351">
        <v>2</v>
      </c>
      <c r="E375" s="59"/>
      <c r="F375" s="351">
        <v>2</v>
      </c>
      <c r="G375" s="37"/>
      <c r="H375" s="37"/>
      <c r="I375" s="37"/>
      <c r="J375" s="37"/>
      <c r="K375" s="37"/>
      <c r="L375" s="37"/>
      <c r="M375" s="37"/>
      <c r="N375" s="37"/>
      <c r="O375" s="37"/>
      <c r="P375" s="37"/>
      <c r="Q375" s="66"/>
      <c r="R375" s="66"/>
      <c r="S375" s="37"/>
    </row>
    <row r="376" spans="1:19">
      <c r="A376" s="24"/>
      <c r="B376" s="25" t="s">
        <v>166</v>
      </c>
      <c r="C376" s="26" t="s">
        <v>8</v>
      </c>
      <c r="D376" s="351">
        <v>7</v>
      </c>
      <c r="E376" s="59"/>
      <c r="F376" s="351">
        <v>7</v>
      </c>
      <c r="G376" s="37"/>
      <c r="H376" s="37"/>
      <c r="I376" s="37"/>
      <c r="J376" s="37"/>
      <c r="K376" s="37"/>
      <c r="L376" s="37"/>
      <c r="M376" s="37"/>
      <c r="N376" s="37"/>
      <c r="O376" s="37"/>
      <c r="P376" s="37"/>
      <c r="Q376" s="66"/>
      <c r="R376" s="66"/>
      <c r="S376" s="37"/>
    </row>
    <row r="377" spans="1:19">
      <c r="A377" s="24"/>
      <c r="B377" s="25" t="s">
        <v>167</v>
      </c>
      <c r="C377" s="26" t="s">
        <v>8</v>
      </c>
      <c r="D377" s="351">
        <v>19</v>
      </c>
      <c r="E377" s="59"/>
      <c r="F377" s="351">
        <v>19</v>
      </c>
      <c r="G377" s="37"/>
      <c r="H377" s="37"/>
      <c r="I377" s="37"/>
      <c r="J377" s="37"/>
      <c r="K377" s="37"/>
      <c r="L377" s="37"/>
      <c r="M377" s="37"/>
      <c r="N377" s="37"/>
      <c r="O377" s="37"/>
      <c r="P377" s="37"/>
      <c r="Q377" s="66"/>
      <c r="R377" s="66"/>
      <c r="S377" s="37"/>
    </row>
    <row r="378" spans="1:19">
      <c r="A378" s="24"/>
      <c r="B378" s="25" t="s">
        <v>168</v>
      </c>
      <c r="C378" s="26" t="s">
        <v>8</v>
      </c>
      <c r="D378" s="351">
        <v>1</v>
      </c>
      <c r="E378" s="59"/>
      <c r="F378" s="351">
        <v>1</v>
      </c>
      <c r="G378" s="37"/>
      <c r="H378" s="37"/>
      <c r="I378" s="37"/>
      <c r="J378" s="37"/>
      <c r="K378" s="37"/>
      <c r="L378" s="37"/>
      <c r="M378" s="37"/>
      <c r="N378" s="37"/>
      <c r="O378" s="37"/>
      <c r="P378" s="37"/>
      <c r="Q378" s="66"/>
      <c r="R378" s="66"/>
      <c r="S378" s="37"/>
    </row>
    <row r="379" spans="1:19">
      <c r="A379" s="24"/>
      <c r="B379" s="25" t="s">
        <v>169</v>
      </c>
      <c r="C379" s="26"/>
      <c r="D379" s="351"/>
      <c r="E379" s="59"/>
      <c r="F379" s="351"/>
      <c r="G379" s="37"/>
      <c r="H379" s="37"/>
      <c r="I379" s="37"/>
      <c r="J379" s="37"/>
      <c r="K379" s="37"/>
      <c r="L379" s="37"/>
      <c r="M379" s="37"/>
      <c r="N379" s="37"/>
      <c r="O379" s="37"/>
      <c r="P379" s="37"/>
      <c r="Q379" s="66"/>
      <c r="R379" s="66"/>
      <c r="S379" s="37"/>
    </row>
    <row r="380" spans="1:19">
      <c r="A380" s="24"/>
      <c r="B380" s="25" t="s">
        <v>170</v>
      </c>
      <c r="C380" s="26" t="s">
        <v>8</v>
      </c>
      <c r="D380" s="351">
        <v>29</v>
      </c>
      <c r="E380" s="59"/>
      <c r="F380" s="351">
        <v>29</v>
      </c>
      <c r="G380" s="37"/>
      <c r="H380" s="37"/>
      <c r="I380" s="37"/>
      <c r="J380" s="37"/>
      <c r="K380" s="37"/>
      <c r="L380" s="37"/>
      <c r="M380" s="37"/>
      <c r="N380" s="37"/>
      <c r="O380" s="37"/>
      <c r="P380" s="37"/>
      <c r="Q380" s="66"/>
      <c r="R380" s="66"/>
      <c r="S380" s="37"/>
    </row>
    <row r="381" spans="1:19">
      <c r="A381" s="24"/>
      <c r="B381" s="25" t="s">
        <v>171</v>
      </c>
      <c r="C381" s="26" t="s">
        <v>8</v>
      </c>
      <c r="D381" s="351">
        <v>1</v>
      </c>
      <c r="E381" s="59"/>
      <c r="F381" s="351">
        <v>1</v>
      </c>
      <c r="G381" s="37"/>
      <c r="H381" s="37"/>
      <c r="I381" s="37"/>
      <c r="J381" s="37"/>
      <c r="K381" s="37"/>
      <c r="L381" s="37"/>
      <c r="M381" s="37"/>
      <c r="N381" s="37"/>
      <c r="O381" s="37"/>
      <c r="P381" s="37"/>
      <c r="Q381" s="66"/>
      <c r="R381" s="66"/>
      <c r="S381" s="37"/>
    </row>
    <row r="382" spans="1:19">
      <c r="A382" s="24"/>
      <c r="B382" s="25" t="s">
        <v>172</v>
      </c>
      <c r="C382" s="26" t="s">
        <v>78</v>
      </c>
      <c r="D382" s="351">
        <v>1</v>
      </c>
      <c r="E382" s="59"/>
      <c r="F382" s="351">
        <v>1</v>
      </c>
      <c r="G382" s="37"/>
      <c r="H382" s="37"/>
      <c r="I382" s="37"/>
      <c r="J382" s="37"/>
      <c r="K382" s="37"/>
      <c r="L382" s="37"/>
      <c r="M382" s="37"/>
      <c r="N382" s="37"/>
      <c r="O382" s="37"/>
      <c r="P382" s="37"/>
      <c r="Q382" s="66"/>
      <c r="R382" s="66"/>
      <c r="S382" s="37"/>
    </row>
    <row r="383" spans="1:19">
      <c r="A383" s="24"/>
      <c r="B383" s="25" t="s">
        <v>173</v>
      </c>
      <c r="C383" s="26" t="s">
        <v>8</v>
      </c>
      <c r="D383" s="351">
        <v>1</v>
      </c>
      <c r="E383" s="59"/>
      <c r="F383" s="351">
        <v>1</v>
      </c>
      <c r="G383" s="37"/>
      <c r="H383" s="37"/>
      <c r="I383" s="37"/>
      <c r="J383" s="37"/>
      <c r="K383" s="37"/>
      <c r="L383" s="37"/>
      <c r="M383" s="37"/>
      <c r="N383" s="37"/>
      <c r="O383" s="37"/>
      <c r="P383" s="37"/>
      <c r="Q383" s="66"/>
      <c r="R383" s="66"/>
      <c r="S383" s="37"/>
    </row>
    <row r="384" spans="1:19">
      <c r="A384" s="24"/>
      <c r="B384" s="25" t="s">
        <v>174</v>
      </c>
      <c r="C384" s="26" t="s">
        <v>17</v>
      </c>
      <c r="D384" s="351">
        <v>1</v>
      </c>
      <c r="E384" s="59"/>
      <c r="F384" s="351">
        <v>1</v>
      </c>
      <c r="G384" s="37"/>
      <c r="H384" s="37"/>
      <c r="I384" s="37"/>
      <c r="J384" s="37"/>
      <c r="K384" s="37"/>
      <c r="L384" s="37"/>
      <c r="M384" s="37"/>
      <c r="N384" s="37"/>
      <c r="O384" s="37"/>
      <c r="P384" s="37"/>
      <c r="Q384" s="66"/>
      <c r="R384" s="66"/>
      <c r="S384" s="37"/>
    </row>
    <row r="385" spans="1:19">
      <c r="A385" s="24"/>
      <c r="B385" s="25" t="s">
        <v>175</v>
      </c>
      <c r="C385" s="26" t="s">
        <v>17</v>
      </c>
      <c r="D385" s="351">
        <v>1</v>
      </c>
      <c r="E385" s="59"/>
      <c r="F385" s="351">
        <v>1</v>
      </c>
      <c r="G385" s="37"/>
      <c r="H385" s="37"/>
      <c r="I385" s="37"/>
      <c r="J385" s="37"/>
      <c r="K385" s="37"/>
      <c r="L385" s="37"/>
      <c r="M385" s="37"/>
      <c r="N385" s="37"/>
      <c r="O385" s="37"/>
      <c r="P385" s="37"/>
      <c r="Q385" s="66"/>
      <c r="R385" s="66"/>
      <c r="S385" s="37"/>
    </row>
    <row r="386" spans="1:19" ht="30">
      <c r="A386" s="24"/>
      <c r="B386" s="25" t="s">
        <v>176</v>
      </c>
      <c r="C386" s="26" t="s">
        <v>78</v>
      </c>
      <c r="D386" s="351">
        <v>1</v>
      </c>
      <c r="E386" s="59"/>
      <c r="F386" s="351">
        <v>1</v>
      </c>
      <c r="G386" s="37"/>
      <c r="H386" s="37"/>
      <c r="I386" s="37"/>
      <c r="J386" s="37"/>
      <c r="K386" s="37"/>
      <c r="L386" s="37"/>
      <c r="M386" s="37"/>
      <c r="N386" s="37"/>
      <c r="O386" s="37"/>
      <c r="P386" s="37"/>
      <c r="Q386" s="66"/>
      <c r="R386" s="66"/>
      <c r="S386" s="37"/>
    </row>
    <row r="387" spans="1:19" ht="60">
      <c r="A387" s="24">
        <v>2</v>
      </c>
      <c r="B387" s="25" t="s">
        <v>177</v>
      </c>
      <c r="C387" s="26" t="s">
        <v>7</v>
      </c>
      <c r="D387" s="351">
        <v>1</v>
      </c>
      <c r="E387" s="60"/>
      <c r="F387" s="351">
        <v>1</v>
      </c>
      <c r="G387" s="26" t="s">
        <v>2326</v>
      </c>
      <c r="H387" s="26"/>
      <c r="I387" s="26" t="s">
        <v>2327</v>
      </c>
      <c r="J387" s="26" t="s">
        <v>2328</v>
      </c>
      <c r="K387" s="311">
        <v>31061231.189999998</v>
      </c>
      <c r="L387" s="311">
        <v>0</v>
      </c>
      <c r="M387" s="311">
        <v>2034000.0000000007</v>
      </c>
      <c r="N387" s="311">
        <v>3317498.1</v>
      </c>
      <c r="O387" s="311">
        <v>2322248.6700000004</v>
      </c>
      <c r="P387" s="68">
        <f>SUM(K387:O387)</f>
        <v>38734977.960000001</v>
      </c>
      <c r="Q387" s="68">
        <f>D387*P387</f>
        <v>38734977.960000001</v>
      </c>
      <c r="R387" s="127">
        <f>F387*P387</f>
        <v>38734977.960000001</v>
      </c>
      <c r="S387" s="38"/>
    </row>
    <row r="388" spans="1:19" ht="30">
      <c r="A388" s="24"/>
      <c r="B388" s="25" t="s">
        <v>160</v>
      </c>
      <c r="C388" s="26" t="s">
        <v>8</v>
      </c>
      <c r="D388" s="351">
        <v>1</v>
      </c>
      <c r="E388" s="57"/>
      <c r="F388" s="351">
        <v>1</v>
      </c>
      <c r="G388" s="36"/>
      <c r="H388" s="36"/>
      <c r="I388" s="36"/>
      <c r="J388" s="36"/>
      <c r="K388" s="36"/>
      <c r="L388" s="36"/>
      <c r="M388" s="36"/>
      <c r="N388" s="36"/>
      <c r="O388" s="36"/>
      <c r="P388" s="36"/>
      <c r="Q388" s="65"/>
      <c r="R388" s="65"/>
      <c r="S388" s="36"/>
    </row>
    <row r="389" spans="1:19">
      <c r="A389" s="24"/>
      <c r="B389" s="25" t="s">
        <v>161</v>
      </c>
      <c r="C389" s="26"/>
      <c r="D389" s="351"/>
      <c r="E389" s="53"/>
      <c r="F389" s="351"/>
      <c r="G389" s="15"/>
      <c r="H389" s="15"/>
      <c r="I389" s="15"/>
      <c r="J389" s="15"/>
      <c r="K389" s="15"/>
      <c r="L389" s="15"/>
      <c r="M389" s="15"/>
      <c r="N389" s="15"/>
      <c r="O389" s="15"/>
      <c r="P389" s="15"/>
      <c r="Q389" s="66"/>
      <c r="R389" s="66"/>
      <c r="S389" s="15"/>
    </row>
    <row r="390" spans="1:19">
      <c r="A390" s="24"/>
      <c r="B390" s="25" t="s">
        <v>178</v>
      </c>
      <c r="C390" s="26" t="s">
        <v>8</v>
      </c>
      <c r="D390" s="351">
        <v>1</v>
      </c>
      <c r="E390" s="58"/>
      <c r="F390" s="351">
        <v>1</v>
      </c>
      <c r="G390" s="18"/>
      <c r="H390" s="18"/>
      <c r="I390" s="18"/>
      <c r="J390" s="18"/>
      <c r="K390" s="18"/>
      <c r="L390" s="18"/>
      <c r="M390" s="18"/>
      <c r="N390" s="18"/>
      <c r="O390" s="18"/>
      <c r="P390" s="18"/>
      <c r="Q390" s="65"/>
      <c r="R390" s="65"/>
      <c r="S390" s="18"/>
    </row>
    <row r="391" spans="1:19">
      <c r="A391" s="24"/>
      <c r="B391" s="25" t="s">
        <v>24</v>
      </c>
      <c r="C391" s="26" t="s">
        <v>8</v>
      </c>
      <c r="D391" s="351">
        <v>3</v>
      </c>
      <c r="E391" s="53"/>
      <c r="F391" s="351">
        <v>3</v>
      </c>
      <c r="G391" s="15"/>
      <c r="H391" s="15"/>
      <c r="I391" s="15"/>
      <c r="J391" s="15"/>
      <c r="K391" s="15"/>
      <c r="L391" s="15"/>
      <c r="M391" s="15"/>
      <c r="N391" s="15"/>
      <c r="O391" s="15"/>
      <c r="P391" s="15"/>
      <c r="Q391" s="66"/>
      <c r="R391" s="66"/>
      <c r="S391" s="15"/>
    </row>
    <row r="392" spans="1:19">
      <c r="A392" s="24"/>
      <c r="B392" s="25" t="s">
        <v>163</v>
      </c>
      <c r="C392" s="26" t="s">
        <v>8</v>
      </c>
      <c r="D392" s="351">
        <v>3</v>
      </c>
      <c r="E392" s="53"/>
      <c r="F392" s="351">
        <v>3</v>
      </c>
      <c r="G392" s="15"/>
      <c r="H392" s="15"/>
      <c r="I392" s="15"/>
      <c r="J392" s="15"/>
      <c r="K392" s="15"/>
      <c r="L392" s="15"/>
      <c r="M392" s="15"/>
      <c r="N392" s="15"/>
      <c r="O392" s="15"/>
      <c r="P392" s="15"/>
      <c r="Q392" s="66"/>
      <c r="R392" s="66"/>
      <c r="S392" s="15"/>
    </row>
    <row r="393" spans="1:19">
      <c r="A393" s="24"/>
      <c r="B393" s="25" t="s">
        <v>164</v>
      </c>
      <c r="C393" s="26"/>
      <c r="D393" s="351"/>
      <c r="E393" s="53"/>
      <c r="F393" s="351"/>
      <c r="G393" s="15"/>
      <c r="H393" s="15"/>
      <c r="I393" s="15"/>
      <c r="J393" s="15"/>
      <c r="K393" s="15"/>
      <c r="L393" s="15"/>
      <c r="M393" s="15"/>
      <c r="N393" s="15"/>
      <c r="O393" s="15"/>
      <c r="P393" s="15"/>
      <c r="Q393" s="66"/>
      <c r="R393" s="66"/>
      <c r="S393" s="15"/>
    </row>
    <row r="394" spans="1:19">
      <c r="A394" s="24"/>
      <c r="B394" s="25" t="s">
        <v>179</v>
      </c>
      <c r="C394" s="26" t="s">
        <v>8</v>
      </c>
      <c r="D394" s="351">
        <v>3</v>
      </c>
      <c r="E394" s="53"/>
      <c r="F394" s="351">
        <v>3</v>
      </c>
      <c r="G394" s="15"/>
      <c r="H394" s="15"/>
      <c r="I394" s="15"/>
      <c r="J394" s="15"/>
      <c r="K394" s="15"/>
      <c r="L394" s="15"/>
      <c r="M394" s="15"/>
      <c r="N394" s="15"/>
      <c r="O394" s="15"/>
      <c r="P394" s="15"/>
      <c r="Q394" s="66"/>
      <c r="R394" s="66"/>
      <c r="S394" s="15"/>
    </row>
    <row r="395" spans="1:19">
      <c r="A395" s="24"/>
      <c r="B395" s="25" t="s">
        <v>180</v>
      </c>
      <c r="C395" s="26" t="s">
        <v>8</v>
      </c>
      <c r="D395" s="351">
        <v>2</v>
      </c>
      <c r="E395" s="59"/>
      <c r="F395" s="351">
        <v>2</v>
      </c>
      <c r="G395" s="37"/>
      <c r="H395" s="37"/>
      <c r="I395" s="37"/>
      <c r="J395" s="37"/>
      <c r="K395" s="37"/>
      <c r="L395" s="37"/>
      <c r="M395" s="37"/>
      <c r="N395" s="37"/>
      <c r="O395" s="37"/>
      <c r="P395" s="37"/>
      <c r="Q395" s="66"/>
      <c r="R395" s="66"/>
      <c r="S395" s="37"/>
    </row>
    <row r="396" spans="1:19">
      <c r="A396" s="24"/>
      <c r="B396" s="25" t="s">
        <v>166</v>
      </c>
      <c r="C396" s="26" t="s">
        <v>8</v>
      </c>
      <c r="D396" s="351">
        <v>11</v>
      </c>
      <c r="E396" s="59"/>
      <c r="F396" s="351">
        <v>11</v>
      </c>
      <c r="G396" s="37"/>
      <c r="H396" s="37"/>
      <c r="I396" s="37"/>
      <c r="J396" s="37"/>
      <c r="K396" s="37"/>
      <c r="L396" s="37"/>
      <c r="M396" s="37"/>
      <c r="N396" s="37"/>
      <c r="O396" s="37"/>
      <c r="P396" s="37"/>
      <c r="Q396" s="66"/>
      <c r="R396" s="66"/>
      <c r="S396" s="37"/>
    </row>
    <row r="397" spans="1:19">
      <c r="A397" s="24"/>
      <c r="B397" s="25" t="s">
        <v>167</v>
      </c>
      <c r="C397" s="26" t="s">
        <v>8</v>
      </c>
      <c r="D397" s="351">
        <v>14</v>
      </c>
      <c r="E397" s="61"/>
      <c r="F397" s="351">
        <v>14</v>
      </c>
      <c r="G397" s="39"/>
      <c r="H397" s="39"/>
      <c r="I397" s="39"/>
      <c r="J397" s="39"/>
      <c r="K397" s="39"/>
      <c r="L397" s="39"/>
      <c r="M397" s="39"/>
      <c r="N397" s="39"/>
      <c r="O397" s="39"/>
      <c r="P397" s="39"/>
      <c r="Q397" s="65"/>
      <c r="R397" s="65"/>
      <c r="S397" s="39"/>
    </row>
    <row r="398" spans="1:19">
      <c r="A398" s="24"/>
      <c r="B398" s="25" t="s">
        <v>168</v>
      </c>
      <c r="C398" s="26" t="s">
        <v>8</v>
      </c>
      <c r="D398" s="351">
        <v>1</v>
      </c>
      <c r="E398" s="57"/>
      <c r="F398" s="351">
        <v>1</v>
      </c>
      <c r="G398" s="36"/>
      <c r="H398" s="36"/>
      <c r="I398" s="36"/>
      <c r="J398" s="36"/>
      <c r="K398" s="36"/>
      <c r="L398" s="36"/>
      <c r="M398" s="36"/>
      <c r="N398" s="36"/>
      <c r="O398" s="36"/>
      <c r="P398" s="36"/>
      <c r="Q398" s="65"/>
      <c r="R398" s="65"/>
      <c r="S398" s="36"/>
    </row>
    <row r="399" spans="1:19">
      <c r="A399" s="24"/>
      <c r="B399" s="25" t="s">
        <v>169</v>
      </c>
      <c r="C399" s="26"/>
      <c r="D399" s="351"/>
      <c r="E399" s="53"/>
      <c r="F399" s="351"/>
      <c r="G399" s="15"/>
      <c r="H399" s="15"/>
      <c r="I399" s="15"/>
      <c r="J399" s="15"/>
      <c r="K399" s="15"/>
      <c r="L399" s="15"/>
      <c r="M399" s="15"/>
      <c r="N399" s="15"/>
      <c r="O399" s="15"/>
      <c r="P399" s="15"/>
      <c r="Q399" s="66"/>
      <c r="R399" s="66"/>
      <c r="S399" s="15"/>
    </row>
    <row r="400" spans="1:19">
      <c r="A400" s="24"/>
      <c r="B400" s="25" t="s">
        <v>170</v>
      </c>
      <c r="C400" s="26" t="s">
        <v>8</v>
      </c>
      <c r="D400" s="351">
        <v>19</v>
      </c>
      <c r="E400" s="58"/>
      <c r="F400" s="351">
        <v>19</v>
      </c>
      <c r="G400" s="18"/>
      <c r="H400" s="18"/>
      <c r="I400" s="18"/>
      <c r="J400" s="18"/>
      <c r="K400" s="18"/>
      <c r="L400" s="18"/>
      <c r="M400" s="18"/>
      <c r="N400" s="18"/>
      <c r="O400" s="18"/>
      <c r="P400" s="18"/>
      <c r="Q400" s="65"/>
      <c r="R400" s="65"/>
      <c r="S400" s="18"/>
    </row>
    <row r="401" spans="1:19">
      <c r="A401" s="24"/>
      <c r="B401" s="25" t="s">
        <v>171</v>
      </c>
      <c r="C401" s="26" t="s">
        <v>8</v>
      </c>
      <c r="D401" s="351">
        <v>1</v>
      </c>
      <c r="E401" s="53"/>
      <c r="F401" s="351">
        <v>1</v>
      </c>
      <c r="G401" s="15"/>
      <c r="H401" s="15"/>
      <c r="I401" s="15"/>
      <c r="J401" s="15"/>
      <c r="K401" s="15"/>
      <c r="L401" s="15"/>
      <c r="M401" s="15"/>
      <c r="N401" s="15"/>
      <c r="O401" s="15"/>
      <c r="P401" s="15"/>
      <c r="Q401" s="66"/>
      <c r="R401" s="66"/>
      <c r="S401" s="15"/>
    </row>
    <row r="402" spans="1:19">
      <c r="A402" s="24"/>
      <c r="B402" s="25" t="s">
        <v>172</v>
      </c>
      <c r="C402" s="26" t="s">
        <v>78</v>
      </c>
      <c r="D402" s="351">
        <v>1</v>
      </c>
      <c r="E402" s="53"/>
      <c r="F402" s="351">
        <v>1</v>
      </c>
      <c r="G402" s="15"/>
      <c r="H402" s="15"/>
      <c r="I402" s="15"/>
      <c r="J402" s="15"/>
      <c r="K402" s="15"/>
      <c r="L402" s="15"/>
      <c r="M402" s="15"/>
      <c r="N402" s="15"/>
      <c r="O402" s="15"/>
      <c r="P402" s="15"/>
      <c r="Q402" s="66"/>
      <c r="R402" s="66"/>
      <c r="S402" s="15"/>
    </row>
    <row r="403" spans="1:19">
      <c r="A403" s="24"/>
      <c r="B403" s="25" t="s">
        <v>181</v>
      </c>
      <c r="C403" s="26" t="s">
        <v>17</v>
      </c>
      <c r="D403" s="351">
        <v>1</v>
      </c>
      <c r="E403" s="53"/>
      <c r="F403" s="351">
        <v>1</v>
      </c>
      <c r="G403" s="15"/>
      <c r="H403" s="15"/>
      <c r="I403" s="15"/>
      <c r="J403" s="15"/>
      <c r="K403" s="15"/>
      <c r="L403" s="15"/>
      <c r="M403" s="15"/>
      <c r="N403" s="15"/>
      <c r="O403" s="15"/>
      <c r="P403" s="15"/>
      <c r="Q403" s="66"/>
      <c r="R403" s="66"/>
      <c r="S403" s="15"/>
    </row>
    <row r="404" spans="1:19">
      <c r="A404" s="24"/>
      <c r="B404" s="25" t="s">
        <v>182</v>
      </c>
      <c r="C404" s="26" t="s">
        <v>8</v>
      </c>
      <c r="D404" s="351">
        <v>1</v>
      </c>
      <c r="E404" s="312"/>
      <c r="F404" s="351">
        <v>1</v>
      </c>
      <c r="G404" s="26"/>
      <c r="H404" s="26"/>
      <c r="I404" s="26"/>
      <c r="J404" s="26"/>
      <c r="K404" s="26"/>
      <c r="L404" s="26"/>
      <c r="M404" s="26"/>
      <c r="N404" s="26"/>
      <c r="O404" s="26"/>
      <c r="P404" s="26"/>
      <c r="Q404" s="66"/>
      <c r="R404" s="66"/>
      <c r="S404" s="26"/>
    </row>
    <row r="405" spans="1:19">
      <c r="A405" s="24"/>
      <c r="B405" s="25" t="s">
        <v>183</v>
      </c>
      <c r="C405" s="26" t="s">
        <v>8</v>
      </c>
      <c r="D405" s="351">
        <v>1</v>
      </c>
      <c r="E405" s="62"/>
      <c r="F405" s="351">
        <v>1</v>
      </c>
      <c r="G405" s="40"/>
      <c r="H405" s="40"/>
      <c r="I405" s="40"/>
      <c r="J405" s="40"/>
      <c r="K405" s="40"/>
      <c r="L405" s="40"/>
      <c r="M405" s="40"/>
      <c r="N405" s="40"/>
      <c r="O405" s="40"/>
      <c r="P405" s="40"/>
      <c r="Q405" s="66"/>
      <c r="R405" s="66"/>
      <c r="S405" s="40"/>
    </row>
    <row r="406" spans="1:19">
      <c r="A406" s="24"/>
      <c r="B406" s="25" t="s">
        <v>184</v>
      </c>
      <c r="C406" s="26" t="s">
        <v>8</v>
      </c>
      <c r="D406" s="351">
        <v>1</v>
      </c>
      <c r="E406" s="62"/>
      <c r="F406" s="351">
        <v>1</v>
      </c>
      <c r="G406" s="40"/>
      <c r="H406" s="40"/>
      <c r="I406" s="40"/>
      <c r="J406" s="40"/>
      <c r="K406" s="40"/>
      <c r="L406" s="40"/>
      <c r="M406" s="40"/>
      <c r="N406" s="40"/>
      <c r="O406" s="40"/>
      <c r="P406" s="40"/>
      <c r="Q406" s="66"/>
      <c r="R406" s="66"/>
      <c r="S406" s="40"/>
    </row>
    <row r="407" spans="1:19">
      <c r="A407" s="24"/>
      <c r="B407" s="25" t="s">
        <v>185</v>
      </c>
      <c r="C407" s="26" t="s">
        <v>8</v>
      </c>
      <c r="D407" s="351">
        <v>1</v>
      </c>
      <c r="E407" s="53"/>
      <c r="F407" s="351">
        <v>1</v>
      </c>
      <c r="G407" s="15"/>
      <c r="H407" s="15"/>
      <c r="I407" s="15"/>
      <c r="J407" s="15"/>
      <c r="K407" s="15"/>
      <c r="L407" s="15"/>
      <c r="M407" s="15"/>
      <c r="N407" s="15"/>
      <c r="O407" s="15"/>
      <c r="P407" s="15"/>
      <c r="Q407" s="66"/>
      <c r="R407" s="66"/>
      <c r="S407" s="15"/>
    </row>
    <row r="408" spans="1:19">
      <c r="A408" s="24"/>
      <c r="B408" s="25" t="s">
        <v>186</v>
      </c>
      <c r="C408" s="26" t="s">
        <v>8</v>
      </c>
      <c r="D408" s="351">
        <v>2</v>
      </c>
      <c r="E408" s="59"/>
      <c r="F408" s="351">
        <v>2</v>
      </c>
      <c r="G408" s="37"/>
      <c r="H408" s="37"/>
      <c r="I408" s="37"/>
      <c r="J408" s="37"/>
      <c r="K408" s="37"/>
      <c r="L408" s="37"/>
      <c r="M408" s="37"/>
      <c r="N408" s="37"/>
      <c r="O408" s="37"/>
      <c r="P408" s="37"/>
      <c r="Q408" s="66"/>
      <c r="R408" s="66"/>
      <c r="S408" s="37"/>
    </row>
    <row r="409" spans="1:19">
      <c r="A409" s="24"/>
      <c r="B409" s="25" t="s">
        <v>187</v>
      </c>
      <c r="C409" s="26" t="s">
        <v>78</v>
      </c>
      <c r="D409" s="351">
        <v>1</v>
      </c>
      <c r="E409" s="59"/>
      <c r="F409" s="351">
        <v>1</v>
      </c>
      <c r="G409" s="37"/>
      <c r="H409" s="37"/>
      <c r="I409" s="37"/>
      <c r="J409" s="37"/>
      <c r="K409" s="37"/>
      <c r="L409" s="37"/>
      <c r="M409" s="37"/>
      <c r="N409" s="37"/>
      <c r="O409" s="37"/>
      <c r="P409" s="37"/>
      <c r="Q409" s="66"/>
      <c r="R409" s="66"/>
      <c r="S409" s="37"/>
    </row>
    <row r="410" spans="1:19">
      <c r="A410" s="24"/>
      <c r="B410" s="25" t="s">
        <v>188</v>
      </c>
      <c r="C410" s="26" t="s">
        <v>17</v>
      </c>
      <c r="D410" s="351">
        <v>1</v>
      </c>
      <c r="E410" s="59"/>
      <c r="F410" s="351">
        <v>1</v>
      </c>
      <c r="G410" s="37"/>
      <c r="H410" s="37"/>
      <c r="I410" s="37"/>
      <c r="J410" s="37"/>
      <c r="K410" s="37"/>
      <c r="L410" s="37"/>
      <c r="M410" s="37"/>
      <c r="N410" s="37"/>
      <c r="O410" s="37"/>
      <c r="P410" s="37"/>
      <c r="Q410" s="66"/>
      <c r="R410" s="66"/>
      <c r="S410" s="37"/>
    </row>
    <row r="411" spans="1:19">
      <c r="A411" s="24"/>
      <c r="B411" s="25" t="s">
        <v>189</v>
      </c>
      <c r="C411" s="26" t="s">
        <v>8</v>
      </c>
      <c r="D411" s="351">
        <v>1</v>
      </c>
      <c r="E411" s="59"/>
      <c r="F411" s="351">
        <v>1</v>
      </c>
      <c r="G411" s="37"/>
      <c r="H411" s="37"/>
      <c r="I411" s="37"/>
      <c r="J411" s="37"/>
      <c r="K411" s="37"/>
      <c r="L411" s="37"/>
      <c r="M411" s="37"/>
      <c r="N411" s="37"/>
      <c r="O411" s="37"/>
      <c r="P411" s="37"/>
      <c r="Q411" s="66"/>
      <c r="R411" s="66"/>
      <c r="S411" s="37"/>
    </row>
    <row r="412" spans="1:19">
      <c r="A412" s="24"/>
      <c r="B412" s="25" t="s">
        <v>183</v>
      </c>
      <c r="C412" s="26" t="s">
        <v>8</v>
      </c>
      <c r="D412" s="351">
        <v>1</v>
      </c>
      <c r="E412" s="59"/>
      <c r="F412" s="351">
        <v>1</v>
      </c>
      <c r="G412" s="37"/>
      <c r="H412" s="37"/>
      <c r="I412" s="37"/>
      <c r="J412" s="37"/>
      <c r="K412" s="37"/>
      <c r="L412" s="37"/>
      <c r="M412" s="37"/>
      <c r="N412" s="37"/>
      <c r="O412" s="37"/>
      <c r="P412" s="37"/>
      <c r="Q412" s="66"/>
      <c r="R412" s="66"/>
      <c r="S412" s="37"/>
    </row>
    <row r="413" spans="1:19">
      <c r="A413" s="24"/>
      <c r="B413" s="25" t="s">
        <v>190</v>
      </c>
      <c r="C413" s="26" t="s">
        <v>8</v>
      </c>
      <c r="D413" s="351">
        <v>1</v>
      </c>
      <c r="E413" s="59"/>
      <c r="F413" s="351">
        <v>1</v>
      </c>
      <c r="G413" s="37"/>
      <c r="H413" s="37"/>
      <c r="I413" s="37"/>
      <c r="J413" s="37"/>
      <c r="K413" s="37"/>
      <c r="L413" s="37"/>
      <c r="M413" s="37"/>
      <c r="N413" s="37"/>
      <c r="O413" s="37"/>
      <c r="P413" s="37"/>
      <c r="Q413" s="66"/>
      <c r="R413" s="66"/>
      <c r="S413" s="37"/>
    </row>
    <row r="414" spans="1:19">
      <c r="A414" s="24"/>
      <c r="B414" s="25" t="s">
        <v>185</v>
      </c>
      <c r="C414" s="26" t="s">
        <v>8</v>
      </c>
      <c r="D414" s="351">
        <v>1</v>
      </c>
      <c r="E414" s="59"/>
      <c r="F414" s="351">
        <v>1</v>
      </c>
      <c r="G414" s="37"/>
      <c r="H414" s="37"/>
      <c r="I414" s="37"/>
      <c r="J414" s="37"/>
      <c r="K414" s="37"/>
      <c r="L414" s="37"/>
      <c r="M414" s="37"/>
      <c r="N414" s="37"/>
      <c r="O414" s="37"/>
      <c r="P414" s="37"/>
      <c r="Q414" s="66"/>
      <c r="R414" s="66"/>
      <c r="S414" s="37"/>
    </row>
    <row r="415" spans="1:19">
      <c r="A415" s="24"/>
      <c r="B415" s="25" t="s">
        <v>186</v>
      </c>
      <c r="C415" s="26" t="s">
        <v>8</v>
      </c>
      <c r="D415" s="351">
        <v>2</v>
      </c>
      <c r="E415" s="59"/>
      <c r="F415" s="351">
        <v>2</v>
      </c>
      <c r="G415" s="37"/>
      <c r="H415" s="37"/>
      <c r="I415" s="37"/>
      <c r="J415" s="37"/>
      <c r="K415" s="37"/>
      <c r="L415" s="37"/>
      <c r="M415" s="37"/>
      <c r="N415" s="37"/>
      <c r="O415" s="37"/>
      <c r="P415" s="37"/>
      <c r="Q415" s="66"/>
      <c r="R415" s="66"/>
      <c r="S415" s="37"/>
    </row>
    <row r="416" spans="1:19">
      <c r="A416" s="24"/>
      <c r="B416" s="25" t="s">
        <v>187</v>
      </c>
      <c r="C416" s="26" t="s">
        <v>78</v>
      </c>
      <c r="D416" s="351">
        <v>1</v>
      </c>
      <c r="E416" s="59"/>
      <c r="F416" s="351">
        <v>1</v>
      </c>
      <c r="G416" s="37"/>
      <c r="H416" s="37"/>
      <c r="I416" s="37"/>
      <c r="J416" s="37"/>
      <c r="K416" s="37"/>
      <c r="L416" s="37"/>
      <c r="M416" s="37"/>
      <c r="N416" s="37"/>
      <c r="O416" s="37"/>
      <c r="P416" s="37"/>
      <c r="Q416" s="66"/>
      <c r="R416" s="66"/>
      <c r="S416" s="37"/>
    </row>
    <row r="417" spans="1:19">
      <c r="A417" s="24"/>
      <c r="B417" s="25" t="s">
        <v>173</v>
      </c>
      <c r="C417" s="26" t="s">
        <v>8</v>
      </c>
      <c r="D417" s="351">
        <v>1</v>
      </c>
      <c r="E417" s="59"/>
      <c r="F417" s="351">
        <v>1</v>
      </c>
      <c r="G417" s="37"/>
      <c r="H417" s="37"/>
      <c r="I417" s="37"/>
      <c r="J417" s="37"/>
      <c r="K417" s="37"/>
      <c r="L417" s="37"/>
      <c r="M417" s="37"/>
      <c r="N417" s="37"/>
      <c r="O417" s="37"/>
      <c r="P417" s="37"/>
      <c r="Q417" s="66"/>
      <c r="R417" s="66"/>
      <c r="S417" s="37"/>
    </row>
    <row r="418" spans="1:19">
      <c r="A418" s="24"/>
      <c r="B418" s="25" t="s">
        <v>174</v>
      </c>
      <c r="C418" s="26" t="s">
        <v>17</v>
      </c>
      <c r="D418" s="351">
        <v>1</v>
      </c>
      <c r="E418" s="59"/>
      <c r="F418" s="351">
        <v>1</v>
      </c>
      <c r="G418" s="37"/>
      <c r="H418" s="37"/>
      <c r="I418" s="37"/>
      <c r="J418" s="37"/>
      <c r="K418" s="37"/>
      <c r="L418" s="37"/>
      <c r="M418" s="37"/>
      <c r="N418" s="37"/>
      <c r="O418" s="37"/>
      <c r="P418" s="37"/>
      <c r="Q418" s="66"/>
      <c r="R418" s="66"/>
      <c r="S418" s="37"/>
    </row>
    <row r="419" spans="1:19">
      <c r="A419" s="24"/>
      <c r="B419" s="25" t="s">
        <v>175</v>
      </c>
      <c r="C419" s="26" t="s">
        <v>17</v>
      </c>
      <c r="D419" s="351">
        <v>1</v>
      </c>
      <c r="E419" s="59"/>
      <c r="F419" s="351">
        <v>1</v>
      </c>
      <c r="G419" s="37"/>
      <c r="H419" s="37"/>
      <c r="I419" s="37"/>
      <c r="J419" s="37"/>
      <c r="K419" s="37"/>
      <c r="L419" s="37"/>
      <c r="M419" s="37"/>
      <c r="N419" s="37"/>
      <c r="O419" s="37"/>
      <c r="P419" s="37"/>
      <c r="Q419" s="66"/>
      <c r="R419" s="66"/>
      <c r="S419" s="37"/>
    </row>
    <row r="420" spans="1:19" ht="30">
      <c r="A420" s="24"/>
      <c r="B420" s="25" t="s">
        <v>176</v>
      </c>
      <c r="C420" s="26" t="s">
        <v>78</v>
      </c>
      <c r="D420" s="351">
        <v>1</v>
      </c>
      <c r="E420" s="61"/>
      <c r="F420" s="351">
        <v>1</v>
      </c>
      <c r="G420" s="39"/>
      <c r="H420" s="39"/>
      <c r="I420" s="39"/>
      <c r="J420" s="39"/>
      <c r="K420" s="39"/>
      <c r="L420" s="39"/>
      <c r="M420" s="39"/>
      <c r="N420" s="39"/>
      <c r="O420" s="39"/>
      <c r="P420" s="39"/>
      <c r="Q420" s="65"/>
      <c r="R420" s="65"/>
      <c r="S420" s="39"/>
    </row>
    <row r="421" spans="1:19" ht="60">
      <c r="A421" s="24">
        <v>3</v>
      </c>
      <c r="B421" s="25" t="s">
        <v>191</v>
      </c>
      <c r="C421" s="26" t="s">
        <v>7</v>
      </c>
      <c r="D421" s="351">
        <v>2</v>
      </c>
      <c r="E421" s="57"/>
      <c r="F421" s="351">
        <v>2</v>
      </c>
      <c r="G421" s="26" t="s">
        <v>2326</v>
      </c>
      <c r="H421" s="26"/>
      <c r="I421" s="26" t="s">
        <v>2327</v>
      </c>
      <c r="J421" s="26" t="s">
        <v>2328</v>
      </c>
      <c r="K421" s="311">
        <v>17822824.469999999</v>
      </c>
      <c r="L421" s="311">
        <v>0</v>
      </c>
      <c r="M421" s="311">
        <v>1356000.0000000002</v>
      </c>
      <c r="N421" s="311">
        <v>1920285.3</v>
      </c>
      <c r="O421" s="311">
        <v>1344199.7100000002</v>
      </c>
      <c r="P421" s="68">
        <f>SUM(K421:O421)</f>
        <v>22443309.48</v>
      </c>
      <c r="Q421" s="68">
        <f>D421*P421</f>
        <v>44886618.960000001</v>
      </c>
      <c r="R421" s="127">
        <f>F421*P421</f>
        <v>44886618.960000001</v>
      </c>
      <c r="S421" s="36"/>
    </row>
    <row r="422" spans="1:19" ht="30">
      <c r="A422" s="24"/>
      <c r="B422" s="25" t="s">
        <v>192</v>
      </c>
      <c r="C422" s="26" t="s">
        <v>8</v>
      </c>
      <c r="D422" s="351">
        <v>1</v>
      </c>
      <c r="E422" s="53"/>
      <c r="F422" s="351">
        <v>1</v>
      </c>
      <c r="G422" s="15"/>
      <c r="H422" s="15"/>
      <c r="I422" s="15"/>
      <c r="J422" s="15"/>
      <c r="K422" s="15"/>
      <c r="L422" s="15"/>
      <c r="M422" s="15"/>
      <c r="N422" s="15"/>
      <c r="O422" s="15"/>
      <c r="P422" s="15"/>
      <c r="Q422" s="66"/>
      <c r="R422" s="66"/>
      <c r="S422" s="15"/>
    </row>
    <row r="423" spans="1:19">
      <c r="A423" s="24"/>
      <c r="B423" s="25" t="s">
        <v>161</v>
      </c>
      <c r="C423" s="26"/>
      <c r="D423" s="351"/>
      <c r="E423" s="58"/>
      <c r="F423" s="351"/>
      <c r="G423" s="18"/>
      <c r="H423" s="18"/>
      <c r="I423" s="18"/>
      <c r="J423" s="18"/>
      <c r="K423" s="18"/>
      <c r="L423" s="18"/>
      <c r="M423" s="18"/>
      <c r="N423" s="18"/>
      <c r="O423" s="18"/>
      <c r="P423" s="18"/>
      <c r="Q423" s="65"/>
      <c r="R423" s="65"/>
      <c r="S423" s="18"/>
    </row>
    <row r="424" spans="1:19">
      <c r="A424" s="24"/>
      <c r="B424" s="25" t="s">
        <v>193</v>
      </c>
      <c r="C424" s="26" t="s">
        <v>8</v>
      </c>
      <c r="D424" s="351">
        <v>1</v>
      </c>
      <c r="E424" s="53"/>
      <c r="F424" s="351">
        <v>1</v>
      </c>
      <c r="G424" s="15"/>
      <c r="H424" s="15"/>
      <c r="I424" s="15"/>
      <c r="J424" s="15"/>
      <c r="K424" s="15"/>
      <c r="L424" s="15"/>
      <c r="M424" s="15"/>
      <c r="N424" s="15"/>
      <c r="O424" s="15"/>
      <c r="P424" s="15"/>
      <c r="Q424" s="66"/>
      <c r="R424" s="66"/>
      <c r="S424" s="15"/>
    </row>
    <row r="425" spans="1:19">
      <c r="A425" s="24"/>
      <c r="B425" s="25" t="s">
        <v>54</v>
      </c>
      <c r="C425" s="26" t="s">
        <v>20</v>
      </c>
      <c r="D425" s="351">
        <v>3</v>
      </c>
      <c r="E425" s="53"/>
      <c r="F425" s="351">
        <v>3</v>
      </c>
      <c r="G425" s="15"/>
      <c r="H425" s="15"/>
      <c r="I425" s="15"/>
      <c r="J425" s="15"/>
      <c r="K425" s="15"/>
      <c r="L425" s="15"/>
      <c r="M425" s="15"/>
      <c r="N425" s="15"/>
      <c r="O425" s="15"/>
      <c r="P425" s="15"/>
      <c r="Q425" s="66"/>
      <c r="R425" s="66"/>
      <c r="S425" s="15"/>
    </row>
    <row r="426" spans="1:19">
      <c r="A426" s="24"/>
      <c r="B426" s="25" t="s">
        <v>21</v>
      </c>
      <c r="C426" s="26" t="s">
        <v>8</v>
      </c>
      <c r="D426" s="351">
        <v>1</v>
      </c>
      <c r="E426" s="53"/>
      <c r="F426" s="351">
        <v>1</v>
      </c>
      <c r="G426" s="15"/>
      <c r="H426" s="15"/>
      <c r="I426" s="15"/>
      <c r="J426" s="15"/>
      <c r="K426" s="15"/>
      <c r="L426" s="15"/>
      <c r="M426" s="15"/>
      <c r="N426" s="15"/>
      <c r="O426" s="15"/>
      <c r="P426" s="15"/>
      <c r="Q426" s="66"/>
      <c r="R426" s="66"/>
      <c r="S426" s="15"/>
    </row>
    <row r="427" spans="1:19">
      <c r="A427" s="24"/>
      <c r="B427" s="25" t="s">
        <v>22</v>
      </c>
      <c r="C427" s="26" t="s">
        <v>8</v>
      </c>
      <c r="D427" s="351">
        <v>1</v>
      </c>
      <c r="E427" s="312"/>
      <c r="F427" s="351">
        <v>1</v>
      </c>
      <c r="G427" s="26"/>
      <c r="H427" s="26"/>
      <c r="I427" s="26"/>
      <c r="J427" s="26"/>
      <c r="K427" s="26"/>
      <c r="L427" s="26"/>
      <c r="M427" s="26"/>
      <c r="N427" s="26"/>
      <c r="O427" s="26"/>
      <c r="P427" s="26"/>
      <c r="Q427" s="66"/>
      <c r="R427" s="66"/>
      <c r="S427" s="26"/>
    </row>
    <row r="428" spans="1:19">
      <c r="A428" s="24"/>
      <c r="B428" s="25" t="s">
        <v>194</v>
      </c>
      <c r="C428" s="26" t="s">
        <v>8</v>
      </c>
      <c r="D428" s="351">
        <v>3</v>
      </c>
      <c r="E428" s="62"/>
      <c r="F428" s="351">
        <v>3</v>
      </c>
      <c r="G428" s="40"/>
      <c r="H428" s="40"/>
      <c r="I428" s="40"/>
      <c r="J428" s="40"/>
      <c r="K428" s="40"/>
      <c r="L428" s="40"/>
      <c r="M428" s="40"/>
      <c r="N428" s="40"/>
      <c r="O428" s="40"/>
      <c r="P428" s="40"/>
      <c r="Q428" s="66"/>
      <c r="R428" s="66"/>
      <c r="S428" s="40"/>
    </row>
    <row r="429" spans="1:19">
      <c r="A429" s="24"/>
      <c r="B429" s="25" t="s">
        <v>24</v>
      </c>
      <c r="C429" s="26" t="s">
        <v>8</v>
      </c>
      <c r="D429" s="351">
        <v>3</v>
      </c>
      <c r="E429" s="62"/>
      <c r="F429" s="351">
        <v>3</v>
      </c>
      <c r="G429" s="40"/>
      <c r="H429" s="40"/>
      <c r="I429" s="40"/>
      <c r="J429" s="40"/>
      <c r="K429" s="40"/>
      <c r="L429" s="40"/>
      <c r="M429" s="40"/>
      <c r="N429" s="40"/>
      <c r="O429" s="40"/>
      <c r="P429" s="40"/>
      <c r="Q429" s="66"/>
      <c r="R429" s="66"/>
      <c r="S429" s="40"/>
    </row>
    <row r="430" spans="1:19">
      <c r="A430" s="24"/>
      <c r="B430" s="25" t="s">
        <v>163</v>
      </c>
      <c r="C430" s="26" t="s">
        <v>8</v>
      </c>
      <c r="D430" s="351">
        <v>3</v>
      </c>
      <c r="E430" s="58"/>
      <c r="F430" s="351">
        <v>3</v>
      </c>
      <c r="G430" s="18"/>
      <c r="H430" s="18"/>
      <c r="I430" s="18"/>
      <c r="J430" s="18"/>
      <c r="K430" s="18"/>
      <c r="L430" s="18"/>
      <c r="M430" s="18"/>
      <c r="N430" s="18"/>
      <c r="O430" s="18"/>
      <c r="P430" s="18"/>
      <c r="Q430" s="65"/>
      <c r="R430" s="65"/>
      <c r="S430" s="18"/>
    </row>
    <row r="431" spans="1:19">
      <c r="A431" s="24"/>
      <c r="B431" s="25" t="s">
        <v>164</v>
      </c>
      <c r="C431" s="26"/>
      <c r="D431" s="351"/>
      <c r="E431" s="59"/>
      <c r="F431" s="351"/>
      <c r="G431" s="37"/>
      <c r="H431" s="37"/>
      <c r="I431" s="37"/>
      <c r="J431" s="37"/>
      <c r="K431" s="37"/>
      <c r="L431" s="37"/>
      <c r="M431" s="37"/>
      <c r="N431" s="37"/>
      <c r="O431" s="37"/>
      <c r="P431" s="37"/>
      <c r="Q431" s="66"/>
      <c r="R431" s="66"/>
      <c r="S431" s="37"/>
    </row>
    <row r="432" spans="1:19">
      <c r="A432" s="24"/>
      <c r="B432" s="25" t="s">
        <v>195</v>
      </c>
      <c r="C432" s="26" t="s">
        <v>8</v>
      </c>
      <c r="D432" s="351">
        <v>2</v>
      </c>
      <c r="E432" s="59"/>
      <c r="F432" s="351">
        <v>2</v>
      </c>
      <c r="G432" s="37"/>
      <c r="H432" s="37"/>
      <c r="I432" s="37"/>
      <c r="J432" s="37"/>
      <c r="K432" s="37"/>
      <c r="L432" s="37"/>
      <c r="M432" s="37"/>
      <c r="N432" s="37"/>
      <c r="O432" s="37"/>
      <c r="P432" s="37"/>
      <c r="Q432" s="66"/>
      <c r="R432" s="66"/>
      <c r="S432" s="37"/>
    </row>
    <row r="433" spans="1:19">
      <c r="A433" s="24"/>
      <c r="B433" s="25" t="s">
        <v>168</v>
      </c>
      <c r="C433" s="26" t="s">
        <v>8</v>
      </c>
      <c r="D433" s="351">
        <v>1</v>
      </c>
      <c r="E433" s="59"/>
      <c r="F433" s="351">
        <v>1</v>
      </c>
      <c r="G433" s="37"/>
      <c r="H433" s="37"/>
      <c r="I433" s="37"/>
      <c r="J433" s="37"/>
      <c r="K433" s="37"/>
      <c r="L433" s="37"/>
      <c r="M433" s="37"/>
      <c r="N433" s="37"/>
      <c r="O433" s="37"/>
      <c r="P433" s="37"/>
      <c r="Q433" s="66"/>
      <c r="R433" s="66"/>
      <c r="S433" s="37"/>
    </row>
    <row r="434" spans="1:19">
      <c r="A434" s="24"/>
      <c r="B434" s="25" t="s">
        <v>196</v>
      </c>
      <c r="C434" s="26" t="s">
        <v>17</v>
      </c>
      <c r="D434" s="351">
        <v>2</v>
      </c>
      <c r="E434" s="59"/>
      <c r="F434" s="351">
        <v>2</v>
      </c>
      <c r="G434" s="37"/>
      <c r="H434" s="37"/>
      <c r="I434" s="37"/>
      <c r="J434" s="37"/>
      <c r="K434" s="37"/>
      <c r="L434" s="37"/>
      <c r="M434" s="37"/>
      <c r="N434" s="37"/>
      <c r="O434" s="37"/>
      <c r="P434" s="37"/>
      <c r="Q434" s="66"/>
      <c r="R434" s="66"/>
      <c r="S434" s="37"/>
    </row>
    <row r="435" spans="1:19">
      <c r="A435" s="24"/>
      <c r="B435" s="25" t="s">
        <v>197</v>
      </c>
      <c r="C435" s="26" t="s">
        <v>8</v>
      </c>
      <c r="D435" s="351">
        <v>2</v>
      </c>
      <c r="E435" s="61"/>
      <c r="F435" s="351">
        <v>2</v>
      </c>
      <c r="G435" s="39"/>
      <c r="H435" s="39"/>
      <c r="I435" s="39"/>
      <c r="J435" s="39"/>
      <c r="K435" s="39"/>
      <c r="L435" s="39"/>
      <c r="M435" s="39"/>
      <c r="N435" s="39"/>
      <c r="O435" s="39"/>
      <c r="P435" s="39"/>
      <c r="Q435" s="65"/>
      <c r="R435" s="65"/>
      <c r="S435" s="39"/>
    </row>
    <row r="436" spans="1:19">
      <c r="A436" s="24"/>
      <c r="B436" s="25" t="s">
        <v>183</v>
      </c>
      <c r="C436" s="26" t="s">
        <v>8</v>
      </c>
      <c r="D436" s="351">
        <v>2</v>
      </c>
      <c r="E436" s="92"/>
      <c r="F436" s="351">
        <v>2</v>
      </c>
      <c r="G436" s="329"/>
      <c r="H436" s="329"/>
      <c r="I436" s="329"/>
      <c r="J436" s="329"/>
      <c r="K436" s="329"/>
      <c r="L436" s="329"/>
      <c r="M436" s="329"/>
      <c r="N436" s="329"/>
      <c r="O436" s="329"/>
      <c r="P436" s="329"/>
      <c r="Q436" s="65"/>
      <c r="R436" s="65"/>
      <c r="S436" s="329"/>
    </row>
    <row r="437" spans="1:19">
      <c r="A437" s="24"/>
      <c r="B437" s="25" t="s">
        <v>198</v>
      </c>
      <c r="C437" s="26" t="s">
        <v>8</v>
      </c>
      <c r="D437" s="351">
        <v>2</v>
      </c>
      <c r="E437" s="303"/>
      <c r="F437" s="351">
        <v>2</v>
      </c>
      <c r="G437" s="26"/>
      <c r="H437" s="26"/>
      <c r="I437" s="26"/>
      <c r="J437" s="26"/>
      <c r="K437" s="26"/>
      <c r="L437" s="26"/>
      <c r="M437" s="26"/>
      <c r="N437" s="26"/>
      <c r="O437" s="26"/>
      <c r="P437" s="26"/>
      <c r="Q437" s="66"/>
      <c r="R437" s="66"/>
      <c r="S437" s="26"/>
    </row>
    <row r="438" spans="1:19">
      <c r="A438" s="24"/>
      <c r="B438" s="25" t="s">
        <v>185</v>
      </c>
      <c r="C438" s="26" t="s">
        <v>8</v>
      </c>
      <c r="D438" s="351">
        <v>2</v>
      </c>
      <c r="E438" s="303"/>
      <c r="F438" s="351">
        <v>2</v>
      </c>
      <c r="G438" s="26"/>
      <c r="H438" s="26"/>
      <c r="I438" s="26"/>
      <c r="J438" s="26"/>
      <c r="K438" s="26"/>
      <c r="L438" s="26"/>
      <c r="M438" s="26"/>
      <c r="N438" s="26"/>
      <c r="O438" s="26"/>
      <c r="P438" s="26"/>
      <c r="Q438" s="66"/>
      <c r="R438" s="66"/>
      <c r="S438" s="26"/>
    </row>
    <row r="439" spans="1:19">
      <c r="A439" s="24"/>
      <c r="B439" s="25" t="s">
        <v>186</v>
      </c>
      <c r="C439" s="26" t="s">
        <v>8</v>
      </c>
      <c r="D439" s="351">
        <v>4</v>
      </c>
      <c r="E439" s="303"/>
      <c r="F439" s="351">
        <v>4</v>
      </c>
      <c r="G439" s="26"/>
      <c r="H439" s="26"/>
      <c r="I439" s="26"/>
      <c r="J439" s="26"/>
      <c r="K439" s="26"/>
      <c r="L439" s="26"/>
      <c r="M439" s="26"/>
      <c r="N439" s="26"/>
      <c r="O439" s="26"/>
      <c r="P439" s="26"/>
      <c r="Q439" s="66"/>
      <c r="R439" s="66"/>
      <c r="S439" s="26"/>
    </row>
    <row r="440" spans="1:19">
      <c r="A440" s="24"/>
      <c r="B440" s="25" t="s">
        <v>187</v>
      </c>
      <c r="C440" s="26" t="s">
        <v>78</v>
      </c>
      <c r="D440" s="351">
        <v>1</v>
      </c>
      <c r="E440" s="303"/>
      <c r="F440" s="351">
        <v>1</v>
      </c>
      <c r="G440" s="26"/>
      <c r="H440" s="26"/>
      <c r="I440" s="26"/>
      <c r="J440" s="26"/>
      <c r="K440" s="26"/>
      <c r="L440" s="26"/>
      <c r="M440" s="26"/>
      <c r="N440" s="26"/>
      <c r="O440" s="26"/>
      <c r="P440" s="26"/>
      <c r="Q440" s="66"/>
      <c r="R440" s="66"/>
      <c r="S440" s="26"/>
    </row>
    <row r="441" spans="1:19">
      <c r="A441" s="24"/>
      <c r="B441" s="25" t="s">
        <v>173</v>
      </c>
      <c r="C441" s="26" t="s">
        <v>8</v>
      </c>
      <c r="D441" s="351">
        <v>1</v>
      </c>
      <c r="E441" s="303"/>
      <c r="F441" s="351">
        <v>1</v>
      </c>
      <c r="G441" s="26"/>
      <c r="H441" s="26"/>
      <c r="I441" s="26"/>
      <c r="J441" s="26"/>
      <c r="K441" s="26"/>
      <c r="L441" s="26"/>
      <c r="M441" s="26"/>
      <c r="N441" s="26"/>
      <c r="O441" s="26"/>
      <c r="P441" s="26"/>
      <c r="Q441" s="66"/>
      <c r="R441" s="66"/>
      <c r="S441" s="26"/>
    </row>
    <row r="442" spans="1:19">
      <c r="A442" s="24"/>
      <c r="B442" s="25" t="s">
        <v>199</v>
      </c>
      <c r="C442" s="26" t="s">
        <v>17</v>
      </c>
      <c r="D442" s="351">
        <v>1</v>
      </c>
      <c r="E442" s="303"/>
      <c r="F442" s="351">
        <v>1</v>
      </c>
      <c r="G442" s="26"/>
      <c r="H442" s="26"/>
      <c r="I442" s="26"/>
      <c r="J442" s="26"/>
      <c r="K442" s="26"/>
      <c r="L442" s="26"/>
      <c r="M442" s="26"/>
      <c r="N442" s="26"/>
      <c r="O442" s="26"/>
      <c r="P442" s="26"/>
      <c r="Q442" s="66"/>
      <c r="R442" s="66"/>
      <c r="S442" s="26"/>
    </row>
    <row r="443" spans="1:19" ht="30">
      <c r="A443" s="24"/>
      <c r="B443" s="25" t="s">
        <v>176</v>
      </c>
      <c r="C443" s="26" t="s">
        <v>78</v>
      </c>
      <c r="D443" s="351">
        <v>1</v>
      </c>
      <c r="E443" s="303"/>
      <c r="F443" s="351">
        <v>1</v>
      </c>
      <c r="G443" s="26"/>
      <c r="H443" s="26"/>
      <c r="I443" s="26"/>
      <c r="J443" s="26"/>
      <c r="K443" s="26"/>
      <c r="L443" s="26"/>
      <c r="M443" s="26"/>
      <c r="N443" s="26"/>
      <c r="O443" s="26"/>
      <c r="P443" s="26"/>
      <c r="Q443" s="66"/>
      <c r="R443" s="66"/>
      <c r="S443" s="26"/>
    </row>
    <row r="444" spans="1:19" ht="60">
      <c r="A444" s="24">
        <v>4</v>
      </c>
      <c r="B444" s="25" t="s">
        <v>200</v>
      </c>
      <c r="C444" s="26" t="s">
        <v>7</v>
      </c>
      <c r="D444" s="351">
        <v>2</v>
      </c>
      <c r="E444" s="303"/>
      <c r="F444" s="351">
        <v>2</v>
      </c>
      <c r="G444" s="26" t="s">
        <v>2326</v>
      </c>
      <c r="H444" s="26"/>
      <c r="I444" s="26" t="s">
        <v>2327</v>
      </c>
      <c r="J444" s="26" t="s">
        <v>2328</v>
      </c>
      <c r="K444" s="311">
        <v>12973583.699999999</v>
      </c>
      <c r="L444" s="311">
        <v>0</v>
      </c>
      <c r="M444" s="311">
        <v>1318333.3333333335</v>
      </c>
      <c r="N444" s="311">
        <v>1427129.6666666667</v>
      </c>
      <c r="O444" s="311">
        <v>998990.76666666672</v>
      </c>
      <c r="P444" s="68">
        <f>SUM(K444:O444)</f>
        <v>16718037.466666667</v>
      </c>
      <c r="Q444" s="68">
        <f>D444*P444</f>
        <v>33436074.933333334</v>
      </c>
      <c r="R444" s="127">
        <f>F444*P444</f>
        <v>33436074.933333334</v>
      </c>
      <c r="S444" s="26"/>
    </row>
    <row r="445" spans="1:19" ht="30">
      <c r="A445" s="24"/>
      <c r="B445" s="25" t="s">
        <v>192</v>
      </c>
      <c r="C445" s="26" t="s">
        <v>8</v>
      </c>
      <c r="D445" s="351">
        <v>1</v>
      </c>
      <c r="E445" s="303"/>
      <c r="F445" s="351">
        <v>1</v>
      </c>
      <c r="G445" s="26"/>
      <c r="H445" s="26"/>
      <c r="I445" s="26"/>
      <c r="J445" s="26"/>
      <c r="K445" s="26"/>
      <c r="L445" s="26"/>
      <c r="M445" s="26"/>
      <c r="N445" s="26"/>
      <c r="O445" s="26"/>
      <c r="P445" s="26"/>
      <c r="Q445" s="66"/>
      <c r="R445" s="66"/>
      <c r="S445" s="26"/>
    </row>
    <row r="446" spans="1:19">
      <c r="A446" s="24"/>
      <c r="B446" s="25" t="s">
        <v>161</v>
      </c>
      <c r="C446" s="26"/>
      <c r="D446" s="351"/>
      <c r="E446" s="303"/>
      <c r="F446" s="351"/>
      <c r="G446" s="26"/>
      <c r="H446" s="26"/>
      <c r="I446" s="26"/>
      <c r="J446" s="26"/>
      <c r="K446" s="26"/>
      <c r="L446" s="26"/>
      <c r="M446" s="26"/>
      <c r="N446" s="26"/>
      <c r="O446" s="26"/>
      <c r="P446" s="26"/>
      <c r="Q446" s="66"/>
      <c r="R446" s="66"/>
      <c r="S446" s="26"/>
    </row>
    <row r="447" spans="1:19">
      <c r="A447" s="24"/>
      <c r="B447" s="25" t="s">
        <v>201</v>
      </c>
      <c r="C447" s="26" t="s">
        <v>8</v>
      </c>
      <c r="D447" s="351">
        <v>1</v>
      </c>
      <c r="E447" s="303"/>
      <c r="F447" s="351">
        <v>1</v>
      </c>
      <c r="G447" s="26"/>
      <c r="H447" s="26"/>
      <c r="I447" s="26"/>
      <c r="J447" s="26"/>
      <c r="K447" s="26"/>
      <c r="L447" s="26"/>
      <c r="M447" s="26"/>
      <c r="N447" s="26"/>
      <c r="O447" s="26"/>
      <c r="P447" s="26"/>
      <c r="Q447" s="66"/>
      <c r="R447" s="66"/>
      <c r="S447" s="26"/>
    </row>
    <row r="448" spans="1:19">
      <c r="A448" s="24"/>
      <c r="B448" s="25" t="s">
        <v>202</v>
      </c>
      <c r="C448" s="26" t="s">
        <v>20</v>
      </c>
      <c r="D448" s="351">
        <v>3</v>
      </c>
      <c r="E448" s="303"/>
      <c r="F448" s="351">
        <v>3</v>
      </c>
      <c r="G448" s="26"/>
      <c r="H448" s="26"/>
      <c r="I448" s="26"/>
      <c r="J448" s="26"/>
      <c r="K448" s="26"/>
      <c r="L448" s="26"/>
      <c r="M448" s="26"/>
      <c r="N448" s="26"/>
      <c r="O448" s="26"/>
      <c r="P448" s="26"/>
      <c r="Q448" s="66"/>
      <c r="R448" s="66"/>
      <c r="S448" s="26"/>
    </row>
    <row r="449" spans="1:19">
      <c r="A449" s="24"/>
      <c r="B449" s="25" t="s">
        <v>21</v>
      </c>
      <c r="C449" s="26" t="s">
        <v>8</v>
      </c>
      <c r="D449" s="351">
        <v>1</v>
      </c>
      <c r="E449" s="303"/>
      <c r="F449" s="351">
        <v>1</v>
      </c>
      <c r="G449" s="26"/>
      <c r="H449" s="26"/>
      <c r="I449" s="26"/>
      <c r="J449" s="26"/>
      <c r="K449" s="26"/>
      <c r="L449" s="26"/>
      <c r="M449" s="26"/>
      <c r="N449" s="26"/>
      <c r="O449" s="26"/>
      <c r="P449" s="26"/>
      <c r="Q449" s="66"/>
      <c r="R449" s="66"/>
      <c r="S449" s="26"/>
    </row>
    <row r="450" spans="1:19">
      <c r="A450" s="24"/>
      <c r="B450" s="25" t="s">
        <v>22</v>
      </c>
      <c r="C450" s="26" t="s">
        <v>8</v>
      </c>
      <c r="D450" s="351">
        <v>1</v>
      </c>
      <c r="E450" s="303"/>
      <c r="F450" s="351">
        <v>1</v>
      </c>
      <c r="G450" s="26"/>
      <c r="H450" s="26"/>
      <c r="I450" s="26"/>
      <c r="J450" s="26"/>
      <c r="K450" s="26"/>
      <c r="L450" s="26"/>
      <c r="M450" s="26"/>
      <c r="N450" s="26"/>
      <c r="O450" s="26"/>
      <c r="P450" s="26"/>
      <c r="Q450" s="66"/>
      <c r="R450" s="66"/>
      <c r="S450" s="26"/>
    </row>
    <row r="451" spans="1:19">
      <c r="A451" s="24"/>
      <c r="B451" s="25" t="s">
        <v>203</v>
      </c>
      <c r="C451" s="26" t="s">
        <v>8</v>
      </c>
      <c r="D451" s="351">
        <v>3</v>
      </c>
      <c r="E451" s="303"/>
      <c r="F451" s="351">
        <v>3</v>
      </c>
      <c r="G451" s="26"/>
      <c r="H451" s="26"/>
      <c r="I451" s="26"/>
      <c r="J451" s="26"/>
      <c r="K451" s="26"/>
      <c r="L451" s="26"/>
      <c r="M451" s="26"/>
      <c r="N451" s="26"/>
      <c r="O451" s="26"/>
      <c r="P451" s="26"/>
      <c r="Q451" s="66"/>
      <c r="R451" s="66"/>
      <c r="S451" s="26"/>
    </row>
    <row r="452" spans="1:19">
      <c r="A452" s="24"/>
      <c r="B452" s="25" t="s">
        <v>24</v>
      </c>
      <c r="C452" s="26" t="s">
        <v>8</v>
      </c>
      <c r="D452" s="351">
        <v>3</v>
      </c>
      <c r="E452" s="303"/>
      <c r="F452" s="351">
        <v>3</v>
      </c>
      <c r="G452" s="26"/>
      <c r="H452" s="26"/>
      <c r="I452" s="26"/>
      <c r="J452" s="26"/>
      <c r="K452" s="26"/>
      <c r="L452" s="26"/>
      <c r="M452" s="26"/>
      <c r="N452" s="26"/>
      <c r="O452" s="26"/>
      <c r="P452" s="26"/>
      <c r="Q452" s="66"/>
      <c r="R452" s="66"/>
      <c r="S452" s="26"/>
    </row>
    <row r="453" spans="1:19">
      <c r="A453" s="24"/>
      <c r="B453" s="25" t="s">
        <v>163</v>
      </c>
      <c r="C453" s="26" t="s">
        <v>8</v>
      </c>
      <c r="D453" s="351">
        <v>3</v>
      </c>
      <c r="E453" s="303"/>
      <c r="F453" s="351">
        <v>3</v>
      </c>
      <c r="G453" s="26"/>
      <c r="H453" s="26"/>
      <c r="I453" s="26"/>
      <c r="J453" s="26"/>
      <c r="K453" s="26"/>
      <c r="L453" s="26"/>
      <c r="M453" s="26"/>
      <c r="N453" s="26"/>
      <c r="O453" s="26"/>
      <c r="P453" s="26"/>
      <c r="Q453" s="66"/>
      <c r="R453" s="66"/>
      <c r="S453" s="26"/>
    </row>
    <row r="454" spans="1:19">
      <c r="A454" s="24"/>
      <c r="B454" s="25" t="s">
        <v>164</v>
      </c>
      <c r="C454" s="26"/>
      <c r="D454" s="351"/>
      <c r="E454" s="303"/>
      <c r="F454" s="351"/>
      <c r="G454" s="26"/>
      <c r="H454" s="26"/>
      <c r="I454" s="26"/>
      <c r="J454" s="26"/>
      <c r="K454" s="26"/>
      <c r="L454" s="26"/>
      <c r="M454" s="26"/>
      <c r="N454" s="26"/>
      <c r="O454" s="26"/>
      <c r="P454" s="26"/>
      <c r="Q454" s="66"/>
      <c r="R454" s="66"/>
      <c r="S454" s="26"/>
    </row>
    <row r="455" spans="1:19">
      <c r="A455" s="24"/>
      <c r="B455" s="25" t="s">
        <v>204</v>
      </c>
      <c r="C455" s="26" t="s">
        <v>8</v>
      </c>
      <c r="D455" s="351">
        <v>1</v>
      </c>
      <c r="E455" s="303"/>
      <c r="F455" s="351">
        <v>1</v>
      </c>
      <c r="G455" s="26"/>
      <c r="H455" s="26"/>
      <c r="I455" s="26"/>
      <c r="J455" s="26"/>
      <c r="K455" s="26"/>
      <c r="L455" s="26"/>
      <c r="M455" s="26"/>
      <c r="N455" s="26"/>
      <c r="O455" s="26"/>
      <c r="P455" s="26"/>
      <c r="Q455" s="66"/>
      <c r="R455" s="66"/>
      <c r="S455" s="26"/>
    </row>
    <row r="456" spans="1:19">
      <c r="A456" s="24"/>
      <c r="B456" s="25" t="s">
        <v>168</v>
      </c>
      <c r="C456" s="26" t="s">
        <v>8</v>
      </c>
      <c r="D456" s="351">
        <v>1</v>
      </c>
      <c r="E456" s="303"/>
      <c r="F456" s="351">
        <v>1</v>
      </c>
      <c r="G456" s="26"/>
      <c r="H456" s="26"/>
      <c r="I456" s="26"/>
      <c r="J456" s="26"/>
      <c r="K456" s="26"/>
      <c r="L456" s="26"/>
      <c r="M456" s="26"/>
      <c r="N456" s="26"/>
      <c r="O456" s="26"/>
      <c r="P456" s="26"/>
      <c r="Q456" s="66"/>
      <c r="R456" s="66"/>
      <c r="S456" s="26"/>
    </row>
    <row r="457" spans="1:19">
      <c r="A457" s="24"/>
      <c r="B457" s="25" t="s">
        <v>205</v>
      </c>
      <c r="C457" s="26" t="s">
        <v>17</v>
      </c>
      <c r="D457" s="351">
        <v>1</v>
      </c>
      <c r="E457" s="303"/>
      <c r="F457" s="351">
        <v>1</v>
      </c>
      <c r="G457" s="26"/>
      <c r="H457" s="26"/>
      <c r="I457" s="26"/>
      <c r="J457" s="26"/>
      <c r="K457" s="26"/>
      <c r="L457" s="26"/>
      <c r="M457" s="26"/>
      <c r="N457" s="26"/>
      <c r="O457" s="26"/>
      <c r="P457" s="26"/>
      <c r="Q457" s="66"/>
      <c r="R457" s="66"/>
      <c r="S457" s="26"/>
    </row>
    <row r="458" spans="1:19">
      <c r="A458" s="24"/>
      <c r="B458" s="25" t="s">
        <v>206</v>
      </c>
      <c r="C458" s="26" t="s">
        <v>8</v>
      </c>
      <c r="D458" s="351">
        <v>1</v>
      </c>
      <c r="E458" s="303"/>
      <c r="F458" s="351">
        <v>1</v>
      </c>
      <c r="G458" s="26"/>
      <c r="H458" s="26"/>
      <c r="I458" s="26"/>
      <c r="J458" s="26"/>
      <c r="K458" s="26"/>
      <c r="L458" s="26"/>
      <c r="M458" s="26"/>
      <c r="N458" s="26"/>
      <c r="O458" s="26"/>
      <c r="P458" s="26"/>
      <c r="Q458" s="66"/>
      <c r="R458" s="66"/>
      <c r="S458" s="26"/>
    </row>
    <row r="459" spans="1:19">
      <c r="A459" s="24"/>
      <c r="B459" s="25" t="s">
        <v>183</v>
      </c>
      <c r="C459" s="26" t="s">
        <v>8</v>
      </c>
      <c r="D459" s="351">
        <v>1</v>
      </c>
      <c r="E459" s="303"/>
      <c r="F459" s="351">
        <v>1</v>
      </c>
      <c r="G459" s="26"/>
      <c r="H459" s="26"/>
      <c r="I459" s="26"/>
      <c r="J459" s="26"/>
      <c r="K459" s="26"/>
      <c r="L459" s="26"/>
      <c r="M459" s="26"/>
      <c r="N459" s="26"/>
      <c r="O459" s="26"/>
      <c r="P459" s="26"/>
      <c r="Q459" s="66"/>
      <c r="R459" s="66"/>
      <c r="S459" s="26"/>
    </row>
    <row r="460" spans="1:19">
      <c r="A460" s="24"/>
      <c r="B460" s="25" t="s">
        <v>207</v>
      </c>
      <c r="C460" s="26" t="s">
        <v>8</v>
      </c>
      <c r="D460" s="351">
        <v>1</v>
      </c>
      <c r="E460" s="303"/>
      <c r="F460" s="351">
        <v>1</v>
      </c>
      <c r="G460" s="26"/>
      <c r="H460" s="26"/>
      <c r="I460" s="26"/>
      <c r="J460" s="26"/>
      <c r="K460" s="26"/>
      <c r="L460" s="26"/>
      <c r="M460" s="26"/>
      <c r="N460" s="26"/>
      <c r="O460" s="26"/>
      <c r="P460" s="26"/>
      <c r="Q460" s="66"/>
      <c r="R460" s="66"/>
      <c r="S460" s="26"/>
    </row>
    <row r="461" spans="1:19">
      <c r="A461" s="24"/>
      <c r="B461" s="25" t="s">
        <v>185</v>
      </c>
      <c r="C461" s="26" t="s">
        <v>8</v>
      </c>
      <c r="D461" s="351">
        <v>1</v>
      </c>
      <c r="E461" s="303"/>
      <c r="F461" s="351">
        <v>1</v>
      </c>
      <c r="G461" s="26"/>
      <c r="H461" s="26"/>
      <c r="I461" s="26"/>
      <c r="J461" s="26"/>
      <c r="K461" s="26"/>
      <c r="L461" s="26"/>
      <c r="M461" s="26"/>
      <c r="N461" s="26"/>
      <c r="O461" s="26"/>
      <c r="P461" s="26"/>
      <c r="Q461" s="66"/>
      <c r="R461" s="66"/>
      <c r="S461" s="26"/>
    </row>
    <row r="462" spans="1:19">
      <c r="A462" s="24"/>
      <c r="B462" s="25" t="s">
        <v>186</v>
      </c>
      <c r="C462" s="26" t="s">
        <v>8</v>
      </c>
      <c r="D462" s="351">
        <v>2</v>
      </c>
      <c r="E462" s="303"/>
      <c r="F462" s="351">
        <v>2</v>
      </c>
      <c r="G462" s="26"/>
      <c r="H462" s="26"/>
      <c r="I462" s="26"/>
      <c r="J462" s="26"/>
      <c r="K462" s="26"/>
      <c r="L462" s="26"/>
      <c r="M462" s="26"/>
      <c r="N462" s="26"/>
      <c r="O462" s="26"/>
      <c r="P462" s="26"/>
      <c r="Q462" s="66"/>
      <c r="R462" s="66"/>
      <c r="S462" s="26"/>
    </row>
    <row r="463" spans="1:19">
      <c r="A463" s="24"/>
      <c r="B463" s="25" t="s">
        <v>187</v>
      </c>
      <c r="C463" s="26" t="s">
        <v>78</v>
      </c>
      <c r="D463" s="351">
        <v>1</v>
      </c>
      <c r="E463" s="303"/>
      <c r="F463" s="351">
        <v>1</v>
      </c>
      <c r="G463" s="26"/>
      <c r="H463" s="26"/>
      <c r="I463" s="26"/>
      <c r="J463" s="26"/>
      <c r="K463" s="26"/>
      <c r="L463" s="26"/>
      <c r="M463" s="26"/>
      <c r="N463" s="26"/>
      <c r="O463" s="26"/>
      <c r="P463" s="26"/>
      <c r="Q463" s="66"/>
      <c r="R463" s="66"/>
      <c r="S463" s="26"/>
    </row>
    <row r="464" spans="1:19">
      <c r="A464" s="24"/>
      <c r="B464" s="25" t="s">
        <v>173</v>
      </c>
      <c r="C464" s="26" t="s">
        <v>8</v>
      </c>
      <c r="D464" s="351">
        <v>1</v>
      </c>
      <c r="E464" s="303"/>
      <c r="F464" s="351">
        <v>1</v>
      </c>
      <c r="G464" s="26"/>
      <c r="H464" s="26"/>
      <c r="I464" s="26"/>
      <c r="J464" s="26"/>
      <c r="K464" s="26"/>
      <c r="L464" s="26"/>
      <c r="M464" s="26"/>
      <c r="N464" s="26"/>
      <c r="O464" s="26"/>
      <c r="P464" s="26"/>
      <c r="Q464" s="66"/>
      <c r="R464" s="66"/>
      <c r="S464" s="26"/>
    </row>
    <row r="465" spans="1:19">
      <c r="A465" s="24"/>
      <c r="B465" s="25" t="s">
        <v>199</v>
      </c>
      <c r="C465" s="26" t="s">
        <v>17</v>
      </c>
      <c r="D465" s="351">
        <v>1</v>
      </c>
      <c r="E465" s="303"/>
      <c r="F465" s="351">
        <v>1</v>
      </c>
      <c r="G465" s="26"/>
      <c r="H465" s="26"/>
      <c r="I465" s="26"/>
      <c r="J465" s="26"/>
      <c r="K465" s="26"/>
      <c r="L465" s="26"/>
      <c r="M465" s="26"/>
      <c r="N465" s="26"/>
      <c r="O465" s="26"/>
      <c r="P465" s="26"/>
      <c r="Q465" s="66"/>
      <c r="R465" s="66"/>
      <c r="S465" s="26"/>
    </row>
    <row r="466" spans="1:19" ht="30">
      <c r="A466" s="24"/>
      <c r="B466" s="25" t="s">
        <v>176</v>
      </c>
      <c r="C466" s="26" t="s">
        <v>78</v>
      </c>
      <c r="D466" s="351">
        <v>1</v>
      </c>
      <c r="E466" s="303"/>
      <c r="F466" s="351">
        <v>1</v>
      </c>
      <c r="G466" s="26"/>
      <c r="H466" s="26"/>
      <c r="I466" s="26"/>
      <c r="J466" s="26"/>
      <c r="K466" s="26"/>
      <c r="L466" s="26"/>
      <c r="M466" s="26"/>
      <c r="N466" s="26"/>
      <c r="O466" s="26"/>
      <c r="P466" s="26"/>
      <c r="Q466" s="66"/>
      <c r="R466" s="66"/>
      <c r="S466" s="26"/>
    </row>
    <row r="467" spans="1:19" ht="60">
      <c r="A467" s="24">
        <v>5</v>
      </c>
      <c r="B467" s="25" t="s">
        <v>208</v>
      </c>
      <c r="C467" s="26" t="s">
        <v>7</v>
      </c>
      <c r="D467" s="351">
        <v>2</v>
      </c>
      <c r="E467" s="303"/>
      <c r="F467" s="351">
        <v>2</v>
      </c>
      <c r="G467" s="26" t="s">
        <v>2326</v>
      </c>
      <c r="H467" s="26"/>
      <c r="I467" s="26" t="s">
        <v>2327</v>
      </c>
      <c r="J467" s="26" t="s">
        <v>2328</v>
      </c>
      <c r="K467" s="311">
        <v>15214092.299999999</v>
      </c>
      <c r="L467" s="311">
        <v>0</v>
      </c>
      <c r="M467" s="311">
        <v>1318333.3333333335</v>
      </c>
      <c r="N467" s="311">
        <v>1653443.6666666667</v>
      </c>
      <c r="O467" s="311">
        <v>1157410.5666666667</v>
      </c>
      <c r="P467" s="68">
        <f>SUM(K467:O467)</f>
        <v>19343279.866666667</v>
      </c>
      <c r="Q467" s="68">
        <f>D467*P467</f>
        <v>38686559.733333334</v>
      </c>
      <c r="R467" s="127">
        <f>F467*P467</f>
        <v>38686559.733333334</v>
      </c>
      <c r="S467" s="26"/>
    </row>
    <row r="468" spans="1:19" ht="30">
      <c r="A468" s="24"/>
      <c r="B468" s="25" t="s">
        <v>192</v>
      </c>
      <c r="C468" s="26" t="s">
        <v>8</v>
      </c>
      <c r="D468" s="351">
        <v>1</v>
      </c>
      <c r="E468" s="303"/>
      <c r="F468" s="351">
        <v>1</v>
      </c>
      <c r="G468" s="26"/>
      <c r="H468" s="26"/>
      <c r="I468" s="26"/>
      <c r="J468" s="26"/>
      <c r="K468" s="26"/>
      <c r="L468" s="26"/>
      <c r="M468" s="26"/>
      <c r="N468" s="26"/>
      <c r="O468" s="26"/>
      <c r="P468" s="26"/>
      <c r="Q468" s="66"/>
      <c r="R468" s="66"/>
      <c r="S468" s="26"/>
    </row>
    <row r="469" spans="1:19">
      <c r="A469" s="24"/>
      <c r="B469" s="25" t="s">
        <v>161</v>
      </c>
      <c r="C469" s="26"/>
      <c r="D469" s="351"/>
      <c r="E469" s="303"/>
      <c r="F469" s="351"/>
      <c r="G469" s="26"/>
      <c r="H469" s="26"/>
      <c r="I469" s="26"/>
      <c r="J469" s="26"/>
      <c r="K469" s="26"/>
      <c r="L469" s="26"/>
      <c r="M469" s="26"/>
      <c r="N469" s="26"/>
      <c r="O469" s="26"/>
      <c r="P469" s="26"/>
      <c r="Q469" s="66"/>
      <c r="R469" s="66"/>
      <c r="S469" s="26"/>
    </row>
    <row r="470" spans="1:19">
      <c r="A470" s="24"/>
      <c r="B470" s="25" t="s">
        <v>193</v>
      </c>
      <c r="C470" s="26" t="s">
        <v>8</v>
      </c>
      <c r="D470" s="351">
        <v>1</v>
      </c>
      <c r="E470" s="303"/>
      <c r="F470" s="351">
        <v>1</v>
      </c>
      <c r="G470" s="26"/>
      <c r="H470" s="26"/>
      <c r="I470" s="26"/>
      <c r="J470" s="26"/>
      <c r="K470" s="26"/>
      <c r="L470" s="26"/>
      <c r="M470" s="26"/>
      <c r="N470" s="26"/>
      <c r="O470" s="26"/>
      <c r="P470" s="26"/>
      <c r="Q470" s="66"/>
      <c r="R470" s="66"/>
      <c r="S470" s="26"/>
    </row>
    <row r="471" spans="1:19">
      <c r="A471" s="24"/>
      <c r="B471" s="25" t="s">
        <v>54</v>
      </c>
      <c r="C471" s="26" t="s">
        <v>20</v>
      </c>
      <c r="D471" s="351">
        <v>3</v>
      </c>
      <c r="E471" s="303"/>
      <c r="F471" s="351">
        <v>3</v>
      </c>
      <c r="G471" s="26"/>
      <c r="H471" s="26"/>
      <c r="I471" s="26"/>
      <c r="J471" s="26"/>
      <c r="K471" s="26"/>
      <c r="L471" s="26"/>
      <c r="M471" s="26"/>
      <c r="N471" s="26"/>
      <c r="O471" s="26"/>
      <c r="P471" s="26"/>
      <c r="Q471" s="66"/>
      <c r="R471" s="66"/>
      <c r="S471" s="26"/>
    </row>
    <row r="472" spans="1:19">
      <c r="A472" s="24"/>
      <c r="B472" s="25" t="s">
        <v>21</v>
      </c>
      <c r="C472" s="26" t="s">
        <v>8</v>
      </c>
      <c r="D472" s="351">
        <v>1</v>
      </c>
      <c r="E472" s="303"/>
      <c r="F472" s="351">
        <v>1</v>
      </c>
      <c r="G472" s="26"/>
      <c r="H472" s="26"/>
      <c r="I472" s="26"/>
      <c r="J472" s="26"/>
      <c r="K472" s="26"/>
      <c r="L472" s="26"/>
      <c r="M472" s="26"/>
      <c r="N472" s="26"/>
      <c r="O472" s="26"/>
      <c r="P472" s="26"/>
      <c r="Q472" s="66"/>
      <c r="R472" s="66"/>
      <c r="S472" s="26"/>
    </row>
    <row r="473" spans="1:19">
      <c r="A473" s="24"/>
      <c r="B473" s="25" t="s">
        <v>22</v>
      </c>
      <c r="C473" s="26" t="s">
        <v>8</v>
      </c>
      <c r="D473" s="351">
        <v>1</v>
      </c>
      <c r="E473" s="303"/>
      <c r="F473" s="351">
        <v>1</v>
      </c>
      <c r="G473" s="26"/>
      <c r="H473" s="26"/>
      <c r="I473" s="26"/>
      <c r="J473" s="26"/>
      <c r="K473" s="26"/>
      <c r="L473" s="26"/>
      <c r="M473" s="26"/>
      <c r="N473" s="26"/>
      <c r="O473" s="26"/>
      <c r="P473" s="26"/>
      <c r="Q473" s="66"/>
      <c r="R473" s="66"/>
      <c r="S473" s="26"/>
    </row>
    <row r="474" spans="1:19">
      <c r="A474" s="24"/>
      <c r="B474" s="25" t="s">
        <v>194</v>
      </c>
      <c r="C474" s="26" t="s">
        <v>8</v>
      </c>
      <c r="D474" s="351">
        <v>3</v>
      </c>
      <c r="E474" s="303"/>
      <c r="F474" s="351">
        <v>3</v>
      </c>
      <c r="G474" s="26"/>
      <c r="H474" s="26"/>
      <c r="I474" s="26"/>
      <c r="J474" s="26"/>
      <c r="K474" s="26"/>
      <c r="L474" s="26"/>
      <c r="M474" s="26"/>
      <c r="N474" s="26"/>
      <c r="O474" s="26"/>
      <c r="P474" s="26"/>
      <c r="Q474" s="66"/>
      <c r="R474" s="66"/>
      <c r="S474" s="26"/>
    </row>
    <row r="475" spans="1:19">
      <c r="A475" s="24"/>
      <c r="B475" s="25" t="s">
        <v>24</v>
      </c>
      <c r="C475" s="26" t="s">
        <v>8</v>
      </c>
      <c r="D475" s="351">
        <v>3</v>
      </c>
      <c r="E475" s="303"/>
      <c r="F475" s="351">
        <v>3</v>
      </c>
      <c r="G475" s="26"/>
      <c r="H475" s="26"/>
      <c r="I475" s="26"/>
      <c r="J475" s="26"/>
      <c r="K475" s="26"/>
      <c r="L475" s="26"/>
      <c r="M475" s="26"/>
      <c r="N475" s="26"/>
      <c r="O475" s="26"/>
      <c r="P475" s="26"/>
      <c r="Q475" s="66"/>
      <c r="R475" s="66"/>
      <c r="S475" s="26"/>
    </row>
    <row r="476" spans="1:19">
      <c r="A476" s="24"/>
      <c r="B476" s="25" t="s">
        <v>163</v>
      </c>
      <c r="C476" s="26" t="s">
        <v>8</v>
      </c>
      <c r="D476" s="351">
        <v>3</v>
      </c>
      <c r="E476" s="303"/>
      <c r="F476" s="351">
        <v>3</v>
      </c>
      <c r="G476" s="26"/>
      <c r="H476" s="26"/>
      <c r="I476" s="26"/>
      <c r="J476" s="26"/>
      <c r="K476" s="26"/>
      <c r="L476" s="26"/>
      <c r="M476" s="26"/>
      <c r="N476" s="26"/>
      <c r="O476" s="26"/>
      <c r="P476" s="26"/>
      <c r="Q476" s="66"/>
      <c r="R476" s="66"/>
      <c r="S476" s="26"/>
    </row>
    <row r="477" spans="1:19">
      <c r="A477" s="24"/>
      <c r="B477" s="25" t="s">
        <v>164</v>
      </c>
      <c r="C477" s="26"/>
      <c r="D477" s="351"/>
      <c r="E477" s="303"/>
      <c r="F477" s="351"/>
      <c r="G477" s="26"/>
      <c r="H477" s="26"/>
      <c r="I477" s="26"/>
      <c r="J477" s="26"/>
      <c r="K477" s="26"/>
      <c r="L477" s="26"/>
      <c r="M477" s="26"/>
      <c r="N477" s="26"/>
      <c r="O477" s="26"/>
      <c r="P477" s="26"/>
      <c r="Q477" s="66"/>
      <c r="R477" s="66"/>
      <c r="S477" s="26"/>
    </row>
    <row r="478" spans="1:19">
      <c r="A478" s="24"/>
      <c r="B478" s="25" t="s">
        <v>209</v>
      </c>
      <c r="C478" s="26" t="s">
        <v>8</v>
      </c>
      <c r="D478" s="351">
        <v>1</v>
      </c>
      <c r="E478" s="303"/>
      <c r="F478" s="351">
        <v>1</v>
      </c>
      <c r="G478" s="26"/>
      <c r="H478" s="26"/>
      <c r="I478" s="26"/>
      <c r="J478" s="26"/>
      <c r="K478" s="26"/>
      <c r="L478" s="26"/>
      <c r="M478" s="26"/>
      <c r="N478" s="26"/>
      <c r="O478" s="26"/>
      <c r="P478" s="26"/>
      <c r="Q478" s="66"/>
      <c r="R478" s="66"/>
      <c r="S478" s="26"/>
    </row>
    <row r="479" spans="1:19">
      <c r="A479" s="24"/>
      <c r="B479" s="25" t="s">
        <v>168</v>
      </c>
      <c r="C479" s="26" t="s">
        <v>8</v>
      </c>
      <c r="D479" s="351">
        <v>1</v>
      </c>
      <c r="E479" s="303"/>
      <c r="F479" s="351">
        <v>1</v>
      </c>
      <c r="G479" s="26"/>
      <c r="H479" s="26"/>
      <c r="I479" s="26"/>
      <c r="J479" s="26"/>
      <c r="K479" s="26"/>
      <c r="L479" s="26"/>
      <c r="M479" s="26"/>
      <c r="N479" s="26"/>
      <c r="O479" s="26"/>
      <c r="P479" s="26"/>
      <c r="Q479" s="66"/>
      <c r="R479" s="66"/>
      <c r="S479" s="26"/>
    </row>
    <row r="480" spans="1:19">
      <c r="A480" s="24"/>
      <c r="B480" s="25" t="s">
        <v>210</v>
      </c>
      <c r="C480" s="26" t="s">
        <v>17</v>
      </c>
      <c r="D480" s="351">
        <v>1</v>
      </c>
      <c r="E480" s="303"/>
      <c r="F480" s="351">
        <v>1</v>
      </c>
      <c r="G480" s="26"/>
      <c r="H480" s="26"/>
      <c r="I480" s="26"/>
      <c r="J480" s="26"/>
      <c r="K480" s="26"/>
      <c r="L480" s="26"/>
      <c r="M480" s="26"/>
      <c r="N480" s="26"/>
      <c r="O480" s="26"/>
      <c r="P480" s="26"/>
      <c r="Q480" s="66"/>
      <c r="R480" s="66"/>
      <c r="S480" s="26"/>
    </row>
    <row r="481" spans="1:19">
      <c r="A481" s="24"/>
      <c r="B481" s="25" t="s">
        <v>197</v>
      </c>
      <c r="C481" s="26" t="s">
        <v>8</v>
      </c>
      <c r="D481" s="351">
        <v>2</v>
      </c>
      <c r="E481" s="303"/>
      <c r="F481" s="351">
        <v>2</v>
      </c>
      <c r="G481" s="26"/>
      <c r="H481" s="26"/>
      <c r="I481" s="26"/>
      <c r="J481" s="26"/>
      <c r="K481" s="26"/>
      <c r="L481" s="26"/>
      <c r="M481" s="26"/>
      <c r="N481" s="26"/>
      <c r="O481" s="26"/>
      <c r="P481" s="26"/>
      <c r="Q481" s="66"/>
      <c r="R481" s="66"/>
      <c r="S481" s="26"/>
    </row>
    <row r="482" spans="1:19">
      <c r="A482" s="24"/>
      <c r="B482" s="25" t="s">
        <v>206</v>
      </c>
      <c r="C482" s="26" t="s">
        <v>8</v>
      </c>
      <c r="D482" s="351">
        <v>1</v>
      </c>
      <c r="E482" s="303"/>
      <c r="F482" s="351">
        <v>1</v>
      </c>
      <c r="G482" s="26"/>
      <c r="H482" s="26"/>
      <c r="I482" s="26"/>
      <c r="J482" s="26"/>
      <c r="K482" s="26"/>
      <c r="L482" s="26"/>
      <c r="M482" s="26"/>
      <c r="N482" s="26"/>
      <c r="O482" s="26"/>
      <c r="P482" s="26"/>
      <c r="Q482" s="66"/>
      <c r="R482" s="66"/>
      <c r="S482" s="26"/>
    </row>
    <row r="483" spans="1:19">
      <c r="A483" s="24"/>
      <c r="B483" s="25" t="s">
        <v>211</v>
      </c>
      <c r="C483" s="26" t="s">
        <v>8</v>
      </c>
      <c r="D483" s="351">
        <v>1</v>
      </c>
      <c r="E483" s="303"/>
      <c r="F483" s="351">
        <v>1</v>
      </c>
      <c r="G483" s="26"/>
      <c r="H483" s="26"/>
      <c r="I483" s="26"/>
      <c r="J483" s="26"/>
      <c r="K483" s="26"/>
      <c r="L483" s="26"/>
      <c r="M483" s="26"/>
      <c r="N483" s="26"/>
      <c r="O483" s="26"/>
      <c r="P483" s="26"/>
      <c r="Q483" s="66"/>
      <c r="R483" s="66"/>
      <c r="S483" s="26"/>
    </row>
    <row r="484" spans="1:19">
      <c r="A484" s="24"/>
      <c r="B484" s="25" t="s">
        <v>198</v>
      </c>
      <c r="C484" s="26" t="s">
        <v>8</v>
      </c>
      <c r="D484" s="351">
        <v>1</v>
      </c>
      <c r="E484" s="303"/>
      <c r="F484" s="351">
        <v>1</v>
      </c>
      <c r="G484" s="26"/>
      <c r="H484" s="26"/>
      <c r="I484" s="26"/>
      <c r="J484" s="26"/>
      <c r="K484" s="26"/>
      <c r="L484" s="26"/>
      <c r="M484" s="26"/>
      <c r="N484" s="26"/>
      <c r="O484" s="26"/>
      <c r="P484" s="26"/>
      <c r="Q484" s="66"/>
      <c r="R484" s="66"/>
      <c r="S484" s="26"/>
    </row>
    <row r="485" spans="1:19">
      <c r="A485" s="24"/>
      <c r="B485" s="25" t="s">
        <v>185</v>
      </c>
      <c r="C485" s="26" t="s">
        <v>8</v>
      </c>
      <c r="D485" s="351">
        <v>1</v>
      </c>
      <c r="E485" s="303"/>
      <c r="F485" s="351">
        <v>1</v>
      </c>
      <c r="G485" s="26"/>
      <c r="H485" s="26"/>
      <c r="I485" s="26"/>
      <c r="J485" s="26"/>
      <c r="K485" s="26"/>
      <c r="L485" s="26"/>
      <c r="M485" s="26"/>
      <c r="N485" s="26"/>
      <c r="O485" s="26"/>
      <c r="P485" s="26"/>
      <c r="Q485" s="66"/>
      <c r="R485" s="66"/>
      <c r="S485" s="26"/>
    </row>
    <row r="486" spans="1:19">
      <c r="A486" s="24"/>
      <c r="B486" s="25" t="s">
        <v>212</v>
      </c>
      <c r="C486" s="26" t="s">
        <v>8</v>
      </c>
      <c r="D486" s="351">
        <v>1</v>
      </c>
      <c r="E486" s="303"/>
      <c r="F486" s="351">
        <v>1</v>
      </c>
      <c r="G486" s="26"/>
      <c r="H486" s="26"/>
      <c r="I486" s="26"/>
      <c r="J486" s="26"/>
      <c r="K486" s="26"/>
      <c r="L486" s="26"/>
      <c r="M486" s="26"/>
      <c r="N486" s="26"/>
      <c r="O486" s="26"/>
      <c r="P486" s="26"/>
      <c r="Q486" s="66"/>
      <c r="R486" s="66"/>
      <c r="S486" s="26"/>
    </row>
    <row r="487" spans="1:19">
      <c r="A487" s="24"/>
      <c r="B487" s="25" t="s">
        <v>186</v>
      </c>
      <c r="C487" s="26" t="s">
        <v>8</v>
      </c>
      <c r="D487" s="351">
        <v>2</v>
      </c>
      <c r="E487" s="303"/>
      <c r="F487" s="351">
        <v>2</v>
      </c>
      <c r="G487" s="26"/>
      <c r="H487" s="26"/>
      <c r="I487" s="26"/>
      <c r="J487" s="26"/>
      <c r="K487" s="26"/>
      <c r="L487" s="26"/>
      <c r="M487" s="26"/>
      <c r="N487" s="26"/>
      <c r="O487" s="26"/>
      <c r="P487" s="26"/>
      <c r="Q487" s="66"/>
      <c r="R487" s="66"/>
      <c r="S487" s="26"/>
    </row>
    <row r="488" spans="1:19">
      <c r="A488" s="24"/>
      <c r="B488" s="25" t="s">
        <v>171</v>
      </c>
      <c r="C488" s="26" t="s">
        <v>8</v>
      </c>
      <c r="D488" s="351">
        <v>1</v>
      </c>
      <c r="E488" s="303"/>
      <c r="F488" s="351">
        <v>1</v>
      </c>
      <c r="G488" s="26"/>
      <c r="H488" s="26"/>
      <c r="I488" s="26"/>
      <c r="J488" s="26"/>
      <c r="K488" s="26"/>
      <c r="L488" s="26"/>
      <c r="M488" s="26"/>
      <c r="N488" s="26"/>
      <c r="O488" s="26"/>
      <c r="P488" s="26"/>
      <c r="Q488" s="66"/>
      <c r="R488" s="66"/>
      <c r="S488" s="26"/>
    </row>
    <row r="489" spans="1:19">
      <c r="A489" s="24"/>
      <c r="B489" s="25" t="s">
        <v>187</v>
      </c>
      <c r="C489" s="26" t="s">
        <v>78</v>
      </c>
      <c r="D489" s="351">
        <v>1</v>
      </c>
      <c r="E489" s="303"/>
      <c r="F489" s="351">
        <v>1</v>
      </c>
      <c r="G489" s="26"/>
      <c r="H489" s="26"/>
      <c r="I489" s="26"/>
      <c r="J489" s="26"/>
      <c r="K489" s="26"/>
      <c r="L489" s="26"/>
      <c r="M489" s="26"/>
      <c r="N489" s="26"/>
      <c r="O489" s="26"/>
      <c r="P489" s="26"/>
      <c r="Q489" s="66"/>
      <c r="R489" s="66"/>
      <c r="S489" s="26"/>
    </row>
    <row r="490" spans="1:19">
      <c r="A490" s="24"/>
      <c r="B490" s="25" t="s">
        <v>173</v>
      </c>
      <c r="C490" s="26" t="s">
        <v>8</v>
      </c>
      <c r="D490" s="351">
        <v>1</v>
      </c>
      <c r="E490" s="303"/>
      <c r="F490" s="351">
        <v>1</v>
      </c>
      <c r="G490" s="26"/>
      <c r="H490" s="26"/>
      <c r="I490" s="26"/>
      <c r="J490" s="26"/>
      <c r="K490" s="26"/>
      <c r="L490" s="26"/>
      <c r="M490" s="26"/>
      <c r="N490" s="26"/>
      <c r="O490" s="26"/>
      <c r="P490" s="26"/>
      <c r="Q490" s="66"/>
      <c r="R490" s="66"/>
      <c r="S490" s="26"/>
    </row>
    <row r="491" spans="1:19">
      <c r="A491" s="24"/>
      <c r="B491" s="25" t="s">
        <v>199</v>
      </c>
      <c r="C491" s="26" t="s">
        <v>17</v>
      </c>
      <c r="D491" s="351">
        <v>1</v>
      </c>
      <c r="E491" s="303"/>
      <c r="F491" s="351">
        <v>1</v>
      </c>
      <c r="G491" s="26"/>
      <c r="H491" s="26"/>
      <c r="I491" s="26"/>
      <c r="J491" s="26"/>
      <c r="K491" s="26"/>
      <c r="L491" s="26"/>
      <c r="M491" s="26"/>
      <c r="N491" s="26"/>
      <c r="O491" s="26"/>
      <c r="P491" s="26"/>
      <c r="Q491" s="66"/>
      <c r="R491" s="66"/>
      <c r="S491" s="26"/>
    </row>
    <row r="492" spans="1:19" ht="30">
      <c r="A492" s="24"/>
      <c r="B492" s="25" t="s">
        <v>176</v>
      </c>
      <c r="C492" s="26" t="s">
        <v>78</v>
      </c>
      <c r="D492" s="351">
        <v>1</v>
      </c>
      <c r="E492" s="303"/>
      <c r="F492" s="351">
        <v>1</v>
      </c>
      <c r="G492" s="26"/>
      <c r="H492" s="26"/>
      <c r="I492" s="26"/>
      <c r="J492" s="26"/>
      <c r="K492" s="26"/>
      <c r="L492" s="26"/>
      <c r="M492" s="26"/>
      <c r="N492" s="26"/>
      <c r="O492" s="26"/>
      <c r="P492" s="26"/>
      <c r="Q492" s="66"/>
      <c r="R492" s="66"/>
      <c r="S492" s="26"/>
    </row>
    <row r="493" spans="1:19" ht="60">
      <c r="A493" s="24">
        <v>6</v>
      </c>
      <c r="B493" s="25" t="s">
        <v>213</v>
      </c>
      <c r="C493" s="26" t="s">
        <v>7</v>
      </c>
      <c r="D493" s="351">
        <v>1</v>
      </c>
      <c r="E493" s="303"/>
      <c r="F493" s="351">
        <v>1</v>
      </c>
      <c r="G493" s="26" t="s">
        <v>2326</v>
      </c>
      <c r="H493" s="26"/>
      <c r="I493" s="26" t="s">
        <v>2327</v>
      </c>
      <c r="J493" s="26" t="s">
        <v>2328</v>
      </c>
      <c r="K493" s="311">
        <v>23698817.999999996</v>
      </c>
      <c r="L493" s="311">
        <v>0</v>
      </c>
      <c r="M493" s="311">
        <v>1356000.0000000002</v>
      </c>
      <c r="N493" s="311">
        <v>2513820</v>
      </c>
      <c r="O493" s="311">
        <v>1759674.0000000002</v>
      </c>
      <c r="P493" s="68">
        <f>SUM(K493:O493)</f>
        <v>29328311.999999996</v>
      </c>
      <c r="Q493" s="68">
        <f>D493*P493</f>
        <v>29328311.999999996</v>
      </c>
      <c r="R493" s="127">
        <f>F493*P493</f>
        <v>29328311.999999996</v>
      </c>
      <c r="S493" s="26"/>
    </row>
    <row r="494" spans="1:19" ht="30">
      <c r="A494" s="24"/>
      <c r="B494" s="25" t="s">
        <v>192</v>
      </c>
      <c r="C494" s="26" t="s">
        <v>8</v>
      </c>
      <c r="D494" s="351">
        <v>1</v>
      </c>
      <c r="E494" s="303"/>
      <c r="F494" s="351">
        <v>1</v>
      </c>
      <c r="G494" s="26"/>
      <c r="H494" s="26"/>
      <c r="I494" s="26"/>
      <c r="J494" s="26"/>
      <c r="K494" s="26"/>
      <c r="L494" s="26"/>
      <c r="M494" s="26"/>
      <c r="N494" s="26"/>
      <c r="O494" s="26"/>
      <c r="P494" s="26"/>
      <c r="Q494" s="66"/>
      <c r="R494" s="66"/>
      <c r="S494" s="26"/>
    </row>
    <row r="495" spans="1:19">
      <c r="A495" s="24"/>
      <c r="B495" s="25" t="s">
        <v>161</v>
      </c>
      <c r="C495" s="26"/>
      <c r="D495" s="351"/>
      <c r="E495" s="303"/>
      <c r="F495" s="351"/>
      <c r="G495" s="26"/>
      <c r="H495" s="26"/>
      <c r="I495" s="26"/>
      <c r="J495" s="26"/>
      <c r="K495" s="26"/>
      <c r="L495" s="26"/>
      <c r="M495" s="26"/>
      <c r="N495" s="26"/>
      <c r="O495" s="26"/>
      <c r="P495" s="26"/>
      <c r="Q495" s="66"/>
      <c r="R495" s="66"/>
      <c r="S495" s="26"/>
    </row>
    <row r="496" spans="1:19">
      <c r="A496" s="24"/>
      <c r="B496" s="25" t="s">
        <v>214</v>
      </c>
      <c r="C496" s="26" t="s">
        <v>8</v>
      </c>
      <c r="D496" s="351">
        <v>1</v>
      </c>
      <c r="E496" s="303"/>
      <c r="F496" s="351">
        <v>1</v>
      </c>
      <c r="G496" s="26"/>
      <c r="H496" s="26"/>
      <c r="I496" s="26"/>
      <c r="J496" s="26"/>
      <c r="K496" s="26"/>
      <c r="L496" s="26"/>
      <c r="M496" s="26"/>
      <c r="N496" s="26"/>
      <c r="O496" s="26"/>
      <c r="P496" s="26"/>
      <c r="Q496" s="66"/>
      <c r="R496" s="66"/>
      <c r="S496" s="26"/>
    </row>
    <row r="497" spans="1:19">
      <c r="A497" s="24"/>
      <c r="B497" s="25" t="s">
        <v>54</v>
      </c>
      <c r="C497" s="26" t="s">
        <v>20</v>
      </c>
      <c r="D497" s="351">
        <v>3</v>
      </c>
      <c r="E497" s="303"/>
      <c r="F497" s="351">
        <v>3</v>
      </c>
      <c r="G497" s="26"/>
      <c r="H497" s="26"/>
      <c r="I497" s="26"/>
      <c r="J497" s="26"/>
      <c r="K497" s="26"/>
      <c r="L497" s="26"/>
      <c r="M497" s="26"/>
      <c r="N497" s="26"/>
      <c r="O497" s="26"/>
      <c r="P497" s="26"/>
      <c r="Q497" s="66"/>
      <c r="R497" s="66"/>
      <c r="S497" s="26"/>
    </row>
    <row r="498" spans="1:19">
      <c r="A498" s="24"/>
      <c r="B498" s="25" t="s">
        <v>21</v>
      </c>
      <c r="C498" s="26" t="s">
        <v>8</v>
      </c>
      <c r="D498" s="351">
        <v>1</v>
      </c>
      <c r="E498" s="303"/>
      <c r="F498" s="351">
        <v>1</v>
      </c>
      <c r="G498" s="26"/>
      <c r="H498" s="26"/>
      <c r="I498" s="26"/>
      <c r="J498" s="26"/>
      <c r="K498" s="26"/>
      <c r="L498" s="26"/>
      <c r="M498" s="26"/>
      <c r="N498" s="26"/>
      <c r="O498" s="26"/>
      <c r="P498" s="26"/>
      <c r="Q498" s="66"/>
      <c r="R498" s="66"/>
      <c r="S498" s="26"/>
    </row>
    <row r="499" spans="1:19">
      <c r="A499" s="24"/>
      <c r="B499" s="25" t="s">
        <v>22</v>
      </c>
      <c r="C499" s="26" t="s">
        <v>8</v>
      </c>
      <c r="D499" s="351">
        <v>1</v>
      </c>
      <c r="E499" s="303"/>
      <c r="F499" s="351">
        <v>1</v>
      </c>
      <c r="G499" s="26"/>
      <c r="H499" s="26"/>
      <c r="I499" s="26"/>
      <c r="J499" s="26"/>
      <c r="K499" s="26"/>
      <c r="L499" s="26"/>
      <c r="M499" s="26"/>
      <c r="N499" s="26"/>
      <c r="O499" s="26"/>
      <c r="P499" s="26"/>
      <c r="Q499" s="66"/>
      <c r="R499" s="66"/>
      <c r="S499" s="26"/>
    </row>
    <row r="500" spans="1:19">
      <c r="A500" s="24"/>
      <c r="B500" s="25" t="s">
        <v>194</v>
      </c>
      <c r="C500" s="26" t="s">
        <v>8</v>
      </c>
      <c r="D500" s="351">
        <v>3</v>
      </c>
      <c r="E500" s="303"/>
      <c r="F500" s="351">
        <v>3</v>
      </c>
      <c r="G500" s="26"/>
      <c r="H500" s="26"/>
      <c r="I500" s="26"/>
      <c r="J500" s="26"/>
      <c r="K500" s="26"/>
      <c r="L500" s="26"/>
      <c r="M500" s="26"/>
      <c r="N500" s="26"/>
      <c r="O500" s="26"/>
      <c r="P500" s="26"/>
      <c r="Q500" s="66"/>
      <c r="R500" s="66"/>
      <c r="S500" s="26"/>
    </row>
    <row r="501" spans="1:19">
      <c r="A501" s="24"/>
      <c r="B501" s="25" t="s">
        <v>24</v>
      </c>
      <c r="C501" s="26" t="s">
        <v>8</v>
      </c>
      <c r="D501" s="351">
        <v>3</v>
      </c>
      <c r="E501" s="303"/>
      <c r="F501" s="351">
        <v>3</v>
      </c>
      <c r="G501" s="26"/>
      <c r="H501" s="26"/>
      <c r="I501" s="26"/>
      <c r="J501" s="26"/>
      <c r="K501" s="26"/>
      <c r="L501" s="26"/>
      <c r="M501" s="26"/>
      <c r="N501" s="26"/>
      <c r="O501" s="26"/>
      <c r="P501" s="26"/>
      <c r="Q501" s="66"/>
      <c r="R501" s="66"/>
      <c r="S501" s="26"/>
    </row>
    <row r="502" spans="1:19">
      <c r="A502" s="24"/>
      <c r="B502" s="25" t="s">
        <v>163</v>
      </c>
      <c r="C502" s="26" t="s">
        <v>8</v>
      </c>
      <c r="D502" s="351">
        <v>3</v>
      </c>
      <c r="E502" s="303"/>
      <c r="F502" s="351">
        <v>3</v>
      </c>
      <c r="G502" s="26"/>
      <c r="H502" s="26"/>
      <c r="I502" s="26"/>
      <c r="J502" s="26"/>
      <c r="K502" s="26"/>
      <c r="L502" s="26"/>
      <c r="M502" s="26"/>
      <c r="N502" s="26"/>
      <c r="O502" s="26"/>
      <c r="P502" s="26"/>
      <c r="Q502" s="66"/>
      <c r="R502" s="66"/>
      <c r="S502" s="26"/>
    </row>
    <row r="503" spans="1:19">
      <c r="A503" s="24"/>
      <c r="B503" s="25" t="s">
        <v>164</v>
      </c>
      <c r="C503" s="26"/>
      <c r="D503" s="351"/>
      <c r="E503" s="303"/>
      <c r="F503" s="351"/>
      <c r="G503" s="26"/>
      <c r="H503" s="26"/>
      <c r="I503" s="26"/>
      <c r="J503" s="26"/>
      <c r="K503" s="26"/>
      <c r="L503" s="26"/>
      <c r="M503" s="26"/>
      <c r="N503" s="26"/>
      <c r="O503" s="26"/>
      <c r="P503" s="26"/>
      <c r="Q503" s="66"/>
      <c r="R503" s="66"/>
      <c r="S503" s="26"/>
    </row>
    <row r="504" spans="1:19">
      <c r="A504" s="24"/>
      <c r="B504" s="25" t="s">
        <v>209</v>
      </c>
      <c r="C504" s="26" t="s">
        <v>8</v>
      </c>
      <c r="D504" s="351">
        <v>1</v>
      </c>
      <c r="E504" s="303"/>
      <c r="F504" s="351">
        <v>1</v>
      </c>
      <c r="G504" s="26"/>
      <c r="H504" s="26"/>
      <c r="I504" s="26"/>
      <c r="J504" s="26"/>
      <c r="K504" s="26"/>
      <c r="L504" s="26"/>
      <c r="M504" s="26"/>
      <c r="N504" s="26"/>
      <c r="O504" s="26"/>
      <c r="P504" s="26"/>
      <c r="Q504" s="66"/>
      <c r="R504" s="66"/>
      <c r="S504" s="26"/>
    </row>
    <row r="505" spans="1:19">
      <c r="A505" s="24"/>
      <c r="B505" s="25" t="s">
        <v>195</v>
      </c>
      <c r="C505" s="26" t="s">
        <v>8</v>
      </c>
      <c r="D505" s="351">
        <v>2</v>
      </c>
      <c r="E505" s="92"/>
      <c r="F505" s="351">
        <v>2</v>
      </c>
      <c r="G505" s="329"/>
      <c r="H505" s="329"/>
      <c r="I505" s="329"/>
      <c r="J505" s="329"/>
      <c r="K505" s="329"/>
      <c r="L505" s="329"/>
      <c r="M505" s="329"/>
      <c r="N505" s="329"/>
      <c r="O505" s="329"/>
      <c r="P505" s="329"/>
      <c r="Q505" s="65"/>
      <c r="R505" s="65"/>
      <c r="S505" s="329"/>
    </row>
    <row r="506" spans="1:19">
      <c r="A506" s="24"/>
      <c r="B506" s="25" t="s">
        <v>168</v>
      </c>
      <c r="C506" s="26" t="s">
        <v>8</v>
      </c>
      <c r="D506" s="351">
        <v>1</v>
      </c>
      <c r="E506" s="303"/>
      <c r="F506" s="351">
        <v>1</v>
      </c>
      <c r="G506" s="26"/>
      <c r="H506" s="26"/>
      <c r="I506" s="26"/>
      <c r="J506" s="26"/>
      <c r="K506" s="26"/>
      <c r="L506" s="26"/>
      <c r="M506" s="26"/>
      <c r="N506" s="26"/>
      <c r="O506" s="26"/>
      <c r="P506" s="26"/>
      <c r="Q506" s="66"/>
      <c r="R506" s="66"/>
      <c r="S506" s="26"/>
    </row>
    <row r="507" spans="1:19">
      <c r="A507" s="24"/>
      <c r="B507" s="25" t="s">
        <v>210</v>
      </c>
      <c r="C507" s="26" t="s">
        <v>17</v>
      </c>
      <c r="D507" s="351">
        <v>1</v>
      </c>
      <c r="E507" s="303"/>
      <c r="F507" s="351">
        <v>1</v>
      </c>
      <c r="G507" s="26"/>
      <c r="H507" s="26"/>
      <c r="I507" s="26"/>
      <c r="J507" s="26"/>
      <c r="K507" s="26"/>
      <c r="L507" s="26"/>
      <c r="M507" s="26"/>
      <c r="N507" s="26"/>
      <c r="O507" s="26"/>
      <c r="P507" s="26"/>
      <c r="Q507" s="66"/>
      <c r="R507" s="66"/>
      <c r="S507" s="26"/>
    </row>
    <row r="508" spans="1:19">
      <c r="A508" s="24"/>
      <c r="B508" s="25" t="s">
        <v>197</v>
      </c>
      <c r="C508" s="26" t="s">
        <v>8</v>
      </c>
      <c r="D508" s="351">
        <v>2</v>
      </c>
      <c r="E508" s="303"/>
      <c r="F508" s="351">
        <v>2</v>
      </c>
      <c r="G508" s="26"/>
      <c r="H508" s="26"/>
      <c r="I508" s="26"/>
      <c r="J508" s="26"/>
      <c r="K508" s="26"/>
      <c r="L508" s="26"/>
      <c r="M508" s="26"/>
      <c r="N508" s="26"/>
      <c r="O508" s="26"/>
      <c r="P508" s="26"/>
      <c r="Q508" s="66"/>
      <c r="R508" s="66"/>
      <c r="S508" s="26"/>
    </row>
    <row r="509" spans="1:19">
      <c r="A509" s="24"/>
      <c r="B509" s="25" t="s">
        <v>206</v>
      </c>
      <c r="C509" s="26" t="s">
        <v>8</v>
      </c>
      <c r="D509" s="351">
        <v>1</v>
      </c>
      <c r="E509" s="303"/>
      <c r="F509" s="351">
        <v>1</v>
      </c>
      <c r="G509" s="26"/>
      <c r="H509" s="26"/>
      <c r="I509" s="26"/>
      <c r="J509" s="26"/>
      <c r="K509" s="26"/>
      <c r="L509" s="26"/>
      <c r="M509" s="26"/>
      <c r="N509" s="26"/>
      <c r="O509" s="26"/>
      <c r="P509" s="26"/>
      <c r="Q509" s="66"/>
      <c r="R509" s="66"/>
      <c r="S509" s="26"/>
    </row>
    <row r="510" spans="1:19">
      <c r="A510" s="24"/>
      <c r="B510" s="25" t="s">
        <v>183</v>
      </c>
      <c r="C510" s="26" t="s">
        <v>8</v>
      </c>
      <c r="D510" s="351">
        <v>1</v>
      </c>
      <c r="E510" s="303"/>
      <c r="F510" s="351">
        <v>1</v>
      </c>
      <c r="G510" s="26"/>
      <c r="H510" s="26"/>
      <c r="I510" s="26"/>
      <c r="J510" s="26"/>
      <c r="K510" s="26"/>
      <c r="L510" s="26"/>
      <c r="M510" s="26"/>
      <c r="N510" s="26"/>
      <c r="O510" s="26"/>
      <c r="P510" s="26"/>
      <c r="Q510" s="66"/>
      <c r="R510" s="66"/>
      <c r="S510" s="26"/>
    </row>
    <row r="511" spans="1:19">
      <c r="A511" s="24"/>
      <c r="B511" s="25" t="s">
        <v>211</v>
      </c>
      <c r="C511" s="26" t="s">
        <v>8</v>
      </c>
      <c r="D511" s="351">
        <v>1</v>
      </c>
      <c r="E511" s="303"/>
      <c r="F511" s="351">
        <v>1</v>
      </c>
      <c r="G511" s="26"/>
      <c r="H511" s="26"/>
      <c r="I511" s="26"/>
      <c r="J511" s="26"/>
      <c r="K511" s="26"/>
      <c r="L511" s="26"/>
      <c r="M511" s="26"/>
      <c r="N511" s="26"/>
      <c r="O511" s="26"/>
      <c r="P511" s="26"/>
      <c r="Q511" s="66"/>
      <c r="R511" s="66"/>
      <c r="S511" s="26"/>
    </row>
    <row r="512" spans="1:19">
      <c r="A512" s="24"/>
      <c r="B512" s="25" t="s">
        <v>198</v>
      </c>
      <c r="C512" s="26" t="s">
        <v>8</v>
      </c>
      <c r="D512" s="351">
        <v>1</v>
      </c>
      <c r="E512" s="303"/>
      <c r="F512" s="351">
        <v>1</v>
      </c>
      <c r="G512" s="26"/>
      <c r="H512" s="26"/>
      <c r="I512" s="26"/>
      <c r="J512" s="26"/>
      <c r="K512" s="26"/>
      <c r="L512" s="26"/>
      <c r="M512" s="26"/>
      <c r="N512" s="26"/>
      <c r="O512" s="26"/>
      <c r="P512" s="26"/>
      <c r="Q512" s="66"/>
      <c r="R512" s="66"/>
      <c r="S512" s="26"/>
    </row>
    <row r="513" spans="1:19">
      <c r="A513" s="24"/>
      <c r="B513" s="25" t="s">
        <v>185</v>
      </c>
      <c r="C513" s="26" t="s">
        <v>8</v>
      </c>
      <c r="D513" s="351">
        <v>1</v>
      </c>
      <c r="E513" s="303"/>
      <c r="F513" s="351">
        <v>1</v>
      </c>
      <c r="G513" s="26"/>
      <c r="H513" s="26"/>
      <c r="I513" s="26"/>
      <c r="J513" s="26"/>
      <c r="K513" s="26"/>
      <c r="L513" s="26"/>
      <c r="M513" s="26"/>
      <c r="N513" s="26"/>
      <c r="O513" s="26"/>
      <c r="P513" s="26"/>
      <c r="Q513" s="66"/>
      <c r="R513" s="66"/>
      <c r="S513" s="26"/>
    </row>
    <row r="514" spans="1:19">
      <c r="A514" s="24"/>
      <c r="B514" s="25" t="s">
        <v>212</v>
      </c>
      <c r="C514" s="26" t="s">
        <v>8</v>
      </c>
      <c r="D514" s="351">
        <v>1</v>
      </c>
      <c r="E514" s="303"/>
      <c r="F514" s="351">
        <v>1</v>
      </c>
      <c r="G514" s="26"/>
      <c r="H514" s="26"/>
      <c r="I514" s="26"/>
      <c r="J514" s="26"/>
      <c r="K514" s="26"/>
      <c r="L514" s="26"/>
      <c r="M514" s="26"/>
      <c r="N514" s="26"/>
      <c r="O514" s="26"/>
      <c r="P514" s="26"/>
      <c r="Q514" s="66"/>
      <c r="R514" s="66"/>
      <c r="S514" s="26"/>
    </row>
    <row r="515" spans="1:19">
      <c r="A515" s="24"/>
      <c r="B515" s="25" t="s">
        <v>186</v>
      </c>
      <c r="C515" s="26" t="s">
        <v>8</v>
      </c>
      <c r="D515" s="351">
        <v>2</v>
      </c>
      <c r="E515" s="303"/>
      <c r="F515" s="351">
        <v>2</v>
      </c>
      <c r="G515" s="26"/>
      <c r="H515" s="26"/>
      <c r="I515" s="26"/>
      <c r="J515" s="26"/>
      <c r="K515" s="26"/>
      <c r="L515" s="26"/>
      <c r="M515" s="26"/>
      <c r="N515" s="26"/>
      <c r="O515" s="26"/>
      <c r="P515" s="26"/>
      <c r="Q515" s="66"/>
      <c r="R515" s="66"/>
      <c r="S515" s="26"/>
    </row>
    <row r="516" spans="1:19">
      <c r="A516" s="24"/>
      <c r="B516" s="25" t="s">
        <v>171</v>
      </c>
      <c r="C516" s="26" t="s">
        <v>8</v>
      </c>
      <c r="D516" s="351">
        <v>1</v>
      </c>
      <c r="E516" s="303"/>
      <c r="F516" s="351">
        <v>1</v>
      </c>
      <c r="G516" s="26"/>
      <c r="H516" s="26"/>
      <c r="I516" s="26"/>
      <c r="J516" s="26"/>
      <c r="K516" s="26"/>
      <c r="L516" s="26"/>
      <c r="M516" s="26"/>
      <c r="N516" s="26"/>
      <c r="O516" s="26"/>
      <c r="P516" s="26"/>
      <c r="Q516" s="66"/>
      <c r="R516" s="66"/>
      <c r="S516" s="26"/>
    </row>
    <row r="517" spans="1:19">
      <c r="A517" s="24"/>
      <c r="B517" s="25" t="s">
        <v>187</v>
      </c>
      <c r="C517" s="26" t="s">
        <v>78</v>
      </c>
      <c r="D517" s="351">
        <v>1</v>
      </c>
      <c r="E517" s="303"/>
      <c r="F517" s="351">
        <v>1</v>
      </c>
      <c r="G517" s="26"/>
      <c r="H517" s="26"/>
      <c r="I517" s="26"/>
      <c r="J517" s="26"/>
      <c r="K517" s="26"/>
      <c r="L517" s="26"/>
      <c r="M517" s="26"/>
      <c r="N517" s="26"/>
      <c r="O517" s="26"/>
      <c r="P517" s="26"/>
      <c r="Q517" s="66"/>
      <c r="R517" s="66"/>
      <c r="S517" s="26"/>
    </row>
    <row r="518" spans="1:19">
      <c r="A518" s="24"/>
      <c r="B518" s="25" t="s">
        <v>196</v>
      </c>
      <c r="C518" s="26" t="s">
        <v>17</v>
      </c>
      <c r="D518" s="351">
        <v>2</v>
      </c>
      <c r="E518" s="303"/>
      <c r="F518" s="351">
        <v>2</v>
      </c>
      <c r="G518" s="26"/>
      <c r="H518" s="26"/>
      <c r="I518" s="26"/>
      <c r="J518" s="26"/>
      <c r="K518" s="26"/>
      <c r="L518" s="26"/>
      <c r="M518" s="26"/>
      <c r="N518" s="26"/>
      <c r="O518" s="26"/>
      <c r="P518" s="26"/>
      <c r="Q518" s="66"/>
      <c r="R518" s="66"/>
      <c r="S518" s="26"/>
    </row>
    <row r="519" spans="1:19">
      <c r="A519" s="24"/>
      <c r="B519" s="25" t="s">
        <v>197</v>
      </c>
      <c r="C519" s="26" t="s">
        <v>8</v>
      </c>
      <c r="D519" s="351">
        <v>2</v>
      </c>
      <c r="E519" s="303"/>
      <c r="F519" s="351">
        <v>2</v>
      </c>
      <c r="G519" s="26"/>
      <c r="H519" s="26"/>
      <c r="I519" s="26"/>
      <c r="J519" s="26"/>
      <c r="K519" s="26"/>
      <c r="L519" s="26"/>
      <c r="M519" s="26"/>
      <c r="N519" s="26"/>
      <c r="O519" s="26"/>
      <c r="P519" s="26"/>
      <c r="Q519" s="66"/>
      <c r="R519" s="66"/>
      <c r="S519" s="26"/>
    </row>
    <row r="520" spans="1:19">
      <c r="A520" s="24"/>
      <c r="B520" s="25" t="s">
        <v>183</v>
      </c>
      <c r="C520" s="26" t="s">
        <v>8</v>
      </c>
      <c r="D520" s="351">
        <v>2</v>
      </c>
      <c r="E520" s="303"/>
      <c r="F520" s="351">
        <v>2</v>
      </c>
      <c r="G520" s="26"/>
      <c r="H520" s="26"/>
      <c r="I520" s="26"/>
      <c r="J520" s="26"/>
      <c r="K520" s="26"/>
      <c r="L520" s="26"/>
      <c r="M520" s="26"/>
      <c r="N520" s="26"/>
      <c r="O520" s="26"/>
      <c r="P520" s="26"/>
      <c r="Q520" s="66"/>
      <c r="R520" s="66"/>
      <c r="S520" s="26"/>
    </row>
    <row r="521" spans="1:19">
      <c r="A521" s="24"/>
      <c r="B521" s="25" t="s">
        <v>198</v>
      </c>
      <c r="C521" s="26" t="s">
        <v>8</v>
      </c>
      <c r="D521" s="351">
        <v>2</v>
      </c>
      <c r="E521" s="303"/>
      <c r="F521" s="351">
        <v>2</v>
      </c>
      <c r="G521" s="26"/>
      <c r="H521" s="26"/>
      <c r="I521" s="26"/>
      <c r="J521" s="26"/>
      <c r="K521" s="26"/>
      <c r="L521" s="26"/>
      <c r="M521" s="26"/>
      <c r="N521" s="26"/>
      <c r="O521" s="26"/>
      <c r="P521" s="26"/>
      <c r="Q521" s="66"/>
      <c r="R521" s="66"/>
      <c r="S521" s="26"/>
    </row>
    <row r="522" spans="1:19">
      <c r="A522" s="24"/>
      <c r="B522" s="25" t="s">
        <v>185</v>
      </c>
      <c r="C522" s="26" t="s">
        <v>8</v>
      </c>
      <c r="D522" s="351">
        <v>2</v>
      </c>
      <c r="E522" s="303"/>
      <c r="F522" s="351">
        <v>2</v>
      </c>
      <c r="G522" s="26"/>
      <c r="H522" s="26"/>
      <c r="I522" s="26"/>
      <c r="J522" s="26"/>
      <c r="K522" s="26"/>
      <c r="L522" s="26"/>
      <c r="M522" s="26"/>
      <c r="N522" s="26"/>
      <c r="O522" s="26"/>
      <c r="P522" s="26"/>
      <c r="Q522" s="66"/>
      <c r="R522" s="66"/>
      <c r="S522" s="26"/>
    </row>
    <row r="523" spans="1:19">
      <c r="A523" s="24"/>
      <c r="B523" s="25" t="s">
        <v>186</v>
      </c>
      <c r="C523" s="26" t="s">
        <v>8</v>
      </c>
      <c r="D523" s="351">
        <v>4</v>
      </c>
      <c r="E523" s="303"/>
      <c r="F523" s="351">
        <v>4</v>
      </c>
      <c r="G523" s="26"/>
      <c r="H523" s="26"/>
      <c r="I523" s="26"/>
      <c r="J523" s="26"/>
      <c r="K523" s="26"/>
      <c r="L523" s="26"/>
      <c r="M523" s="26"/>
      <c r="N523" s="26"/>
      <c r="O523" s="26"/>
      <c r="P523" s="26"/>
      <c r="Q523" s="66"/>
      <c r="R523" s="66"/>
      <c r="S523" s="26"/>
    </row>
    <row r="524" spans="1:19">
      <c r="A524" s="24"/>
      <c r="B524" s="25" t="s">
        <v>187</v>
      </c>
      <c r="C524" s="26" t="s">
        <v>78</v>
      </c>
      <c r="D524" s="351">
        <v>1</v>
      </c>
      <c r="E524" s="303"/>
      <c r="F524" s="351">
        <v>1</v>
      </c>
      <c r="G524" s="26"/>
      <c r="H524" s="26"/>
      <c r="I524" s="26"/>
      <c r="J524" s="26"/>
      <c r="K524" s="26"/>
      <c r="L524" s="26"/>
      <c r="M524" s="26"/>
      <c r="N524" s="26"/>
      <c r="O524" s="26"/>
      <c r="P524" s="26"/>
      <c r="Q524" s="66"/>
      <c r="R524" s="66"/>
      <c r="S524" s="26"/>
    </row>
    <row r="525" spans="1:19">
      <c r="A525" s="24"/>
      <c r="B525" s="25" t="s">
        <v>215</v>
      </c>
      <c r="C525" s="26" t="s">
        <v>8</v>
      </c>
      <c r="D525" s="351">
        <v>2</v>
      </c>
      <c r="E525" s="303"/>
      <c r="F525" s="351">
        <v>2</v>
      </c>
      <c r="G525" s="26"/>
      <c r="H525" s="26"/>
      <c r="I525" s="26"/>
      <c r="J525" s="26"/>
      <c r="K525" s="26"/>
      <c r="L525" s="26"/>
      <c r="M525" s="26"/>
      <c r="N525" s="26"/>
      <c r="O525" s="26"/>
      <c r="P525" s="26"/>
      <c r="Q525" s="66"/>
      <c r="R525" s="66"/>
      <c r="S525" s="26"/>
    </row>
    <row r="526" spans="1:19">
      <c r="A526" s="24"/>
      <c r="B526" s="25" t="s">
        <v>172</v>
      </c>
      <c r="C526" s="26" t="s">
        <v>8</v>
      </c>
      <c r="D526" s="351">
        <v>2</v>
      </c>
      <c r="E526" s="303"/>
      <c r="F526" s="351">
        <v>2</v>
      </c>
      <c r="G526" s="26"/>
      <c r="H526" s="26"/>
      <c r="I526" s="26"/>
      <c r="J526" s="26"/>
      <c r="K526" s="26"/>
      <c r="L526" s="26"/>
      <c r="M526" s="26"/>
      <c r="N526" s="26"/>
      <c r="O526" s="26"/>
      <c r="P526" s="26"/>
      <c r="Q526" s="66"/>
      <c r="R526" s="66"/>
      <c r="S526" s="26"/>
    </row>
    <row r="527" spans="1:19">
      <c r="A527" s="24"/>
      <c r="B527" s="25" t="s">
        <v>173</v>
      </c>
      <c r="C527" s="26" t="s">
        <v>8</v>
      </c>
      <c r="D527" s="351">
        <v>1</v>
      </c>
      <c r="E527" s="303"/>
      <c r="F527" s="351">
        <v>1</v>
      </c>
      <c r="G527" s="26"/>
      <c r="H527" s="26"/>
      <c r="I527" s="26"/>
      <c r="J527" s="26"/>
      <c r="K527" s="26"/>
      <c r="L527" s="26"/>
      <c r="M527" s="26"/>
      <c r="N527" s="26"/>
      <c r="O527" s="26"/>
      <c r="P527" s="26"/>
      <c r="Q527" s="66"/>
      <c r="R527" s="66"/>
      <c r="S527" s="26"/>
    </row>
    <row r="528" spans="1:19">
      <c r="A528" s="24"/>
      <c r="B528" s="25" t="s">
        <v>216</v>
      </c>
      <c r="C528" s="26" t="s">
        <v>17</v>
      </c>
      <c r="D528" s="351">
        <v>1</v>
      </c>
      <c r="E528" s="92"/>
      <c r="F528" s="351">
        <v>1</v>
      </c>
      <c r="G528" s="329"/>
      <c r="H528" s="329"/>
      <c r="I528" s="329"/>
      <c r="J528" s="329"/>
      <c r="K528" s="329"/>
      <c r="L528" s="329"/>
      <c r="M528" s="329"/>
      <c r="N528" s="329"/>
      <c r="O528" s="329"/>
      <c r="P528" s="329"/>
      <c r="Q528" s="65"/>
      <c r="R528" s="65"/>
      <c r="S528" s="329"/>
    </row>
    <row r="529" spans="1:19">
      <c r="A529" s="24"/>
      <c r="B529" s="25" t="s">
        <v>217</v>
      </c>
      <c r="C529" s="26" t="s">
        <v>17</v>
      </c>
      <c r="D529" s="351">
        <v>1</v>
      </c>
      <c r="E529" s="303"/>
      <c r="F529" s="351">
        <v>1</v>
      </c>
      <c r="G529" s="26"/>
      <c r="H529" s="26"/>
      <c r="I529" s="26"/>
      <c r="J529" s="26"/>
      <c r="K529" s="26"/>
      <c r="L529" s="26"/>
      <c r="M529" s="26"/>
      <c r="N529" s="26"/>
      <c r="O529" s="26"/>
      <c r="P529" s="26"/>
      <c r="Q529" s="66"/>
      <c r="R529" s="66"/>
      <c r="S529" s="26"/>
    </row>
    <row r="530" spans="1:19" ht="30">
      <c r="A530" s="24"/>
      <c r="B530" s="25" t="s">
        <v>176</v>
      </c>
      <c r="C530" s="26" t="s">
        <v>78</v>
      </c>
      <c r="D530" s="351">
        <v>1</v>
      </c>
      <c r="E530" s="303"/>
      <c r="F530" s="351">
        <v>1</v>
      </c>
      <c r="G530" s="26"/>
      <c r="H530" s="26"/>
      <c r="I530" s="26"/>
      <c r="J530" s="26"/>
      <c r="K530" s="26"/>
      <c r="L530" s="26"/>
      <c r="M530" s="26"/>
      <c r="N530" s="26"/>
      <c r="O530" s="26"/>
      <c r="P530" s="26"/>
      <c r="Q530" s="66"/>
      <c r="R530" s="66"/>
      <c r="S530" s="26"/>
    </row>
    <row r="531" spans="1:19" ht="60">
      <c r="A531" s="24">
        <v>7</v>
      </c>
      <c r="B531" s="25" t="s">
        <v>218</v>
      </c>
      <c r="C531" s="26" t="s">
        <v>7</v>
      </c>
      <c r="D531" s="351">
        <v>2</v>
      </c>
      <c r="E531" s="303"/>
      <c r="F531" s="351">
        <v>2</v>
      </c>
      <c r="G531" s="26" t="s">
        <v>2326</v>
      </c>
      <c r="H531" s="26"/>
      <c r="I531" s="26" t="s">
        <v>2327</v>
      </c>
      <c r="J531" s="26" t="s">
        <v>2328</v>
      </c>
      <c r="K531" s="311">
        <v>13294664.459999999</v>
      </c>
      <c r="L531" s="311">
        <v>0</v>
      </c>
      <c r="M531" s="311">
        <v>1318333.3333333335</v>
      </c>
      <c r="N531" s="311">
        <v>1459562.0666666667</v>
      </c>
      <c r="O531" s="311">
        <v>1021693.4466666668</v>
      </c>
      <c r="P531" s="68">
        <f>SUM(K531:O531)</f>
        <v>17094253.306666665</v>
      </c>
      <c r="Q531" s="68">
        <f>D531*P531</f>
        <v>34188506.61333333</v>
      </c>
      <c r="R531" s="127">
        <f>F531*P531</f>
        <v>34188506.61333333</v>
      </c>
      <c r="S531" s="26"/>
    </row>
    <row r="532" spans="1:19" ht="30">
      <c r="A532" s="24"/>
      <c r="B532" s="25" t="s">
        <v>192</v>
      </c>
      <c r="C532" s="26" t="s">
        <v>8</v>
      </c>
      <c r="D532" s="351">
        <v>1</v>
      </c>
      <c r="E532" s="303"/>
      <c r="F532" s="351">
        <v>1</v>
      </c>
      <c r="G532" s="26"/>
      <c r="H532" s="26"/>
      <c r="I532" s="26"/>
      <c r="J532" s="26"/>
      <c r="K532" s="26"/>
      <c r="L532" s="26"/>
      <c r="M532" s="26"/>
      <c r="N532" s="26"/>
      <c r="O532" s="26"/>
      <c r="P532" s="26"/>
      <c r="Q532" s="66"/>
      <c r="R532" s="66"/>
      <c r="S532" s="26"/>
    </row>
    <row r="533" spans="1:19">
      <c r="A533" s="24"/>
      <c r="B533" s="25" t="s">
        <v>161</v>
      </c>
      <c r="C533" s="26"/>
      <c r="D533" s="351"/>
      <c r="E533" s="303"/>
      <c r="F533" s="351"/>
      <c r="G533" s="26"/>
      <c r="H533" s="26"/>
      <c r="I533" s="26"/>
      <c r="J533" s="26"/>
      <c r="K533" s="26"/>
      <c r="L533" s="26"/>
      <c r="M533" s="26"/>
      <c r="N533" s="26"/>
      <c r="O533" s="26"/>
      <c r="P533" s="26"/>
      <c r="Q533" s="66"/>
      <c r="R533" s="66"/>
      <c r="S533" s="26"/>
    </row>
    <row r="534" spans="1:19">
      <c r="A534" s="24"/>
      <c r="B534" s="25" t="s">
        <v>219</v>
      </c>
      <c r="C534" s="26" t="s">
        <v>8</v>
      </c>
      <c r="D534" s="351">
        <v>1</v>
      </c>
      <c r="E534" s="303"/>
      <c r="F534" s="351">
        <v>1</v>
      </c>
      <c r="G534" s="26"/>
      <c r="H534" s="26"/>
      <c r="I534" s="26"/>
      <c r="J534" s="26"/>
      <c r="K534" s="26"/>
      <c r="L534" s="26"/>
      <c r="M534" s="26"/>
      <c r="N534" s="26"/>
      <c r="O534" s="26"/>
      <c r="P534" s="26"/>
      <c r="Q534" s="66"/>
      <c r="R534" s="66"/>
      <c r="S534" s="26"/>
    </row>
    <row r="535" spans="1:19">
      <c r="A535" s="24"/>
      <c r="B535" s="25" t="s">
        <v>202</v>
      </c>
      <c r="C535" s="26" t="s">
        <v>20</v>
      </c>
      <c r="D535" s="351">
        <v>3</v>
      </c>
      <c r="E535" s="303"/>
      <c r="F535" s="351">
        <v>3</v>
      </c>
      <c r="G535" s="26"/>
      <c r="H535" s="26"/>
      <c r="I535" s="26"/>
      <c r="J535" s="26"/>
      <c r="K535" s="26"/>
      <c r="L535" s="26"/>
      <c r="M535" s="26"/>
      <c r="N535" s="26"/>
      <c r="O535" s="26"/>
      <c r="P535" s="26"/>
      <c r="Q535" s="66"/>
      <c r="R535" s="66"/>
      <c r="S535" s="26"/>
    </row>
    <row r="536" spans="1:19">
      <c r="A536" s="24"/>
      <c r="B536" s="25" t="s">
        <v>21</v>
      </c>
      <c r="C536" s="26" t="s">
        <v>8</v>
      </c>
      <c r="D536" s="351">
        <v>1</v>
      </c>
      <c r="E536" s="303"/>
      <c r="F536" s="351">
        <v>1</v>
      </c>
      <c r="G536" s="26"/>
      <c r="H536" s="26"/>
      <c r="I536" s="26"/>
      <c r="J536" s="26"/>
      <c r="K536" s="26"/>
      <c r="L536" s="26"/>
      <c r="M536" s="26"/>
      <c r="N536" s="26"/>
      <c r="O536" s="26"/>
      <c r="P536" s="26"/>
      <c r="Q536" s="66"/>
      <c r="R536" s="66"/>
      <c r="S536" s="26"/>
    </row>
    <row r="537" spans="1:19">
      <c r="A537" s="24"/>
      <c r="B537" s="25" t="s">
        <v>22</v>
      </c>
      <c r="C537" s="26" t="s">
        <v>8</v>
      </c>
      <c r="D537" s="351">
        <v>1</v>
      </c>
      <c r="E537" s="303"/>
      <c r="F537" s="351">
        <v>1</v>
      </c>
      <c r="G537" s="26"/>
      <c r="H537" s="26"/>
      <c r="I537" s="26"/>
      <c r="J537" s="26"/>
      <c r="K537" s="26"/>
      <c r="L537" s="26"/>
      <c r="M537" s="26"/>
      <c r="N537" s="26"/>
      <c r="O537" s="26"/>
      <c r="P537" s="26"/>
      <c r="Q537" s="66"/>
      <c r="R537" s="66"/>
      <c r="S537" s="26"/>
    </row>
    <row r="538" spans="1:19">
      <c r="A538" s="24"/>
      <c r="B538" s="25" t="s">
        <v>203</v>
      </c>
      <c r="C538" s="26" t="s">
        <v>8</v>
      </c>
      <c r="D538" s="351">
        <v>3</v>
      </c>
      <c r="E538" s="303"/>
      <c r="F538" s="351">
        <v>3</v>
      </c>
      <c r="G538" s="26"/>
      <c r="H538" s="26"/>
      <c r="I538" s="26"/>
      <c r="J538" s="26"/>
      <c r="K538" s="26"/>
      <c r="L538" s="26"/>
      <c r="M538" s="26"/>
      <c r="N538" s="26"/>
      <c r="O538" s="26"/>
      <c r="P538" s="26"/>
      <c r="Q538" s="66"/>
      <c r="R538" s="66"/>
      <c r="S538" s="26"/>
    </row>
    <row r="539" spans="1:19">
      <c r="A539" s="24"/>
      <c r="B539" s="25" t="s">
        <v>24</v>
      </c>
      <c r="C539" s="26" t="s">
        <v>8</v>
      </c>
      <c r="D539" s="351">
        <v>3</v>
      </c>
      <c r="E539" s="303"/>
      <c r="F539" s="351">
        <v>3</v>
      </c>
      <c r="G539" s="26"/>
      <c r="H539" s="26"/>
      <c r="I539" s="26"/>
      <c r="J539" s="26"/>
      <c r="K539" s="26"/>
      <c r="L539" s="26"/>
      <c r="M539" s="26"/>
      <c r="N539" s="26"/>
      <c r="O539" s="26"/>
      <c r="P539" s="26"/>
      <c r="Q539" s="66"/>
      <c r="R539" s="66"/>
      <c r="S539" s="26"/>
    </row>
    <row r="540" spans="1:19">
      <c r="A540" s="24"/>
      <c r="B540" s="25" t="s">
        <v>163</v>
      </c>
      <c r="C540" s="26" t="s">
        <v>8</v>
      </c>
      <c r="D540" s="351">
        <v>3</v>
      </c>
      <c r="E540" s="303"/>
      <c r="F540" s="351">
        <v>3</v>
      </c>
      <c r="G540" s="26"/>
      <c r="H540" s="26"/>
      <c r="I540" s="26"/>
      <c r="J540" s="26"/>
      <c r="K540" s="26"/>
      <c r="L540" s="26"/>
      <c r="M540" s="26"/>
      <c r="N540" s="26"/>
      <c r="O540" s="26"/>
      <c r="P540" s="26"/>
      <c r="Q540" s="66"/>
      <c r="R540" s="66"/>
      <c r="S540" s="26"/>
    </row>
    <row r="541" spans="1:19">
      <c r="A541" s="24"/>
      <c r="B541" s="25" t="s">
        <v>164</v>
      </c>
      <c r="C541" s="26"/>
      <c r="D541" s="351"/>
      <c r="E541" s="303"/>
      <c r="F541" s="351"/>
      <c r="G541" s="26"/>
      <c r="H541" s="26"/>
      <c r="I541" s="26"/>
      <c r="J541" s="26"/>
      <c r="K541" s="26"/>
      <c r="L541" s="26"/>
      <c r="M541" s="26"/>
      <c r="N541" s="26"/>
      <c r="O541" s="26"/>
      <c r="P541" s="26"/>
      <c r="Q541" s="66"/>
      <c r="R541" s="66"/>
      <c r="S541" s="26"/>
    </row>
    <row r="542" spans="1:19">
      <c r="A542" s="24"/>
      <c r="B542" s="25" t="s">
        <v>195</v>
      </c>
      <c r="C542" s="26" t="s">
        <v>8</v>
      </c>
      <c r="D542" s="351">
        <v>1</v>
      </c>
      <c r="E542" s="303"/>
      <c r="F542" s="351">
        <v>1</v>
      </c>
      <c r="G542" s="26"/>
      <c r="H542" s="26"/>
      <c r="I542" s="26"/>
      <c r="J542" s="26"/>
      <c r="K542" s="26"/>
      <c r="L542" s="26"/>
      <c r="M542" s="26"/>
      <c r="N542" s="26"/>
      <c r="O542" s="26"/>
      <c r="P542" s="26"/>
      <c r="Q542" s="66"/>
      <c r="R542" s="66"/>
      <c r="S542" s="26"/>
    </row>
    <row r="543" spans="1:19">
      <c r="A543" s="24"/>
      <c r="B543" s="25" t="s">
        <v>168</v>
      </c>
      <c r="C543" s="26" t="s">
        <v>8</v>
      </c>
      <c r="D543" s="351">
        <v>1</v>
      </c>
      <c r="E543" s="303"/>
      <c r="F543" s="351">
        <v>1</v>
      </c>
      <c r="G543" s="26"/>
      <c r="H543" s="26"/>
      <c r="I543" s="26"/>
      <c r="J543" s="26"/>
      <c r="K543" s="26"/>
      <c r="L543" s="26"/>
      <c r="M543" s="26"/>
      <c r="N543" s="26"/>
      <c r="O543" s="26"/>
      <c r="P543" s="26"/>
      <c r="Q543" s="66"/>
      <c r="R543" s="66"/>
      <c r="S543" s="26"/>
    </row>
    <row r="544" spans="1:19">
      <c r="A544" s="24"/>
      <c r="B544" s="25" t="s">
        <v>196</v>
      </c>
      <c r="C544" s="26" t="s">
        <v>17</v>
      </c>
      <c r="D544" s="351">
        <v>1</v>
      </c>
      <c r="E544" s="303"/>
      <c r="F544" s="351">
        <v>1</v>
      </c>
      <c r="G544" s="26"/>
      <c r="H544" s="26"/>
      <c r="I544" s="26"/>
      <c r="J544" s="26"/>
      <c r="K544" s="26"/>
      <c r="L544" s="26"/>
      <c r="M544" s="26"/>
      <c r="N544" s="26"/>
      <c r="O544" s="26"/>
      <c r="P544" s="26"/>
      <c r="Q544" s="66"/>
      <c r="R544" s="66"/>
      <c r="S544" s="26"/>
    </row>
    <row r="545" spans="1:19">
      <c r="A545" s="24"/>
      <c r="B545" s="25" t="s">
        <v>197</v>
      </c>
      <c r="C545" s="26" t="s">
        <v>8</v>
      </c>
      <c r="D545" s="351">
        <v>1</v>
      </c>
      <c r="E545" s="303"/>
      <c r="F545" s="351">
        <v>1</v>
      </c>
      <c r="G545" s="26"/>
      <c r="H545" s="26"/>
      <c r="I545" s="26"/>
      <c r="J545" s="26"/>
      <c r="K545" s="26"/>
      <c r="L545" s="26"/>
      <c r="M545" s="26"/>
      <c r="N545" s="26"/>
      <c r="O545" s="26"/>
      <c r="P545" s="26"/>
      <c r="Q545" s="66"/>
      <c r="R545" s="66"/>
      <c r="S545" s="26"/>
    </row>
    <row r="546" spans="1:19">
      <c r="A546" s="24"/>
      <c r="B546" s="25" t="s">
        <v>183</v>
      </c>
      <c r="C546" s="26" t="s">
        <v>8</v>
      </c>
      <c r="D546" s="351">
        <v>1</v>
      </c>
      <c r="E546" s="303"/>
      <c r="F546" s="351">
        <v>1</v>
      </c>
      <c r="G546" s="26"/>
      <c r="H546" s="26"/>
      <c r="I546" s="26"/>
      <c r="J546" s="26"/>
      <c r="K546" s="26"/>
      <c r="L546" s="26"/>
      <c r="M546" s="26"/>
      <c r="N546" s="26"/>
      <c r="O546" s="26"/>
      <c r="P546" s="26"/>
      <c r="Q546" s="66"/>
      <c r="R546" s="66"/>
      <c r="S546" s="26"/>
    </row>
    <row r="547" spans="1:19">
      <c r="A547" s="24"/>
      <c r="B547" s="25" t="s">
        <v>198</v>
      </c>
      <c r="C547" s="26" t="s">
        <v>8</v>
      </c>
      <c r="D547" s="351">
        <v>1</v>
      </c>
      <c r="E547" s="303"/>
      <c r="F547" s="351">
        <v>1</v>
      </c>
      <c r="G547" s="26"/>
      <c r="H547" s="26"/>
      <c r="I547" s="26"/>
      <c r="J547" s="26"/>
      <c r="K547" s="26"/>
      <c r="L547" s="26"/>
      <c r="M547" s="26"/>
      <c r="N547" s="26"/>
      <c r="O547" s="26"/>
      <c r="P547" s="26"/>
      <c r="Q547" s="66"/>
      <c r="R547" s="66"/>
      <c r="S547" s="26"/>
    </row>
    <row r="548" spans="1:19">
      <c r="A548" s="24"/>
      <c r="B548" s="25" t="s">
        <v>185</v>
      </c>
      <c r="C548" s="26" t="s">
        <v>8</v>
      </c>
      <c r="D548" s="351">
        <v>1</v>
      </c>
      <c r="E548" s="303"/>
      <c r="F548" s="351">
        <v>1</v>
      </c>
      <c r="G548" s="26"/>
      <c r="H548" s="26"/>
      <c r="I548" s="26"/>
      <c r="J548" s="26"/>
      <c r="K548" s="26"/>
      <c r="L548" s="26"/>
      <c r="M548" s="26"/>
      <c r="N548" s="26"/>
      <c r="O548" s="26"/>
      <c r="P548" s="26"/>
      <c r="Q548" s="66"/>
      <c r="R548" s="66"/>
      <c r="S548" s="26"/>
    </row>
    <row r="549" spans="1:19">
      <c r="A549" s="24"/>
      <c r="B549" s="25" t="s">
        <v>186</v>
      </c>
      <c r="C549" s="26" t="s">
        <v>8</v>
      </c>
      <c r="D549" s="351">
        <v>2</v>
      </c>
      <c r="E549" s="303"/>
      <c r="F549" s="351">
        <v>2</v>
      </c>
      <c r="G549" s="26"/>
      <c r="H549" s="26"/>
      <c r="I549" s="26"/>
      <c r="J549" s="26"/>
      <c r="K549" s="26"/>
      <c r="L549" s="26"/>
      <c r="M549" s="26"/>
      <c r="N549" s="26"/>
      <c r="O549" s="26"/>
      <c r="P549" s="26"/>
      <c r="Q549" s="66"/>
      <c r="R549" s="66"/>
      <c r="S549" s="26"/>
    </row>
    <row r="550" spans="1:19">
      <c r="A550" s="24"/>
      <c r="B550" s="25" t="s">
        <v>187</v>
      </c>
      <c r="C550" s="26" t="s">
        <v>78</v>
      </c>
      <c r="D550" s="351">
        <v>1</v>
      </c>
      <c r="E550" s="92"/>
      <c r="F550" s="351">
        <v>1</v>
      </c>
      <c r="G550" s="329"/>
      <c r="H550" s="329"/>
      <c r="I550" s="329"/>
      <c r="J550" s="329"/>
      <c r="K550" s="329"/>
      <c r="L550" s="329"/>
      <c r="M550" s="329"/>
      <c r="N550" s="329"/>
      <c r="O550" s="329"/>
      <c r="P550" s="329"/>
      <c r="Q550" s="65"/>
      <c r="R550" s="65"/>
      <c r="S550" s="329"/>
    </row>
    <row r="551" spans="1:19">
      <c r="A551" s="24"/>
      <c r="B551" s="25" t="s">
        <v>173</v>
      </c>
      <c r="C551" s="26" t="s">
        <v>8</v>
      </c>
      <c r="D551" s="351">
        <v>1</v>
      </c>
      <c r="E551" s="303"/>
      <c r="F551" s="351">
        <v>1</v>
      </c>
      <c r="G551" s="26"/>
      <c r="H551" s="26"/>
      <c r="I551" s="26"/>
      <c r="J551" s="26"/>
      <c r="K551" s="26"/>
      <c r="L551" s="26"/>
      <c r="M551" s="26"/>
      <c r="N551" s="26"/>
      <c r="O551" s="26"/>
      <c r="P551" s="26"/>
      <c r="Q551" s="66"/>
      <c r="R551" s="66"/>
      <c r="S551" s="26"/>
    </row>
    <row r="552" spans="1:19">
      <c r="A552" s="24"/>
      <c r="B552" s="25" t="s">
        <v>217</v>
      </c>
      <c r="C552" s="26" t="s">
        <v>17</v>
      </c>
      <c r="D552" s="351">
        <v>1</v>
      </c>
      <c r="E552" s="303"/>
      <c r="F552" s="351">
        <v>1</v>
      </c>
      <c r="G552" s="26"/>
      <c r="H552" s="26"/>
      <c r="I552" s="26"/>
      <c r="J552" s="26"/>
      <c r="K552" s="26"/>
      <c r="L552" s="26"/>
      <c r="M552" s="26"/>
      <c r="N552" s="26"/>
      <c r="O552" s="26"/>
      <c r="P552" s="26"/>
      <c r="Q552" s="66"/>
      <c r="R552" s="66"/>
      <c r="S552" s="26"/>
    </row>
    <row r="553" spans="1:19" ht="30">
      <c r="A553" s="24"/>
      <c r="B553" s="25" t="s">
        <v>176</v>
      </c>
      <c r="C553" s="26" t="s">
        <v>78</v>
      </c>
      <c r="D553" s="351">
        <v>1</v>
      </c>
      <c r="E553" s="303"/>
      <c r="F553" s="351">
        <v>1</v>
      </c>
      <c r="G553" s="26"/>
      <c r="H553" s="26"/>
      <c r="I553" s="26"/>
      <c r="J553" s="26"/>
      <c r="K553" s="26"/>
      <c r="L553" s="26"/>
      <c r="M553" s="26"/>
      <c r="N553" s="26"/>
      <c r="O553" s="26"/>
      <c r="P553" s="26"/>
      <c r="Q553" s="66"/>
      <c r="R553" s="66"/>
      <c r="S553" s="26"/>
    </row>
    <row r="554" spans="1:19" ht="60">
      <c r="A554" s="24">
        <v>7</v>
      </c>
      <c r="B554" s="25" t="s">
        <v>220</v>
      </c>
      <c r="C554" s="26" t="s">
        <v>7</v>
      </c>
      <c r="D554" s="351">
        <v>1</v>
      </c>
      <c r="E554" s="303"/>
      <c r="F554" s="351">
        <v>1</v>
      </c>
      <c r="G554" s="26" t="s">
        <v>2326</v>
      </c>
      <c r="H554" s="26"/>
      <c r="I554" s="26" t="s">
        <v>2327</v>
      </c>
      <c r="J554" s="26" t="s">
        <v>2328</v>
      </c>
      <c r="K554" s="311">
        <v>13910265.269999998</v>
      </c>
      <c r="L554" s="311">
        <v>0</v>
      </c>
      <c r="M554" s="311">
        <v>1318333.3333333335</v>
      </c>
      <c r="N554" s="311">
        <v>1521743.9666666668</v>
      </c>
      <c r="O554" s="311">
        <v>1065220.7766666666</v>
      </c>
      <c r="P554" s="68">
        <f>SUM(K554:O554)</f>
        <v>17815563.346666664</v>
      </c>
      <c r="Q554" s="68">
        <f>D554*P554</f>
        <v>17815563.346666664</v>
      </c>
      <c r="R554" s="127">
        <f>F554*P554</f>
        <v>17815563.346666664</v>
      </c>
      <c r="S554" s="26"/>
    </row>
    <row r="555" spans="1:19" ht="30">
      <c r="A555" s="24"/>
      <c r="B555" s="25" t="s">
        <v>221</v>
      </c>
      <c r="C555" s="26" t="s">
        <v>8</v>
      </c>
      <c r="D555" s="351">
        <v>1</v>
      </c>
      <c r="E555" s="303"/>
      <c r="F555" s="351">
        <v>1</v>
      </c>
      <c r="G555" s="26"/>
      <c r="H555" s="26"/>
      <c r="I555" s="26"/>
      <c r="J555" s="26"/>
      <c r="K555" s="26"/>
      <c r="L555" s="26"/>
      <c r="M555" s="26"/>
      <c r="N555" s="26"/>
      <c r="O555" s="26"/>
      <c r="P555" s="26"/>
      <c r="Q555" s="66"/>
      <c r="R555" s="66"/>
      <c r="S555" s="26"/>
    </row>
    <row r="556" spans="1:19">
      <c r="A556" s="24"/>
      <c r="B556" s="25" t="s">
        <v>161</v>
      </c>
      <c r="C556" s="26"/>
      <c r="D556" s="351"/>
      <c r="E556" s="303"/>
      <c r="F556" s="351"/>
      <c r="G556" s="26"/>
      <c r="H556" s="26"/>
      <c r="I556" s="26"/>
      <c r="J556" s="26"/>
      <c r="K556" s="26"/>
      <c r="L556" s="26"/>
      <c r="M556" s="26"/>
      <c r="N556" s="26"/>
      <c r="O556" s="26"/>
      <c r="P556" s="26"/>
      <c r="Q556" s="66"/>
      <c r="R556" s="66"/>
      <c r="S556" s="26"/>
    </row>
    <row r="557" spans="1:19">
      <c r="A557" s="24"/>
      <c r="B557" s="25" t="s">
        <v>222</v>
      </c>
      <c r="C557" s="26" t="s">
        <v>8</v>
      </c>
      <c r="D557" s="351">
        <v>1</v>
      </c>
      <c r="E557" s="303"/>
      <c r="F557" s="351">
        <v>1</v>
      </c>
      <c r="G557" s="26"/>
      <c r="H557" s="26"/>
      <c r="I557" s="26"/>
      <c r="J557" s="26"/>
      <c r="K557" s="26"/>
      <c r="L557" s="26"/>
      <c r="M557" s="26"/>
      <c r="N557" s="26"/>
      <c r="O557" s="26"/>
      <c r="P557" s="26"/>
      <c r="Q557" s="66"/>
      <c r="R557" s="66"/>
      <c r="S557" s="26"/>
    </row>
    <row r="558" spans="1:19">
      <c r="A558" s="24"/>
      <c r="B558" s="25" t="s">
        <v>202</v>
      </c>
      <c r="C558" s="26" t="s">
        <v>20</v>
      </c>
      <c r="D558" s="351">
        <v>3</v>
      </c>
      <c r="E558" s="303"/>
      <c r="F558" s="351">
        <v>3</v>
      </c>
      <c r="G558" s="26"/>
      <c r="H558" s="26"/>
      <c r="I558" s="26"/>
      <c r="J558" s="26"/>
      <c r="K558" s="26"/>
      <c r="L558" s="26"/>
      <c r="M558" s="26"/>
      <c r="N558" s="26"/>
      <c r="O558" s="26"/>
      <c r="P558" s="26"/>
      <c r="Q558" s="66"/>
      <c r="R558" s="66"/>
      <c r="S558" s="26"/>
    </row>
    <row r="559" spans="1:19">
      <c r="A559" s="24"/>
      <c r="B559" s="25" t="s">
        <v>21</v>
      </c>
      <c r="C559" s="26" t="s">
        <v>8</v>
      </c>
      <c r="D559" s="351">
        <v>1</v>
      </c>
      <c r="E559" s="303"/>
      <c r="F559" s="351">
        <v>1</v>
      </c>
      <c r="G559" s="26"/>
      <c r="H559" s="26"/>
      <c r="I559" s="26"/>
      <c r="J559" s="26"/>
      <c r="K559" s="26"/>
      <c r="L559" s="26"/>
      <c r="M559" s="26"/>
      <c r="N559" s="26"/>
      <c r="O559" s="26"/>
      <c r="P559" s="26"/>
      <c r="Q559" s="66"/>
      <c r="R559" s="66"/>
      <c r="S559" s="26"/>
    </row>
    <row r="560" spans="1:19">
      <c r="A560" s="24"/>
      <c r="B560" s="25" t="s">
        <v>22</v>
      </c>
      <c r="C560" s="26" t="s">
        <v>8</v>
      </c>
      <c r="D560" s="351">
        <v>1</v>
      </c>
      <c r="E560" s="303"/>
      <c r="F560" s="351">
        <v>1</v>
      </c>
      <c r="G560" s="26"/>
      <c r="H560" s="26"/>
      <c r="I560" s="26"/>
      <c r="J560" s="26"/>
      <c r="K560" s="26"/>
      <c r="L560" s="26"/>
      <c r="M560" s="26"/>
      <c r="N560" s="26"/>
      <c r="O560" s="26"/>
      <c r="P560" s="26"/>
      <c r="Q560" s="66"/>
      <c r="R560" s="66"/>
      <c r="S560" s="26"/>
    </row>
    <row r="561" spans="1:19">
      <c r="A561" s="24"/>
      <c r="B561" s="25" t="s">
        <v>203</v>
      </c>
      <c r="C561" s="26" t="s">
        <v>8</v>
      </c>
      <c r="D561" s="351">
        <v>3</v>
      </c>
      <c r="E561" s="303"/>
      <c r="F561" s="351">
        <v>3</v>
      </c>
      <c r="G561" s="26"/>
      <c r="H561" s="26"/>
      <c r="I561" s="26"/>
      <c r="J561" s="26"/>
      <c r="K561" s="26"/>
      <c r="L561" s="26"/>
      <c r="M561" s="26"/>
      <c r="N561" s="26"/>
      <c r="O561" s="26"/>
      <c r="P561" s="26"/>
      <c r="Q561" s="66"/>
      <c r="R561" s="66"/>
      <c r="S561" s="26"/>
    </row>
    <row r="562" spans="1:19">
      <c r="A562" s="24"/>
      <c r="B562" s="25" t="s">
        <v>24</v>
      </c>
      <c r="C562" s="26" t="s">
        <v>8</v>
      </c>
      <c r="D562" s="351">
        <v>3</v>
      </c>
      <c r="E562" s="303"/>
      <c r="F562" s="351">
        <v>3</v>
      </c>
      <c r="G562" s="26"/>
      <c r="H562" s="26"/>
      <c r="I562" s="26"/>
      <c r="J562" s="26"/>
      <c r="K562" s="26"/>
      <c r="L562" s="26"/>
      <c r="M562" s="26"/>
      <c r="N562" s="26"/>
      <c r="O562" s="26"/>
      <c r="P562" s="26"/>
      <c r="Q562" s="66"/>
      <c r="R562" s="66"/>
      <c r="S562" s="26"/>
    </row>
    <row r="563" spans="1:19">
      <c r="A563" s="24"/>
      <c r="B563" s="25" t="s">
        <v>163</v>
      </c>
      <c r="C563" s="26" t="s">
        <v>8</v>
      </c>
      <c r="D563" s="351">
        <v>3</v>
      </c>
      <c r="E563" s="92"/>
      <c r="F563" s="351">
        <v>3</v>
      </c>
      <c r="G563" s="329"/>
      <c r="H563" s="329"/>
      <c r="I563" s="329"/>
      <c r="J563" s="329"/>
      <c r="K563" s="329"/>
      <c r="L563" s="329"/>
      <c r="M563" s="329"/>
      <c r="N563" s="329"/>
      <c r="O563" s="329"/>
      <c r="P563" s="329"/>
      <c r="Q563" s="65"/>
      <c r="R563" s="65"/>
      <c r="S563" s="329"/>
    </row>
    <row r="564" spans="1:19">
      <c r="A564" s="24"/>
      <c r="B564" s="25" t="s">
        <v>164</v>
      </c>
      <c r="C564" s="26"/>
      <c r="D564" s="351"/>
      <c r="E564" s="303"/>
      <c r="F564" s="351"/>
      <c r="G564" s="26"/>
      <c r="H564" s="26"/>
      <c r="I564" s="26"/>
      <c r="J564" s="26"/>
      <c r="K564" s="26"/>
      <c r="L564" s="26"/>
      <c r="M564" s="26"/>
      <c r="N564" s="26"/>
      <c r="O564" s="26"/>
      <c r="P564" s="26"/>
      <c r="Q564" s="66"/>
      <c r="R564" s="66"/>
      <c r="S564" s="26"/>
    </row>
    <row r="565" spans="1:19">
      <c r="A565" s="24"/>
      <c r="B565" s="25" t="s">
        <v>223</v>
      </c>
      <c r="C565" s="26" t="s">
        <v>8</v>
      </c>
      <c r="D565" s="351">
        <v>1</v>
      </c>
      <c r="E565" s="44"/>
      <c r="F565" s="351">
        <v>1</v>
      </c>
      <c r="G565" s="331"/>
      <c r="H565" s="331"/>
      <c r="I565" s="331"/>
      <c r="J565" s="331"/>
      <c r="K565" s="331"/>
      <c r="L565" s="331"/>
      <c r="M565" s="331"/>
      <c r="N565" s="331"/>
      <c r="O565" s="331"/>
      <c r="P565" s="331"/>
      <c r="Q565" s="127"/>
      <c r="R565" s="127"/>
      <c r="S565" s="331"/>
    </row>
    <row r="566" spans="1:19">
      <c r="A566" s="24"/>
      <c r="B566" s="25" t="s">
        <v>224</v>
      </c>
      <c r="C566" s="26" t="s">
        <v>8</v>
      </c>
      <c r="D566" s="351">
        <v>1</v>
      </c>
      <c r="E566" s="303"/>
      <c r="F566" s="351">
        <v>1</v>
      </c>
      <c r="G566" s="26"/>
      <c r="H566" s="26"/>
      <c r="I566" s="26"/>
      <c r="J566" s="26"/>
      <c r="K566" s="26"/>
      <c r="L566" s="26"/>
      <c r="M566" s="26"/>
      <c r="N566" s="26"/>
      <c r="O566" s="26"/>
      <c r="P566" s="26"/>
      <c r="Q566" s="66"/>
      <c r="R566" s="66"/>
      <c r="S566" s="26"/>
    </row>
    <row r="567" spans="1:19">
      <c r="A567" s="24"/>
      <c r="B567" s="25" t="s">
        <v>180</v>
      </c>
      <c r="C567" s="26" t="s">
        <v>8</v>
      </c>
      <c r="D567" s="351">
        <v>1</v>
      </c>
      <c r="E567" s="303"/>
      <c r="F567" s="351">
        <v>1</v>
      </c>
      <c r="G567" s="26"/>
      <c r="H567" s="26"/>
      <c r="I567" s="26"/>
      <c r="J567" s="26"/>
      <c r="K567" s="26"/>
      <c r="L567" s="26"/>
      <c r="M567" s="26"/>
      <c r="N567" s="26"/>
      <c r="O567" s="26"/>
      <c r="P567" s="26"/>
      <c r="Q567" s="66"/>
      <c r="R567" s="66"/>
      <c r="S567" s="26"/>
    </row>
    <row r="568" spans="1:19">
      <c r="A568" s="24"/>
      <c r="B568" s="25" t="s">
        <v>225</v>
      </c>
      <c r="C568" s="26" t="s">
        <v>8</v>
      </c>
      <c r="D568" s="351">
        <v>1</v>
      </c>
      <c r="E568" s="303"/>
      <c r="F568" s="351">
        <v>1</v>
      </c>
      <c r="G568" s="26"/>
      <c r="H568" s="26"/>
      <c r="I568" s="26"/>
      <c r="J568" s="26"/>
      <c r="K568" s="26"/>
      <c r="L568" s="26"/>
      <c r="M568" s="26"/>
      <c r="N568" s="26"/>
      <c r="O568" s="26"/>
      <c r="P568" s="26"/>
      <c r="Q568" s="66"/>
      <c r="R568" s="66"/>
      <c r="S568" s="26"/>
    </row>
    <row r="569" spans="1:19">
      <c r="A569" s="24"/>
      <c r="B569" s="25" t="s">
        <v>166</v>
      </c>
      <c r="C569" s="26" t="s">
        <v>8</v>
      </c>
      <c r="D569" s="351">
        <v>2</v>
      </c>
      <c r="E569" s="303"/>
      <c r="F569" s="351">
        <v>2</v>
      </c>
      <c r="G569" s="26"/>
      <c r="H569" s="26"/>
      <c r="I569" s="26"/>
      <c r="J569" s="26"/>
      <c r="K569" s="26"/>
      <c r="L569" s="26"/>
      <c r="M569" s="26"/>
      <c r="N569" s="26"/>
      <c r="O569" s="26"/>
      <c r="P569" s="26"/>
      <c r="Q569" s="66"/>
      <c r="R569" s="66"/>
      <c r="S569" s="26"/>
    </row>
    <row r="570" spans="1:19">
      <c r="A570" s="24"/>
      <c r="B570" s="25" t="s">
        <v>167</v>
      </c>
      <c r="C570" s="26" t="s">
        <v>8</v>
      </c>
      <c r="D570" s="351">
        <v>2</v>
      </c>
      <c r="E570" s="303"/>
      <c r="F570" s="351">
        <v>2</v>
      </c>
      <c r="G570" s="26"/>
      <c r="H570" s="26"/>
      <c r="I570" s="26"/>
      <c r="J570" s="26"/>
      <c r="K570" s="26"/>
      <c r="L570" s="26"/>
      <c r="M570" s="26"/>
      <c r="N570" s="26"/>
      <c r="O570" s="26"/>
      <c r="P570" s="26"/>
      <c r="Q570" s="66"/>
      <c r="R570" s="66"/>
      <c r="S570" s="26"/>
    </row>
    <row r="571" spans="1:19">
      <c r="A571" s="24"/>
      <c r="B571" s="25" t="s">
        <v>168</v>
      </c>
      <c r="C571" s="26" t="s">
        <v>8</v>
      </c>
      <c r="D571" s="351">
        <v>1</v>
      </c>
      <c r="E571" s="303"/>
      <c r="F571" s="351">
        <v>1</v>
      </c>
      <c r="G571" s="26"/>
      <c r="H571" s="26"/>
      <c r="I571" s="26"/>
      <c r="J571" s="26"/>
      <c r="K571" s="26"/>
      <c r="L571" s="26"/>
      <c r="M571" s="26"/>
      <c r="N571" s="26"/>
      <c r="O571" s="26"/>
      <c r="P571" s="26"/>
      <c r="Q571" s="66"/>
      <c r="R571" s="66"/>
      <c r="S571" s="26"/>
    </row>
    <row r="572" spans="1:19">
      <c r="A572" s="24"/>
      <c r="B572" s="25" t="s">
        <v>226</v>
      </c>
      <c r="C572" s="26" t="s">
        <v>17</v>
      </c>
      <c r="D572" s="351">
        <v>1</v>
      </c>
      <c r="E572" s="303"/>
      <c r="F572" s="351">
        <v>1</v>
      </c>
      <c r="G572" s="26"/>
      <c r="H572" s="26"/>
      <c r="I572" s="26"/>
      <c r="J572" s="26"/>
      <c r="K572" s="26"/>
      <c r="L572" s="26"/>
      <c r="M572" s="26"/>
      <c r="N572" s="26"/>
      <c r="O572" s="26"/>
      <c r="P572" s="26"/>
      <c r="Q572" s="66"/>
      <c r="R572" s="66"/>
      <c r="S572" s="26"/>
    </row>
    <row r="573" spans="1:19">
      <c r="A573" s="24"/>
      <c r="B573" s="25" t="s">
        <v>182</v>
      </c>
      <c r="C573" s="26" t="s">
        <v>8</v>
      </c>
      <c r="D573" s="351">
        <v>1</v>
      </c>
      <c r="E573" s="303"/>
      <c r="F573" s="351">
        <v>1</v>
      </c>
      <c r="G573" s="26"/>
      <c r="H573" s="26"/>
      <c r="I573" s="26"/>
      <c r="J573" s="26"/>
      <c r="K573" s="26"/>
      <c r="L573" s="26"/>
      <c r="M573" s="26"/>
      <c r="N573" s="26"/>
      <c r="O573" s="26"/>
      <c r="P573" s="26"/>
      <c r="Q573" s="66"/>
      <c r="R573" s="66"/>
      <c r="S573" s="26"/>
    </row>
    <row r="574" spans="1:19">
      <c r="A574" s="24"/>
      <c r="B574" s="25" t="s">
        <v>183</v>
      </c>
      <c r="C574" s="26" t="s">
        <v>8</v>
      </c>
      <c r="D574" s="351">
        <v>1</v>
      </c>
      <c r="E574" s="303"/>
      <c r="F574" s="351">
        <v>1</v>
      </c>
      <c r="G574" s="26"/>
      <c r="H574" s="26"/>
      <c r="I574" s="26"/>
      <c r="J574" s="26"/>
      <c r="K574" s="26"/>
      <c r="L574" s="26"/>
      <c r="M574" s="26"/>
      <c r="N574" s="26"/>
      <c r="O574" s="26"/>
      <c r="P574" s="26"/>
      <c r="Q574" s="66"/>
      <c r="R574" s="66"/>
      <c r="S574" s="26"/>
    </row>
    <row r="575" spans="1:19">
      <c r="A575" s="24"/>
      <c r="B575" s="25" t="s">
        <v>190</v>
      </c>
      <c r="C575" s="26" t="s">
        <v>8</v>
      </c>
      <c r="D575" s="351">
        <v>1</v>
      </c>
      <c r="E575" s="303"/>
      <c r="F575" s="351">
        <v>1</v>
      </c>
      <c r="G575" s="26"/>
      <c r="H575" s="26"/>
      <c r="I575" s="26"/>
      <c r="J575" s="26"/>
      <c r="K575" s="26"/>
      <c r="L575" s="26"/>
      <c r="M575" s="26"/>
      <c r="N575" s="26"/>
      <c r="O575" s="26"/>
      <c r="P575" s="26"/>
      <c r="Q575" s="66"/>
      <c r="R575" s="66"/>
      <c r="S575" s="26"/>
    </row>
    <row r="576" spans="1:19">
      <c r="A576" s="24"/>
      <c r="B576" s="25" t="s">
        <v>185</v>
      </c>
      <c r="C576" s="26" t="s">
        <v>8</v>
      </c>
      <c r="D576" s="351">
        <v>1</v>
      </c>
      <c r="E576" s="303"/>
      <c r="F576" s="351">
        <v>1</v>
      </c>
      <c r="G576" s="26"/>
      <c r="H576" s="26"/>
      <c r="I576" s="26"/>
      <c r="J576" s="26"/>
      <c r="K576" s="26"/>
      <c r="L576" s="26"/>
      <c r="M576" s="26"/>
      <c r="N576" s="26"/>
      <c r="O576" s="26"/>
      <c r="P576" s="26"/>
      <c r="Q576" s="66"/>
      <c r="R576" s="66"/>
      <c r="S576" s="26"/>
    </row>
    <row r="577" spans="1:19">
      <c r="A577" s="24"/>
      <c r="B577" s="25" t="s">
        <v>186</v>
      </c>
      <c r="C577" s="26" t="s">
        <v>8</v>
      </c>
      <c r="D577" s="351">
        <v>2</v>
      </c>
      <c r="E577" s="303"/>
      <c r="F577" s="351">
        <v>2</v>
      </c>
      <c r="G577" s="26"/>
      <c r="H577" s="26"/>
      <c r="I577" s="26"/>
      <c r="J577" s="26"/>
      <c r="K577" s="26"/>
      <c r="L577" s="26"/>
      <c r="M577" s="26"/>
      <c r="N577" s="26"/>
      <c r="O577" s="26"/>
      <c r="P577" s="26"/>
      <c r="Q577" s="66"/>
      <c r="R577" s="66"/>
      <c r="S577" s="26"/>
    </row>
    <row r="578" spans="1:19">
      <c r="A578" s="24"/>
      <c r="B578" s="25" t="s">
        <v>187</v>
      </c>
      <c r="C578" s="26" t="s">
        <v>78</v>
      </c>
      <c r="D578" s="351">
        <v>1</v>
      </c>
      <c r="E578" s="303"/>
      <c r="F578" s="351">
        <v>1</v>
      </c>
      <c r="G578" s="26"/>
      <c r="H578" s="26"/>
      <c r="I578" s="26"/>
      <c r="J578" s="26"/>
      <c r="K578" s="26"/>
      <c r="L578" s="26"/>
      <c r="M578" s="26"/>
      <c r="N578" s="26"/>
      <c r="O578" s="26"/>
      <c r="P578" s="26"/>
      <c r="Q578" s="66"/>
      <c r="R578" s="66"/>
      <c r="S578" s="26"/>
    </row>
    <row r="579" spans="1:19">
      <c r="A579" s="24"/>
      <c r="B579" s="25" t="s">
        <v>227</v>
      </c>
      <c r="C579" s="26"/>
      <c r="D579" s="351"/>
      <c r="E579" s="302"/>
      <c r="F579" s="351"/>
      <c r="G579" s="24"/>
      <c r="H579" s="24"/>
      <c r="I579" s="24"/>
      <c r="J579" s="24"/>
      <c r="K579" s="24"/>
      <c r="L579" s="24"/>
      <c r="M579" s="24"/>
      <c r="N579" s="24"/>
      <c r="O579" s="24"/>
      <c r="P579" s="24"/>
      <c r="Q579" s="65"/>
      <c r="R579" s="65"/>
      <c r="S579" s="24"/>
    </row>
    <row r="580" spans="1:19">
      <c r="A580" s="24"/>
      <c r="B580" s="25" t="s">
        <v>163</v>
      </c>
      <c r="C580" s="26" t="s">
        <v>8</v>
      </c>
      <c r="D580" s="351">
        <v>2</v>
      </c>
      <c r="E580" s="302"/>
      <c r="F580" s="351">
        <v>2</v>
      </c>
      <c r="G580" s="24"/>
      <c r="H580" s="24"/>
      <c r="I580" s="24"/>
      <c r="J580" s="24"/>
      <c r="K580" s="24"/>
      <c r="L580" s="24"/>
      <c r="M580" s="24"/>
      <c r="N580" s="24"/>
      <c r="O580" s="24"/>
      <c r="P580" s="24"/>
      <c r="Q580" s="65"/>
      <c r="R580" s="65"/>
      <c r="S580" s="24"/>
    </row>
    <row r="581" spans="1:19">
      <c r="A581" s="24"/>
      <c r="B581" s="25" t="s">
        <v>172</v>
      </c>
      <c r="C581" s="26" t="s">
        <v>78</v>
      </c>
      <c r="D581" s="351">
        <v>1</v>
      </c>
      <c r="E581" s="303"/>
      <c r="F581" s="351">
        <v>1</v>
      </c>
      <c r="G581" s="26"/>
      <c r="H581" s="26"/>
      <c r="I581" s="26"/>
      <c r="J581" s="26"/>
      <c r="K581" s="26"/>
      <c r="L581" s="26"/>
      <c r="M581" s="26"/>
      <c r="N581" s="26"/>
      <c r="O581" s="26"/>
      <c r="P581" s="26"/>
      <c r="Q581" s="66"/>
      <c r="R581" s="66"/>
      <c r="S581" s="26"/>
    </row>
    <row r="582" spans="1:19">
      <c r="A582" s="24"/>
      <c r="B582" s="25" t="s">
        <v>173</v>
      </c>
      <c r="C582" s="26" t="s">
        <v>8</v>
      </c>
      <c r="D582" s="351">
        <v>1</v>
      </c>
      <c r="E582" s="303"/>
      <c r="F582" s="351">
        <v>1</v>
      </c>
      <c r="G582" s="26"/>
      <c r="H582" s="26"/>
      <c r="I582" s="26"/>
      <c r="J582" s="26"/>
      <c r="K582" s="26"/>
      <c r="L582" s="26"/>
      <c r="M582" s="26"/>
      <c r="N582" s="26"/>
      <c r="O582" s="26"/>
      <c r="P582" s="26"/>
      <c r="Q582" s="66"/>
      <c r="R582" s="66"/>
      <c r="S582" s="26"/>
    </row>
    <row r="583" spans="1:19">
      <c r="A583" s="24"/>
      <c r="B583" s="25" t="s">
        <v>199</v>
      </c>
      <c r="C583" s="26" t="s">
        <v>17</v>
      </c>
      <c r="D583" s="351">
        <v>1</v>
      </c>
      <c r="E583" s="303"/>
      <c r="F583" s="351">
        <v>1</v>
      </c>
      <c r="G583" s="26"/>
      <c r="H583" s="26"/>
      <c r="I583" s="26"/>
      <c r="J583" s="26"/>
      <c r="K583" s="26"/>
      <c r="L583" s="26"/>
      <c r="M583" s="26"/>
      <c r="N583" s="26"/>
      <c r="O583" s="26"/>
      <c r="P583" s="26"/>
      <c r="Q583" s="66"/>
      <c r="R583" s="66"/>
      <c r="S583" s="26"/>
    </row>
    <row r="584" spans="1:19" ht="30">
      <c r="A584" s="24"/>
      <c r="B584" s="25" t="s">
        <v>176</v>
      </c>
      <c r="C584" s="26" t="s">
        <v>78</v>
      </c>
      <c r="D584" s="351">
        <v>1</v>
      </c>
      <c r="E584" s="303"/>
      <c r="F584" s="351">
        <v>1</v>
      </c>
      <c r="G584" s="26"/>
      <c r="H584" s="26"/>
      <c r="I584" s="26"/>
      <c r="J584" s="26"/>
      <c r="K584" s="26"/>
      <c r="L584" s="26"/>
      <c r="M584" s="26"/>
      <c r="N584" s="26"/>
      <c r="O584" s="26"/>
      <c r="P584" s="26"/>
      <c r="Q584" s="66"/>
      <c r="R584" s="66"/>
      <c r="S584" s="26"/>
    </row>
    <row r="585" spans="1:19" ht="60">
      <c r="A585" s="24">
        <v>9</v>
      </c>
      <c r="B585" s="25" t="s">
        <v>228</v>
      </c>
      <c r="C585" s="26" t="s">
        <v>7</v>
      </c>
      <c r="D585" s="351">
        <v>1</v>
      </c>
      <c r="E585" s="303"/>
      <c r="F585" s="351">
        <v>1</v>
      </c>
      <c r="G585" s="26" t="s">
        <v>2326</v>
      </c>
      <c r="H585" s="26"/>
      <c r="I585" s="26" t="s">
        <v>2327</v>
      </c>
      <c r="J585" s="26" t="s">
        <v>2328</v>
      </c>
      <c r="K585" s="311">
        <v>2680181.4599999995</v>
      </c>
      <c r="L585" s="311">
        <v>0</v>
      </c>
      <c r="M585" s="311">
        <v>678000.00000000012</v>
      </c>
      <c r="N585" s="311">
        <v>330725.40000000002</v>
      </c>
      <c r="O585" s="311">
        <v>231507.78000000003</v>
      </c>
      <c r="P585" s="68">
        <f>SUM(K585:O585)</f>
        <v>3920414.6399999997</v>
      </c>
      <c r="Q585" s="68">
        <f>D585*P585</f>
        <v>3920414.6399999997</v>
      </c>
      <c r="R585" s="127">
        <f>F585*P585</f>
        <v>3920414.6399999997</v>
      </c>
      <c r="S585" s="26"/>
    </row>
    <row r="586" spans="1:19" ht="30">
      <c r="A586" s="24"/>
      <c r="B586" s="25" t="s">
        <v>229</v>
      </c>
      <c r="C586" s="26" t="s">
        <v>8</v>
      </c>
      <c r="D586" s="351">
        <v>1</v>
      </c>
      <c r="E586" s="303"/>
      <c r="F586" s="351">
        <v>1</v>
      </c>
      <c r="G586" s="26"/>
      <c r="H586" s="26"/>
      <c r="I586" s="26"/>
      <c r="J586" s="26"/>
      <c r="K586" s="26"/>
      <c r="L586" s="26"/>
      <c r="M586" s="26"/>
      <c r="N586" s="26"/>
      <c r="O586" s="26"/>
      <c r="P586" s="26"/>
      <c r="Q586" s="66"/>
      <c r="R586" s="66"/>
      <c r="S586" s="26"/>
    </row>
    <row r="587" spans="1:19">
      <c r="A587" s="24"/>
      <c r="B587" s="25" t="s">
        <v>161</v>
      </c>
      <c r="C587" s="26"/>
      <c r="D587" s="351"/>
      <c r="E587" s="303"/>
      <c r="F587" s="351"/>
      <c r="G587" s="26"/>
      <c r="H587" s="26"/>
      <c r="I587" s="26"/>
      <c r="J587" s="26"/>
      <c r="K587" s="26"/>
      <c r="L587" s="26"/>
      <c r="M587" s="26"/>
      <c r="N587" s="26"/>
      <c r="O587" s="26"/>
      <c r="P587" s="26"/>
      <c r="Q587" s="66"/>
      <c r="R587" s="66"/>
      <c r="S587" s="26"/>
    </row>
    <row r="588" spans="1:19">
      <c r="A588" s="24"/>
      <c r="B588" s="25" t="s">
        <v>230</v>
      </c>
      <c r="C588" s="26" t="s">
        <v>8</v>
      </c>
      <c r="D588" s="351">
        <v>1</v>
      </c>
      <c r="E588" s="303"/>
      <c r="F588" s="351">
        <v>1</v>
      </c>
      <c r="G588" s="26"/>
      <c r="H588" s="26"/>
      <c r="I588" s="26"/>
      <c r="J588" s="26"/>
      <c r="K588" s="26"/>
      <c r="L588" s="26"/>
      <c r="M588" s="26"/>
      <c r="N588" s="26"/>
      <c r="O588" s="26"/>
      <c r="P588" s="26"/>
      <c r="Q588" s="66"/>
      <c r="R588" s="66"/>
      <c r="S588" s="26"/>
    </row>
    <row r="589" spans="1:19">
      <c r="A589" s="24"/>
      <c r="B589" s="25" t="s">
        <v>164</v>
      </c>
      <c r="C589" s="26"/>
      <c r="D589" s="351"/>
      <c r="E589" s="303"/>
      <c r="F589" s="351"/>
      <c r="G589" s="26"/>
      <c r="H589" s="26"/>
      <c r="I589" s="26"/>
      <c r="J589" s="26"/>
      <c r="K589" s="26"/>
      <c r="L589" s="26"/>
      <c r="M589" s="26"/>
      <c r="N589" s="26"/>
      <c r="O589" s="26"/>
      <c r="P589" s="26"/>
      <c r="Q589" s="66"/>
      <c r="R589" s="66"/>
      <c r="S589" s="26"/>
    </row>
    <row r="590" spans="1:19">
      <c r="A590" s="24"/>
      <c r="B590" s="25" t="s">
        <v>167</v>
      </c>
      <c r="C590" s="26" t="s">
        <v>8</v>
      </c>
      <c r="D590" s="351">
        <v>6</v>
      </c>
      <c r="E590" s="44"/>
      <c r="F590" s="351">
        <v>6</v>
      </c>
      <c r="G590" s="331"/>
      <c r="H590" s="331"/>
      <c r="I590" s="331"/>
      <c r="J590" s="331"/>
      <c r="K590" s="331"/>
      <c r="L590" s="331"/>
      <c r="M590" s="331"/>
      <c r="N590" s="331"/>
      <c r="O590" s="331"/>
      <c r="P590" s="331"/>
      <c r="Q590" s="127"/>
      <c r="R590" s="127"/>
      <c r="S590" s="331"/>
    </row>
    <row r="591" spans="1:19">
      <c r="A591" s="24"/>
      <c r="B591" s="25" t="s">
        <v>231</v>
      </c>
      <c r="C591" s="26"/>
      <c r="D591" s="351"/>
      <c r="E591" s="303"/>
      <c r="F591" s="351"/>
      <c r="G591" s="26"/>
      <c r="H591" s="26"/>
      <c r="I591" s="26"/>
      <c r="J591" s="26"/>
      <c r="K591" s="26"/>
      <c r="L591" s="26"/>
      <c r="M591" s="26"/>
      <c r="N591" s="26"/>
      <c r="O591" s="26"/>
      <c r="P591" s="26"/>
      <c r="Q591" s="66"/>
      <c r="R591" s="66"/>
      <c r="S591" s="26"/>
    </row>
    <row r="592" spans="1:19">
      <c r="A592" s="24"/>
      <c r="B592" s="25" t="s">
        <v>199</v>
      </c>
      <c r="C592" s="26" t="s">
        <v>17</v>
      </c>
      <c r="D592" s="351">
        <v>1</v>
      </c>
      <c r="E592" s="303"/>
      <c r="F592" s="351">
        <v>1</v>
      </c>
      <c r="G592" s="26"/>
      <c r="H592" s="26"/>
      <c r="I592" s="26"/>
      <c r="J592" s="26"/>
      <c r="K592" s="26"/>
      <c r="L592" s="26"/>
      <c r="M592" s="26"/>
      <c r="N592" s="26"/>
      <c r="O592" s="26"/>
      <c r="P592" s="26"/>
      <c r="Q592" s="66"/>
      <c r="R592" s="66"/>
      <c r="S592" s="26"/>
    </row>
    <row r="593" spans="1:19" ht="30">
      <c r="A593" s="24"/>
      <c r="B593" s="25" t="s">
        <v>176</v>
      </c>
      <c r="C593" s="26" t="s">
        <v>78</v>
      </c>
      <c r="D593" s="351">
        <v>1</v>
      </c>
      <c r="E593" s="303"/>
      <c r="F593" s="351">
        <v>1</v>
      </c>
      <c r="G593" s="26"/>
      <c r="H593" s="26"/>
      <c r="I593" s="26"/>
      <c r="J593" s="26"/>
      <c r="K593" s="26"/>
      <c r="L593" s="26"/>
      <c r="M593" s="26"/>
      <c r="N593" s="26"/>
      <c r="O593" s="26"/>
      <c r="P593" s="26"/>
      <c r="Q593" s="66"/>
      <c r="R593" s="66"/>
      <c r="S593" s="26"/>
    </row>
    <row r="594" spans="1:19" ht="60">
      <c r="A594" s="24">
        <v>10</v>
      </c>
      <c r="B594" s="25" t="s">
        <v>232</v>
      </c>
      <c r="C594" s="26" t="s">
        <v>7</v>
      </c>
      <c r="D594" s="351">
        <v>1</v>
      </c>
      <c r="E594" s="303"/>
      <c r="F594" s="351">
        <v>1</v>
      </c>
      <c r="G594" s="26" t="s">
        <v>2326</v>
      </c>
      <c r="H594" s="26"/>
      <c r="I594" s="26" t="s">
        <v>2327</v>
      </c>
      <c r="J594" s="26" t="s">
        <v>2328</v>
      </c>
      <c r="K594" s="311">
        <v>7367705.7299999995</v>
      </c>
      <c r="L594" s="311">
        <v>0</v>
      </c>
      <c r="M594" s="311">
        <v>678000.00000000012</v>
      </c>
      <c r="N594" s="311">
        <v>804212.70000000007</v>
      </c>
      <c r="O594" s="311">
        <v>562948.89</v>
      </c>
      <c r="P594" s="68">
        <f>SUM(K594:O594)</f>
        <v>9412867.3200000003</v>
      </c>
      <c r="Q594" s="68">
        <f>D594*P594</f>
        <v>9412867.3200000003</v>
      </c>
      <c r="R594" s="127">
        <f>F594*P594</f>
        <v>9412867.3200000003</v>
      </c>
      <c r="S594" s="26"/>
    </row>
    <row r="595" spans="1:19" ht="30">
      <c r="A595" s="24"/>
      <c r="B595" s="25" t="s">
        <v>229</v>
      </c>
      <c r="C595" s="26" t="s">
        <v>8</v>
      </c>
      <c r="D595" s="351">
        <v>1</v>
      </c>
      <c r="E595" s="303"/>
      <c r="F595" s="351">
        <v>1</v>
      </c>
      <c r="G595" s="26"/>
      <c r="H595" s="26"/>
      <c r="I595" s="26"/>
      <c r="J595" s="26"/>
      <c r="K595" s="26"/>
      <c r="L595" s="26"/>
      <c r="M595" s="26"/>
      <c r="N595" s="26"/>
      <c r="O595" s="26"/>
      <c r="P595" s="26"/>
      <c r="Q595" s="66"/>
      <c r="R595" s="66"/>
      <c r="S595" s="26"/>
    </row>
    <row r="596" spans="1:19">
      <c r="A596" s="24"/>
      <c r="B596" s="25" t="s">
        <v>161</v>
      </c>
      <c r="C596" s="26"/>
      <c r="D596" s="351"/>
      <c r="E596" s="303"/>
      <c r="F596" s="351"/>
      <c r="G596" s="26"/>
      <c r="H596" s="26"/>
      <c r="I596" s="26"/>
      <c r="J596" s="26"/>
      <c r="K596" s="26"/>
      <c r="L596" s="26"/>
      <c r="M596" s="26"/>
      <c r="N596" s="26"/>
      <c r="O596" s="26"/>
      <c r="P596" s="26"/>
      <c r="Q596" s="66"/>
      <c r="R596" s="66"/>
      <c r="S596" s="26"/>
    </row>
    <row r="597" spans="1:19">
      <c r="A597" s="24"/>
      <c r="B597" s="25" t="s">
        <v>178</v>
      </c>
      <c r="C597" s="26" t="s">
        <v>8</v>
      </c>
      <c r="D597" s="351">
        <v>1</v>
      </c>
      <c r="E597" s="303"/>
      <c r="F597" s="351">
        <v>1</v>
      </c>
      <c r="G597" s="26"/>
      <c r="H597" s="26"/>
      <c r="I597" s="26"/>
      <c r="J597" s="26"/>
      <c r="K597" s="26"/>
      <c r="L597" s="26"/>
      <c r="M597" s="26"/>
      <c r="N597" s="26"/>
      <c r="O597" s="26"/>
      <c r="P597" s="26"/>
      <c r="Q597" s="66"/>
      <c r="R597" s="66"/>
      <c r="S597" s="26"/>
    </row>
    <row r="598" spans="1:19">
      <c r="A598" s="24"/>
      <c r="B598" s="25" t="s">
        <v>24</v>
      </c>
      <c r="C598" s="26" t="s">
        <v>8</v>
      </c>
      <c r="D598" s="351">
        <v>3</v>
      </c>
      <c r="E598" s="303"/>
      <c r="F598" s="351">
        <v>3</v>
      </c>
      <c r="G598" s="26"/>
      <c r="H598" s="26"/>
      <c r="I598" s="26"/>
      <c r="J598" s="26"/>
      <c r="K598" s="26"/>
      <c r="L598" s="26"/>
      <c r="M598" s="26"/>
      <c r="N598" s="26"/>
      <c r="O598" s="26"/>
      <c r="P598" s="26"/>
      <c r="Q598" s="66"/>
      <c r="R598" s="66"/>
      <c r="S598" s="26"/>
    </row>
    <row r="599" spans="1:19">
      <c r="A599" s="24"/>
      <c r="B599" s="25" t="s">
        <v>163</v>
      </c>
      <c r="C599" s="26" t="s">
        <v>8</v>
      </c>
      <c r="D599" s="351">
        <v>3</v>
      </c>
      <c r="E599" s="303"/>
      <c r="F599" s="351">
        <v>3</v>
      </c>
      <c r="G599" s="26"/>
      <c r="H599" s="26"/>
      <c r="I599" s="26"/>
      <c r="J599" s="26"/>
      <c r="K599" s="26"/>
      <c r="L599" s="26"/>
      <c r="M599" s="26"/>
      <c r="N599" s="26"/>
      <c r="O599" s="26"/>
      <c r="P599" s="26"/>
      <c r="Q599" s="66"/>
      <c r="R599" s="66"/>
      <c r="S599" s="26"/>
    </row>
    <row r="600" spans="1:19">
      <c r="A600" s="24"/>
      <c r="B600" s="25" t="s">
        <v>164</v>
      </c>
      <c r="C600" s="26"/>
      <c r="D600" s="351"/>
      <c r="E600" s="303"/>
      <c r="F600" s="351"/>
      <c r="G600" s="26"/>
      <c r="H600" s="26"/>
      <c r="I600" s="26"/>
      <c r="J600" s="26"/>
      <c r="K600" s="26"/>
      <c r="L600" s="26"/>
      <c r="M600" s="26"/>
      <c r="N600" s="26"/>
      <c r="O600" s="26"/>
      <c r="P600" s="26"/>
      <c r="Q600" s="66"/>
      <c r="R600" s="66"/>
      <c r="S600" s="26"/>
    </row>
    <row r="601" spans="1:19">
      <c r="A601" s="24"/>
      <c r="B601" s="25" t="s">
        <v>223</v>
      </c>
      <c r="C601" s="26" t="s">
        <v>8</v>
      </c>
      <c r="D601" s="351">
        <v>1</v>
      </c>
      <c r="E601" s="303"/>
      <c r="F601" s="351">
        <v>1</v>
      </c>
      <c r="G601" s="26"/>
      <c r="H601" s="26"/>
      <c r="I601" s="26"/>
      <c r="J601" s="26"/>
      <c r="K601" s="26"/>
      <c r="L601" s="26"/>
      <c r="M601" s="26"/>
      <c r="N601" s="26"/>
      <c r="O601" s="26"/>
      <c r="P601" s="26"/>
      <c r="Q601" s="66"/>
      <c r="R601" s="66"/>
      <c r="S601" s="26"/>
    </row>
    <row r="602" spans="1:19">
      <c r="A602" s="24"/>
      <c r="B602" s="25" t="s">
        <v>233</v>
      </c>
      <c r="C602" s="26" t="s">
        <v>8</v>
      </c>
      <c r="D602" s="351">
        <v>1</v>
      </c>
      <c r="E602" s="44"/>
      <c r="F602" s="351">
        <v>1</v>
      </c>
      <c r="G602" s="331"/>
      <c r="H602" s="331"/>
      <c r="I602" s="331"/>
      <c r="J602" s="331"/>
      <c r="K602" s="331"/>
      <c r="L602" s="331"/>
      <c r="M602" s="331"/>
      <c r="N602" s="331"/>
      <c r="O602" s="331"/>
      <c r="P602" s="331"/>
      <c r="Q602" s="127"/>
      <c r="R602" s="127"/>
      <c r="S602" s="331"/>
    </row>
    <row r="603" spans="1:19">
      <c r="A603" s="24"/>
      <c r="B603" s="25" t="s">
        <v>166</v>
      </c>
      <c r="C603" s="26" t="s">
        <v>8</v>
      </c>
      <c r="D603" s="351">
        <v>2</v>
      </c>
      <c r="E603" s="303"/>
      <c r="F603" s="351">
        <v>2</v>
      </c>
      <c r="G603" s="26"/>
      <c r="H603" s="26"/>
      <c r="I603" s="26"/>
      <c r="J603" s="26"/>
      <c r="K603" s="26"/>
      <c r="L603" s="26"/>
      <c r="M603" s="26"/>
      <c r="N603" s="26"/>
      <c r="O603" s="26"/>
      <c r="P603" s="26"/>
      <c r="Q603" s="66"/>
      <c r="R603" s="66"/>
      <c r="S603" s="26"/>
    </row>
    <row r="604" spans="1:19">
      <c r="A604" s="24"/>
      <c r="B604" s="25" t="s">
        <v>167</v>
      </c>
      <c r="C604" s="26" t="s">
        <v>8</v>
      </c>
      <c r="D604" s="351">
        <v>1</v>
      </c>
      <c r="E604" s="303"/>
      <c r="F604" s="351">
        <v>1</v>
      </c>
      <c r="G604" s="26"/>
      <c r="H604" s="26"/>
      <c r="I604" s="26"/>
      <c r="J604" s="26"/>
      <c r="K604" s="26"/>
      <c r="L604" s="26"/>
      <c r="M604" s="26"/>
      <c r="N604" s="26"/>
      <c r="O604" s="26"/>
      <c r="P604" s="26"/>
      <c r="Q604" s="66"/>
      <c r="R604" s="66"/>
      <c r="S604" s="26"/>
    </row>
    <row r="605" spans="1:19">
      <c r="A605" s="24"/>
      <c r="B605" s="25" t="s">
        <v>199</v>
      </c>
      <c r="C605" s="26" t="s">
        <v>17</v>
      </c>
      <c r="D605" s="351">
        <v>1</v>
      </c>
      <c r="E605" s="303"/>
      <c r="F605" s="351">
        <v>1</v>
      </c>
      <c r="G605" s="26"/>
      <c r="H605" s="26"/>
      <c r="I605" s="26"/>
      <c r="J605" s="26"/>
      <c r="K605" s="26"/>
      <c r="L605" s="26"/>
      <c r="M605" s="26"/>
      <c r="N605" s="26"/>
      <c r="O605" s="26"/>
      <c r="P605" s="26"/>
      <c r="Q605" s="66"/>
      <c r="R605" s="66"/>
      <c r="S605" s="26"/>
    </row>
    <row r="606" spans="1:19" ht="30">
      <c r="A606" s="24"/>
      <c r="B606" s="25" t="s">
        <v>176</v>
      </c>
      <c r="C606" s="26" t="s">
        <v>78</v>
      </c>
      <c r="D606" s="351">
        <v>1</v>
      </c>
      <c r="E606" s="303"/>
      <c r="F606" s="351">
        <v>1</v>
      </c>
      <c r="G606" s="26"/>
      <c r="H606" s="26"/>
      <c r="I606" s="26"/>
      <c r="J606" s="26"/>
      <c r="K606" s="26"/>
      <c r="L606" s="26"/>
      <c r="M606" s="26"/>
      <c r="N606" s="26"/>
      <c r="O606" s="26"/>
      <c r="P606" s="26"/>
      <c r="Q606" s="66"/>
      <c r="R606" s="66"/>
      <c r="S606" s="26"/>
    </row>
    <row r="607" spans="1:19" ht="60">
      <c r="A607" s="24">
        <v>11</v>
      </c>
      <c r="B607" s="25" t="s">
        <v>234</v>
      </c>
      <c r="C607" s="26" t="s">
        <v>7</v>
      </c>
      <c r="D607" s="351">
        <v>2</v>
      </c>
      <c r="E607" s="303"/>
      <c r="F607" s="351">
        <v>2</v>
      </c>
      <c r="G607" s="26" t="s">
        <v>2326</v>
      </c>
      <c r="H607" s="26"/>
      <c r="I607" s="26" t="s">
        <v>2327</v>
      </c>
      <c r="J607" s="26" t="s">
        <v>2328</v>
      </c>
      <c r="K607" s="311">
        <v>31770529.559999995</v>
      </c>
      <c r="L607" s="311">
        <v>0</v>
      </c>
      <c r="M607" s="311">
        <v>1356000.0000000002</v>
      </c>
      <c r="N607" s="311">
        <v>3329144.4000000004</v>
      </c>
      <c r="O607" s="311">
        <v>2330401.08</v>
      </c>
      <c r="P607" s="68">
        <f>SUM(K607:O607)</f>
        <v>38786075.039999992</v>
      </c>
      <c r="Q607" s="68">
        <f>D607*P607</f>
        <v>77572150.079999983</v>
      </c>
      <c r="R607" s="127">
        <f>F607*P607</f>
        <v>77572150.079999983</v>
      </c>
      <c r="S607" s="26"/>
    </row>
    <row r="608" spans="1:19" ht="30">
      <c r="A608" s="24"/>
      <c r="B608" s="25" t="s">
        <v>235</v>
      </c>
      <c r="C608" s="26" t="s">
        <v>8</v>
      </c>
      <c r="D608" s="351">
        <v>1</v>
      </c>
      <c r="E608" s="303"/>
      <c r="F608" s="351">
        <v>1</v>
      </c>
      <c r="G608" s="26"/>
      <c r="H608" s="26"/>
      <c r="I608" s="26"/>
      <c r="J608" s="26"/>
      <c r="K608" s="26"/>
      <c r="L608" s="26"/>
      <c r="M608" s="26"/>
      <c r="N608" s="26"/>
      <c r="O608" s="26"/>
      <c r="P608" s="26"/>
      <c r="Q608" s="66"/>
      <c r="R608" s="66"/>
      <c r="S608" s="26"/>
    </row>
    <row r="609" spans="1:19">
      <c r="A609" s="24"/>
      <c r="B609" s="25" t="s">
        <v>236</v>
      </c>
      <c r="C609" s="26"/>
      <c r="D609" s="351"/>
      <c r="E609" s="303"/>
      <c r="F609" s="351"/>
      <c r="G609" s="26"/>
      <c r="H609" s="26"/>
      <c r="I609" s="26"/>
      <c r="J609" s="26"/>
      <c r="K609" s="26"/>
      <c r="L609" s="26"/>
      <c r="M609" s="26"/>
      <c r="N609" s="26"/>
      <c r="O609" s="26"/>
      <c r="P609" s="26"/>
      <c r="Q609" s="66"/>
      <c r="R609" s="66"/>
      <c r="S609" s="26"/>
    </row>
    <row r="610" spans="1:19">
      <c r="A610" s="24"/>
      <c r="B610" s="25" t="s">
        <v>237</v>
      </c>
      <c r="C610" s="26" t="s">
        <v>8</v>
      </c>
      <c r="D610" s="351">
        <v>1</v>
      </c>
      <c r="E610" s="303"/>
      <c r="F610" s="351">
        <v>1</v>
      </c>
      <c r="G610" s="26"/>
      <c r="H610" s="26"/>
      <c r="I610" s="26"/>
      <c r="J610" s="26"/>
      <c r="K610" s="26"/>
      <c r="L610" s="26"/>
      <c r="M610" s="26"/>
      <c r="N610" s="26"/>
      <c r="O610" s="26"/>
      <c r="P610" s="26"/>
      <c r="Q610" s="66"/>
      <c r="R610" s="66"/>
      <c r="S610" s="26"/>
    </row>
    <row r="611" spans="1:19">
      <c r="A611" s="24"/>
      <c r="B611" s="25" t="s">
        <v>63</v>
      </c>
      <c r="C611" s="26" t="s">
        <v>20</v>
      </c>
      <c r="D611" s="351">
        <v>3</v>
      </c>
      <c r="E611" s="44"/>
      <c r="F611" s="351">
        <v>3</v>
      </c>
      <c r="G611" s="331"/>
      <c r="H611" s="331"/>
      <c r="I611" s="331"/>
      <c r="J611" s="331"/>
      <c r="K611" s="331"/>
      <c r="L611" s="331"/>
      <c r="M611" s="331"/>
      <c r="N611" s="331"/>
      <c r="O611" s="331"/>
      <c r="P611" s="331"/>
      <c r="Q611" s="127"/>
      <c r="R611" s="127"/>
      <c r="S611" s="331"/>
    </row>
    <row r="612" spans="1:19">
      <c r="A612" s="24"/>
      <c r="B612" s="25" t="s">
        <v>21</v>
      </c>
      <c r="C612" s="26" t="s">
        <v>8</v>
      </c>
      <c r="D612" s="351">
        <v>1</v>
      </c>
      <c r="E612" s="303"/>
      <c r="F612" s="351">
        <v>1</v>
      </c>
      <c r="G612" s="26"/>
      <c r="H612" s="26"/>
      <c r="I612" s="26"/>
      <c r="J612" s="26"/>
      <c r="K612" s="26"/>
      <c r="L612" s="26"/>
      <c r="M612" s="26"/>
      <c r="N612" s="26"/>
      <c r="O612" s="26"/>
      <c r="P612" s="26"/>
      <c r="Q612" s="66"/>
      <c r="R612" s="66"/>
      <c r="S612" s="26"/>
    </row>
    <row r="613" spans="1:19">
      <c r="A613" s="24"/>
      <c r="B613" s="25" t="s">
        <v>22</v>
      </c>
      <c r="C613" s="26" t="s">
        <v>8</v>
      </c>
      <c r="D613" s="351">
        <v>1</v>
      </c>
      <c r="E613" s="303"/>
      <c r="F613" s="351">
        <v>1</v>
      </c>
      <c r="G613" s="26"/>
      <c r="H613" s="26"/>
      <c r="I613" s="26"/>
      <c r="J613" s="26"/>
      <c r="K613" s="26"/>
      <c r="L613" s="26"/>
      <c r="M613" s="26"/>
      <c r="N613" s="26"/>
      <c r="O613" s="26"/>
      <c r="P613" s="26"/>
      <c r="Q613" s="66"/>
      <c r="R613" s="66"/>
      <c r="S613" s="26"/>
    </row>
    <row r="614" spans="1:19">
      <c r="A614" s="24"/>
      <c r="B614" s="25" t="s">
        <v>238</v>
      </c>
      <c r="C614" s="26" t="s">
        <v>8</v>
      </c>
      <c r="D614" s="351">
        <v>3</v>
      </c>
      <c r="E614" s="303"/>
      <c r="F614" s="351">
        <v>3</v>
      </c>
      <c r="G614" s="26"/>
      <c r="H614" s="26"/>
      <c r="I614" s="26"/>
      <c r="J614" s="26"/>
      <c r="K614" s="26"/>
      <c r="L614" s="26"/>
      <c r="M614" s="26"/>
      <c r="N614" s="26"/>
      <c r="O614" s="26"/>
      <c r="P614" s="26"/>
      <c r="Q614" s="66"/>
      <c r="R614" s="66"/>
      <c r="S614" s="26"/>
    </row>
    <row r="615" spans="1:19">
      <c r="A615" s="24"/>
      <c r="B615" s="25" t="s">
        <v>24</v>
      </c>
      <c r="C615" s="26" t="s">
        <v>8</v>
      </c>
      <c r="D615" s="351">
        <v>3</v>
      </c>
      <c r="E615" s="303"/>
      <c r="F615" s="351">
        <v>3</v>
      </c>
      <c r="G615" s="26"/>
      <c r="H615" s="26"/>
      <c r="I615" s="26"/>
      <c r="J615" s="26"/>
      <c r="K615" s="26"/>
      <c r="L615" s="26"/>
      <c r="M615" s="26"/>
      <c r="N615" s="26"/>
      <c r="O615" s="26"/>
      <c r="P615" s="26"/>
      <c r="Q615" s="66"/>
      <c r="R615" s="66"/>
      <c r="S615" s="26"/>
    </row>
    <row r="616" spans="1:19">
      <c r="A616" s="24"/>
      <c r="B616" s="25" t="s">
        <v>163</v>
      </c>
      <c r="C616" s="26" t="s">
        <v>8</v>
      </c>
      <c r="D616" s="351">
        <v>3</v>
      </c>
      <c r="E616" s="303"/>
      <c r="F616" s="351">
        <v>3</v>
      </c>
      <c r="G616" s="26"/>
      <c r="H616" s="26"/>
      <c r="I616" s="26"/>
      <c r="J616" s="26"/>
      <c r="K616" s="26"/>
      <c r="L616" s="26"/>
      <c r="M616" s="26"/>
      <c r="N616" s="26"/>
      <c r="O616" s="26"/>
      <c r="P616" s="26"/>
      <c r="Q616" s="66"/>
      <c r="R616" s="66"/>
      <c r="S616" s="26"/>
    </row>
    <row r="617" spans="1:19">
      <c r="A617" s="24"/>
      <c r="B617" s="25" t="s">
        <v>164</v>
      </c>
      <c r="C617" s="26"/>
      <c r="D617" s="351"/>
      <c r="E617" s="303"/>
      <c r="F617" s="351"/>
      <c r="G617" s="26"/>
      <c r="H617" s="26"/>
      <c r="I617" s="26"/>
      <c r="J617" s="26"/>
      <c r="K617" s="26"/>
      <c r="L617" s="26"/>
      <c r="M617" s="26"/>
      <c r="N617" s="26"/>
      <c r="O617" s="26"/>
      <c r="P617" s="26"/>
      <c r="Q617" s="66"/>
      <c r="R617" s="66"/>
      <c r="S617" s="26"/>
    </row>
    <row r="618" spans="1:19">
      <c r="A618" s="24"/>
      <c r="B618" s="25" t="s">
        <v>239</v>
      </c>
      <c r="C618" s="26" t="s">
        <v>8</v>
      </c>
      <c r="D618" s="351">
        <v>1</v>
      </c>
      <c r="E618" s="303"/>
      <c r="F618" s="351">
        <v>1</v>
      </c>
      <c r="G618" s="26"/>
      <c r="H618" s="26"/>
      <c r="I618" s="26"/>
      <c r="J618" s="26"/>
      <c r="K618" s="26"/>
      <c r="L618" s="26"/>
      <c r="M618" s="26"/>
      <c r="N618" s="26"/>
      <c r="O618" s="26"/>
      <c r="P618" s="26"/>
      <c r="Q618" s="66"/>
      <c r="R618" s="66"/>
      <c r="S618" s="26"/>
    </row>
    <row r="619" spans="1:19">
      <c r="A619" s="24"/>
      <c r="B619" s="25" t="s">
        <v>209</v>
      </c>
      <c r="C619" s="26" t="s">
        <v>8</v>
      </c>
      <c r="D619" s="351">
        <v>1</v>
      </c>
      <c r="E619" s="303"/>
      <c r="F619" s="351">
        <v>1</v>
      </c>
      <c r="G619" s="26"/>
      <c r="H619" s="26"/>
      <c r="I619" s="26"/>
      <c r="J619" s="26"/>
      <c r="K619" s="26"/>
      <c r="L619" s="26"/>
      <c r="M619" s="26"/>
      <c r="N619" s="26"/>
      <c r="O619" s="26"/>
      <c r="P619" s="26"/>
      <c r="Q619" s="66"/>
      <c r="R619" s="66"/>
      <c r="S619" s="26"/>
    </row>
    <row r="620" spans="1:19">
      <c r="A620" s="24"/>
      <c r="B620" s="25" t="s">
        <v>168</v>
      </c>
      <c r="C620" s="26" t="s">
        <v>8</v>
      </c>
      <c r="D620" s="351">
        <v>1</v>
      </c>
      <c r="E620" s="303"/>
      <c r="F620" s="351">
        <v>1</v>
      </c>
      <c r="G620" s="26"/>
      <c r="H620" s="26"/>
      <c r="I620" s="26"/>
      <c r="J620" s="26"/>
      <c r="K620" s="26"/>
      <c r="L620" s="26"/>
      <c r="M620" s="26"/>
      <c r="N620" s="26"/>
      <c r="O620" s="26"/>
      <c r="P620" s="26"/>
      <c r="Q620" s="66"/>
      <c r="R620" s="66"/>
      <c r="S620" s="26"/>
    </row>
    <row r="621" spans="1:19">
      <c r="A621" s="24"/>
      <c r="B621" s="25" t="s">
        <v>240</v>
      </c>
      <c r="C621" s="26" t="s">
        <v>17</v>
      </c>
      <c r="D621" s="351">
        <v>1</v>
      </c>
      <c r="E621" s="303"/>
      <c r="F621" s="351">
        <v>1</v>
      </c>
      <c r="G621" s="26"/>
      <c r="H621" s="26"/>
      <c r="I621" s="26"/>
      <c r="J621" s="26"/>
      <c r="K621" s="26"/>
      <c r="L621" s="26"/>
      <c r="M621" s="26"/>
      <c r="N621" s="26"/>
      <c r="O621" s="26"/>
      <c r="P621" s="26"/>
      <c r="Q621" s="66"/>
      <c r="R621" s="66"/>
      <c r="S621" s="26"/>
    </row>
    <row r="622" spans="1:19">
      <c r="A622" s="24"/>
      <c r="B622" s="25" t="s">
        <v>241</v>
      </c>
      <c r="C622" s="26" t="s">
        <v>8</v>
      </c>
      <c r="D622" s="351">
        <v>2</v>
      </c>
      <c r="E622" s="303"/>
      <c r="F622" s="351">
        <v>2</v>
      </c>
      <c r="G622" s="26"/>
      <c r="H622" s="26"/>
      <c r="I622" s="26"/>
      <c r="J622" s="26"/>
      <c r="K622" s="26"/>
      <c r="L622" s="26"/>
      <c r="M622" s="26"/>
      <c r="N622" s="26"/>
      <c r="O622" s="26"/>
      <c r="P622" s="26"/>
      <c r="Q622" s="66"/>
      <c r="R622" s="66"/>
      <c r="S622" s="26"/>
    </row>
    <row r="623" spans="1:19">
      <c r="A623" s="24"/>
      <c r="B623" s="25" t="s">
        <v>242</v>
      </c>
      <c r="C623" s="26" t="s">
        <v>8</v>
      </c>
      <c r="D623" s="351">
        <v>1</v>
      </c>
      <c r="E623" s="44"/>
      <c r="F623" s="351">
        <v>1</v>
      </c>
      <c r="G623" s="331"/>
      <c r="H623" s="331"/>
      <c r="I623" s="331"/>
      <c r="J623" s="331"/>
      <c r="K623" s="331"/>
      <c r="L623" s="331"/>
      <c r="M623" s="331"/>
      <c r="N623" s="331"/>
      <c r="O623" s="331"/>
      <c r="P623" s="331"/>
      <c r="Q623" s="127"/>
      <c r="R623" s="127"/>
      <c r="S623" s="331"/>
    </row>
    <row r="624" spans="1:19">
      <c r="A624" s="24"/>
      <c r="B624" s="25" t="s">
        <v>211</v>
      </c>
      <c r="C624" s="26" t="s">
        <v>8</v>
      </c>
      <c r="D624" s="351">
        <v>1</v>
      </c>
      <c r="E624" s="303"/>
      <c r="F624" s="351">
        <v>1</v>
      </c>
      <c r="G624" s="26"/>
      <c r="H624" s="26"/>
      <c r="I624" s="26"/>
      <c r="J624" s="26"/>
      <c r="K624" s="26"/>
      <c r="L624" s="26"/>
      <c r="M624" s="26"/>
      <c r="N624" s="26"/>
      <c r="O624" s="26"/>
      <c r="P624" s="26"/>
      <c r="Q624" s="66"/>
      <c r="R624" s="66"/>
      <c r="S624" s="26"/>
    </row>
    <row r="625" spans="1:19">
      <c r="A625" s="24"/>
      <c r="B625" s="25" t="s">
        <v>243</v>
      </c>
      <c r="C625" s="26" t="s">
        <v>8</v>
      </c>
      <c r="D625" s="351">
        <v>1</v>
      </c>
      <c r="E625" s="302"/>
      <c r="F625" s="351">
        <v>1</v>
      </c>
      <c r="G625" s="24"/>
      <c r="H625" s="24"/>
      <c r="I625" s="24"/>
      <c r="J625" s="24"/>
      <c r="K625" s="24"/>
      <c r="L625" s="24"/>
      <c r="M625" s="24"/>
      <c r="N625" s="24"/>
      <c r="O625" s="24"/>
      <c r="P625" s="24"/>
      <c r="Q625" s="65"/>
      <c r="R625" s="65"/>
      <c r="S625" s="24"/>
    </row>
    <row r="626" spans="1:19">
      <c r="A626" s="24"/>
      <c r="B626" s="25" t="s">
        <v>206</v>
      </c>
      <c r="C626" s="26" t="s">
        <v>8</v>
      </c>
      <c r="D626" s="351">
        <v>1</v>
      </c>
      <c r="E626" s="303"/>
      <c r="F626" s="351">
        <v>1</v>
      </c>
      <c r="G626" s="26"/>
      <c r="H626" s="26"/>
      <c r="I626" s="26"/>
      <c r="J626" s="26"/>
      <c r="K626" s="26"/>
      <c r="L626" s="26"/>
      <c r="M626" s="26"/>
      <c r="N626" s="26"/>
      <c r="O626" s="26"/>
      <c r="P626" s="26"/>
      <c r="Q626" s="66"/>
      <c r="R626" s="66"/>
      <c r="S626" s="26"/>
    </row>
    <row r="627" spans="1:19">
      <c r="A627" s="24"/>
      <c r="B627" s="25" t="s">
        <v>197</v>
      </c>
      <c r="C627" s="26" t="s">
        <v>8</v>
      </c>
      <c r="D627" s="351">
        <v>2</v>
      </c>
      <c r="E627" s="303"/>
      <c r="F627" s="351">
        <v>2</v>
      </c>
      <c r="G627" s="26"/>
      <c r="H627" s="26"/>
      <c r="I627" s="26"/>
      <c r="J627" s="26"/>
      <c r="K627" s="26"/>
      <c r="L627" s="26"/>
      <c r="M627" s="26"/>
      <c r="N627" s="26"/>
      <c r="O627" s="26"/>
      <c r="P627" s="26"/>
      <c r="Q627" s="66"/>
      <c r="R627" s="66"/>
      <c r="S627" s="26"/>
    </row>
    <row r="628" spans="1:19">
      <c r="A628" s="24"/>
      <c r="B628" s="25" t="s">
        <v>183</v>
      </c>
      <c r="C628" s="26" t="s">
        <v>8</v>
      </c>
      <c r="D628" s="351">
        <v>1</v>
      </c>
      <c r="E628" s="303"/>
      <c r="F628" s="351">
        <v>1</v>
      </c>
      <c r="G628" s="26"/>
      <c r="H628" s="26"/>
      <c r="I628" s="26"/>
      <c r="J628" s="26"/>
      <c r="K628" s="26"/>
      <c r="L628" s="26"/>
      <c r="M628" s="26"/>
      <c r="N628" s="26"/>
      <c r="O628" s="26"/>
      <c r="P628" s="26"/>
      <c r="Q628" s="66"/>
      <c r="R628" s="66"/>
      <c r="S628" s="26"/>
    </row>
    <row r="629" spans="1:19">
      <c r="A629" s="24"/>
      <c r="B629" s="25" t="s">
        <v>211</v>
      </c>
      <c r="C629" s="26" t="s">
        <v>8</v>
      </c>
      <c r="D629" s="351">
        <v>1</v>
      </c>
      <c r="E629" s="303"/>
      <c r="F629" s="351">
        <v>1</v>
      </c>
      <c r="G629" s="26"/>
      <c r="H629" s="26"/>
      <c r="I629" s="26"/>
      <c r="J629" s="26"/>
      <c r="K629" s="26"/>
      <c r="L629" s="26"/>
      <c r="M629" s="26"/>
      <c r="N629" s="26"/>
      <c r="O629" s="26"/>
      <c r="P629" s="26"/>
      <c r="Q629" s="66"/>
      <c r="R629" s="66"/>
      <c r="S629" s="26"/>
    </row>
    <row r="630" spans="1:19">
      <c r="A630" s="24"/>
      <c r="B630" s="25" t="s">
        <v>198</v>
      </c>
      <c r="C630" s="26" t="s">
        <v>8</v>
      </c>
      <c r="D630" s="351">
        <v>1</v>
      </c>
      <c r="E630" s="303"/>
      <c r="F630" s="351">
        <v>1</v>
      </c>
      <c r="G630" s="26"/>
      <c r="H630" s="26"/>
      <c r="I630" s="26"/>
      <c r="J630" s="26"/>
      <c r="K630" s="26"/>
      <c r="L630" s="26"/>
      <c r="M630" s="26"/>
      <c r="N630" s="26"/>
      <c r="O630" s="26"/>
      <c r="P630" s="26"/>
      <c r="Q630" s="66"/>
      <c r="R630" s="66"/>
      <c r="S630" s="26"/>
    </row>
    <row r="631" spans="1:19">
      <c r="A631" s="24"/>
      <c r="B631" s="25" t="s">
        <v>186</v>
      </c>
      <c r="C631" s="26" t="s">
        <v>8</v>
      </c>
      <c r="D631" s="351">
        <v>3</v>
      </c>
      <c r="E631" s="303"/>
      <c r="F631" s="351">
        <v>3</v>
      </c>
      <c r="G631" s="26"/>
      <c r="H631" s="26"/>
      <c r="I631" s="26"/>
      <c r="J631" s="26"/>
      <c r="K631" s="26"/>
      <c r="L631" s="26"/>
      <c r="M631" s="26"/>
      <c r="N631" s="26"/>
      <c r="O631" s="26"/>
      <c r="P631" s="26"/>
      <c r="Q631" s="66"/>
      <c r="R631" s="66"/>
      <c r="S631" s="26"/>
    </row>
    <row r="632" spans="1:19">
      <c r="A632" s="24"/>
      <c r="B632" s="25" t="s">
        <v>244</v>
      </c>
      <c r="C632" s="26" t="s">
        <v>8</v>
      </c>
      <c r="D632" s="351">
        <v>1</v>
      </c>
      <c r="E632" s="303"/>
      <c r="F632" s="351">
        <v>1</v>
      </c>
      <c r="G632" s="26"/>
      <c r="H632" s="26"/>
      <c r="I632" s="26"/>
      <c r="J632" s="26"/>
      <c r="K632" s="26"/>
      <c r="L632" s="26"/>
      <c r="M632" s="26"/>
      <c r="N632" s="26"/>
      <c r="O632" s="26"/>
      <c r="P632" s="26"/>
      <c r="Q632" s="66"/>
      <c r="R632" s="66"/>
      <c r="S632" s="26"/>
    </row>
    <row r="633" spans="1:19">
      <c r="A633" s="24"/>
      <c r="B633" s="25" t="s">
        <v>171</v>
      </c>
      <c r="C633" s="26" t="s">
        <v>8</v>
      </c>
      <c r="D633" s="351">
        <v>1</v>
      </c>
      <c r="E633" s="303"/>
      <c r="F633" s="351">
        <v>1</v>
      </c>
      <c r="G633" s="26"/>
      <c r="H633" s="26"/>
      <c r="I633" s="26"/>
      <c r="J633" s="26"/>
      <c r="K633" s="26"/>
      <c r="L633" s="26"/>
      <c r="M633" s="26"/>
      <c r="N633" s="26"/>
      <c r="O633" s="26"/>
      <c r="P633" s="26"/>
      <c r="Q633" s="66"/>
      <c r="R633" s="66"/>
      <c r="S633" s="26"/>
    </row>
    <row r="634" spans="1:19">
      <c r="A634" s="24"/>
      <c r="B634" s="25" t="s">
        <v>245</v>
      </c>
      <c r="C634" s="26" t="s">
        <v>8</v>
      </c>
      <c r="D634" s="351">
        <v>1</v>
      </c>
      <c r="E634" s="303"/>
      <c r="F634" s="351">
        <v>1</v>
      </c>
      <c r="G634" s="26"/>
      <c r="H634" s="26"/>
      <c r="I634" s="26"/>
      <c r="J634" s="26"/>
      <c r="K634" s="26"/>
      <c r="L634" s="26"/>
      <c r="M634" s="26"/>
      <c r="N634" s="26"/>
      <c r="O634" s="26"/>
      <c r="P634" s="26"/>
      <c r="Q634" s="66"/>
      <c r="R634" s="66"/>
      <c r="S634" s="26"/>
    </row>
    <row r="635" spans="1:19">
      <c r="A635" s="24"/>
      <c r="B635" s="25" t="s">
        <v>187</v>
      </c>
      <c r="C635" s="26" t="s">
        <v>78</v>
      </c>
      <c r="D635" s="351">
        <v>1</v>
      </c>
      <c r="E635" s="303"/>
      <c r="F635" s="351">
        <v>1</v>
      </c>
      <c r="G635" s="26"/>
      <c r="H635" s="26"/>
      <c r="I635" s="26"/>
      <c r="J635" s="26"/>
      <c r="K635" s="26"/>
      <c r="L635" s="26"/>
      <c r="M635" s="26"/>
      <c r="N635" s="26"/>
      <c r="O635" s="26"/>
      <c r="P635" s="26"/>
      <c r="Q635" s="66"/>
      <c r="R635" s="66"/>
      <c r="S635" s="26"/>
    </row>
    <row r="636" spans="1:19">
      <c r="A636" s="24"/>
      <c r="B636" s="25" t="s">
        <v>173</v>
      </c>
      <c r="C636" s="26" t="s">
        <v>8</v>
      </c>
      <c r="D636" s="351">
        <v>1</v>
      </c>
      <c r="E636" s="303"/>
      <c r="F636" s="351">
        <v>1</v>
      </c>
      <c r="G636" s="26"/>
      <c r="H636" s="26"/>
      <c r="I636" s="26"/>
      <c r="J636" s="26"/>
      <c r="K636" s="26"/>
      <c r="L636" s="26"/>
      <c r="M636" s="26"/>
      <c r="N636" s="26"/>
      <c r="O636" s="26"/>
      <c r="P636" s="26"/>
      <c r="Q636" s="66"/>
      <c r="R636" s="66"/>
      <c r="S636" s="26"/>
    </row>
    <row r="637" spans="1:19">
      <c r="A637" s="24"/>
      <c r="B637" s="25" t="s">
        <v>246</v>
      </c>
      <c r="C637" s="26" t="s">
        <v>17</v>
      </c>
      <c r="D637" s="351">
        <v>1</v>
      </c>
      <c r="E637" s="303"/>
      <c r="F637" s="351">
        <v>1</v>
      </c>
      <c r="G637" s="26"/>
      <c r="H637" s="26"/>
      <c r="I637" s="26"/>
      <c r="J637" s="26"/>
      <c r="K637" s="26"/>
      <c r="L637" s="26"/>
      <c r="M637" s="26"/>
      <c r="N637" s="26"/>
      <c r="O637" s="26"/>
      <c r="P637" s="26"/>
      <c r="Q637" s="66"/>
      <c r="R637" s="66"/>
      <c r="S637" s="26"/>
    </row>
    <row r="638" spans="1:19">
      <c r="A638" s="24"/>
      <c r="B638" s="25" t="s">
        <v>217</v>
      </c>
      <c r="C638" s="26" t="s">
        <v>17</v>
      </c>
      <c r="D638" s="351">
        <v>1</v>
      </c>
      <c r="E638" s="303"/>
      <c r="F638" s="351">
        <v>1</v>
      </c>
      <c r="G638" s="26"/>
      <c r="H638" s="26"/>
      <c r="I638" s="26"/>
      <c r="J638" s="26"/>
      <c r="K638" s="26"/>
      <c r="L638" s="26"/>
      <c r="M638" s="26"/>
      <c r="N638" s="26"/>
      <c r="O638" s="26"/>
      <c r="P638" s="26"/>
      <c r="Q638" s="66"/>
      <c r="R638" s="66"/>
      <c r="S638" s="26"/>
    </row>
    <row r="639" spans="1:19" ht="30">
      <c r="A639" s="24"/>
      <c r="B639" s="25" t="s">
        <v>176</v>
      </c>
      <c r="C639" s="26" t="s">
        <v>78</v>
      </c>
      <c r="D639" s="351">
        <v>1</v>
      </c>
      <c r="E639" s="303"/>
      <c r="F639" s="351">
        <v>1</v>
      </c>
      <c r="G639" s="26"/>
      <c r="H639" s="26"/>
      <c r="I639" s="26"/>
      <c r="J639" s="26"/>
      <c r="K639" s="26"/>
      <c r="L639" s="26"/>
      <c r="M639" s="26"/>
      <c r="N639" s="26"/>
      <c r="O639" s="26"/>
      <c r="P639" s="26"/>
      <c r="Q639" s="66"/>
      <c r="R639" s="66"/>
      <c r="S639" s="26"/>
    </row>
    <row r="640" spans="1:19" ht="60">
      <c r="A640" s="24">
        <v>12</v>
      </c>
      <c r="B640" s="25" t="s">
        <v>247</v>
      </c>
      <c r="C640" s="26" t="s">
        <v>7</v>
      </c>
      <c r="D640" s="351">
        <v>4</v>
      </c>
      <c r="E640" s="44"/>
      <c r="F640" s="351">
        <v>4</v>
      </c>
      <c r="G640" s="26" t="s">
        <v>2326</v>
      </c>
      <c r="H640" s="26"/>
      <c r="I640" s="26" t="s">
        <v>2327</v>
      </c>
      <c r="J640" s="26" t="s">
        <v>2328</v>
      </c>
      <c r="K640" s="311">
        <v>22648542.839999996</v>
      </c>
      <c r="L640" s="311">
        <v>0</v>
      </c>
      <c r="M640" s="311">
        <v>1356000.0000000002</v>
      </c>
      <c r="N640" s="311">
        <v>2407731.6</v>
      </c>
      <c r="O640" s="311">
        <v>1685412.12</v>
      </c>
      <c r="P640" s="68">
        <f>SUM(K640:O640)</f>
        <v>28097686.559999999</v>
      </c>
      <c r="Q640" s="68">
        <f>D640*P640</f>
        <v>112390746.23999999</v>
      </c>
      <c r="R640" s="127">
        <f>F640*P640</f>
        <v>112390746.23999999</v>
      </c>
      <c r="S640" s="331"/>
    </row>
    <row r="641" spans="1:19" ht="30">
      <c r="A641" s="24"/>
      <c r="B641" s="25" t="s">
        <v>192</v>
      </c>
      <c r="C641" s="26" t="s">
        <v>8</v>
      </c>
      <c r="D641" s="351">
        <v>1</v>
      </c>
      <c r="E641" s="303"/>
      <c r="F641" s="351">
        <v>1</v>
      </c>
      <c r="G641" s="26"/>
      <c r="H641" s="26"/>
      <c r="I641" s="26"/>
      <c r="J641" s="26"/>
      <c r="K641" s="26"/>
      <c r="L641" s="26"/>
      <c r="M641" s="26"/>
      <c r="N641" s="26"/>
      <c r="O641" s="26"/>
      <c r="P641" s="26"/>
      <c r="Q641" s="66"/>
      <c r="R641" s="66"/>
      <c r="S641" s="26"/>
    </row>
    <row r="642" spans="1:19">
      <c r="A642" s="24"/>
      <c r="B642" s="25" t="s">
        <v>236</v>
      </c>
      <c r="C642" s="26"/>
      <c r="D642" s="351"/>
      <c r="E642" s="303"/>
      <c r="F642" s="351"/>
      <c r="G642" s="26"/>
      <c r="H642" s="26"/>
      <c r="I642" s="26"/>
      <c r="J642" s="26"/>
      <c r="K642" s="26"/>
      <c r="L642" s="26"/>
      <c r="M642" s="26"/>
      <c r="N642" s="26"/>
      <c r="O642" s="26"/>
      <c r="P642" s="26"/>
      <c r="Q642" s="66"/>
      <c r="R642" s="66"/>
      <c r="S642" s="26"/>
    </row>
    <row r="643" spans="1:19">
      <c r="A643" s="24"/>
      <c r="B643" s="25" t="s">
        <v>248</v>
      </c>
      <c r="C643" s="26" t="s">
        <v>8</v>
      </c>
      <c r="D643" s="351">
        <v>1</v>
      </c>
      <c r="E643" s="303"/>
      <c r="F643" s="351">
        <v>1</v>
      </c>
      <c r="G643" s="26"/>
      <c r="H643" s="26"/>
      <c r="I643" s="26"/>
      <c r="J643" s="26"/>
      <c r="K643" s="26"/>
      <c r="L643" s="26"/>
      <c r="M643" s="26"/>
      <c r="N643" s="26"/>
      <c r="O643" s="26"/>
      <c r="P643" s="26"/>
      <c r="Q643" s="66"/>
      <c r="R643" s="66"/>
      <c r="S643" s="26"/>
    </row>
    <row r="644" spans="1:19">
      <c r="A644" s="24"/>
      <c r="B644" s="25" t="s">
        <v>249</v>
      </c>
      <c r="C644" s="26" t="s">
        <v>20</v>
      </c>
      <c r="D644" s="351">
        <v>3</v>
      </c>
      <c r="E644" s="303"/>
      <c r="F644" s="351">
        <v>3</v>
      </c>
      <c r="G644" s="26"/>
      <c r="H644" s="26"/>
      <c r="I644" s="26"/>
      <c r="J644" s="26"/>
      <c r="K644" s="26"/>
      <c r="L644" s="26"/>
      <c r="M644" s="26"/>
      <c r="N644" s="26"/>
      <c r="O644" s="26"/>
      <c r="P644" s="26"/>
      <c r="Q644" s="66"/>
      <c r="R644" s="66"/>
      <c r="S644" s="26"/>
    </row>
    <row r="645" spans="1:19">
      <c r="A645" s="24"/>
      <c r="B645" s="25" t="s">
        <v>21</v>
      </c>
      <c r="C645" s="26" t="s">
        <v>8</v>
      </c>
      <c r="D645" s="351">
        <v>1</v>
      </c>
      <c r="E645" s="303"/>
      <c r="F645" s="351">
        <v>1</v>
      </c>
      <c r="G645" s="26"/>
      <c r="H645" s="26"/>
      <c r="I645" s="26"/>
      <c r="J645" s="26"/>
      <c r="K645" s="26"/>
      <c r="L645" s="26"/>
      <c r="M645" s="26"/>
      <c r="N645" s="26"/>
      <c r="O645" s="26"/>
      <c r="P645" s="26"/>
      <c r="Q645" s="66"/>
      <c r="R645" s="66"/>
      <c r="S645" s="26"/>
    </row>
    <row r="646" spans="1:19">
      <c r="A646" s="24"/>
      <c r="B646" s="25" t="s">
        <v>22</v>
      </c>
      <c r="C646" s="26" t="s">
        <v>8</v>
      </c>
      <c r="D646" s="351">
        <v>1</v>
      </c>
      <c r="E646" s="303"/>
      <c r="F646" s="351">
        <v>1</v>
      </c>
      <c r="G646" s="26"/>
      <c r="H646" s="26"/>
      <c r="I646" s="26"/>
      <c r="J646" s="26"/>
      <c r="K646" s="26"/>
      <c r="L646" s="26"/>
      <c r="M646" s="26"/>
      <c r="N646" s="26"/>
      <c r="O646" s="26"/>
      <c r="P646" s="26"/>
      <c r="Q646" s="66"/>
      <c r="R646" s="66"/>
      <c r="S646" s="26"/>
    </row>
    <row r="647" spans="1:19">
      <c r="A647" s="24"/>
      <c r="B647" s="25" t="s">
        <v>250</v>
      </c>
      <c r="C647" s="26" t="s">
        <v>8</v>
      </c>
      <c r="D647" s="351">
        <v>3</v>
      </c>
      <c r="E647" s="303"/>
      <c r="F647" s="351">
        <v>3</v>
      </c>
      <c r="G647" s="26"/>
      <c r="H647" s="26"/>
      <c r="I647" s="26"/>
      <c r="J647" s="26"/>
      <c r="K647" s="26"/>
      <c r="L647" s="26"/>
      <c r="M647" s="26"/>
      <c r="N647" s="26"/>
      <c r="O647" s="26"/>
      <c r="P647" s="26"/>
      <c r="Q647" s="66"/>
      <c r="R647" s="66"/>
      <c r="S647" s="26"/>
    </row>
    <row r="648" spans="1:19">
      <c r="A648" s="24"/>
      <c r="B648" s="25" t="s">
        <v>24</v>
      </c>
      <c r="C648" s="26" t="s">
        <v>8</v>
      </c>
      <c r="D648" s="351">
        <v>3</v>
      </c>
      <c r="E648" s="303"/>
      <c r="F648" s="351">
        <v>3</v>
      </c>
      <c r="G648" s="26"/>
      <c r="H648" s="26"/>
      <c r="I648" s="26"/>
      <c r="J648" s="26"/>
      <c r="K648" s="26"/>
      <c r="L648" s="26"/>
      <c r="M648" s="26"/>
      <c r="N648" s="26"/>
      <c r="O648" s="26"/>
      <c r="P648" s="26"/>
      <c r="Q648" s="66"/>
      <c r="R648" s="66"/>
      <c r="S648" s="26"/>
    </row>
    <row r="649" spans="1:19">
      <c r="A649" s="24"/>
      <c r="B649" s="25" t="s">
        <v>163</v>
      </c>
      <c r="C649" s="26" t="s">
        <v>8</v>
      </c>
      <c r="D649" s="351">
        <v>3</v>
      </c>
      <c r="E649" s="303"/>
      <c r="F649" s="351">
        <v>3</v>
      </c>
      <c r="G649" s="26"/>
      <c r="H649" s="26"/>
      <c r="I649" s="26"/>
      <c r="J649" s="26"/>
      <c r="K649" s="26"/>
      <c r="L649" s="26"/>
      <c r="M649" s="26"/>
      <c r="N649" s="26"/>
      <c r="O649" s="26"/>
      <c r="P649" s="26"/>
      <c r="Q649" s="66"/>
      <c r="R649" s="66"/>
      <c r="S649" s="26"/>
    </row>
    <row r="650" spans="1:19">
      <c r="A650" s="24"/>
      <c r="B650" s="25" t="s">
        <v>164</v>
      </c>
      <c r="C650" s="26"/>
      <c r="D650" s="351"/>
      <c r="E650" s="303"/>
      <c r="F650" s="351"/>
      <c r="G650" s="26"/>
      <c r="H650" s="26"/>
      <c r="I650" s="26"/>
      <c r="J650" s="26"/>
      <c r="K650" s="26"/>
      <c r="L650" s="26"/>
      <c r="M650" s="26"/>
      <c r="N650" s="26"/>
      <c r="O650" s="26"/>
      <c r="P650" s="26"/>
      <c r="Q650" s="66"/>
      <c r="R650" s="66"/>
      <c r="S650" s="26"/>
    </row>
    <row r="651" spans="1:19">
      <c r="A651" s="24"/>
      <c r="B651" s="25" t="s">
        <v>251</v>
      </c>
      <c r="C651" s="26" t="s">
        <v>8</v>
      </c>
      <c r="D651" s="351">
        <v>1</v>
      </c>
      <c r="E651" s="303"/>
      <c r="F651" s="351">
        <v>1</v>
      </c>
      <c r="G651" s="26"/>
      <c r="H651" s="26"/>
      <c r="I651" s="26"/>
      <c r="J651" s="26"/>
      <c r="K651" s="26"/>
      <c r="L651" s="26"/>
      <c r="M651" s="26"/>
      <c r="N651" s="26"/>
      <c r="O651" s="26"/>
      <c r="P651" s="26"/>
      <c r="Q651" s="66"/>
      <c r="R651" s="66"/>
      <c r="S651" s="26"/>
    </row>
    <row r="652" spans="1:19">
      <c r="A652" s="24"/>
      <c r="B652" s="25" t="s">
        <v>252</v>
      </c>
      <c r="C652" s="26" t="s">
        <v>8</v>
      </c>
      <c r="D652" s="351">
        <v>1</v>
      </c>
      <c r="E652" s="303"/>
      <c r="F652" s="351">
        <v>1</v>
      </c>
      <c r="G652" s="26"/>
      <c r="H652" s="26"/>
      <c r="I652" s="26"/>
      <c r="J652" s="26"/>
      <c r="K652" s="26"/>
      <c r="L652" s="26"/>
      <c r="M652" s="26"/>
      <c r="N652" s="26"/>
      <c r="O652" s="26"/>
      <c r="P652" s="26"/>
      <c r="Q652" s="66"/>
      <c r="R652" s="66"/>
      <c r="S652" s="26"/>
    </row>
    <row r="653" spans="1:19">
      <c r="A653" s="24"/>
      <c r="B653" s="25" t="s">
        <v>168</v>
      </c>
      <c r="C653" s="26" t="s">
        <v>8</v>
      </c>
      <c r="D653" s="351">
        <v>1</v>
      </c>
      <c r="E653" s="92"/>
      <c r="F653" s="351">
        <v>1</v>
      </c>
      <c r="G653" s="329"/>
      <c r="H653" s="329"/>
      <c r="I653" s="329"/>
      <c r="J653" s="329"/>
      <c r="K653" s="329"/>
      <c r="L653" s="329"/>
      <c r="M653" s="329"/>
      <c r="N653" s="329"/>
      <c r="O653" s="329"/>
      <c r="P653" s="329"/>
      <c r="Q653" s="65"/>
      <c r="R653" s="65"/>
      <c r="S653" s="329"/>
    </row>
    <row r="654" spans="1:19">
      <c r="A654" s="24"/>
      <c r="B654" s="25" t="s">
        <v>253</v>
      </c>
      <c r="C654" s="26" t="s">
        <v>17</v>
      </c>
      <c r="D654" s="351">
        <v>1</v>
      </c>
      <c r="E654" s="303"/>
      <c r="F654" s="351">
        <v>1</v>
      </c>
      <c r="G654" s="26"/>
      <c r="H654" s="26"/>
      <c r="I654" s="26"/>
      <c r="J654" s="26"/>
      <c r="K654" s="26"/>
      <c r="L654" s="26"/>
      <c r="M654" s="26"/>
      <c r="N654" s="26"/>
      <c r="O654" s="26"/>
      <c r="P654" s="26"/>
      <c r="Q654" s="66"/>
      <c r="R654" s="66"/>
      <c r="S654" s="26"/>
    </row>
    <row r="655" spans="1:19">
      <c r="A655" s="24"/>
      <c r="B655" s="25" t="s">
        <v>254</v>
      </c>
      <c r="C655" s="26" t="s">
        <v>8</v>
      </c>
      <c r="D655" s="351">
        <v>2</v>
      </c>
      <c r="E655" s="303"/>
      <c r="F655" s="351">
        <v>2</v>
      </c>
      <c r="G655" s="26"/>
      <c r="H655" s="26"/>
      <c r="I655" s="26"/>
      <c r="J655" s="26"/>
      <c r="K655" s="26"/>
      <c r="L655" s="26"/>
      <c r="M655" s="26"/>
      <c r="N655" s="26"/>
      <c r="O655" s="26"/>
      <c r="P655" s="26"/>
      <c r="Q655" s="66"/>
      <c r="R655" s="66"/>
      <c r="S655" s="26"/>
    </row>
    <row r="656" spans="1:19">
      <c r="A656" s="24"/>
      <c r="B656" s="25" t="s">
        <v>255</v>
      </c>
      <c r="C656" s="26" t="s">
        <v>8</v>
      </c>
      <c r="D656" s="351">
        <v>1</v>
      </c>
      <c r="E656" s="303"/>
      <c r="F656" s="351">
        <v>1</v>
      </c>
      <c r="G656" s="26"/>
      <c r="H656" s="26"/>
      <c r="I656" s="26"/>
      <c r="J656" s="26"/>
      <c r="K656" s="26"/>
      <c r="L656" s="26"/>
      <c r="M656" s="26"/>
      <c r="N656" s="26"/>
      <c r="O656" s="26"/>
      <c r="P656" s="26"/>
      <c r="Q656" s="66"/>
      <c r="R656" s="66"/>
      <c r="S656" s="26"/>
    </row>
    <row r="657" spans="1:19">
      <c r="A657" s="24"/>
      <c r="B657" s="25" t="s">
        <v>211</v>
      </c>
      <c r="C657" s="26" t="s">
        <v>8</v>
      </c>
      <c r="D657" s="351">
        <v>1</v>
      </c>
      <c r="E657" s="303"/>
      <c r="F657" s="351">
        <v>1</v>
      </c>
      <c r="G657" s="26"/>
      <c r="H657" s="26"/>
      <c r="I657" s="26"/>
      <c r="J657" s="26"/>
      <c r="K657" s="26"/>
      <c r="L657" s="26"/>
      <c r="M657" s="26"/>
      <c r="N657" s="26"/>
      <c r="O657" s="26"/>
      <c r="P657" s="26"/>
      <c r="Q657" s="66"/>
      <c r="R657" s="66"/>
      <c r="S657" s="26"/>
    </row>
    <row r="658" spans="1:19">
      <c r="A658" s="24"/>
      <c r="B658" s="25" t="s">
        <v>256</v>
      </c>
      <c r="C658" s="26" t="s">
        <v>8</v>
      </c>
      <c r="D658" s="351">
        <v>1</v>
      </c>
      <c r="E658" s="303"/>
      <c r="F658" s="351">
        <v>1</v>
      </c>
      <c r="G658" s="26"/>
      <c r="H658" s="26"/>
      <c r="I658" s="26"/>
      <c r="J658" s="26"/>
      <c r="K658" s="26"/>
      <c r="L658" s="26"/>
      <c r="M658" s="26"/>
      <c r="N658" s="26"/>
      <c r="O658" s="26"/>
      <c r="P658" s="26"/>
      <c r="Q658" s="66"/>
      <c r="R658" s="66"/>
      <c r="S658" s="26"/>
    </row>
    <row r="659" spans="1:19">
      <c r="A659" s="24"/>
      <c r="B659" s="25" t="s">
        <v>206</v>
      </c>
      <c r="C659" s="26" t="s">
        <v>8</v>
      </c>
      <c r="D659" s="351">
        <v>1</v>
      </c>
      <c r="E659" s="303"/>
      <c r="F659" s="351">
        <v>1</v>
      </c>
      <c r="G659" s="26"/>
      <c r="H659" s="26"/>
      <c r="I659" s="26"/>
      <c r="J659" s="26"/>
      <c r="K659" s="26"/>
      <c r="L659" s="26"/>
      <c r="M659" s="26"/>
      <c r="N659" s="26"/>
      <c r="O659" s="26"/>
      <c r="P659" s="26"/>
      <c r="Q659" s="66"/>
      <c r="R659" s="66"/>
      <c r="S659" s="26"/>
    </row>
    <row r="660" spans="1:19">
      <c r="A660" s="24"/>
      <c r="B660" s="25" t="s">
        <v>183</v>
      </c>
      <c r="C660" s="26" t="s">
        <v>8</v>
      </c>
      <c r="D660" s="351">
        <v>1</v>
      </c>
      <c r="E660" s="303"/>
      <c r="F660" s="351">
        <v>1</v>
      </c>
      <c r="G660" s="26"/>
      <c r="H660" s="26"/>
      <c r="I660" s="26"/>
      <c r="J660" s="26"/>
      <c r="K660" s="26"/>
      <c r="L660" s="26"/>
      <c r="M660" s="26"/>
      <c r="N660" s="26"/>
      <c r="O660" s="26"/>
      <c r="P660" s="26"/>
      <c r="Q660" s="66"/>
      <c r="R660" s="66"/>
      <c r="S660" s="26"/>
    </row>
    <row r="661" spans="1:19">
      <c r="A661" s="24"/>
      <c r="B661" s="25" t="s">
        <v>211</v>
      </c>
      <c r="C661" s="26" t="s">
        <v>8</v>
      </c>
      <c r="D661" s="351">
        <v>1</v>
      </c>
      <c r="E661" s="303"/>
      <c r="F661" s="351">
        <v>1</v>
      </c>
      <c r="G661" s="26"/>
      <c r="H661" s="26"/>
      <c r="I661" s="26"/>
      <c r="J661" s="26"/>
      <c r="K661" s="26"/>
      <c r="L661" s="26"/>
      <c r="M661" s="26"/>
      <c r="N661" s="26"/>
      <c r="O661" s="26"/>
      <c r="P661" s="26"/>
      <c r="Q661" s="66"/>
      <c r="R661" s="66"/>
      <c r="S661" s="26"/>
    </row>
    <row r="662" spans="1:19">
      <c r="A662" s="24"/>
      <c r="B662" s="25" t="s">
        <v>257</v>
      </c>
      <c r="C662" s="26" t="s">
        <v>8</v>
      </c>
      <c r="D662" s="351">
        <v>1</v>
      </c>
      <c r="E662" s="303"/>
      <c r="F662" s="351">
        <v>1</v>
      </c>
      <c r="G662" s="26"/>
      <c r="H662" s="26"/>
      <c r="I662" s="26"/>
      <c r="J662" s="26"/>
      <c r="K662" s="26"/>
      <c r="L662" s="26"/>
      <c r="M662" s="26"/>
      <c r="N662" s="26"/>
      <c r="O662" s="26"/>
      <c r="P662" s="26"/>
      <c r="Q662" s="66"/>
      <c r="R662" s="66"/>
      <c r="S662" s="26"/>
    </row>
    <row r="663" spans="1:19">
      <c r="A663" s="24"/>
      <c r="B663" s="25" t="s">
        <v>186</v>
      </c>
      <c r="C663" s="26" t="s">
        <v>8</v>
      </c>
      <c r="D663" s="351">
        <v>3</v>
      </c>
      <c r="E663" s="303"/>
      <c r="F663" s="351">
        <v>3</v>
      </c>
      <c r="G663" s="26"/>
      <c r="H663" s="26"/>
      <c r="I663" s="26"/>
      <c r="J663" s="26"/>
      <c r="K663" s="26"/>
      <c r="L663" s="26"/>
      <c r="M663" s="26"/>
      <c r="N663" s="26"/>
      <c r="O663" s="26"/>
      <c r="P663" s="26"/>
      <c r="Q663" s="66"/>
      <c r="R663" s="66"/>
      <c r="S663" s="26"/>
    </row>
    <row r="664" spans="1:19">
      <c r="A664" s="24"/>
      <c r="B664" s="25" t="s">
        <v>244</v>
      </c>
      <c r="C664" s="26" t="s">
        <v>8</v>
      </c>
      <c r="D664" s="351">
        <v>1</v>
      </c>
      <c r="E664" s="303"/>
      <c r="F664" s="351">
        <v>1</v>
      </c>
      <c r="G664" s="26"/>
      <c r="H664" s="26"/>
      <c r="I664" s="26"/>
      <c r="J664" s="26"/>
      <c r="K664" s="26"/>
      <c r="L664" s="26"/>
      <c r="M664" s="26"/>
      <c r="N664" s="26"/>
      <c r="O664" s="26"/>
      <c r="P664" s="26"/>
      <c r="Q664" s="66"/>
      <c r="R664" s="66"/>
      <c r="S664" s="26"/>
    </row>
    <row r="665" spans="1:19">
      <c r="A665" s="24"/>
      <c r="B665" s="25" t="s">
        <v>171</v>
      </c>
      <c r="C665" s="26" t="s">
        <v>8</v>
      </c>
      <c r="D665" s="351">
        <v>1</v>
      </c>
      <c r="E665" s="303"/>
      <c r="F665" s="351">
        <v>1</v>
      </c>
      <c r="G665" s="26"/>
      <c r="H665" s="26"/>
      <c r="I665" s="26"/>
      <c r="J665" s="26"/>
      <c r="K665" s="26"/>
      <c r="L665" s="26"/>
      <c r="M665" s="26"/>
      <c r="N665" s="26"/>
      <c r="O665" s="26"/>
      <c r="P665" s="26"/>
      <c r="Q665" s="66"/>
      <c r="R665" s="66"/>
      <c r="S665" s="26"/>
    </row>
    <row r="666" spans="1:19">
      <c r="A666" s="24"/>
      <c r="B666" s="25" t="s">
        <v>245</v>
      </c>
      <c r="C666" s="26" t="s">
        <v>8</v>
      </c>
      <c r="D666" s="351">
        <v>1</v>
      </c>
      <c r="E666" s="303"/>
      <c r="F666" s="351">
        <v>1</v>
      </c>
      <c r="G666" s="26"/>
      <c r="H666" s="26"/>
      <c r="I666" s="26"/>
      <c r="J666" s="26"/>
      <c r="K666" s="26"/>
      <c r="L666" s="26"/>
      <c r="M666" s="26"/>
      <c r="N666" s="26"/>
      <c r="O666" s="26"/>
      <c r="P666" s="26"/>
      <c r="Q666" s="66"/>
      <c r="R666" s="66"/>
      <c r="S666" s="26"/>
    </row>
    <row r="667" spans="1:19">
      <c r="A667" s="24"/>
      <c r="B667" s="25" t="s">
        <v>187</v>
      </c>
      <c r="C667" s="26" t="s">
        <v>78</v>
      </c>
      <c r="D667" s="351">
        <v>1</v>
      </c>
      <c r="E667" s="303"/>
      <c r="F667" s="351">
        <v>1</v>
      </c>
      <c r="G667" s="26"/>
      <c r="H667" s="26"/>
      <c r="I667" s="26"/>
      <c r="J667" s="26"/>
      <c r="K667" s="26"/>
      <c r="L667" s="26"/>
      <c r="M667" s="26"/>
      <c r="N667" s="26"/>
      <c r="O667" s="26"/>
      <c r="P667" s="26"/>
      <c r="Q667" s="66"/>
      <c r="R667" s="66"/>
      <c r="S667" s="26"/>
    </row>
    <row r="668" spans="1:19">
      <c r="A668" s="24"/>
      <c r="B668" s="25" t="s">
        <v>173</v>
      </c>
      <c r="C668" s="26" t="s">
        <v>8</v>
      </c>
      <c r="D668" s="351">
        <v>1</v>
      </c>
      <c r="E668" s="303"/>
      <c r="F668" s="351">
        <v>1</v>
      </c>
      <c r="G668" s="26"/>
      <c r="H668" s="26"/>
      <c r="I668" s="26"/>
      <c r="J668" s="26"/>
      <c r="K668" s="26"/>
      <c r="L668" s="26"/>
      <c r="M668" s="26"/>
      <c r="N668" s="26"/>
      <c r="O668" s="26"/>
      <c r="P668" s="26"/>
      <c r="Q668" s="66"/>
      <c r="R668" s="66"/>
      <c r="S668" s="26"/>
    </row>
    <row r="669" spans="1:19">
      <c r="A669" s="24"/>
      <c r="B669" s="25" t="s">
        <v>258</v>
      </c>
      <c r="C669" s="26" t="s">
        <v>17</v>
      </c>
      <c r="D669" s="351">
        <v>1</v>
      </c>
      <c r="E669" s="303"/>
      <c r="F669" s="351">
        <v>1</v>
      </c>
      <c r="G669" s="26"/>
      <c r="H669" s="26"/>
      <c r="I669" s="26"/>
      <c r="J669" s="26"/>
      <c r="K669" s="26"/>
      <c r="L669" s="26"/>
      <c r="M669" s="26"/>
      <c r="N669" s="26"/>
      <c r="O669" s="26"/>
      <c r="P669" s="26"/>
      <c r="Q669" s="66"/>
      <c r="R669" s="66"/>
      <c r="S669" s="26"/>
    </row>
    <row r="670" spans="1:19">
      <c r="A670" s="24"/>
      <c r="B670" s="25" t="s">
        <v>217</v>
      </c>
      <c r="C670" s="26" t="s">
        <v>17</v>
      </c>
      <c r="D670" s="351">
        <v>1</v>
      </c>
      <c r="E670" s="303"/>
      <c r="F670" s="351">
        <v>1</v>
      </c>
      <c r="G670" s="26"/>
      <c r="H670" s="26"/>
      <c r="I670" s="26"/>
      <c r="J670" s="26"/>
      <c r="K670" s="26"/>
      <c r="L670" s="26"/>
      <c r="M670" s="26"/>
      <c r="N670" s="26"/>
      <c r="O670" s="26"/>
      <c r="P670" s="26"/>
      <c r="Q670" s="66"/>
      <c r="R670" s="66"/>
      <c r="S670" s="26"/>
    </row>
    <row r="671" spans="1:19" ht="30">
      <c r="A671" s="24"/>
      <c r="B671" s="25" t="s">
        <v>176</v>
      </c>
      <c r="C671" s="26" t="s">
        <v>78</v>
      </c>
      <c r="D671" s="351">
        <v>1</v>
      </c>
      <c r="E671" s="303"/>
      <c r="F671" s="351">
        <v>1</v>
      </c>
      <c r="G671" s="26"/>
      <c r="H671" s="26"/>
      <c r="I671" s="26"/>
      <c r="J671" s="26"/>
      <c r="K671" s="26"/>
      <c r="L671" s="26"/>
      <c r="M671" s="26"/>
      <c r="N671" s="26"/>
      <c r="O671" s="26"/>
      <c r="P671" s="26"/>
      <c r="Q671" s="66"/>
      <c r="R671" s="66"/>
      <c r="S671" s="26"/>
    </row>
    <row r="672" spans="1:19" ht="60">
      <c r="A672" s="24">
        <v>13</v>
      </c>
      <c r="B672" s="25" t="s">
        <v>259</v>
      </c>
      <c r="C672" s="26" t="s">
        <v>7</v>
      </c>
      <c r="D672" s="351">
        <v>1</v>
      </c>
      <c r="E672" s="303"/>
      <c r="F672" s="351">
        <v>1</v>
      </c>
      <c r="G672" s="26" t="s">
        <v>2326</v>
      </c>
      <c r="H672" s="26"/>
      <c r="I672" s="26" t="s">
        <v>2327</v>
      </c>
      <c r="J672" s="26" t="s">
        <v>2328</v>
      </c>
      <c r="K672" s="311">
        <v>16135876.349999998</v>
      </c>
      <c r="L672" s="311">
        <v>0</v>
      </c>
      <c r="M672" s="311">
        <v>1318333.3333333335</v>
      </c>
      <c r="N672" s="311">
        <v>1746553.166666667</v>
      </c>
      <c r="O672" s="311">
        <v>1222587.2166666668</v>
      </c>
      <c r="P672" s="68">
        <f>SUM(K672:O672)</f>
        <v>20423350.066666663</v>
      </c>
      <c r="Q672" s="68">
        <f>D672*P672</f>
        <v>20423350.066666663</v>
      </c>
      <c r="R672" s="127">
        <f>F672*P672</f>
        <v>20423350.066666663</v>
      </c>
      <c r="S672" s="26"/>
    </row>
    <row r="673" spans="1:19" ht="30">
      <c r="A673" s="24"/>
      <c r="B673" s="25" t="s">
        <v>192</v>
      </c>
      <c r="C673" s="26" t="s">
        <v>8</v>
      </c>
      <c r="D673" s="351">
        <v>1</v>
      </c>
      <c r="E673" s="303"/>
      <c r="F673" s="351">
        <v>1</v>
      </c>
      <c r="G673" s="26"/>
      <c r="H673" s="26"/>
      <c r="I673" s="26"/>
      <c r="J673" s="26"/>
      <c r="K673" s="26"/>
      <c r="L673" s="26"/>
      <c r="M673" s="26"/>
      <c r="N673" s="26"/>
      <c r="O673" s="26"/>
      <c r="P673" s="26"/>
      <c r="Q673" s="66"/>
      <c r="R673" s="66"/>
      <c r="S673" s="26"/>
    </row>
    <row r="674" spans="1:19">
      <c r="A674" s="24"/>
      <c r="B674" s="25" t="s">
        <v>161</v>
      </c>
      <c r="C674" s="26"/>
      <c r="D674" s="351"/>
      <c r="E674" s="305"/>
      <c r="F674" s="351"/>
      <c r="G674" s="30"/>
      <c r="H674" s="30"/>
      <c r="I674" s="30"/>
      <c r="J674" s="30"/>
      <c r="K674" s="30"/>
      <c r="L674" s="30"/>
      <c r="M674" s="30"/>
      <c r="N674" s="30"/>
      <c r="O674" s="30"/>
      <c r="P674" s="30"/>
      <c r="Q674" s="127"/>
      <c r="R674" s="127"/>
      <c r="S674" s="30"/>
    </row>
    <row r="675" spans="1:19">
      <c r="A675" s="24"/>
      <c r="B675" s="25" t="s">
        <v>201</v>
      </c>
      <c r="C675" s="26" t="s">
        <v>8</v>
      </c>
      <c r="D675" s="351">
        <v>1</v>
      </c>
      <c r="E675" s="92"/>
      <c r="F675" s="351">
        <v>1</v>
      </c>
      <c r="G675" s="329"/>
      <c r="H675" s="329"/>
      <c r="I675" s="329"/>
      <c r="J675" s="329"/>
      <c r="K675" s="329"/>
      <c r="L675" s="329"/>
      <c r="M675" s="329"/>
      <c r="N675" s="329"/>
      <c r="O675" s="329"/>
      <c r="P675" s="329"/>
      <c r="Q675" s="65"/>
      <c r="R675" s="65"/>
      <c r="S675" s="329"/>
    </row>
    <row r="676" spans="1:19">
      <c r="A676" s="24"/>
      <c r="B676" s="25" t="s">
        <v>202</v>
      </c>
      <c r="C676" s="26" t="s">
        <v>20</v>
      </c>
      <c r="D676" s="351">
        <v>3</v>
      </c>
      <c r="E676" s="57"/>
      <c r="F676" s="351">
        <v>3</v>
      </c>
      <c r="G676" s="36"/>
      <c r="H676" s="36"/>
      <c r="I676" s="36"/>
      <c r="J676" s="36"/>
      <c r="K676" s="36"/>
      <c r="L676" s="36"/>
      <c r="M676" s="36"/>
      <c r="N676" s="36"/>
      <c r="O676" s="36"/>
      <c r="P676" s="36"/>
      <c r="Q676" s="65"/>
      <c r="R676" s="65"/>
      <c r="S676" s="36"/>
    </row>
    <row r="677" spans="1:19">
      <c r="A677" s="24"/>
      <c r="B677" s="25" t="s">
        <v>21</v>
      </c>
      <c r="C677" s="26" t="s">
        <v>8</v>
      </c>
      <c r="D677" s="351">
        <v>1</v>
      </c>
      <c r="E677" s="53"/>
      <c r="F677" s="351">
        <v>1</v>
      </c>
      <c r="G677" s="15"/>
      <c r="H677" s="15"/>
      <c r="I677" s="15"/>
      <c r="J677" s="15"/>
      <c r="K677" s="15"/>
      <c r="L677" s="15"/>
      <c r="M677" s="15"/>
      <c r="N677" s="15"/>
      <c r="O677" s="15"/>
      <c r="P677" s="15"/>
      <c r="Q677" s="66"/>
      <c r="R677" s="66"/>
      <c r="S677" s="15"/>
    </row>
    <row r="678" spans="1:19">
      <c r="A678" s="24"/>
      <c r="B678" s="25" t="s">
        <v>22</v>
      </c>
      <c r="C678" s="26" t="s">
        <v>8</v>
      </c>
      <c r="D678" s="351">
        <v>1</v>
      </c>
      <c r="E678" s="58"/>
      <c r="F678" s="351">
        <v>1</v>
      </c>
      <c r="G678" s="18"/>
      <c r="H678" s="18"/>
      <c r="I678" s="18"/>
      <c r="J678" s="18"/>
      <c r="K678" s="18"/>
      <c r="L678" s="18"/>
      <c r="M678" s="18"/>
      <c r="N678" s="18"/>
      <c r="O678" s="18"/>
      <c r="P678" s="18"/>
      <c r="Q678" s="65"/>
      <c r="R678" s="65"/>
      <c r="S678" s="18"/>
    </row>
    <row r="679" spans="1:19">
      <c r="A679" s="24"/>
      <c r="B679" s="25" t="s">
        <v>203</v>
      </c>
      <c r="C679" s="26" t="s">
        <v>8</v>
      </c>
      <c r="D679" s="351">
        <v>3</v>
      </c>
      <c r="E679" s="53"/>
      <c r="F679" s="351">
        <v>3</v>
      </c>
      <c r="G679" s="15"/>
      <c r="H679" s="15"/>
      <c r="I679" s="15"/>
      <c r="J679" s="15"/>
      <c r="K679" s="15"/>
      <c r="L679" s="15"/>
      <c r="M679" s="15"/>
      <c r="N679" s="15"/>
      <c r="O679" s="15"/>
      <c r="P679" s="15"/>
      <c r="Q679" s="66"/>
      <c r="R679" s="66"/>
      <c r="S679" s="15"/>
    </row>
    <row r="680" spans="1:19">
      <c r="A680" s="24"/>
      <c r="B680" s="25" t="s">
        <v>24</v>
      </c>
      <c r="C680" s="26" t="s">
        <v>8</v>
      </c>
      <c r="D680" s="351">
        <v>3</v>
      </c>
      <c r="E680" s="53"/>
      <c r="F680" s="351">
        <v>3</v>
      </c>
      <c r="G680" s="15"/>
      <c r="H680" s="15"/>
      <c r="I680" s="15"/>
      <c r="J680" s="15"/>
      <c r="K680" s="15"/>
      <c r="L680" s="15"/>
      <c r="M680" s="15"/>
      <c r="N680" s="15"/>
      <c r="O680" s="15"/>
      <c r="P680" s="15"/>
      <c r="Q680" s="66"/>
      <c r="R680" s="66"/>
      <c r="S680" s="15"/>
    </row>
    <row r="681" spans="1:19">
      <c r="A681" s="24"/>
      <c r="B681" s="25" t="s">
        <v>163</v>
      </c>
      <c r="C681" s="26" t="s">
        <v>8</v>
      </c>
      <c r="D681" s="351">
        <v>3</v>
      </c>
      <c r="E681" s="58"/>
      <c r="F681" s="351">
        <v>3</v>
      </c>
      <c r="G681" s="18"/>
      <c r="H681" s="18"/>
      <c r="I681" s="18"/>
      <c r="J681" s="18"/>
      <c r="K681" s="18"/>
      <c r="L681" s="18"/>
      <c r="M681" s="18"/>
      <c r="N681" s="18"/>
      <c r="O681" s="18"/>
      <c r="P681" s="18"/>
      <c r="Q681" s="65"/>
      <c r="R681" s="65"/>
      <c r="S681" s="18"/>
    </row>
    <row r="682" spans="1:19">
      <c r="A682" s="24"/>
      <c r="B682" s="25" t="s">
        <v>164</v>
      </c>
      <c r="C682" s="26"/>
      <c r="D682" s="351"/>
      <c r="E682" s="53"/>
      <c r="F682" s="351"/>
      <c r="G682" s="15"/>
      <c r="H682" s="15"/>
      <c r="I682" s="15"/>
      <c r="J682" s="15"/>
      <c r="K682" s="15"/>
      <c r="L682" s="15"/>
      <c r="M682" s="15"/>
      <c r="N682" s="15"/>
      <c r="O682" s="15"/>
      <c r="P682" s="15"/>
      <c r="Q682" s="66"/>
      <c r="R682" s="66"/>
      <c r="S682" s="15"/>
    </row>
    <row r="683" spans="1:19">
      <c r="A683" s="24"/>
      <c r="B683" s="25" t="s">
        <v>260</v>
      </c>
      <c r="C683" s="26" t="s">
        <v>8</v>
      </c>
      <c r="D683" s="351">
        <v>2</v>
      </c>
      <c r="E683" s="59"/>
      <c r="F683" s="351">
        <v>2</v>
      </c>
      <c r="G683" s="37"/>
      <c r="H683" s="37"/>
      <c r="I683" s="37"/>
      <c r="J683" s="37"/>
      <c r="K683" s="37"/>
      <c r="L683" s="37"/>
      <c r="M683" s="37"/>
      <c r="N683" s="37"/>
      <c r="O683" s="37"/>
      <c r="P683" s="37"/>
      <c r="Q683" s="66"/>
      <c r="R683" s="66"/>
      <c r="S683" s="37"/>
    </row>
    <row r="684" spans="1:19">
      <c r="A684" s="24"/>
      <c r="B684" s="25" t="s">
        <v>168</v>
      </c>
      <c r="C684" s="26" t="s">
        <v>8</v>
      </c>
      <c r="D684" s="351">
        <v>1</v>
      </c>
      <c r="E684" s="59"/>
      <c r="F684" s="351">
        <v>1</v>
      </c>
      <c r="G684" s="37"/>
      <c r="H684" s="37"/>
      <c r="I684" s="37"/>
      <c r="J684" s="37"/>
      <c r="K684" s="37"/>
      <c r="L684" s="37"/>
      <c r="M684" s="37"/>
      <c r="N684" s="37"/>
      <c r="O684" s="37"/>
      <c r="P684" s="37"/>
      <c r="Q684" s="66"/>
      <c r="R684" s="66"/>
      <c r="S684" s="37"/>
    </row>
    <row r="685" spans="1:19">
      <c r="A685" s="24"/>
      <c r="B685" s="25" t="s">
        <v>261</v>
      </c>
      <c r="C685" s="26" t="s">
        <v>17</v>
      </c>
      <c r="D685" s="351">
        <v>2</v>
      </c>
      <c r="E685" s="59"/>
      <c r="F685" s="351">
        <v>2</v>
      </c>
      <c r="G685" s="37"/>
      <c r="H685" s="37"/>
      <c r="I685" s="37"/>
      <c r="J685" s="37"/>
      <c r="K685" s="37"/>
      <c r="L685" s="37"/>
      <c r="M685" s="37"/>
      <c r="N685" s="37"/>
      <c r="O685" s="37"/>
      <c r="P685" s="37"/>
      <c r="Q685" s="66"/>
      <c r="R685" s="66"/>
      <c r="S685" s="37"/>
    </row>
    <row r="686" spans="1:19">
      <c r="A686" s="24"/>
      <c r="B686" s="25" t="s">
        <v>182</v>
      </c>
      <c r="C686" s="26" t="s">
        <v>8</v>
      </c>
      <c r="D686" s="351">
        <v>2</v>
      </c>
      <c r="E686" s="59"/>
      <c r="F686" s="351">
        <v>2</v>
      </c>
      <c r="G686" s="37"/>
      <c r="H686" s="37"/>
      <c r="I686" s="37"/>
      <c r="J686" s="37"/>
      <c r="K686" s="37"/>
      <c r="L686" s="37"/>
      <c r="M686" s="37"/>
      <c r="N686" s="37"/>
      <c r="O686" s="37"/>
      <c r="P686" s="37"/>
      <c r="Q686" s="66"/>
      <c r="R686" s="66"/>
      <c r="S686" s="37"/>
    </row>
    <row r="687" spans="1:19">
      <c r="A687" s="24"/>
      <c r="B687" s="25" t="s">
        <v>183</v>
      </c>
      <c r="C687" s="26" t="s">
        <v>8</v>
      </c>
      <c r="D687" s="351">
        <v>2</v>
      </c>
      <c r="E687" s="59"/>
      <c r="F687" s="351">
        <v>2</v>
      </c>
      <c r="G687" s="37"/>
      <c r="H687" s="37"/>
      <c r="I687" s="37"/>
      <c r="J687" s="37"/>
      <c r="K687" s="37"/>
      <c r="L687" s="37"/>
      <c r="M687" s="37"/>
      <c r="N687" s="37"/>
      <c r="O687" s="37"/>
      <c r="P687" s="37"/>
      <c r="Q687" s="66"/>
      <c r="R687" s="66"/>
      <c r="S687" s="37"/>
    </row>
    <row r="688" spans="1:19">
      <c r="A688" s="24"/>
      <c r="B688" s="25" t="s">
        <v>262</v>
      </c>
      <c r="C688" s="26" t="s">
        <v>8</v>
      </c>
      <c r="D688" s="351">
        <v>2</v>
      </c>
      <c r="E688" s="59"/>
      <c r="F688" s="351">
        <v>2</v>
      </c>
      <c r="G688" s="37"/>
      <c r="H688" s="37"/>
      <c r="I688" s="37"/>
      <c r="J688" s="37"/>
      <c r="K688" s="37"/>
      <c r="L688" s="37"/>
      <c r="M688" s="37"/>
      <c r="N688" s="37"/>
      <c r="O688" s="37"/>
      <c r="P688" s="37"/>
      <c r="Q688" s="66"/>
      <c r="R688" s="66"/>
      <c r="S688" s="37"/>
    </row>
    <row r="689" spans="1:19">
      <c r="A689" s="24"/>
      <c r="B689" s="25" t="s">
        <v>185</v>
      </c>
      <c r="C689" s="26" t="s">
        <v>8</v>
      </c>
      <c r="D689" s="351">
        <v>2</v>
      </c>
      <c r="E689" s="57"/>
      <c r="F689" s="351">
        <v>2</v>
      </c>
      <c r="G689" s="36"/>
      <c r="H689" s="36"/>
      <c r="I689" s="36"/>
      <c r="J689" s="36"/>
      <c r="K689" s="36"/>
      <c r="L689" s="36"/>
      <c r="M689" s="36"/>
      <c r="N689" s="36"/>
      <c r="O689" s="36"/>
      <c r="P689" s="36"/>
      <c r="Q689" s="65"/>
      <c r="R689" s="65"/>
      <c r="S689" s="36"/>
    </row>
    <row r="690" spans="1:19">
      <c r="A690" s="24"/>
      <c r="B690" s="25" t="s">
        <v>186</v>
      </c>
      <c r="C690" s="26" t="s">
        <v>8</v>
      </c>
      <c r="D690" s="351">
        <v>4</v>
      </c>
      <c r="E690" s="57"/>
      <c r="F690" s="351">
        <v>4</v>
      </c>
      <c r="G690" s="36"/>
      <c r="H690" s="36"/>
      <c r="I690" s="36"/>
      <c r="J690" s="36"/>
      <c r="K690" s="36"/>
      <c r="L690" s="36"/>
      <c r="M690" s="36"/>
      <c r="N690" s="36"/>
      <c r="O690" s="36"/>
      <c r="P690" s="36"/>
      <c r="Q690" s="65"/>
      <c r="R690" s="65"/>
      <c r="S690" s="36"/>
    </row>
    <row r="691" spans="1:19">
      <c r="A691" s="24"/>
      <c r="B691" s="25" t="s">
        <v>187</v>
      </c>
      <c r="C691" s="26" t="s">
        <v>78</v>
      </c>
      <c r="D691" s="351">
        <v>1</v>
      </c>
      <c r="E691" s="59"/>
      <c r="F691" s="351">
        <v>1</v>
      </c>
      <c r="G691" s="37"/>
      <c r="H691" s="37"/>
      <c r="I691" s="37"/>
      <c r="J691" s="37"/>
      <c r="K691" s="37"/>
      <c r="L691" s="37"/>
      <c r="M691" s="37"/>
      <c r="N691" s="37"/>
      <c r="O691" s="37"/>
      <c r="P691" s="37"/>
      <c r="Q691" s="66"/>
      <c r="R691" s="66"/>
      <c r="S691" s="37"/>
    </row>
    <row r="692" spans="1:19">
      <c r="A692" s="24"/>
      <c r="B692" s="25" t="s">
        <v>263</v>
      </c>
      <c r="C692" s="26" t="s">
        <v>8</v>
      </c>
      <c r="D692" s="351">
        <v>1</v>
      </c>
      <c r="E692" s="59"/>
      <c r="F692" s="351">
        <v>1</v>
      </c>
      <c r="G692" s="37"/>
      <c r="H692" s="37"/>
      <c r="I692" s="37"/>
      <c r="J692" s="37"/>
      <c r="K692" s="37"/>
      <c r="L692" s="37"/>
      <c r="M692" s="37"/>
      <c r="N692" s="37"/>
      <c r="O692" s="37"/>
      <c r="P692" s="37"/>
      <c r="Q692" s="66"/>
      <c r="R692" s="66"/>
      <c r="S692" s="37"/>
    </row>
    <row r="693" spans="1:19">
      <c r="A693" s="24"/>
      <c r="B693" s="25" t="s">
        <v>173</v>
      </c>
      <c r="C693" s="26" t="s">
        <v>8</v>
      </c>
      <c r="D693" s="351">
        <v>1</v>
      </c>
      <c r="E693" s="59"/>
      <c r="F693" s="351">
        <v>1</v>
      </c>
      <c r="G693" s="37"/>
      <c r="H693" s="37"/>
      <c r="I693" s="37"/>
      <c r="J693" s="37"/>
      <c r="K693" s="37"/>
      <c r="L693" s="37"/>
      <c r="M693" s="37"/>
      <c r="N693" s="37"/>
      <c r="O693" s="37"/>
      <c r="P693" s="37"/>
      <c r="Q693" s="66"/>
      <c r="R693" s="66"/>
      <c r="S693" s="37"/>
    </row>
    <row r="694" spans="1:19">
      <c r="A694" s="24"/>
      <c r="B694" s="25" t="s">
        <v>217</v>
      </c>
      <c r="C694" s="26" t="s">
        <v>17</v>
      </c>
      <c r="D694" s="351">
        <v>1</v>
      </c>
      <c r="E694" s="60"/>
      <c r="F694" s="351">
        <v>1</v>
      </c>
      <c r="G694" s="38"/>
      <c r="H694" s="38"/>
      <c r="I694" s="38"/>
      <c r="J694" s="38"/>
      <c r="K694" s="38"/>
      <c r="L694" s="38"/>
      <c r="M694" s="38"/>
      <c r="N694" s="38"/>
      <c r="O694" s="38"/>
      <c r="P694" s="38"/>
      <c r="Q694" s="65"/>
      <c r="R694" s="65"/>
      <c r="S694" s="38"/>
    </row>
    <row r="695" spans="1:19" ht="30">
      <c r="A695" s="24"/>
      <c r="B695" s="25" t="s">
        <v>176</v>
      </c>
      <c r="C695" s="26" t="s">
        <v>78</v>
      </c>
      <c r="D695" s="351">
        <v>1</v>
      </c>
      <c r="E695" s="57"/>
      <c r="F695" s="351">
        <v>1</v>
      </c>
      <c r="G695" s="36"/>
      <c r="H695" s="36"/>
      <c r="I695" s="36"/>
      <c r="J695" s="36"/>
      <c r="K695" s="36"/>
      <c r="L695" s="36"/>
      <c r="M695" s="36"/>
      <c r="N695" s="36"/>
      <c r="O695" s="36"/>
      <c r="P695" s="36"/>
      <c r="Q695" s="65"/>
      <c r="R695" s="65"/>
      <c r="S695" s="36"/>
    </row>
    <row r="696" spans="1:19" ht="60">
      <c r="A696" s="24">
        <v>14</v>
      </c>
      <c r="B696" s="25" t="s">
        <v>264</v>
      </c>
      <c r="C696" s="26" t="s">
        <v>7</v>
      </c>
      <c r="D696" s="351">
        <v>1</v>
      </c>
      <c r="E696" s="53"/>
      <c r="F696" s="351">
        <v>1</v>
      </c>
      <c r="G696" s="26" t="s">
        <v>2326</v>
      </c>
      <c r="H696" s="26"/>
      <c r="I696" s="26" t="s">
        <v>2327</v>
      </c>
      <c r="J696" s="26" t="s">
        <v>2328</v>
      </c>
      <c r="K696" s="311">
        <v>22591599.029999997</v>
      </c>
      <c r="L696" s="311">
        <v>0</v>
      </c>
      <c r="M696" s="311">
        <v>1356000.0000000002</v>
      </c>
      <c r="N696" s="311">
        <v>2401979.7000000002</v>
      </c>
      <c r="O696" s="311">
        <v>1681385.7900000003</v>
      </c>
      <c r="P696" s="68">
        <f>SUM(K696:O696)</f>
        <v>28030964.519999996</v>
      </c>
      <c r="Q696" s="68">
        <f>D696*P696</f>
        <v>28030964.519999996</v>
      </c>
      <c r="R696" s="127">
        <f>F696*P696</f>
        <v>28030964.519999996</v>
      </c>
      <c r="S696" s="15"/>
    </row>
    <row r="697" spans="1:19" ht="30">
      <c r="A697" s="24"/>
      <c r="B697" s="25" t="s">
        <v>192</v>
      </c>
      <c r="C697" s="26" t="s">
        <v>8</v>
      </c>
      <c r="D697" s="351">
        <v>1</v>
      </c>
      <c r="E697" s="58"/>
      <c r="F697" s="351">
        <v>1</v>
      </c>
      <c r="G697" s="18"/>
      <c r="H697" s="18"/>
      <c r="I697" s="18"/>
      <c r="J697" s="18"/>
      <c r="K697" s="18"/>
      <c r="L697" s="18"/>
      <c r="M697" s="18"/>
      <c r="N697" s="18"/>
      <c r="O697" s="18"/>
      <c r="P697" s="18"/>
      <c r="Q697" s="65"/>
      <c r="R697" s="65"/>
      <c r="S697" s="18"/>
    </row>
    <row r="698" spans="1:19">
      <c r="A698" s="24"/>
      <c r="B698" s="25" t="s">
        <v>161</v>
      </c>
      <c r="C698" s="26"/>
      <c r="D698" s="351"/>
      <c r="E698" s="53"/>
      <c r="F698" s="351"/>
      <c r="G698" s="15"/>
      <c r="H698" s="15"/>
      <c r="I698" s="15"/>
      <c r="J698" s="15"/>
      <c r="K698" s="15"/>
      <c r="L698" s="15"/>
      <c r="M698" s="15"/>
      <c r="N698" s="15"/>
      <c r="O698" s="15"/>
      <c r="P698" s="15"/>
      <c r="Q698" s="66"/>
      <c r="R698" s="66"/>
      <c r="S698" s="15"/>
    </row>
    <row r="699" spans="1:19">
      <c r="A699" s="24"/>
      <c r="B699" s="25" t="s">
        <v>265</v>
      </c>
      <c r="C699" s="26" t="s">
        <v>8</v>
      </c>
      <c r="D699" s="351">
        <v>1</v>
      </c>
      <c r="E699" s="53"/>
      <c r="F699" s="351">
        <v>1</v>
      </c>
      <c r="G699" s="15"/>
      <c r="H699" s="15"/>
      <c r="I699" s="15"/>
      <c r="J699" s="15"/>
      <c r="K699" s="15"/>
      <c r="L699" s="15"/>
      <c r="M699" s="15"/>
      <c r="N699" s="15"/>
      <c r="O699" s="15"/>
      <c r="P699" s="15"/>
      <c r="Q699" s="66"/>
      <c r="R699" s="66"/>
      <c r="S699" s="15"/>
    </row>
    <row r="700" spans="1:19">
      <c r="A700" s="24"/>
      <c r="B700" s="25" t="s">
        <v>202</v>
      </c>
      <c r="C700" s="26" t="s">
        <v>20</v>
      </c>
      <c r="D700" s="351">
        <v>3</v>
      </c>
      <c r="E700" s="53"/>
      <c r="F700" s="351">
        <v>3</v>
      </c>
      <c r="G700" s="15"/>
      <c r="H700" s="15"/>
      <c r="I700" s="15"/>
      <c r="J700" s="15"/>
      <c r="K700" s="15"/>
      <c r="L700" s="15"/>
      <c r="M700" s="15"/>
      <c r="N700" s="15"/>
      <c r="O700" s="15"/>
      <c r="P700" s="15"/>
      <c r="Q700" s="66"/>
      <c r="R700" s="66"/>
      <c r="S700" s="15"/>
    </row>
    <row r="701" spans="1:19">
      <c r="A701" s="24"/>
      <c r="B701" s="25" t="s">
        <v>21</v>
      </c>
      <c r="C701" s="26" t="s">
        <v>8</v>
      </c>
      <c r="D701" s="351">
        <v>1</v>
      </c>
      <c r="E701" s="53"/>
      <c r="F701" s="351">
        <v>1</v>
      </c>
      <c r="G701" s="15"/>
      <c r="H701" s="15"/>
      <c r="I701" s="15"/>
      <c r="J701" s="15"/>
      <c r="K701" s="15"/>
      <c r="L701" s="15"/>
      <c r="M701" s="15"/>
      <c r="N701" s="15"/>
      <c r="O701" s="15"/>
      <c r="P701" s="15"/>
      <c r="Q701" s="66"/>
      <c r="R701" s="66"/>
      <c r="S701" s="15"/>
    </row>
    <row r="702" spans="1:19">
      <c r="A702" s="24"/>
      <c r="B702" s="25" t="s">
        <v>22</v>
      </c>
      <c r="C702" s="26" t="s">
        <v>8</v>
      </c>
      <c r="D702" s="351">
        <v>1</v>
      </c>
      <c r="E702" s="59"/>
      <c r="F702" s="351">
        <v>1</v>
      </c>
      <c r="G702" s="37"/>
      <c r="H702" s="37"/>
      <c r="I702" s="37"/>
      <c r="J702" s="37"/>
      <c r="K702" s="37"/>
      <c r="L702" s="37"/>
      <c r="M702" s="37"/>
      <c r="N702" s="37"/>
      <c r="O702" s="37"/>
      <c r="P702" s="37"/>
      <c r="Q702" s="66"/>
      <c r="R702" s="66"/>
      <c r="S702" s="37"/>
    </row>
    <row r="703" spans="1:19">
      <c r="A703" s="24"/>
      <c r="B703" s="25" t="s">
        <v>203</v>
      </c>
      <c r="C703" s="26" t="s">
        <v>8</v>
      </c>
      <c r="D703" s="351">
        <v>3</v>
      </c>
      <c r="E703" s="59"/>
      <c r="F703" s="351">
        <v>3</v>
      </c>
      <c r="G703" s="37"/>
      <c r="H703" s="37"/>
      <c r="I703" s="37"/>
      <c r="J703" s="37"/>
      <c r="K703" s="37"/>
      <c r="L703" s="37"/>
      <c r="M703" s="37"/>
      <c r="N703" s="37"/>
      <c r="O703" s="37"/>
      <c r="P703" s="37"/>
      <c r="Q703" s="66"/>
      <c r="R703" s="66"/>
      <c r="S703" s="37"/>
    </row>
    <row r="704" spans="1:19">
      <c r="A704" s="24"/>
      <c r="B704" s="25" t="s">
        <v>24</v>
      </c>
      <c r="C704" s="26" t="s">
        <v>8</v>
      </c>
      <c r="D704" s="351">
        <v>3</v>
      </c>
      <c r="E704" s="53"/>
      <c r="F704" s="351">
        <v>3</v>
      </c>
      <c r="G704" s="15"/>
      <c r="H704" s="15"/>
      <c r="I704" s="15"/>
      <c r="J704" s="15"/>
      <c r="K704" s="15"/>
      <c r="L704" s="15"/>
      <c r="M704" s="15"/>
      <c r="N704" s="15"/>
      <c r="O704" s="15"/>
      <c r="P704" s="15"/>
      <c r="Q704" s="66"/>
      <c r="R704" s="66"/>
      <c r="S704" s="15"/>
    </row>
    <row r="705" spans="1:19">
      <c r="A705" s="24"/>
      <c r="B705" s="25" t="s">
        <v>163</v>
      </c>
      <c r="C705" s="26" t="s">
        <v>8</v>
      </c>
      <c r="D705" s="351">
        <v>3</v>
      </c>
      <c r="E705" s="307"/>
      <c r="F705" s="351">
        <v>3</v>
      </c>
      <c r="G705" s="308"/>
      <c r="H705" s="308"/>
      <c r="I705" s="308"/>
      <c r="J705" s="308"/>
      <c r="K705" s="308"/>
      <c r="L705" s="308"/>
      <c r="M705" s="308"/>
      <c r="N705" s="308"/>
      <c r="O705" s="308"/>
      <c r="P705" s="308"/>
      <c r="Q705" s="66"/>
      <c r="R705" s="66"/>
      <c r="S705" s="308"/>
    </row>
    <row r="706" spans="1:19">
      <c r="A706" s="24"/>
      <c r="B706" s="25" t="s">
        <v>164</v>
      </c>
      <c r="C706" s="26"/>
      <c r="D706" s="351"/>
      <c r="E706" s="60"/>
      <c r="F706" s="351"/>
      <c r="G706" s="38"/>
      <c r="H706" s="38"/>
      <c r="I706" s="38"/>
      <c r="J706" s="38"/>
      <c r="K706" s="38"/>
      <c r="L706" s="38"/>
      <c r="M706" s="38"/>
      <c r="N706" s="38"/>
      <c r="O706" s="38"/>
      <c r="P706" s="38"/>
      <c r="Q706" s="65"/>
      <c r="R706" s="65"/>
      <c r="S706" s="38"/>
    </row>
    <row r="707" spans="1:19">
      <c r="A707" s="24"/>
      <c r="B707" s="25" t="s">
        <v>260</v>
      </c>
      <c r="C707" s="26" t="s">
        <v>8</v>
      </c>
      <c r="D707" s="351">
        <v>4</v>
      </c>
      <c r="E707" s="57"/>
      <c r="F707" s="351">
        <v>4</v>
      </c>
      <c r="G707" s="36"/>
      <c r="H707" s="36"/>
      <c r="I707" s="36"/>
      <c r="J707" s="36"/>
      <c r="K707" s="36"/>
      <c r="L707" s="36"/>
      <c r="M707" s="36"/>
      <c r="N707" s="36"/>
      <c r="O707" s="36"/>
      <c r="P707" s="36"/>
      <c r="Q707" s="65"/>
      <c r="R707" s="65"/>
      <c r="S707" s="36"/>
    </row>
    <row r="708" spans="1:19">
      <c r="A708" s="24"/>
      <c r="B708" s="25" t="s">
        <v>168</v>
      </c>
      <c r="C708" s="26" t="s">
        <v>8</v>
      </c>
      <c r="D708" s="351">
        <v>1</v>
      </c>
      <c r="E708" s="53"/>
      <c r="F708" s="351">
        <v>1</v>
      </c>
      <c r="G708" s="15"/>
      <c r="H708" s="15"/>
      <c r="I708" s="15"/>
      <c r="J708" s="15"/>
      <c r="K708" s="15"/>
      <c r="L708" s="15"/>
      <c r="M708" s="15"/>
      <c r="N708" s="15"/>
      <c r="O708" s="15"/>
      <c r="P708" s="15"/>
      <c r="Q708" s="66"/>
      <c r="R708" s="66"/>
      <c r="S708" s="15"/>
    </row>
    <row r="709" spans="1:19">
      <c r="A709" s="24"/>
      <c r="B709" s="25" t="s">
        <v>261</v>
      </c>
      <c r="C709" s="26" t="s">
        <v>17</v>
      </c>
      <c r="D709" s="351">
        <v>4</v>
      </c>
      <c r="E709" s="58"/>
      <c r="F709" s="351">
        <v>4</v>
      </c>
      <c r="G709" s="18"/>
      <c r="H709" s="18"/>
      <c r="I709" s="18"/>
      <c r="J709" s="18"/>
      <c r="K709" s="18"/>
      <c r="L709" s="18"/>
      <c r="M709" s="18"/>
      <c r="N709" s="18"/>
      <c r="O709" s="18"/>
      <c r="P709" s="18"/>
      <c r="Q709" s="65"/>
      <c r="R709" s="65"/>
      <c r="S709" s="18"/>
    </row>
    <row r="710" spans="1:19">
      <c r="A710" s="24"/>
      <c r="B710" s="25" t="s">
        <v>182</v>
      </c>
      <c r="C710" s="26" t="s">
        <v>8</v>
      </c>
      <c r="D710" s="351">
        <v>4</v>
      </c>
      <c r="E710" s="53"/>
      <c r="F710" s="351">
        <v>4</v>
      </c>
      <c r="G710" s="15"/>
      <c r="H710" s="15"/>
      <c r="I710" s="15"/>
      <c r="J710" s="15"/>
      <c r="K710" s="15"/>
      <c r="L710" s="15"/>
      <c r="M710" s="15"/>
      <c r="N710" s="15"/>
      <c r="O710" s="15"/>
      <c r="P710" s="15"/>
      <c r="Q710" s="66"/>
      <c r="R710" s="66"/>
      <c r="S710" s="15"/>
    </row>
    <row r="711" spans="1:19">
      <c r="A711" s="24"/>
      <c r="B711" s="25" t="s">
        <v>183</v>
      </c>
      <c r="C711" s="26" t="s">
        <v>8</v>
      </c>
      <c r="D711" s="351">
        <v>4</v>
      </c>
      <c r="E711" s="53"/>
      <c r="F711" s="351">
        <v>4</v>
      </c>
      <c r="G711" s="15"/>
      <c r="H711" s="15"/>
      <c r="I711" s="15"/>
      <c r="J711" s="15"/>
      <c r="K711" s="15"/>
      <c r="L711" s="15"/>
      <c r="M711" s="15"/>
      <c r="N711" s="15"/>
      <c r="O711" s="15"/>
      <c r="P711" s="15"/>
      <c r="Q711" s="66"/>
      <c r="R711" s="66"/>
      <c r="S711" s="15"/>
    </row>
    <row r="712" spans="1:19">
      <c r="A712" s="24"/>
      <c r="B712" s="25" t="s">
        <v>262</v>
      </c>
      <c r="C712" s="26" t="s">
        <v>8</v>
      </c>
      <c r="D712" s="351">
        <v>4</v>
      </c>
      <c r="E712" s="53"/>
      <c r="F712" s="351">
        <v>4</v>
      </c>
      <c r="G712" s="15"/>
      <c r="H712" s="15"/>
      <c r="I712" s="15"/>
      <c r="J712" s="15"/>
      <c r="K712" s="15"/>
      <c r="L712" s="15"/>
      <c r="M712" s="15"/>
      <c r="N712" s="15"/>
      <c r="O712" s="15"/>
      <c r="P712" s="15"/>
      <c r="Q712" s="66"/>
      <c r="R712" s="66"/>
      <c r="S712" s="15"/>
    </row>
    <row r="713" spans="1:19">
      <c r="A713" s="24"/>
      <c r="B713" s="25" t="s">
        <v>185</v>
      </c>
      <c r="C713" s="26" t="s">
        <v>8</v>
      </c>
      <c r="D713" s="351">
        <v>4</v>
      </c>
      <c r="E713" s="53"/>
      <c r="F713" s="351">
        <v>4</v>
      </c>
      <c r="G713" s="15"/>
      <c r="H713" s="15"/>
      <c r="I713" s="15"/>
      <c r="J713" s="15"/>
      <c r="K713" s="15"/>
      <c r="L713" s="15"/>
      <c r="M713" s="15"/>
      <c r="N713" s="15"/>
      <c r="O713" s="15"/>
      <c r="P713" s="15"/>
      <c r="Q713" s="66"/>
      <c r="R713" s="66"/>
      <c r="S713" s="15"/>
    </row>
    <row r="714" spans="1:19">
      <c r="A714" s="24"/>
      <c r="B714" s="25" t="s">
        <v>186</v>
      </c>
      <c r="C714" s="26" t="s">
        <v>8</v>
      </c>
      <c r="D714" s="351">
        <v>8</v>
      </c>
      <c r="E714" s="59"/>
      <c r="F714" s="351">
        <v>8</v>
      </c>
      <c r="G714" s="37"/>
      <c r="H714" s="37"/>
      <c r="I714" s="37"/>
      <c r="J714" s="37"/>
      <c r="K714" s="37"/>
      <c r="L714" s="37"/>
      <c r="M714" s="37"/>
      <c r="N714" s="37"/>
      <c r="O714" s="37"/>
      <c r="P714" s="37"/>
      <c r="Q714" s="66"/>
      <c r="R714" s="66"/>
      <c r="S714" s="37"/>
    </row>
    <row r="715" spans="1:19">
      <c r="A715" s="24"/>
      <c r="B715" s="25" t="s">
        <v>187</v>
      </c>
      <c r="C715" s="26" t="s">
        <v>78</v>
      </c>
      <c r="D715" s="351">
        <v>1</v>
      </c>
      <c r="E715" s="59"/>
      <c r="F715" s="351">
        <v>1</v>
      </c>
      <c r="G715" s="37"/>
      <c r="H715" s="37"/>
      <c r="I715" s="37"/>
      <c r="J715" s="37"/>
      <c r="K715" s="37"/>
      <c r="L715" s="37"/>
      <c r="M715" s="37"/>
      <c r="N715" s="37"/>
      <c r="O715" s="37"/>
      <c r="P715" s="37"/>
      <c r="Q715" s="66"/>
      <c r="R715" s="66"/>
      <c r="S715" s="37"/>
    </row>
    <row r="716" spans="1:19">
      <c r="A716" s="24"/>
      <c r="B716" s="25" t="s">
        <v>263</v>
      </c>
      <c r="C716" s="26" t="s">
        <v>8</v>
      </c>
      <c r="D716" s="351">
        <v>1</v>
      </c>
      <c r="E716" s="59"/>
      <c r="F716" s="351">
        <v>1</v>
      </c>
      <c r="G716" s="37"/>
      <c r="H716" s="37"/>
      <c r="I716" s="37"/>
      <c r="J716" s="37"/>
      <c r="K716" s="37"/>
      <c r="L716" s="37"/>
      <c r="M716" s="37"/>
      <c r="N716" s="37"/>
      <c r="O716" s="37"/>
      <c r="P716" s="37"/>
      <c r="Q716" s="66"/>
      <c r="R716" s="66"/>
      <c r="S716" s="37"/>
    </row>
    <row r="717" spans="1:19">
      <c r="A717" s="24"/>
      <c r="B717" s="25" t="s">
        <v>173</v>
      </c>
      <c r="C717" s="26" t="s">
        <v>8</v>
      </c>
      <c r="D717" s="351">
        <v>1</v>
      </c>
      <c r="E717" s="59"/>
      <c r="F717" s="351">
        <v>1</v>
      </c>
      <c r="G717" s="37"/>
      <c r="H717" s="37"/>
      <c r="I717" s="37"/>
      <c r="J717" s="37"/>
      <c r="K717" s="37"/>
      <c r="L717" s="37"/>
      <c r="M717" s="37"/>
      <c r="N717" s="37"/>
      <c r="O717" s="37"/>
      <c r="P717" s="37"/>
      <c r="Q717" s="66"/>
      <c r="R717" s="66"/>
      <c r="S717" s="37"/>
    </row>
    <row r="718" spans="1:19">
      <c r="A718" s="24"/>
      <c r="B718" s="25" t="s">
        <v>216</v>
      </c>
      <c r="C718" s="26" t="s">
        <v>17</v>
      </c>
      <c r="D718" s="351">
        <v>1</v>
      </c>
      <c r="E718" s="53"/>
      <c r="F718" s="351">
        <v>1</v>
      </c>
      <c r="G718" s="15"/>
      <c r="H718" s="15"/>
      <c r="I718" s="15"/>
      <c r="J718" s="15"/>
      <c r="K718" s="15"/>
      <c r="L718" s="15"/>
      <c r="M718" s="15"/>
      <c r="N718" s="15"/>
      <c r="O718" s="15"/>
      <c r="P718" s="15"/>
      <c r="Q718" s="66"/>
      <c r="R718" s="66"/>
      <c r="S718" s="15"/>
    </row>
    <row r="719" spans="1:19">
      <c r="A719" s="24"/>
      <c r="B719" s="25" t="s">
        <v>217</v>
      </c>
      <c r="C719" s="26" t="s">
        <v>17</v>
      </c>
      <c r="D719" s="351">
        <v>1</v>
      </c>
      <c r="E719" s="307"/>
      <c r="F719" s="351">
        <v>1</v>
      </c>
      <c r="G719" s="308"/>
      <c r="H719" s="308"/>
      <c r="I719" s="308"/>
      <c r="J719" s="308"/>
      <c r="K719" s="308"/>
      <c r="L719" s="308"/>
      <c r="M719" s="308"/>
      <c r="N719" s="308"/>
      <c r="O719" s="308"/>
      <c r="P719" s="308"/>
      <c r="Q719" s="66"/>
      <c r="R719" s="66"/>
      <c r="S719" s="308"/>
    </row>
    <row r="720" spans="1:19" ht="30">
      <c r="A720" s="24"/>
      <c r="B720" s="25" t="s">
        <v>176</v>
      </c>
      <c r="C720" s="26" t="s">
        <v>78</v>
      </c>
      <c r="D720" s="351">
        <v>1</v>
      </c>
      <c r="E720" s="60"/>
      <c r="F720" s="351">
        <v>1</v>
      </c>
      <c r="G720" s="38"/>
      <c r="H720" s="38"/>
      <c r="I720" s="38"/>
      <c r="J720" s="38"/>
      <c r="K720" s="38"/>
      <c r="L720" s="38"/>
      <c r="M720" s="38"/>
      <c r="N720" s="38"/>
      <c r="O720" s="38"/>
      <c r="P720" s="38"/>
      <c r="Q720" s="65"/>
      <c r="R720" s="65"/>
      <c r="S720" s="38"/>
    </row>
    <row r="721" spans="1:19" ht="60">
      <c r="A721" s="24">
        <v>15</v>
      </c>
      <c r="B721" s="25" t="s">
        <v>266</v>
      </c>
      <c r="C721" s="26" t="s">
        <v>7</v>
      </c>
      <c r="D721" s="351">
        <v>2</v>
      </c>
      <c r="E721" s="57"/>
      <c r="F721" s="351">
        <v>2</v>
      </c>
      <c r="G721" s="26" t="s">
        <v>2326</v>
      </c>
      <c r="H721" s="26"/>
      <c r="I721" s="26" t="s">
        <v>2327</v>
      </c>
      <c r="J721" s="26" t="s">
        <v>2328</v>
      </c>
      <c r="K721" s="311">
        <v>24838184.249999996</v>
      </c>
      <c r="L721" s="311">
        <v>0</v>
      </c>
      <c r="M721" s="311">
        <v>1318333.3333333335</v>
      </c>
      <c r="N721" s="311">
        <v>2625574.166666667</v>
      </c>
      <c r="O721" s="311">
        <v>1837901.916666667</v>
      </c>
      <c r="P721" s="68">
        <f>SUM(K721:O721)</f>
        <v>30619993.666666664</v>
      </c>
      <c r="Q721" s="68">
        <f>D721*P721</f>
        <v>61239987.333333328</v>
      </c>
      <c r="R721" s="127">
        <f>F721*P721</f>
        <v>61239987.333333328</v>
      </c>
      <c r="S721" s="36"/>
    </row>
    <row r="722" spans="1:19" ht="30">
      <c r="A722" s="24"/>
      <c r="B722" s="25" t="s">
        <v>192</v>
      </c>
      <c r="C722" s="26" t="s">
        <v>8</v>
      </c>
      <c r="D722" s="351">
        <v>1</v>
      </c>
      <c r="E722" s="53"/>
      <c r="F722" s="351">
        <v>1</v>
      </c>
      <c r="G722" s="15"/>
      <c r="H722" s="15"/>
      <c r="I722" s="15"/>
      <c r="J722" s="15"/>
      <c r="K722" s="15"/>
      <c r="L722" s="15"/>
      <c r="M722" s="15"/>
      <c r="N722" s="15"/>
      <c r="O722" s="15"/>
      <c r="P722" s="15"/>
      <c r="Q722" s="66"/>
      <c r="R722" s="66"/>
      <c r="S722" s="15"/>
    </row>
    <row r="723" spans="1:19">
      <c r="A723" s="24"/>
      <c r="B723" s="25" t="s">
        <v>161</v>
      </c>
      <c r="C723" s="26"/>
      <c r="D723" s="351"/>
      <c r="E723" s="58"/>
      <c r="F723" s="351"/>
      <c r="G723" s="18"/>
      <c r="H723" s="18"/>
      <c r="I723" s="18"/>
      <c r="J723" s="18"/>
      <c r="K723" s="18"/>
      <c r="L723" s="18"/>
      <c r="M723" s="18"/>
      <c r="N723" s="18"/>
      <c r="O723" s="18"/>
      <c r="P723" s="18"/>
      <c r="Q723" s="65"/>
      <c r="R723" s="65"/>
      <c r="S723" s="18"/>
    </row>
    <row r="724" spans="1:19">
      <c r="A724" s="24"/>
      <c r="B724" s="25" t="s">
        <v>267</v>
      </c>
      <c r="C724" s="26" t="s">
        <v>8</v>
      </c>
      <c r="D724" s="351">
        <v>1</v>
      </c>
      <c r="E724" s="53"/>
      <c r="F724" s="351">
        <v>1</v>
      </c>
      <c r="G724" s="15"/>
      <c r="H724" s="15"/>
      <c r="I724" s="15"/>
      <c r="J724" s="15"/>
      <c r="K724" s="15"/>
      <c r="L724" s="15"/>
      <c r="M724" s="15"/>
      <c r="N724" s="15"/>
      <c r="O724" s="15"/>
      <c r="P724" s="15"/>
      <c r="Q724" s="66"/>
      <c r="R724" s="66"/>
      <c r="S724" s="15"/>
    </row>
    <row r="725" spans="1:19">
      <c r="A725" s="24"/>
      <c r="B725" s="25" t="s">
        <v>54</v>
      </c>
      <c r="C725" s="26" t="s">
        <v>20</v>
      </c>
      <c r="D725" s="351">
        <v>3</v>
      </c>
      <c r="E725" s="53"/>
      <c r="F725" s="351">
        <v>3</v>
      </c>
      <c r="G725" s="15"/>
      <c r="H725" s="15"/>
      <c r="I725" s="15"/>
      <c r="J725" s="15"/>
      <c r="K725" s="15"/>
      <c r="L725" s="15"/>
      <c r="M725" s="15"/>
      <c r="N725" s="15"/>
      <c r="O725" s="15"/>
      <c r="P725" s="15"/>
      <c r="Q725" s="66"/>
      <c r="R725" s="66"/>
      <c r="S725" s="15"/>
    </row>
    <row r="726" spans="1:19">
      <c r="A726" s="24"/>
      <c r="B726" s="25" t="s">
        <v>21</v>
      </c>
      <c r="C726" s="26" t="s">
        <v>8</v>
      </c>
      <c r="D726" s="351">
        <v>1</v>
      </c>
      <c r="E726" s="53"/>
      <c r="F726" s="351">
        <v>1</v>
      </c>
      <c r="G726" s="15"/>
      <c r="H726" s="15"/>
      <c r="I726" s="15"/>
      <c r="J726" s="15"/>
      <c r="K726" s="15"/>
      <c r="L726" s="15"/>
      <c r="M726" s="15"/>
      <c r="N726" s="15"/>
      <c r="O726" s="15"/>
      <c r="P726" s="15"/>
      <c r="Q726" s="66"/>
      <c r="R726" s="66"/>
      <c r="S726" s="15"/>
    </row>
    <row r="727" spans="1:19">
      <c r="A727" s="24"/>
      <c r="B727" s="25" t="s">
        <v>22</v>
      </c>
      <c r="C727" s="26" t="s">
        <v>8</v>
      </c>
      <c r="D727" s="351">
        <v>1</v>
      </c>
      <c r="E727" s="53"/>
      <c r="F727" s="351">
        <v>1</v>
      </c>
      <c r="G727" s="15"/>
      <c r="H727" s="15"/>
      <c r="I727" s="15"/>
      <c r="J727" s="15"/>
      <c r="K727" s="15"/>
      <c r="L727" s="15"/>
      <c r="M727" s="15"/>
      <c r="N727" s="15"/>
      <c r="O727" s="15"/>
      <c r="P727" s="15"/>
      <c r="Q727" s="66"/>
      <c r="R727" s="66"/>
      <c r="S727" s="15"/>
    </row>
    <row r="728" spans="1:19">
      <c r="A728" s="24"/>
      <c r="B728" s="25" t="s">
        <v>194</v>
      </c>
      <c r="C728" s="26" t="s">
        <v>8</v>
      </c>
      <c r="D728" s="351">
        <v>3</v>
      </c>
      <c r="E728" s="59"/>
      <c r="F728" s="351">
        <v>3</v>
      </c>
      <c r="G728" s="37"/>
      <c r="H728" s="37"/>
      <c r="I728" s="37"/>
      <c r="J728" s="37"/>
      <c r="K728" s="37"/>
      <c r="L728" s="37"/>
      <c r="M728" s="37"/>
      <c r="N728" s="37"/>
      <c r="O728" s="37"/>
      <c r="P728" s="37"/>
      <c r="Q728" s="66"/>
      <c r="R728" s="66"/>
      <c r="S728" s="37"/>
    </row>
    <row r="729" spans="1:19">
      <c r="A729" s="24"/>
      <c r="B729" s="25" t="s">
        <v>24</v>
      </c>
      <c r="C729" s="26" t="s">
        <v>8</v>
      </c>
      <c r="D729" s="351">
        <v>3</v>
      </c>
      <c r="E729" s="59"/>
      <c r="F729" s="351">
        <v>3</v>
      </c>
      <c r="G729" s="37"/>
      <c r="H729" s="37"/>
      <c r="I729" s="37"/>
      <c r="J729" s="37"/>
      <c r="K729" s="37"/>
      <c r="L729" s="37"/>
      <c r="M729" s="37"/>
      <c r="N729" s="37"/>
      <c r="O729" s="37"/>
      <c r="P729" s="37"/>
      <c r="Q729" s="66"/>
      <c r="R729" s="66"/>
      <c r="S729" s="37"/>
    </row>
    <row r="730" spans="1:19">
      <c r="A730" s="24"/>
      <c r="B730" s="25" t="s">
        <v>163</v>
      </c>
      <c r="C730" s="26" t="s">
        <v>8</v>
      </c>
      <c r="D730" s="351">
        <v>3</v>
      </c>
      <c r="E730" s="59"/>
      <c r="F730" s="351">
        <v>3</v>
      </c>
      <c r="G730" s="37"/>
      <c r="H730" s="37"/>
      <c r="I730" s="37"/>
      <c r="J730" s="37"/>
      <c r="K730" s="37"/>
      <c r="L730" s="37"/>
      <c r="M730" s="37"/>
      <c r="N730" s="37"/>
      <c r="O730" s="37"/>
      <c r="P730" s="37"/>
      <c r="Q730" s="66"/>
      <c r="R730" s="66"/>
      <c r="S730" s="37"/>
    </row>
    <row r="731" spans="1:19">
      <c r="A731" s="24"/>
      <c r="B731" s="25" t="s">
        <v>164</v>
      </c>
      <c r="C731" s="26"/>
      <c r="D731" s="351"/>
      <c r="E731" s="59"/>
      <c r="F731" s="351"/>
      <c r="G731" s="37"/>
      <c r="H731" s="37"/>
      <c r="I731" s="37"/>
      <c r="J731" s="37"/>
      <c r="K731" s="37"/>
      <c r="L731" s="37"/>
      <c r="M731" s="37"/>
      <c r="N731" s="37"/>
      <c r="O731" s="37"/>
      <c r="P731" s="37"/>
      <c r="Q731" s="66"/>
      <c r="R731" s="66"/>
      <c r="S731" s="37"/>
    </row>
    <row r="732" spans="1:19">
      <c r="A732" s="24"/>
      <c r="B732" s="25" t="s">
        <v>268</v>
      </c>
      <c r="C732" s="26" t="s">
        <v>8</v>
      </c>
      <c r="D732" s="351">
        <v>2</v>
      </c>
      <c r="E732" s="59"/>
      <c r="F732" s="351">
        <v>2</v>
      </c>
      <c r="G732" s="37"/>
      <c r="H732" s="37"/>
      <c r="I732" s="37"/>
      <c r="J732" s="37"/>
      <c r="K732" s="37"/>
      <c r="L732" s="37"/>
      <c r="M732" s="37"/>
      <c r="N732" s="37"/>
      <c r="O732" s="37"/>
      <c r="P732" s="37"/>
      <c r="Q732" s="66"/>
      <c r="R732" s="66"/>
      <c r="S732" s="37"/>
    </row>
    <row r="733" spans="1:19">
      <c r="A733" s="24"/>
      <c r="B733" s="25" t="s">
        <v>168</v>
      </c>
      <c r="C733" s="26" t="s">
        <v>8</v>
      </c>
      <c r="D733" s="351">
        <v>1</v>
      </c>
      <c r="E733" s="59"/>
      <c r="F733" s="351">
        <v>1</v>
      </c>
      <c r="G733" s="37"/>
      <c r="H733" s="37"/>
      <c r="I733" s="37"/>
      <c r="J733" s="37"/>
      <c r="K733" s="37"/>
      <c r="L733" s="37"/>
      <c r="M733" s="37"/>
      <c r="N733" s="37"/>
      <c r="O733" s="37"/>
      <c r="P733" s="37"/>
      <c r="Q733" s="66"/>
      <c r="R733" s="66"/>
      <c r="S733" s="37"/>
    </row>
    <row r="734" spans="1:19">
      <c r="A734" s="24"/>
      <c r="B734" s="25" t="s">
        <v>269</v>
      </c>
      <c r="C734" s="26" t="s">
        <v>17</v>
      </c>
      <c r="D734" s="351">
        <v>2</v>
      </c>
      <c r="E734" s="57"/>
      <c r="F734" s="351">
        <v>2</v>
      </c>
      <c r="G734" s="36"/>
      <c r="H734" s="36"/>
      <c r="I734" s="36"/>
      <c r="J734" s="36"/>
      <c r="K734" s="36"/>
      <c r="L734" s="36"/>
      <c r="M734" s="36"/>
      <c r="N734" s="36"/>
      <c r="O734" s="36"/>
      <c r="P734" s="36"/>
      <c r="Q734" s="65"/>
      <c r="R734" s="65"/>
      <c r="S734" s="36"/>
    </row>
    <row r="735" spans="1:19">
      <c r="A735" s="24"/>
      <c r="B735" s="25" t="s">
        <v>270</v>
      </c>
      <c r="C735" s="26" t="s">
        <v>8</v>
      </c>
      <c r="D735" s="351">
        <v>4</v>
      </c>
      <c r="E735" s="59"/>
      <c r="F735" s="351">
        <v>4</v>
      </c>
      <c r="G735" s="37"/>
      <c r="H735" s="37"/>
      <c r="I735" s="37"/>
      <c r="J735" s="37"/>
      <c r="K735" s="37"/>
      <c r="L735" s="37"/>
      <c r="M735" s="37"/>
      <c r="N735" s="37"/>
      <c r="O735" s="37"/>
      <c r="P735" s="37"/>
      <c r="Q735" s="66"/>
      <c r="R735" s="66"/>
      <c r="S735" s="37"/>
    </row>
    <row r="736" spans="1:19">
      <c r="A736" s="24"/>
      <c r="B736" s="25" t="s">
        <v>197</v>
      </c>
      <c r="C736" s="26" t="s">
        <v>8</v>
      </c>
      <c r="D736" s="351">
        <v>2</v>
      </c>
      <c r="E736" s="59"/>
      <c r="F736" s="351">
        <v>2</v>
      </c>
      <c r="G736" s="37"/>
      <c r="H736" s="37"/>
      <c r="I736" s="37"/>
      <c r="J736" s="37"/>
      <c r="K736" s="37"/>
      <c r="L736" s="37"/>
      <c r="M736" s="37"/>
      <c r="N736" s="37"/>
      <c r="O736" s="37"/>
      <c r="P736" s="37"/>
      <c r="Q736" s="66"/>
      <c r="R736" s="66"/>
      <c r="S736" s="37"/>
    </row>
    <row r="737" spans="1:19">
      <c r="A737" s="24"/>
      <c r="B737" s="25" t="s">
        <v>183</v>
      </c>
      <c r="C737" s="26" t="s">
        <v>8</v>
      </c>
      <c r="D737" s="351">
        <v>2</v>
      </c>
      <c r="E737" s="59"/>
      <c r="F737" s="351">
        <v>2</v>
      </c>
      <c r="G737" s="37"/>
      <c r="H737" s="37"/>
      <c r="I737" s="37"/>
      <c r="J737" s="37"/>
      <c r="K737" s="37"/>
      <c r="L737" s="37"/>
      <c r="M737" s="37"/>
      <c r="N737" s="37"/>
      <c r="O737" s="37"/>
      <c r="P737" s="37"/>
      <c r="Q737" s="66"/>
      <c r="R737" s="66"/>
      <c r="S737" s="37"/>
    </row>
    <row r="738" spans="1:19">
      <c r="A738" s="24"/>
      <c r="B738" s="25" t="s">
        <v>211</v>
      </c>
      <c r="C738" s="26" t="s">
        <v>8</v>
      </c>
      <c r="D738" s="351">
        <v>2</v>
      </c>
      <c r="E738" s="59"/>
      <c r="F738" s="351">
        <v>2</v>
      </c>
      <c r="G738" s="37"/>
      <c r="H738" s="37"/>
      <c r="I738" s="37"/>
      <c r="J738" s="37"/>
      <c r="K738" s="37"/>
      <c r="L738" s="37"/>
      <c r="M738" s="37"/>
      <c r="N738" s="37"/>
      <c r="O738" s="37"/>
      <c r="P738" s="37"/>
      <c r="Q738" s="66"/>
      <c r="R738" s="66"/>
      <c r="S738" s="37"/>
    </row>
    <row r="739" spans="1:19">
      <c r="A739" s="24"/>
      <c r="B739" s="25" t="s">
        <v>271</v>
      </c>
      <c r="C739" s="26" t="s">
        <v>8</v>
      </c>
      <c r="D739" s="351">
        <v>2</v>
      </c>
      <c r="E739" s="60"/>
      <c r="F739" s="351">
        <v>2</v>
      </c>
      <c r="G739" s="38"/>
      <c r="H739" s="38"/>
      <c r="I739" s="38"/>
      <c r="J739" s="38"/>
      <c r="K739" s="38"/>
      <c r="L739" s="38"/>
      <c r="M739" s="38"/>
      <c r="N739" s="38"/>
      <c r="O739" s="38"/>
      <c r="P739" s="38"/>
      <c r="Q739" s="65"/>
      <c r="R739" s="65"/>
      <c r="S739" s="38"/>
    </row>
    <row r="740" spans="1:19">
      <c r="A740" s="24"/>
      <c r="B740" s="25" t="s">
        <v>185</v>
      </c>
      <c r="C740" s="26" t="s">
        <v>8</v>
      </c>
      <c r="D740" s="351">
        <v>2</v>
      </c>
      <c r="E740" s="57"/>
      <c r="F740" s="351">
        <v>2</v>
      </c>
      <c r="G740" s="36"/>
      <c r="H740" s="36"/>
      <c r="I740" s="36"/>
      <c r="J740" s="36"/>
      <c r="K740" s="36"/>
      <c r="L740" s="36"/>
      <c r="M740" s="36"/>
      <c r="N740" s="36"/>
      <c r="O740" s="36"/>
      <c r="P740" s="36"/>
      <c r="Q740" s="65"/>
      <c r="R740" s="65"/>
      <c r="S740" s="36"/>
    </row>
    <row r="741" spans="1:19">
      <c r="A741" s="24"/>
      <c r="B741" s="25" t="s">
        <v>212</v>
      </c>
      <c r="C741" s="26" t="s">
        <v>8</v>
      </c>
      <c r="D741" s="351">
        <v>2</v>
      </c>
      <c r="E741" s="53"/>
      <c r="F741" s="351">
        <v>2</v>
      </c>
      <c r="G741" s="15"/>
      <c r="H741" s="15"/>
      <c r="I741" s="15"/>
      <c r="J741" s="15"/>
      <c r="K741" s="15"/>
      <c r="L741" s="15"/>
      <c r="M741" s="15"/>
      <c r="N741" s="15"/>
      <c r="O741" s="15"/>
      <c r="P741" s="15"/>
      <c r="Q741" s="66"/>
      <c r="R741" s="66"/>
      <c r="S741" s="15"/>
    </row>
    <row r="742" spans="1:19">
      <c r="A742" s="24"/>
      <c r="B742" s="25" t="s">
        <v>186</v>
      </c>
      <c r="C742" s="26" t="s">
        <v>8</v>
      </c>
      <c r="D742" s="351">
        <v>4</v>
      </c>
      <c r="E742" s="58"/>
      <c r="F742" s="351">
        <v>4</v>
      </c>
      <c r="G742" s="18"/>
      <c r="H742" s="18"/>
      <c r="I742" s="18"/>
      <c r="J742" s="18"/>
      <c r="K742" s="18"/>
      <c r="L742" s="18"/>
      <c r="M742" s="18"/>
      <c r="N742" s="18"/>
      <c r="O742" s="18"/>
      <c r="P742" s="18"/>
      <c r="Q742" s="65"/>
      <c r="R742" s="65"/>
      <c r="S742" s="18"/>
    </row>
    <row r="743" spans="1:19">
      <c r="A743" s="24"/>
      <c r="B743" s="25" t="s">
        <v>171</v>
      </c>
      <c r="C743" s="26" t="s">
        <v>8</v>
      </c>
      <c r="D743" s="351">
        <v>2</v>
      </c>
      <c r="E743" s="53"/>
      <c r="F743" s="351">
        <v>2</v>
      </c>
      <c r="G743" s="15"/>
      <c r="H743" s="15"/>
      <c r="I743" s="15"/>
      <c r="J743" s="15"/>
      <c r="K743" s="15"/>
      <c r="L743" s="15"/>
      <c r="M743" s="15"/>
      <c r="N743" s="15"/>
      <c r="O743" s="15"/>
      <c r="P743" s="15"/>
      <c r="Q743" s="66"/>
      <c r="R743" s="66"/>
      <c r="S743" s="15"/>
    </row>
    <row r="744" spans="1:19">
      <c r="A744" s="24"/>
      <c r="B744" s="25" t="s">
        <v>187</v>
      </c>
      <c r="C744" s="26" t="s">
        <v>78</v>
      </c>
      <c r="D744" s="351">
        <v>1</v>
      </c>
      <c r="E744" s="53"/>
      <c r="F744" s="351">
        <v>1</v>
      </c>
      <c r="G744" s="15"/>
      <c r="H744" s="15"/>
      <c r="I744" s="15"/>
      <c r="J744" s="15"/>
      <c r="K744" s="15"/>
      <c r="L744" s="15"/>
      <c r="M744" s="15"/>
      <c r="N744" s="15"/>
      <c r="O744" s="15"/>
      <c r="P744" s="15"/>
      <c r="Q744" s="66"/>
      <c r="R744" s="66"/>
      <c r="S744" s="15"/>
    </row>
    <row r="745" spans="1:19">
      <c r="A745" s="24"/>
      <c r="B745" s="25" t="s">
        <v>272</v>
      </c>
      <c r="C745" s="26" t="s">
        <v>8</v>
      </c>
      <c r="D745" s="351">
        <v>2</v>
      </c>
      <c r="E745" s="53"/>
      <c r="F745" s="351">
        <v>2</v>
      </c>
      <c r="G745" s="15"/>
      <c r="H745" s="15"/>
      <c r="I745" s="15"/>
      <c r="J745" s="15"/>
      <c r="K745" s="15"/>
      <c r="L745" s="15"/>
      <c r="M745" s="15"/>
      <c r="N745" s="15"/>
      <c r="O745" s="15"/>
      <c r="P745" s="15"/>
      <c r="Q745" s="66"/>
      <c r="R745" s="66"/>
      <c r="S745" s="15"/>
    </row>
    <row r="746" spans="1:19">
      <c r="A746" s="24"/>
      <c r="B746" s="25" t="s">
        <v>173</v>
      </c>
      <c r="C746" s="26" t="s">
        <v>8</v>
      </c>
      <c r="D746" s="351">
        <v>1</v>
      </c>
      <c r="E746" s="53"/>
      <c r="F746" s="351">
        <v>1</v>
      </c>
      <c r="G746" s="15"/>
      <c r="H746" s="15"/>
      <c r="I746" s="15"/>
      <c r="J746" s="15"/>
      <c r="K746" s="15"/>
      <c r="L746" s="15"/>
      <c r="M746" s="15"/>
      <c r="N746" s="15"/>
      <c r="O746" s="15"/>
      <c r="P746" s="15"/>
      <c r="Q746" s="66"/>
      <c r="R746" s="66"/>
      <c r="S746" s="15"/>
    </row>
    <row r="747" spans="1:19">
      <c r="A747" s="24"/>
      <c r="B747" s="25" t="s">
        <v>216</v>
      </c>
      <c r="C747" s="26" t="s">
        <v>17</v>
      </c>
      <c r="D747" s="351">
        <v>1</v>
      </c>
      <c r="E747" s="59"/>
      <c r="F747" s="351">
        <v>1</v>
      </c>
      <c r="G747" s="37"/>
      <c r="H747" s="37"/>
      <c r="I747" s="37"/>
      <c r="J747" s="37"/>
      <c r="K747" s="37"/>
      <c r="L747" s="37"/>
      <c r="M747" s="37"/>
      <c r="N747" s="37"/>
      <c r="O747" s="37"/>
      <c r="P747" s="37"/>
      <c r="Q747" s="66"/>
      <c r="R747" s="66"/>
      <c r="S747" s="37"/>
    </row>
    <row r="748" spans="1:19">
      <c r="A748" s="24"/>
      <c r="B748" s="25" t="s">
        <v>217</v>
      </c>
      <c r="C748" s="26" t="s">
        <v>17</v>
      </c>
      <c r="D748" s="351">
        <v>1</v>
      </c>
      <c r="E748" s="59"/>
      <c r="F748" s="351">
        <v>1</v>
      </c>
      <c r="G748" s="37"/>
      <c r="H748" s="37"/>
      <c r="I748" s="37"/>
      <c r="J748" s="37"/>
      <c r="K748" s="37"/>
      <c r="L748" s="37"/>
      <c r="M748" s="37"/>
      <c r="N748" s="37"/>
      <c r="O748" s="37"/>
      <c r="P748" s="37"/>
      <c r="Q748" s="66"/>
      <c r="R748" s="66"/>
      <c r="S748" s="37"/>
    </row>
    <row r="749" spans="1:19" ht="30">
      <c r="A749" s="24"/>
      <c r="B749" s="25" t="s">
        <v>176</v>
      </c>
      <c r="C749" s="26" t="s">
        <v>78</v>
      </c>
      <c r="D749" s="351">
        <v>1</v>
      </c>
      <c r="E749" s="59"/>
      <c r="F749" s="351">
        <v>1</v>
      </c>
      <c r="G749" s="37"/>
      <c r="H749" s="37"/>
      <c r="I749" s="37"/>
      <c r="J749" s="37"/>
      <c r="K749" s="37"/>
      <c r="L749" s="37"/>
      <c r="M749" s="37"/>
      <c r="N749" s="37"/>
      <c r="O749" s="37"/>
      <c r="P749" s="37"/>
      <c r="Q749" s="66"/>
      <c r="R749" s="66"/>
      <c r="S749" s="37"/>
    </row>
    <row r="750" spans="1:19" ht="60">
      <c r="A750" s="24">
        <v>16</v>
      </c>
      <c r="B750" s="25" t="s">
        <v>273</v>
      </c>
      <c r="C750" s="26" t="s">
        <v>7</v>
      </c>
      <c r="D750" s="351">
        <v>1</v>
      </c>
      <c r="E750" s="59"/>
      <c r="F750" s="351">
        <v>1</v>
      </c>
      <c r="G750" s="26" t="s">
        <v>2326</v>
      </c>
      <c r="H750" s="26"/>
      <c r="I750" s="26" t="s">
        <v>2327</v>
      </c>
      <c r="J750" s="26" t="s">
        <v>2328</v>
      </c>
      <c r="K750" s="311">
        <v>24506028.359999996</v>
      </c>
      <c r="L750" s="311">
        <v>0</v>
      </c>
      <c r="M750" s="311">
        <v>1356000.0000000002</v>
      </c>
      <c r="N750" s="311">
        <v>2595356.4000000004</v>
      </c>
      <c r="O750" s="311">
        <v>1816749.4800000002</v>
      </c>
      <c r="P750" s="68">
        <f>SUM(K750:O750)</f>
        <v>30274134.239999998</v>
      </c>
      <c r="Q750" s="68">
        <f>D750*P750</f>
        <v>30274134.239999998</v>
      </c>
      <c r="R750" s="127">
        <f>F750*P750</f>
        <v>30274134.239999998</v>
      </c>
      <c r="S750" s="37"/>
    </row>
    <row r="751" spans="1:19" ht="30">
      <c r="A751" s="24"/>
      <c r="B751" s="25" t="s">
        <v>192</v>
      </c>
      <c r="C751" s="26" t="s">
        <v>8</v>
      </c>
      <c r="D751" s="351">
        <v>1</v>
      </c>
      <c r="E751" s="59"/>
      <c r="F751" s="351">
        <v>1</v>
      </c>
      <c r="G751" s="37"/>
      <c r="H751" s="37"/>
      <c r="I751" s="37"/>
      <c r="J751" s="37"/>
      <c r="K751" s="37"/>
      <c r="L751" s="37"/>
      <c r="M751" s="37"/>
      <c r="N751" s="37"/>
      <c r="O751" s="37"/>
      <c r="P751" s="37"/>
      <c r="Q751" s="66"/>
      <c r="R751" s="66"/>
      <c r="S751" s="37"/>
    </row>
    <row r="752" spans="1:19">
      <c r="A752" s="24"/>
      <c r="B752" s="25" t="s">
        <v>161</v>
      </c>
      <c r="C752" s="26"/>
      <c r="D752" s="351"/>
      <c r="E752" s="60"/>
      <c r="F752" s="351"/>
      <c r="G752" s="38"/>
      <c r="H752" s="38"/>
      <c r="I752" s="38"/>
      <c r="J752" s="38"/>
      <c r="K752" s="38"/>
      <c r="L752" s="38"/>
      <c r="M752" s="38"/>
      <c r="N752" s="38"/>
      <c r="O752" s="38"/>
      <c r="P752" s="38"/>
      <c r="Q752" s="65"/>
      <c r="R752" s="65"/>
      <c r="S752" s="38"/>
    </row>
    <row r="753" spans="1:19">
      <c r="A753" s="24"/>
      <c r="B753" s="25" t="s">
        <v>265</v>
      </c>
      <c r="C753" s="26" t="s">
        <v>8</v>
      </c>
      <c r="D753" s="351">
        <v>1</v>
      </c>
      <c r="E753" s="57"/>
      <c r="F753" s="351">
        <v>1</v>
      </c>
      <c r="G753" s="36"/>
      <c r="H753" s="36"/>
      <c r="I753" s="36"/>
      <c r="J753" s="36"/>
      <c r="K753" s="36"/>
      <c r="L753" s="36"/>
      <c r="M753" s="36"/>
      <c r="N753" s="36"/>
      <c r="O753" s="36"/>
      <c r="P753" s="36"/>
      <c r="Q753" s="65"/>
      <c r="R753" s="65"/>
      <c r="S753" s="36"/>
    </row>
    <row r="754" spans="1:19">
      <c r="A754" s="24"/>
      <c r="B754" s="25" t="s">
        <v>202</v>
      </c>
      <c r="C754" s="26" t="s">
        <v>20</v>
      </c>
      <c r="D754" s="351">
        <v>3</v>
      </c>
      <c r="E754" s="53"/>
      <c r="F754" s="351">
        <v>3</v>
      </c>
      <c r="G754" s="15"/>
      <c r="H754" s="15"/>
      <c r="I754" s="15"/>
      <c r="J754" s="15"/>
      <c r="K754" s="15"/>
      <c r="L754" s="15"/>
      <c r="M754" s="15"/>
      <c r="N754" s="15"/>
      <c r="O754" s="15"/>
      <c r="P754" s="15"/>
      <c r="Q754" s="66"/>
      <c r="R754" s="66"/>
      <c r="S754" s="15"/>
    </row>
    <row r="755" spans="1:19">
      <c r="A755" s="24"/>
      <c r="B755" s="25" t="s">
        <v>21</v>
      </c>
      <c r="C755" s="26" t="s">
        <v>8</v>
      </c>
      <c r="D755" s="351">
        <v>1</v>
      </c>
      <c r="E755" s="58"/>
      <c r="F755" s="351">
        <v>1</v>
      </c>
      <c r="G755" s="18"/>
      <c r="H755" s="18"/>
      <c r="I755" s="18"/>
      <c r="J755" s="18"/>
      <c r="K755" s="18"/>
      <c r="L755" s="18"/>
      <c r="M755" s="18"/>
      <c r="N755" s="18"/>
      <c r="O755" s="18"/>
      <c r="P755" s="18"/>
      <c r="Q755" s="65"/>
      <c r="R755" s="65"/>
      <c r="S755" s="18"/>
    </row>
    <row r="756" spans="1:19">
      <c r="A756" s="24"/>
      <c r="B756" s="25" t="s">
        <v>22</v>
      </c>
      <c r="C756" s="26" t="s">
        <v>8</v>
      </c>
      <c r="D756" s="351">
        <v>1</v>
      </c>
      <c r="E756" s="53"/>
      <c r="F756" s="351">
        <v>1</v>
      </c>
      <c r="G756" s="15"/>
      <c r="H756" s="15"/>
      <c r="I756" s="15"/>
      <c r="J756" s="15"/>
      <c r="K756" s="15"/>
      <c r="L756" s="15"/>
      <c r="M756" s="15"/>
      <c r="N756" s="15"/>
      <c r="O756" s="15"/>
      <c r="P756" s="15"/>
      <c r="Q756" s="66"/>
      <c r="R756" s="66"/>
      <c r="S756" s="15"/>
    </row>
    <row r="757" spans="1:19">
      <c r="A757" s="24"/>
      <c r="B757" s="25" t="s">
        <v>203</v>
      </c>
      <c r="C757" s="26" t="s">
        <v>8</v>
      </c>
      <c r="D757" s="351">
        <v>3</v>
      </c>
      <c r="E757" s="53"/>
      <c r="F757" s="351">
        <v>3</v>
      </c>
      <c r="G757" s="15"/>
      <c r="H757" s="15"/>
      <c r="I757" s="15"/>
      <c r="J757" s="15"/>
      <c r="K757" s="15"/>
      <c r="L757" s="15"/>
      <c r="M757" s="15"/>
      <c r="N757" s="15"/>
      <c r="O757" s="15"/>
      <c r="P757" s="15"/>
      <c r="Q757" s="66"/>
      <c r="R757" s="66"/>
      <c r="S757" s="15"/>
    </row>
    <row r="758" spans="1:19">
      <c r="A758" s="24"/>
      <c r="B758" s="25" t="s">
        <v>24</v>
      </c>
      <c r="C758" s="26" t="s">
        <v>8</v>
      </c>
      <c r="D758" s="351">
        <v>3</v>
      </c>
      <c r="E758" s="53"/>
      <c r="F758" s="351">
        <v>3</v>
      </c>
      <c r="G758" s="15"/>
      <c r="H758" s="15"/>
      <c r="I758" s="15"/>
      <c r="J758" s="15"/>
      <c r="K758" s="15"/>
      <c r="L758" s="15"/>
      <c r="M758" s="15"/>
      <c r="N758" s="15"/>
      <c r="O758" s="15"/>
      <c r="P758" s="15"/>
      <c r="Q758" s="66"/>
      <c r="R758" s="66"/>
      <c r="S758" s="15"/>
    </row>
    <row r="759" spans="1:19">
      <c r="A759" s="24"/>
      <c r="B759" s="25" t="s">
        <v>163</v>
      </c>
      <c r="C759" s="26" t="s">
        <v>8</v>
      </c>
      <c r="D759" s="351">
        <v>3</v>
      </c>
      <c r="E759" s="53"/>
      <c r="F759" s="351">
        <v>3</v>
      </c>
      <c r="G759" s="15"/>
      <c r="H759" s="15"/>
      <c r="I759" s="15"/>
      <c r="J759" s="15"/>
      <c r="K759" s="15"/>
      <c r="L759" s="15"/>
      <c r="M759" s="15"/>
      <c r="N759" s="15"/>
      <c r="O759" s="15"/>
      <c r="P759" s="15"/>
      <c r="Q759" s="66"/>
      <c r="R759" s="66"/>
      <c r="S759" s="15"/>
    </row>
    <row r="760" spans="1:19">
      <c r="A760" s="24"/>
      <c r="B760" s="25" t="s">
        <v>164</v>
      </c>
      <c r="C760" s="26"/>
      <c r="D760" s="351"/>
      <c r="E760" s="59"/>
      <c r="F760" s="351"/>
      <c r="G760" s="37"/>
      <c r="H760" s="37"/>
      <c r="I760" s="37"/>
      <c r="J760" s="37"/>
      <c r="K760" s="37"/>
      <c r="L760" s="37"/>
      <c r="M760" s="37"/>
      <c r="N760" s="37"/>
      <c r="O760" s="37"/>
      <c r="P760" s="37"/>
      <c r="Q760" s="66"/>
      <c r="R760" s="66"/>
      <c r="S760" s="37"/>
    </row>
    <row r="761" spans="1:19">
      <c r="A761" s="24"/>
      <c r="B761" s="25" t="s">
        <v>252</v>
      </c>
      <c r="C761" s="26" t="s">
        <v>8</v>
      </c>
      <c r="D761" s="351">
        <v>1</v>
      </c>
      <c r="E761" s="59"/>
      <c r="F761" s="351">
        <v>1</v>
      </c>
      <c r="G761" s="37"/>
      <c r="H761" s="37"/>
      <c r="I761" s="37"/>
      <c r="J761" s="37"/>
      <c r="K761" s="37"/>
      <c r="L761" s="37"/>
      <c r="M761" s="37"/>
      <c r="N761" s="37"/>
      <c r="O761" s="37"/>
      <c r="P761" s="37"/>
      <c r="Q761" s="66"/>
      <c r="R761" s="66"/>
      <c r="S761" s="37"/>
    </row>
    <row r="762" spans="1:19">
      <c r="A762" s="24"/>
      <c r="B762" s="25" t="s">
        <v>260</v>
      </c>
      <c r="C762" s="26" t="s">
        <v>8</v>
      </c>
      <c r="D762" s="351">
        <v>4</v>
      </c>
      <c r="E762" s="59"/>
      <c r="F762" s="351">
        <v>4</v>
      </c>
      <c r="G762" s="37"/>
      <c r="H762" s="37"/>
      <c r="I762" s="37"/>
      <c r="J762" s="37"/>
      <c r="K762" s="37"/>
      <c r="L762" s="37"/>
      <c r="M762" s="37"/>
      <c r="N762" s="37"/>
      <c r="O762" s="37"/>
      <c r="P762" s="37"/>
      <c r="Q762" s="66"/>
      <c r="R762" s="66"/>
      <c r="S762" s="37"/>
    </row>
    <row r="763" spans="1:19">
      <c r="A763" s="24"/>
      <c r="B763" s="25" t="s">
        <v>168</v>
      </c>
      <c r="C763" s="26" t="s">
        <v>8</v>
      </c>
      <c r="D763" s="351">
        <v>1</v>
      </c>
      <c r="E763" s="59"/>
      <c r="F763" s="351">
        <v>1</v>
      </c>
      <c r="G763" s="37"/>
      <c r="H763" s="37"/>
      <c r="I763" s="37"/>
      <c r="J763" s="37"/>
      <c r="K763" s="37"/>
      <c r="L763" s="37"/>
      <c r="M763" s="37"/>
      <c r="N763" s="37"/>
      <c r="O763" s="37"/>
      <c r="P763" s="37"/>
      <c r="Q763" s="66"/>
      <c r="R763" s="66"/>
      <c r="S763" s="37"/>
    </row>
    <row r="764" spans="1:19">
      <c r="A764" s="24"/>
      <c r="B764" s="25" t="s">
        <v>274</v>
      </c>
      <c r="C764" s="26" t="s">
        <v>17</v>
      </c>
      <c r="D764" s="351">
        <v>4</v>
      </c>
      <c r="E764" s="59"/>
      <c r="F764" s="351">
        <v>4</v>
      </c>
      <c r="G764" s="37"/>
      <c r="H764" s="37"/>
      <c r="I764" s="37"/>
      <c r="J764" s="37"/>
      <c r="K764" s="37"/>
      <c r="L764" s="37"/>
      <c r="M764" s="37"/>
      <c r="N764" s="37"/>
      <c r="O764" s="37"/>
      <c r="P764" s="37"/>
      <c r="Q764" s="66"/>
      <c r="R764" s="66"/>
      <c r="S764" s="37"/>
    </row>
    <row r="765" spans="1:19">
      <c r="A765" s="24"/>
      <c r="B765" s="25" t="s">
        <v>182</v>
      </c>
      <c r="C765" s="26" t="s">
        <v>8</v>
      </c>
      <c r="D765" s="351">
        <v>4</v>
      </c>
      <c r="E765" s="57"/>
      <c r="F765" s="351">
        <v>4</v>
      </c>
      <c r="G765" s="36"/>
      <c r="H765" s="36"/>
      <c r="I765" s="36"/>
      <c r="J765" s="36"/>
      <c r="K765" s="36"/>
      <c r="L765" s="36"/>
      <c r="M765" s="36"/>
      <c r="N765" s="36"/>
      <c r="O765" s="36"/>
      <c r="P765" s="36"/>
      <c r="Q765" s="65"/>
      <c r="R765" s="65"/>
      <c r="S765" s="36"/>
    </row>
    <row r="766" spans="1:19">
      <c r="A766" s="24"/>
      <c r="B766" s="25" t="s">
        <v>183</v>
      </c>
      <c r="C766" s="26" t="s">
        <v>8</v>
      </c>
      <c r="D766" s="351">
        <v>4</v>
      </c>
      <c r="E766" s="59"/>
      <c r="F766" s="351">
        <v>4</v>
      </c>
      <c r="G766" s="37"/>
      <c r="H766" s="37"/>
      <c r="I766" s="37"/>
      <c r="J766" s="37"/>
      <c r="K766" s="37"/>
      <c r="L766" s="37"/>
      <c r="M766" s="37"/>
      <c r="N766" s="37"/>
      <c r="O766" s="37"/>
      <c r="P766" s="37"/>
      <c r="Q766" s="66"/>
      <c r="R766" s="66"/>
      <c r="S766" s="37"/>
    </row>
    <row r="767" spans="1:19">
      <c r="A767" s="24"/>
      <c r="B767" s="25" t="s">
        <v>275</v>
      </c>
      <c r="C767" s="26" t="s">
        <v>8</v>
      </c>
      <c r="D767" s="351">
        <v>4</v>
      </c>
      <c r="E767" s="59"/>
      <c r="F767" s="351">
        <v>4</v>
      </c>
      <c r="G767" s="37"/>
      <c r="H767" s="37"/>
      <c r="I767" s="37"/>
      <c r="J767" s="37"/>
      <c r="K767" s="37"/>
      <c r="L767" s="37"/>
      <c r="M767" s="37"/>
      <c r="N767" s="37"/>
      <c r="O767" s="37"/>
      <c r="P767" s="37"/>
      <c r="Q767" s="66"/>
      <c r="R767" s="66"/>
      <c r="S767" s="37"/>
    </row>
    <row r="768" spans="1:19">
      <c r="A768" s="24"/>
      <c r="B768" s="25" t="s">
        <v>185</v>
      </c>
      <c r="C768" s="26" t="s">
        <v>8</v>
      </c>
      <c r="D768" s="351">
        <v>4</v>
      </c>
      <c r="E768" s="59"/>
      <c r="F768" s="351">
        <v>4</v>
      </c>
      <c r="G768" s="37"/>
      <c r="H768" s="37"/>
      <c r="I768" s="37"/>
      <c r="J768" s="37"/>
      <c r="K768" s="37"/>
      <c r="L768" s="37"/>
      <c r="M768" s="37"/>
      <c r="N768" s="37"/>
      <c r="O768" s="37"/>
      <c r="P768" s="37"/>
      <c r="Q768" s="66"/>
      <c r="R768" s="66"/>
      <c r="S768" s="37"/>
    </row>
    <row r="769" spans="1:19">
      <c r="A769" s="24"/>
      <c r="B769" s="25" t="s">
        <v>186</v>
      </c>
      <c r="C769" s="26" t="s">
        <v>8</v>
      </c>
      <c r="D769" s="351">
        <v>8</v>
      </c>
      <c r="E769" s="59"/>
      <c r="F769" s="351">
        <v>8</v>
      </c>
      <c r="G769" s="37"/>
      <c r="H769" s="37"/>
      <c r="I769" s="37"/>
      <c r="J769" s="37"/>
      <c r="K769" s="37"/>
      <c r="L769" s="37"/>
      <c r="M769" s="37"/>
      <c r="N769" s="37"/>
      <c r="O769" s="37"/>
      <c r="P769" s="37"/>
      <c r="Q769" s="66"/>
      <c r="R769" s="66"/>
      <c r="S769" s="37"/>
    </row>
    <row r="770" spans="1:19">
      <c r="A770" s="24"/>
      <c r="B770" s="25" t="s">
        <v>187</v>
      </c>
      <c r="C770" s="26" t="s">
        <v>78</v>
      </c>
      <c r="D770" s="351">
        <v>1</v>
      </c>
      <c r="E770" s="60"/>
      <c r="F770" s="351">
        <v>1</v>
      </c>
      <c r="G770" s="38"/>
      <c r="H770" s="38"/>
      <c r="I770" s="38"/>
      <c r="J770" s="38"/>
      <c r="K770" s="38"/>
      <c r="L770" s="38"/>
      <c r="M770" s="38"/>
      <c r="N770" s="38"/>
      <c r="O770" s="38"/>
      <c r="P770" s="38"/>
      <c r="Q770" s="65"/>
      <c r="R770" s="65"/>
      <c r="S770" s="38"/>
    </row>
    <row r="771" spans="1:19">
      <c r="A771" s="24"/>
      <c r="B771" s="25" t="s">
        <v>263</v>
      </c>
      <c r="C771" s="26" t="s">
        <v>8</v>
      </c>
      <c r="D771" s="351">
        <v>2</v>
      </c>
      <c r="E771" s="57"/>
      <c r="F771" s="351">
        <v>2</v>
      </c>
      <c r="G771" s="36"/>
      <c r="H771" s="36"/>
      <c r="I771" s="36"/>
      <c r="J771" s="36"/>
      <c r="K771" s="36"/>
      <c r="L771" s="36"/>
      <c r="M771" s="36"/>
      <c r="N771" s="36"/>
      <c r="O771" s="36"/>
      <c r="P771" s="36"/>
      <c r="Q771" s="65"/>
      <c r="R771" s="65"/>
      <c r="S771" s="36"/>
    </row>
    <row r="772" spans="1:19">
      <c r="A772" s="24"/>
      <c r="B772" s="25" t="s">
        <v>173</v>
      </c>
      <c r="C772" s="26" t="s">
        <v>8</v>
      </c>
      <c r="D772" s="351">
        <v>1</v>
      </c>
      <c r="E772" s="53"/>
      <c r="F772" s="351">
        <v>1</v>
      </c>
      <c r="G772" s="15"/>
      <c r="H772" s="15"/>
      <c r="I772" s="15"/>
      <c r="J772" s="15"/>
      <c r="K772" s="15"/>
      <c r="L772" s="15"/>
      <c r="M772" s="15"/>
      <c r="N772" s="15"/>
      <c r="O772" s="15"/>
      <c r="P772" s="15"/>
      <c r="Q772" s="66"/>
      <c r="R772" s="66"/>
      <c r="S772" s="15"/>
    </row>
    <row r="773" spans="1:19">
      <c r="A773" s="24"/>
      <c r="B773" s="25" t="s">
        <v>216</v>
      </c>
      <c r="C773" s="26" t="s">
        <v>17</v>
      </c>
      <c r="D773" s="351">
        <v>1</v>
      </c>
      <c r="E773" s="58"/>
      <c r="F773" s="351">
        <v>1</v>
      </c>
      <c r="G773" s="18"/>
      <c r="H773" s="18"/>
      <c r="I773" s="18"/>
      <c r="J773" s="18"/>
      <c r="K773" s="18"/>
      <c r="L773" s="18"/>
      <c r="M773" s="18"/>
      <c r="N773" s="18"/>
      <c r="O773" s="18"/>
      <c r="P773" s="18"/>
      <c r="Q773" s="65"/>
      <c r="R773" s="65"/>
      <c r="S773" s="18"/>
    </row>
    <row r="774" spans="1:19">
      <c r="A774" s="24"/>
      <c r="B774" s="25" t="s">
        <v>217</v>
      </c>
      <c r="C774" s="26" t="s">
        <v>17</v>
      </c>
      <c r="D774" s="351">
        <v>1</v>
      </c>
      <c r="E774" s="53"/>
      <c r="F774" s="351">
        <v>1</v>
      </c>
      <c r="G774" s="15"/>
      <c r="H774" s="15"/>
      <c r="I774" s="15"/>
      <c r="J774" s="15"/>
      <c r="K774" s="15"/>
      <c r="L774" s="15"/>
      <c r="M774" s="15"/>
      <c r="N774" s="15"/>
      <c r="O774" s="15"/>
      <c r="P774" s="15"/>
      <c r="Q774" s="66"/>
      <c r="R774" s="66"/>
      <c r="S774" s="15"/>
    </row>
    <row r="775" spans="1:19" ht="30">
      <c r="A775" s="24"/>
      <c r="B775" s="25" t="s">
        <v>176</v>
      </c>
      <c r="C775" s="26" t="s">
        <v>78</v>
      </c>
      <c r="D775" s="351">
        <v>1</v>
      </c>
      <c r="E775" s="53"/>
      <c r="F775" s="351">
        <v>1</v>
      </c>
      <c r="G775" s="15"/>
      <c r="H775" s="15"/>
      <c r="I775" s="15"/>
      <c r="J775" s="15"/>
      <c r="K775" s="15"/>
      <c r="L775" s="15"/>
      <c r="M775" s="15"/>
      <c r="N775" s="15"/>
      <c r="O775" s="15"/>
      <c r="P775" s="15"/>
      <c r="Q775" s="66"/>
      <c r="R775" s="66"/>
      <c r="S775" s="15"/>
    </row>
    <row r="776" spans="1:19" ht="60">
      <c r="A776" s="24">
        <v>17</v>
      </c>
      <c r="B776" s="25" t="s">
        <v>276</v>
      </c>
      <c r="C776" s="26" t="s">
        <v>7</v>
      </c>
      <c r="D776" s="351">
        <v>2</v>
      </c>
      <c r="E776" s="53"/>
      <c r="F776" s="351">
        <v>2</v>
      </c>
      <c r="G776" s="26" t="s">
        <v>2326</v>
      </c>
      <c r="H776" s="26"/>
      <c r="I776" s="26" t="s">
        <v>2327</v>
      </c>
      <c r="J776" s="26" t="s">
        <v>2328</v>
      </c>
      <c r="K776" s="311">
        <v>16135876.349999998</v>
      </c>
      <c r="L776" s="311">
        <v>0</v>
      </c>
      <c r="M776" s="311">
        <v>1318333.3333333335</v>
      </c>
      <c r="N776" s="311">
        <v>1746553.166666667</v>
      </c>
      <c r="O776" s="311">
        <v>1222587.2166666668</v>
      </c>
      <c r="P776" s="68">
        <f>SUM(K776:O776)</f>
        <v>20423350.066666663</v>
      </c>
      <c r="Q776" s="68">
        <f>D776*P776</f>
        <v>40846700.133333325</v>
      </c>
      <c r="R776" s="127">
        <f>F776*P776</f>
        <v>40846700.133333325</v>
      </c>
      <c r="S776" s="15"/>
    </row>
    <row r="777" spans="1:19" ht="30">
      <c r="A777" s="24"/>
      <c r="B777" s="25" t="s">
        <v>192</v>
      </c>
      <c r="C777" s="26" t="s">
        <v>8</v>
      </c>
      <c r="D777" s="351">
        <v>1</v>
      </c>
      <c r="E777" s="53"/>
      <c r="F777" s="351">
        <v>1</v>
      </c>
      <c r="G777" s="15"/>
      <c r="H777" s="15"/>
      <c r="I777" s="15"/>
      <c r="J777" s="15"/>
      <c r="K777" s="15"/>
      <c r="L777" s="15"/>
      <c r="M777" s="15"/>
      <c r="N777" s="15"/>
      <c r="O777" s="15"/>
      <c r="P777" s="15"/>
      <c r="Q777" s="66"/>
      <c r="R777" s="66"/>
      <c r="S777" s="15"/>
    </row>
    <row r="778" spans="1:19">
      <c r="A778" s="24"/>
      <c r="B778" s="25" t="s">
        <v>161</v>
      </c>
      <c r="C778" s="26"/>
      <c r="D778" s="351"/>
      <c r="E778" s="59"/>
      <c r="F778" s="351"/>
      <c r="G778" s="37"/>
      <c r="H778" s="37"/>
      <c r="I778" s="37"/>
      <c r="J778" s="37"/>
      <c r="K778" s="37"/>
      <c r="L778" s="37"/>
      <c r="M778" s="37"/>
      <c r="N778" s="37"/>
      <c r="O778" s="37"/>
      <c r="P778" s="37"/>
      <c r="Q778" s="66"/>
      <c r="R778" s="66"/>
      <c r="S778" s="37"/>
    </row>
    <row r="779" spans="1:19">
      <c r="A779" s="24"/>
      <c r="B779" s="25" t="s">
        <v>201</v>
      </c>
      <c r="C779" s="26" t="s">
        <v>8</v>
      </c>
      <c r="D779" s="351">
        <v>1</v>
      </c>
      <c r="E779" s="59"/>
      <c r="F779" s="351">
        <v>1</v>
      </c>
      <c r="G779" s="37"/>
      <c r="H779" s="37"/>
      <c r="I779" s="37"/>
      <c r="J779" s="37"/>
      <c r="K779" s="37"/>
      <c r="L779" s="37"/>
      <c r="M779" s="37"/>
      <c r="N779" s="37"/>
      <c r="O779" s="37"/>
      <c r="P779" s="37"/>
      <c r="Q779" s="66"/>
      <c r="R779" s="66"/>
      <c r="S779" s="37"/>
    </row>
    <row r="780" spans="1:19">
      <c r="A780" s="24"/>
      <c r="B780" s="25" t="s">
        <v>202</v>
      </c>
      <c r="C780" s="26" t="s">
        <v>20</v>
      </c>
      <c r="D780" s="351">
        <v>3</v>
      </c>
      <c r="E780" s="59"/>
      <c r="F780" s="351">
        <v>3</v>
      </c>
      <c r="G780" s="37"/>
      <c r="H780" s="37"/>
      <c r="I780" s="37"/>
      <c r="J780" s="37"/>
      <c r="K780" s="37"/>
      <c r="L780" s="37"/>
      <c r="M780" s="37"/>
      <c r="N780" s="37"/>
      <c r="O780" s="37"/>
      <c r="P780" s="37"/>
      <c r="Q780" s="66"/>
      <c r="R780" s="66"/>
      <c r="S780" s="37"/>
    </row>
    <row r="781" spans="1:19">
      <c r="A781" s="24"/>
      <c r="B781" s="25" t="s">
        <v>21</v>
      </c>
      <c r="C781" s="26" t="s">
        <v>8</v>
      </c>
      <c r="D781" s="351">
        <v>1</v>
      </c>
      <c r="E781" s="59"/>
      <c r="F781" s="351">
        <v>1</v>
      </c>
      <c r="G781" s="37"/>
      <c r="H781" s="37"/>
      <c r="I781" s="37"/>
      <c r="J781" s="37"/>
      <c r="K781" s="37"/>
      <c r="L781" s="37"/>
      <c r="M781" s="37"/>
      <c r="N781" s="37"/>
      <c r="O781" s="37"/>
      <c r="P781" s="37"/>
      <c r="Q781" s="66"/>
      <c r="R781" s="66"/>
      <c r="S781" s="37"/>
    </row>
    <row r="782" spans="1:19">
      <c r="A782" s="24"/>
      <c r="B782" s="25" t="s">
        <v>22</v>
      </c>
      <c r="C782" s="26" t="s">
        <v>8</v>
      </c>
      <c r="D782" s="351">
        <v>1</v>
      </c>
      <c r="E782" s="59"/>
      <c r="F782" s="351">
        <v>1</v>
      </c>
      <c r="G782" s="37"/>
      <c r="H782" s="37"/>
      <c r="I782" s="37"/>
      <c r="J782" s="37"/>
      <c r="K782" s="37"/>
      <c r="L782" s="37"/>
      <c r="M782" s="37"/>
      <c r="N782" s="37"/>
      <c r="O782" s="37"/>
      <c r="P782" s="37"/>
      <c r="Q782" s="66"/>
      <c r="R782" s="66"/>
      <c r="S782" s="37"/>
    </row>
    <row r="783" spans="1:19">
      <c r="A783" s="24"/>
      <c r="B783" s="25" t="s">
        <v>203</v>
      </c>
      <c r="C783" s="26" t="s">
        <v>8</v>
      </c>
      <c r="D783" s="351">
        <v>3</v>
      </c>
      <c r="E783" s="57"/>
      <c r="F783" s="351">
        <v>3</v>
      </c>
      <c r="G783" s="36"/>
      <c r="H783" s="36"/>
      <c r="I783" s="36"/>
      <c r="J783" s="36"/>
      <c r="K783" s="36"/>
      <c r="L783" s="36"/>
      <c r="M783" s="36"/>
      <c r="N783" s="36"/>
      <c r="O783" s="36"/>
      <c r="P783" s="36"/>
      <c r="Q783" s="65"/>
      <c r="R783" s="65"/>
      <c r="S783" s="36"/>
    </row>
    <row r="784" spans="1:19">
      <c r="A784" s="24"/>
      <c r="B784" s="25" t="s">
        <v>24</v>
      </c>
      <c r="C784" s="26" t="s">
        <v>8</v>
      </c>
      <c r="D784" s="351">
        <v>3</v>
      </c>
      <c r="E784" s="59"/>
      <c r="F784" s="351">
        <v>3</v>
      </c>
      <c r="G784" s="37"/>
      <c r="H784" s="37"/>
      <c r="I784" s="37"/>
      <c r="J784" s="37"/>
      <c r="K784" s="37"/>
      <c r="L784" s="37"/>
      <c r="M784" s="37"/>
      <c r="N784" s="37"/>
      <c r="O784" s="37"/>
      <c r="P784" s="37"/>
      <c r="Q784" s="66"/>
      <c r="R784" s="66"/>
      <c r="S784" s="37"/>
    </row>
    <row r="785" spans="1:19">
      <c r="A785" s="24"/>
      <c r="B785" s="25" t="s">
        <v>163</v>
      </c>
      <c r="C785" s="26" t="s">
        <v>8</v>
      </c>
      <c r="D785" s="351">
        <v>3</v>
      </c>
      <c r="E785" s="59"/>
      <c r="F785" s="351">
        <v>3</v>
      </c>
      <c r="G785" s="37"/>
      <c r="H785" s="37"/>
      <c r="I785" s="37"/>
      <c r="J785" s="37"/>
      <c r="K785" s="37"/>
      <c r="L785" s="37"/>
      <c r="M785" s="37"/>
      <c r="N785" s="37"/>
      <c r="O785" s="37"/>
      <c r="P785" s="37"/>
      <c r="Q785" s="66"/>
      <c r="R785" s="66"/>
      <c r="S785" s="37"/>
    </row>
    <row r="786" spans="1:19">
      <c r="A786" s="24"/>
      <c r="B786" s="25" t="s">
        <v>164</v>
      </c>
      <c r="C786" s="26"/>
      <c r="D786" s="351"/>
      <c r="E786" s="59"/>
      <c r="F786" s="351"/>
      <c r="G786" s="37"/>
      <c r="H786" s="37"/>
      <c r="I786" s="37"/>
      <c r="J786" s="37"/>
      <c r="K786" s="37"/>
      <c r="L786" s="37"/>
      <c r="M786" s="37"/>
      <c r="N786" s="37"/>
      <c r="O786" s="37"/>
      <c r="P786" s="37"/>
      <c r="Q786" s="66"/>
      <c r="R786" s="66"/>
      <c r="S786" s="37"/>
    </row>
    <row r="787" spans="1:19">
      <c r="A787" s="24"/>
      <c r="B787" s="25" t="s">
        <v>260</v>
      </c>
      <c r="C787" s="26" t="s">
        <v>8</v>
      </c>
      <c r="D787" s="351">
        <v>2</v>
      </c>
      <c r="E787" s="59"/>
      <c r="F787" s="351">
        <v>2</v>
      </c>
      <c r="G787" s="37"/>
      <c r="H787" s="37"/>
      <c r="I787" s="37"/>
      <c r="J787" s="37"/>
      <c r="K787" s="37"/>
      <c r="L787" s="37"/>
      <c r="M787" s="37"/>
      <c r="N787" s="37"/>
      <c r="O787" s="37"/>
      <c r="P787" s="37"/>
      <c r="Q787" s="66"/>
      <c r="R787" s="66"/>
      <c r="S787" s="37"/>
    </row>
    <row r="788" spans="1:19">
      <c r="A788" s="24"/>
      <c r="B788" s="25" t="s">
        <v>168</v>
      </c>
      <c r="C788" s="26" t="s">
        <v>8</v>
      </c>
      <c r="D788" s="351">
        <v>1</v>
      </c>
      <c r="E788" s="59"/>
      <c r="F788" s="351">
        <v>1</v>
      </c>
      <c r="G788" s="37"/>
      <c r="H788" s="37"/>
      <c r="I788" s="37"/>
      <c r="J788" s="37"/>
      <c r="K788" s="37"/>
      <c r="L788" s="37"/>
      <c r="M788" s="37"/>
      <c r="N788" s="37"/>
      <c r="O788" s="37"/>
      <c r="P788" s="37"/>
      <c r="Q788" s="66"/>
      <c r="R788" s="66"/>
      <c r="S788" s="37"/>
    </row>
    <row r="789" spans="1:19">
      <c r="A789" s="24"/>
      <c r="B789" s="25" t="s">
        <v>261</v>
      </c>
      <c r="C789" s="26" t="s">
        <v>17</v>
      </c>
      <c r="D789" s="351">
        <v>2</v>
      </c>
      <c r="E789" s="59"/>
      <c r="F789" s="351">
        <v>2</v>
      </c>
      <c r="G789" s="37"/>
      <c r="H789" s="37"/>
      <c r="I789" s="37"/>
      <c r="J789" s="37"/>
      <c r="K789" s="37"/>
      <c r="L789" s="37"/>
      <c r="M789" s="37"/>
      <c r="N789" s="37"/>
      <c r="O789" s="37"/>
      <c r="P789" s="37"/>
      <c r="Q789" s="66"/>
      <c r="R789" s="66"/>
      <c r="S789" s="37"/>
    </row>
    <row r="790" spans="1:19">
      <c r="A790" s="24"/>
      <c r="B790" s="25" t="s">
        <v>182</v>
      </c>
      <c r="C790" s="26" t="s">
        <v>8</v>
      </c>
      <c r="D790" s="351">
        <v>2</v>
      </c>
      <c r="E790" s="57"/>
      <c r="F790" s="351">
        <v>2</v>
      </c>
      <c r="G790" s="36"/>
      <c r="H790" s="36"/>
      <c r="I790" s="36"/>
      <c r="J790" s="36"/>
      <c r="K790" s="36"/>
      <c r="L790" s="36"/>
      <c r="M790" s="36"/>
      <c r="N790" s="36"/>
      <c r="O790" s="36"/>
      <c r="P790" s="36"/>
      <c r="Q790" s="65"/>
      <c r="R790" s="65"/>
      <c r="S790" s="36"/>
    </row>
    <row r="791" spans="1:19">
      <c r="A791" s="24"/>
      <c r="B791" s="25" t="s">
        <v>183</v>
      </c>
      <c r="C791" s="26" t="s">
        <v>8</v>
      </c>
      <c r="D791" s="351">
        <v>2</v>
      </c>
      <c r="E791" s="59"/>
      <c r="F791" s="351">
        <v>2</v>
      </c>
      <c r="G791" s="37"/>
      <c r="H791" s="37"/>
      <c r="I791" s="37"/>
      <c r="J791" s="37"/>
      <c r="K791" s="37"/>
      <c r="L791" s="37"/>
      <c r="M791" s="37"/>
      <c r="N791" s="37"/>
      <c r="O791" s="37"/>
      <c r="P791" s="37"/>
      <c r="Q791" s="66"/>
      <c r="R791" s="66"/>
      <c r="S791" s="37"/>
    </row>
    <row r="792" spans="1:19">
      <c r="A792" s="24"/>
      <c r="B792" s="25" t="s">
        <v>262</v>
      </c>
      <c r="C792" s="26" t="s">
        <v>8</v>
      </c>
      <c r="D792" s="351">
        <v>2</v>
      </c>
      <c r="E792" s="59"/>
      <c r="F792" s="351">
        <v>2</v>
      </c>
      <c r="G792" s="37"/>
      <c r="H792" s="37"/>
      <c r="I792" s="37"/>
      <c r="J792" s="37"/>
      <c r="K792" s="37"/>
      <c r="L792" s="37"/>
      <c r="M792" s="37"/>
      <c r="N792" s="37"/>
      <c r="O792" s="37"/>
      <c r="P792" s="37"/>
      <c r="Q792" s="66"/>
      <c r="R792" s="66"/>
      <c r="S792" s="37"/>
    </row>
    <row r="793" spans="1:19">
      <c r="A793" s="24"/>
      <c r="B793" s="25" t="s">
        <v>185</v>
      </c>
      <c r="C793" s="26" t="s">
        <v>8</v>
      </c>
      <c r="D793" s="351">
        <v>2</v>
      </c>
      <c r="E793" s="59"/>
      <c r="F793" s="351">
        <v>2</v>
      </c>
      <c r="G793" s="37"/>
      <c r="H793" s="37"/>
      <c r="I793" s="37"/>
      <c r="J793" s="37"/>
      <c r="K793" s="37"/>
      <c r="L793" s="37"/>
      <c r="M793" s="37"/>
      <c r="N793" s="37"/>
      <c r="O793" s="37"/>
      <c r="P793" s="37"/>
      <c r="Q793" s="66"/>
      <c r="R793" s="66"/>
      <c r="S793" s="37"/>
    </row>
    <row r="794" spans="1:19">
      <c r="A794" s="24"/>
      <c r="B794" s="25" t="s">
        <v>186</v>
      </c>
      <c r="C794" s="26" t="s">
        <v>8</v>
      </c>
      <c r="D794" s="351">
        <v>4</v>
      </c>
      <c r="E794" s="59"/>
      <c r="F794" s="351">
        <v>4</v>
      </c>
      <c r="G794" s="37"/>
      <c r="H794" s="37"/>
      <c r="I794" s="37"/>
      <c r="J794" s="37"/>
      <c r="K794" s="37"/>
      <c r="L794" s="37"/>
      <c r="M794" s="37"/>
      <c r="N794" s="37"/>
      <c r="O794" s="37"/>
      <c r="P794" s="37"/>
      <c r="Q794" s="66"/>
      <c r="R794" s="66"/>
      <c r="S794" s="37"/>
    </row>
    <row r="795" spans="1:19">
      <c r="A795" s="24"/>
      <c r="B795" s="25" t="s">
        <v>187</v>
      </c>
      <c r="C795" s="26" t="s">
        <v>78</v>
      </c>
      <c r="D795" s="351">
        <v>1</v>
      </c>
      <c r="E795" s="60"/>
      <c r="F795" s="351">
        <v>1</v>
      </c>
      <c r="G795" s="38"/>
      <c r="H795" s="38"/>
      <c r="I795" s="38"/>
      <c r="J795" s="38"/>
      <c r="K795" s="38"/>
      <c r="L795" s="38"/>
      <c r="M795" s="38"/>
      <c r="N795" s="38"/>
      <c r="O795" s="38"/>
      <c r="P795" s="38"/>
      <c r="Q795" s="65"/>
      <c r="R795" s="65"/>
      <c r="S795" s="38"/>
    </row>
    <row r="796" spans="1:19">
      <c r="A796" s="24"/>
      <c r="B796" s="25" t="s">
        <v>263</v>
      </c>
      <c r="C796" s="26" t="s">
        <v>8</v>
      </c>
      <c r="D796" s="351">
        <v>1</v>
      </c>
      <c r="E796" s="57"/>
      <c r="F796" s="351">
        <v>1</v>
      </c>
      <c r="G796" s="36"/>
      <c r="H796" s="36"/>
      <c r="I796" s="36"/>
      <c r="J796" s="36"/>
      <c r="K796" s="36"/>
      <c r="L796" s="36"/>
      <c r="M796" s="36"/>
      <c r="N796" s="36"/>
      <c r="O796" s="36"/>
      <c r="P796" s="36"/>
      <c r="Q796" s="65"/>
      <c r="R796" s="65"/>
      <c r="S796" s="36"/>
    </row>
    <row r="797" spans="1:19">
      <c r="A797" s="24"/>
      <c r="B797" s="25" t="s">
        <v>173</v>
      </c>
      <c r="C797" s="26" t="s">
        <v>8</v>
      </c>
      <c r="D797" s="351">
        <v>1</v>
      </c>
      <c r="E797" s="53"/>
      <c r="F797" s="351">
        <v>1</v>
      </c>
      <c r="G797" s="15"/>
      <c r="H797" s="15"/>
      <c r="I797" s="15"/>
      <c r="J797" s="15"/>
      <c r="K797" s="15"/>
      <c r="L797" s="15"/>
      <c r="M797" s="15"/>
      <c r="N797" s="15"/>
      <c r="O797" s="15"/>
      <c r="P797" s="15"/>
      <c r="Q797" s="66"/>
      <c r="R797" s="66"/>
      <c r="S797" s="15"/>
    </row>
    <row r="798" spans="1:19">
      <c r="A798" s="24"/>
      <c r="B798" s="25" t="s">
        <v>277</v>
      </c>
      <c r="C798" s="26" t="s">
        <v>17</v>
      </c>
      <c r="D798" s="351">
        <v>1</v>
      </c>
      <c r="E798" s="58"/>
      <c r="F798" s="351">
        <v>1</v>
      </c>
      <c r="G798" s="18"/>
      <c r="H798" s="18"/>
      <c r="I798" s="18"/>
      <c r="J798" s="18"/>
      <c r="K798" s="18"/>
      <c r="L798" s="18"/>
      <c r="M798" s="18"/>
      <c r="N798" s="18"/>
      <c r="O798" s="18"/>
      <c r="P798" s="18"/>
      <c r="Q798" s="65"/>
      <c r="R798" s="65"/>
      <c r="S798" s="18"/>
    </row>
    <row r="799" spans="1:19" ht="30">
      <c r="A799" s="24"/>
      <c r="B799" s="25" t="s">
        <v>176</v>
      </c>
      <c r="C799" s="26" t="s">
        <v>78</v>
      </c>
      <c r="D799" s="351">
        <v>1</v>
      </c>
      <c r="E799" s="53"/>
      <c r="F799" s="351">
        <v>1</v>
      </c>
      <c r="G799" s="15"/>
      <c r="H799" s="15"/>
      <c r="I799" s="15"/>
      <c r="J799" s="15"/>
      <c r="K799" s="15"/>
      <c r="L799" s="15"/>
      <c r="M799" s="15"/>
      <c r="N799" s="15"/>
      <c r="O799" s="15"/>
      <c r="P799" s="15"/>
      <c r="Q799" s="66"/>
      <c r="R799" s="66"/>
      <c r="S799" s="15"/>
    </row>
    <row r="800" spans="1:19" ht="60">
      <c r="A800" s="24">
        <v>18</v>
      </c>
      <c r="B800" s="25" t="s">
        <v>278</v>
      </c>
      <c r="C800" s="26" t="s">
        <v>7</v>
      </c>
      <c r="D800" s="351">
        <v>1</v>
      </c>
      <c r="E800" s="53"/>
      <c r="F800" s="351">
        <v>1</v>
      </c>
      <c r="G800" s="26" t="s">
        <v>2326</v>
      </c>
      <c r="H800" s="26"/>
      <c r="I800" s="26" t="s">
        <v>2327</v>
      </c>
      <c r="J800" s="26" t="s">
        <v>2328</v>
      </c>
      <c r="K800" s="311">
        <v>7367705.7299999995</v>
      </c>
      <c r="L800" s="311">
        <v>0</v>
      </c>
      <c r="M800" s="311">
        <v>678000.00000000012</v>
      </c>
      <c r="N800" s="311">
        <v>804212.70000000007</v>
      </c>
      <c r="O800" s="311">
        <v>562948.89</v>
      </c>
      <c r="P800" s="68">
        <f>SUM(K800:O800)</f>
        <v>9412867.3200000003</v>
      </c>
      <c r="Q800" s="68">
        <f>D800*P800</f>
        <v>9412867.3200000003</v>
      </c>
      <c r="R800" s="127">
        <f>F800*P800</f>
        <v>9412867.3200000003</v>
      </c>
      <c r="S800" s="15"/>
    </row>
    <row r="801" spans="1:19" ht="30">
      <c r="A801" s="24"/>
      <c r="B801" s="25" t="s">
        <v>229</v>
      </c>
      <c r="C801" s="26" t="s">
        <v>8</v>
      </c>
      <c r="D801" s="351">
        <v>1</v>
      </c>
      <c r="E801" s="53"/>
      <c r="F801" s="351">
        <v>1</v>
      </c>
      <c r="G801" s="15"/>
      <c r="H801" s="15"/>
      <c r="I801" s="15"/>
      <c r="J801" s="15"/>
      <c r="K801" s="15"/>
      <c r="L801" s="15"/>
      <c r="M801" s="15"/>
      <c r="N801" s="15"/>
      <c r="O801" s="15"/>
      <c r="P801" s="15"/>
      <c r="Q801" s="66"/>
      <c r="R801" s="66"/>
      <c r="S801" s="15"/>
    </row>
    <row r="802" spans="1:19">
      <c r="A802" s="24"/>
      <c r="B802" s="25" t="s">
        <v>161</v>
      </c>
      <c r="C802" s="26"/>
      <c r="D802" s="351"/>
      <c r="E802" s="53"/>
      <c r="F802" s="351"/>
      <c r="G802" s="15"/>
      <c r="H802" s="15"/>
      <c r="I802" s="15"/>
      <c r="J802" s="15"/>
      <c r="K802" s="15"/>
      <c r="L802" s="15"/>
      <c r="M802" s="15"/>
      <c r="N802" s="15"/>
      <c r="O802" s="15"/>
      <c r="P802" s="15"/>
      <c r="Q802" s="66"/>
      <c r="R802" s="66"/>
      <c r="S802" s="15"/>
    </row>
    <row r="803" spans="1:19">
      <c r="A803" s="24"/>
      <c r="B803" s="25" t="s">
        <v>178</v>
      </c>
      <c r="C803" s="26" t="s">
        <v>8</v>
      </c>
      <c r="D803" s="351">
        <v>1</v>
      </c>
      <c r="E803" s="53"/>
      <c r="F803" s="351">
        <v>1</v>
      </c>
      <c r="G803" s="15"/>
      <c r="H803" s="15"/>
      <c r="I803" s="15"/>
      <c r="J803" s="15"/>
      <c r="K803" s="15"/>
      <c r="L803" s="15"/>
      <c r="M803" s="15"/>
      <c r="N803" s="15"/>
      <c r="O803" s="15"/>
      <c r="P803" s="15"/>
      <c r="Q803" s="66"/>
      <c r="R803" s="66"/>
      <c r="S803" s="15"/>
    </row>
    <row r="804" spans="1:19">
      <c r="A804" s="24"/>
      <c r="B804" s="25" t="s">
        <v>24</v>
      </c>
      <c r="C804" s="26" t="s">
        <v>8</v>
      </c>
      <c r="D804" s="351">
        <v>3</v>
      </c>
      <c r="E804" s="59"/>
      <c r="F804" s="351">
        <v>3</v>
      </c>
      <c r="G804" s="37"/>
      <c r="H804" s="37"/>
      <c r="I804" s="37"/>
      <c r="J804" s="37"/>
      <c r="K804" s="37"/>
      <c r="L804" s="37"/>
      <c r="M804" s="37"/>
      <c r="N804" s="37"/>
      <c r="O804" s="37"/>
      <c r="P804" s="37"/>
      <c r="Q804" s="66"/>
      <c r="R804" s="66"/>
      <c r="S804" s="37"/>
    </row>
    <row r="805" spans="1:19">
      <c r="A805" s="24"/>
      <c r="B805" s="25" t="s">
        <v>163</v>
      </c>
      <c r="C805" s="26" t="s">
        <v>8</v>
      </c>
      <c r="D805" s="351">
        <v>3</v>
      </c>
      <c r="E805" s="59"/>
      <c r="F805" s="351">
        <v>3</v>
      </c>
      <c r="G805" s="37"/>
      <c r="H805" s="37"/>
      <c r="I805" s="37"/>
      <c r="J805" s="37"/>
      <c r="K805" s="37"/>
      <c r="L805" s="37"/>
      <c r="M805" s="37"/>
      <c r="N805" s="37"/>
      <c r="O805" s="37"/>
      <c r="P805" s="37"/>
      <c r="Q805" s="66"/>
      <c r="R805" s="66"/>
      <c r="S805" s="37"/>
    </row>
    <row r="806" spans="1:19">
      <c r="A806" s="24"/>
      <c r="B806" s="25" t="s">
        <v>164</v>
      </c>
      <c r="C806" s="26"/>
      <c r="D806" s="351"/>
      <c r="E806" s="59"/>
      <c r="F806" s="351"/>
      <c r="G806" s="37"/>
      <c r="H806" s="37"/>
      <c r="I806" s="37"/>
      <c r="J806" s="37"/>
      <c r="K806" s="37"/>
      <c r="L806" s="37"/>
      <c r="M806" s="37"/>
      <c r="N806" s="37"/>
      <c r="O806" s="37"/>
      <c r="P806" s="37"/>
      <c r="Q806" s="66"/>
      <c r="R806" s="66"/>
      <c r="S806" s="37"/>
    </row>
    <row r="807" spans="1:19">
      <c r="A807" s="24"/>
      <c r="B807" s="25" t="s">
        <v>223</v>
      </c>
      <c r="C807" s="26" t="s">
        <v>8</v>
      </c>
      <c r="D807" s="351">
        <v>1</v>
      </c>
      <c r="E807" s="59"/>
      <c r="F807" s="351">
        <v>1</v>
      </c>
      <c r="G807" s="37"/>
      <c r="H807" s="37"/>
      <c r="I807" s="37"/>
      <c r="J807" s="37"/>
      <c r="K807" s="37"/>
      <c r="L807" s="37"/>
      <c r="M807" s="37"/>
      <c r="N807" s="37"/>
      <c r="O807" s="37"/>
      <c r="P807" s="37"/>
      <c r="Q807" s="66"/>
      <c r="R807" s="66"/>
      <c r="S807" s="37"/>
    </row>
    <row r="808" spans="1:19">
      <c r="A808" s="24"/>
      <c r="B808" s="25" t="s">
        <v>233</v>
      </c>
      <c r="C808" s="26" t="s">
        <v>8</v>
      </c>
      <c r="D808" s="351">
        <v>1</v>
      </c>
      <c r="E808" s="59"/>
      <c r="F808" s="351">
        <v>1</v>
      </c>
      <c r="G808" s="37"/>
      <c r="H808" s="37"/>
      <c r="I808" s="37"/>
      <c r="J808" s="37"/>
      <c r="K808" s="37"/>
      <c r="L808" s="37"/>
      <c r="M808" s="37"/>
      <c r="N808" s="37"/>
      <c r="O808" s="37"/>
      <c r="P808" s="37"/>
      <c r="Q808" s="66"/>
      <c r="R808" s="66"/>
      <c r="S808" s="37"/>
    </row>
    <row r="809" spans="1:19">
      <c r="A809" s="24"/>
      <c r="B809" s="25" t="s">
        <v>166</v>
      </c>
      <c r="C809" s="26" t="s">
        <v>8</v>
      </c>
      <c r="D809" s="351">
        <v>2</v>
      </c>
      <c r="E809" s="59"/>
      <c r="F809" s="351">
        <v>2</v>
      </c>
      <c r="G809" s="37"/>
      <c r="H809" s="37"/>
      <c r="I809" s="37"/>
      <c r="J809" s="37"/>
      <c r="K809" s="37"/>
      <c r="L809" s="37"/>
      <c r="M809" s="37"/>
      <c r="N809" s="37"/>
      <c r="O809" s="37"/>
      <c r="P809" s="37"/>
      <c r="Q809" s="66"/>
      <c r="R809" s="66"/>
      <c r="S809" s="37"/>
    </row>
    <row r="810" spans="1:19">
      <c r="A810" s="24"/>
      <c r="B810" s="25" t="s">
        <v>167</v>
      </c>
      <c r="C810" s="26" t="s">
        <v>8</v>
      </c>
      <c r="D810" s="351">
        <v>1</v>
      </c>
      <c r="E810" s="59"/>
      <c r="F810" s="351">
        <v>1</v>
      </c>
      <c r="G810" s="37"/>
      <c r="H810" s="37"/>
      <c r="I810" s="37"/>
      <c r="J810" s="37"/>
      <c r="K810" s="37"/>
      <c r="L810" s="37"/>
      <c r="M810" s="37"/>
      <c r="N810" s="37"/>
      <c r="O810" s="37"/>
      <c r="P810" s="37"/>
      <c r="Q810" s="66"/>
      <c r="R810" s="66"/>
      <c r="S810" s="37"/>
    </row>
    <row r="811" spans="1:19">
      <c r="A811" s="24"/>
      <c r="B811" s="25" t="s">
        <v>199</v>
      </c>
      <c r="C811" s="26" t="s">
        <v>17</v>
      </c>
      <c r="D811" s="351">
        <v>1</v>
      </c>
      <c r="E811" s="59"/>
      <c r="F811" s="351">
        <v>1</v>
      </c>
      <c r="G811" s="37"/>
      <c r="H811" s="37"/>
      <c r="I811" s="37"/>
      <c r="J811" s="37"/>
      <c r="K811" s="37"/>
      <c r="L811" s="37"/>
      <c r="M811" s="37"/>
      <c r="N811" s="37"/>
      <c r="O811" s="37"/>
      <c r="P811" s="37"/>
      <c r="Q811" s="66"/>
      <c r="R811" s="66"/>
      <c r="S811" s="37"/>
    </row>
    <row r="812" spans="1:19" ht="30">
      <c r="A812" s="24"/>
      <c r="B812" s="25" t="s">
        <v>176</v>
      </c>
      <c r="C812" s="26" t="s">
        <v>78</v>
      </c>
      <c r="D812" s="351">
        <v>1</v>
      </c>
      <c r="E812" s="59"/>
      <c r="F812" s="351">
        <v>1</v>
      </c>
      <c r="G812" s="37"/>
      <c r="H812" s="37"/>
      <c r="I812" s="37"/>
      <c r="J812" s="37"/>
      <c r="K812" s="37"/>
      <c r="L812" s="37"/>
      <c r="M812" s="37"/>
      <c r="N812" s="37"/>
      <c r="O812" s="37"/>
      <c r="P812" s="37"/>
      <c r="Q812" s="66"/>
      <c r="R812" s="66"/>
      <c r="S812" s="37"/>
    </row>
    <row r="813" spans="1:19" ht="60">
      <c r="A813" s="24">
        <v>19</v>
      </c>
      <c r="B813" s="25" t="s">
        <v>279</v>
      </c>
      <c r="C813" s="26" t="s">
        <v>7</v>
      </c>
      <c r="D813" s="351">
        <v>1</v>
      </c>
      <c r="E813" s="59"/>
      <c r="F813" s="351">
        <v>1</v>
      </c>
      <c r="G813" s="26" t="s">
        <v>2326</v>
      </c>
      <c r="H813" s="26"/>
      <c r="I813" s="26" t="s">
        <v>2327</v>
      </c>
      <c r="J813" s="26" t="s">
        <v>2328</v>
      </c>
      <c r="K813" s="311">
        <v>2746436.2199999997</v>
      </c>
      <c r="L813" s="311">
        <v>0</v>
      </c>
      <c r="M813" s="311">
        <v>678000.00000000012</v>
      </c>
      <c r="N813" s="311">
        <v>337417.80000000005</v>
      </c>
      <c r="O813" s="311">
        <v>236192.46000000002</v>
      </c>
      <c r="P813" s="68">
        <f>SUM(K813:O813)</f>
        <v>3998046.4799999995</v>
      </c>
      <c r="Q813" s="68">
        <f>D813*P813</f>
        <v>3998046.4799999995</v>
      </c>
      <c r="R813" s="127">
        <f>F813*P813</f>
        <v>3998046.4799999995</v>
      </c>
      <c r="S813" s="37"/>
    </row>
    <row r="814" spans="1:19" ht="30">
      <c r="A814" s="24"/>
      <c r="B814" s="25" t="s">
        <v>229</v>
      </c>
      <c r="C814" s="26" t="s">
        <v>8</v>
      </c>
      <c r="D814" s="351">
        <v>1</v>
      </c>
      <c r="E814" s="59"/>
      <c r="F814" s="351">
        <v>1</v>
      </c>
      <c r="G814" s="37"/>
      <c r="H814" s="37"/>
      <c r="I814" s="37"/>
      <c r="J814" s="37"/>
      <c r="K814" s="37"/>
      <c r="L814" s="37"/>
      <c r="M814" s="37"/>
      <c r="N814" s="37"/>
      <c r="O814" s="37"/>
      <c r="P814" s="37"/>
      <c r="Q814" s="66"/>
      <c r="R814" s="66"/>
      <c r="S814" s="37"/>
    </row>
    <row r="815" spans="1:19">
      <c r="A815" s="24"/>
      <c r="B815" s="25" t="s">
        <v>161</v>
      </c>
      <c r="C815" s="26"/>
      <c r="D815" s="351"/>
      <c r="E815" s="59"/>
      <c r="F815" s="351"/>
      <c r="G815" s="37"/>
      <c r="H815" s="37"/>
      <c r="I815" s="37"/>
      <c r="J815" s="37"/>
      <c r="K815" s="37"/>
      <c r="L815" s="37"/>
      <c r="M815" s="37"/>
      <c r="N815" s="37"/>
      <c r="O815" s="37"/>
      <c r="P815" s="37"/>
      <c r="Q815" s="66"/>
      <c r="R815" s="66"/>
      <c r="S815" s="37"/>
    </row>
    <row r="816" spans="1:19">
      <c r="A816" s="24"/>
      <c r="B816" s="25" t="s">
        <v>230</v>
      </c>
      <c r="C816" s="26" t="s">
        <v>8</v>
      </c>
      <c r="D816" s="351">
        <v>1</v>
      </c>
      <c r="E816" s="59"/>
      <c r="F816" s="351">
        <v>1</v>
      </c>
      <c r="G816" s="37"/>
      <c r="H816" s="37"/>
      <c r="I816" s="37"/>
      <c r="J816" s="37"/>
      <c r="K816" s="37"/>
      <c r="L816" s="37"/>
      <c r="M816" s="37"/>
      <c r="N816" s="37"/>
      <c r="O816" s="37"/>
      <c r="P816" s="37"/>
      <c r="Q816" s="66"/>
      <c r="R816" s="66"/>
      <c r="S816" s="37"/>
    </row>
    <row r="817" spans="1:19">
      <c r="A817" s="24"/>
      <c r="B817" s="25" t="s">
        <v>164</v>
      </c>
      <c r="C817" s="26"/>
      <c r="D817" s="351"/>
      <c r="E817" s="59"/>
      <c r="F817" s="351"/>
      <c r="G817" s="37"/>
      <c r="H817" s="37"/>
      <c r="I817" s="37"/>
      <c r="J817" s="37"/>
      <c r="K817" s="37"/>
      <c r="L817" s="37"/>
      <c r="M817" s="37"/>
      <c r="N817" s="37"/>
      <c r="O817" s="37"/>
      <c r="P817" s="37"/>
      <c r="Q817" s="66"/>
      <c r="R817" s="66"/>
      <c r="S817" s="37"/>
    </row>
    <row r="818" spans="1:19">
      <c r="A818" s="24"/>
      <c r="B818" s="25" t="s">
        <v>167</v>
      </c>
      <c r="C818" s="26" t="s">
        <v>8</v>
      </c>
      <c r="D818" s="351">
        <v>7</v>
      </c>
      <c r="E818" s="59"/>
      <c r="F818" s="351">
        <v>7</v>
      </c>
      <c r="G818" s="37"/>
      <c r="H818" s="37"/>
      <c r="I818" s="37"/>
      <c r="J818" s="37"/>
      <c r="K818" s="37"/>
      <c r="L818" s="37"/>
      <c r="M818" s="37"/>
      <c r="N818" s="37"/>
      <c r="O818" s="37"/>
      <c r="P818" s="37"/>
      <c r="Q818" s="66"/>
      <c r="R818" s="66"/>
      <c r="S818" s="37"/>
    </row>
    <row r="819" spans="1:19">
      <c r="A819" s="24"/>
      <c r="B819" s="25" t="s">
        <v>199</v>
      </c>
      <c r="C819" s="26" t="s">
        <v>17</v>
      </c>
      <c r="D819" s="351">
        <v>1</v>
      </c>
      <c r="E819" s="59"/>
      <c r="F819" s="351">
        <v>1</v>
      </c>
      <c r="G819" s="37"/>
      <c r="H819" s="37"/>
      <c r="I819" s="37"/>
      <c r="J819" s="37"/>
      <c r="K819" s="37"/>
      <c r="L819" s="37"/>
      <c r="M819" s="37"/>
      <c r="N819" s="37"/>
      <c r="O819" s="37"/>
      <c r="P819" s="37"/>
      <c r="Q819" s="66"/>
      <c r="R819" s="66"/>
      <c r="S819" s="37"/>
    </row>
    <row r="820" spans="1:19" ht="30">
      <c r="A820" s="24"/>
      <c r="B820" s="25" t="s">
        <v>176</v>
      </c>
      <c r="C820" s="26" t="s">
        <v>78</v>
      </c>
      <c r="D820" s="351">
        <v>1</v>
      </c>
      <c r="E820" s="59"/>
      <c r="F820" s="351">
        <v>1</v>
      </c>
      <c r="G820" s="37"/>
      <c r="H820" s="37"/>
      <c r="I820" s="37"/>
      <c r="J820" s="37"/>
      <c r="K820" s="37"/>
      <c r="L820" s="37"/>
      <c r="M820" s="37"/>
      <c r="N820" s="37"/>
      <c r="O820" s="37"/>
      <c r="P820" s="37"/>
      <c r="Q820" s="66"/>
      <c r="R820" s="66"/>
      <c r="S820" s="37"/>
    </row>
    <row r="821" spans="1:19" ht="60">
      <c r="A821" s="24">
        <v>20</v>
      </c>
      <c r="B821" s="25" t="s">
        <v>280</v>
      </c>
      <c r="C821" s="26" t="s">
        <v>7</v>
      </c>
      <c r="D821" s="351">
        <v>1</v>
      </c>
      <c r="E821" s="59"/>
      <c r="F821" s="351">
        <v>1</v>
      </c>
      <c r="G821" s="26" t="s">
        <v>2326</v>
      </c>
      <c r="H821" s="26"/>
      <c r="I821" s="26" t="s">
        <v>2327</v>
      </c>
      <c r="J821" s="26" t="s">
        <v>2328</v>
      </c>
      <c r="K821" s="311">
        <v>6041728.4399999995</v>
      </c>
      <c r="L821" s="311">
        <v>0</v>
      </c>
      <c r="M821" s="311">
        <v>678000.00000000012</v>
      </c>
      <c r="N821" s="311">
        <v>670275.60000000009</v>
      </c>
      <c r="O821" s="311">
        <v>469192.92000000004</v>
      </c>
      <c r="P821" s="68">
        <f>SUM(K821:O821)</f>
        <v>7859196.959999999</v>
      </c>
      <c r="Q821" s="68">
        <f>D821*P821</f>
        <v>7859196.959999999</v>
      </c>
      <c r="R821" s="127">
        <f>F821*P821</f>
        <v>7859196.959999999</v>
      </c>
      <c r="S821" s="37"/>
    </row>
    <row r="822" spans="1:19" ht="30">
      <c r="A822" s="24"/>
      <c r="B822" s="25" t="s">
        <v>229</v>
      </c>
      <c r="C822" s="26" t="s">
        <v>8</v>
      </c>
      <c r="D822" s="351">
        <v>1</v>
      </c>
      <c r="E822" s="59"/>
      <c r="F822" s="351">
        <v>1</v>
      </c>
      <c r="G822" s="37"/>
      <c r="H822" s="37"/>
      <c r="I822" s="37"/>
      <c r="J822" s="37"/>
      <c r="K822" s="37"/>
      <c r="L822" s="37"/>
      <c r="M822" s="37"/>
      <c r="N822" s="37"/>
      <c r="O822" s="37"/>
      <c r="P822" s="37"/>
      <c r="Q822" s="66"/>
      <c r="R822" s="66"/>
      <c r="S822" s="37"/>
    </row>
    <row r="823" spans="1:19">
      <c r="A823" s="24"/>
      <c r="B823" s="25" t="s">
        <v>161</v>
      </c>
      <c r="C823" s="26"/>
      <c r="D823" s="351"/>
      <c r="E823" s="59"/>
      <c r="F823" s="351"/>
      <c r="G823" s="37"/>
      <c r="H823" s="37"/>
      <c r="I823" s="37"/>
      <c r="J823" s="37"/>
      <c r="K823" s="37"/>
      <c r="L823" s="37"/>
      <c r="M823" s="37"/>
      <c r="N823" s="37"/>
      <c r="O823" s="37"/>
      <c r="P823" s="37"/>
      <c r="Q823" s="66"/>
      <c r="R823" s="66"/>
      <c r="S823" s="37"/>
    </row>
    <row r="824" spans="1:19">
      <c r="A824" s="24"/>
      <c r="B824" s="25" t="s">
        <v>178</v>
      </c>
      <c r="C824" s="26" t="s">
        <v>8</v>
      </c>
      <c r="D824" s="351">
        <v>1</v>
      </c>
      <c r="E824" s="59"/>
      <c r="F824" s="351">
        <v>1</v>
      </c>
      <c r="G824" s="37"/>
      <c r="H824" s="37"/>
      <c r="I824" s="37"/>
      <c r="J824" s="37"/>
      <c r="K824" s="37"/>
      <c r="L824" s="37"/>
      <c r="M824" s="37"/>
      <c r="N824" s="37"/>
      <c r="O824" s="37"/>
      <c r="P824" s="37"/>
      <c r="Q824" s="66"/>
      <c r="R824" s="66"/>
      <c r="S824" s="37"/>
    </row>
    <row r="825" spans="1:19">
      <c r="A825" s="24"/>
      <c r="B825" s="25" t="s">
        <v>24</v>
      </c>
      <c r="C825" s="26" t="s">
        <v>8</v>
      </c>
      <c r="D825" s="351">
        <v>3</v>
      </c>
      <c r="E825" s="59"/>
      <c r="F825" s="351">
        <v>3</v>
      </c>
      <c r="G825" s="37"/>
      <c r="H825" s="37"/>
      <c r="I825" s="37"/>
      <c r="J825" s="37"/>
      <c r="K825" s="37"/>
      <c r="L825" s="37"/>
      <c r="M825" s="37"/>
      <c r="N825" s="37"/>
      <c r="O825" s="37"/>
      <c r="P825" s="37"/>
      <c r="Q825" s="66"/>
      <c r="R825" s="66"/>
      <c r="S825" s="37"/>
    </row>
    <row r="826" spans="1:19">
      <c r="A826" s="24"/>
      <c r="B826" s="25" t="s">
        <v>163</v>
      </c>
      <c r="C826" s="26" t="s">
        <v>8</v>
      </c>
      <c r="D826" s="351">
        <v>3</v>
      </c>
      <c r="E826" s="59"/>
      <c r="F826" s="351">
        <v>3</v>
      </c>
      <c r="G826" s="37"/>
      <c r="H826" s="37"/>
      <c r="I826" s="37"/>
      <c r="J826" s="37"/>
      <c r="K826" s="37"/>
      <c r="L826" s="37"/>
      <c r="M826" s="37"/>
      <c r="N826" s="37"/>
      <c r="O826" s="37"/>
      <c r="P826" s="37"/>
      <c r="Q826" s="66"/>
      <c r="R826" s="66"/>
      <c r="S826" s="37"/>
    </row>
    <row r="827" spans="1:19">
      <c r="A827" s="24"/>
      <c r="B827" s="25" t="s">
        <v>164</v>
      </c>
      <c r="C827" s="26"/>
      <c r="D827" s="351"/>
      <c r="E827" s="59"/>
      <c r="F827" s="351"/>
      <c r="G827" s="37"/>
      <c r="H827" s="37"/>
      <c r="I827" s="37"/>
      <c r="J827" s="37"/>
      <c r="K827" s="37"/>
      <c r="L827" s="37"/>
      <c r="M827" s="37"/>
      <c r="N827" s="37"/>
      <c r="O827" s="37"/>
      <c r="P827" s="37"/>
      <c r="Q827" s="66"/>
      <c r="R827" s="66"/>
      <c r="S827" s="37"/>
    </row>
    <row r="828" spans="1:19">
      <c r="A828" s="24"/>
      <c r="B828" s="25" t="s">
        <v>223</v>
      </c>
      <c r="C828" s="26" t="s">
        <v>8</v>
      </c>
      <c r="D828" s="351">
        <v>1</v>
      </c>
      <c r="E828" s="59"/>
      <c r="F828" s="351">
        <v>1</v>
      </c>
      <c r="G828" s="37"/>
      <c r="H828" s="37"/>
      <c r="I828" s="37"/>
      <c r="J828" s="37"/>
      <c r="K828" s="37"/>
      <c r="L828" s="37"/>
      <c r="M828" s="37"/>
      <c r="N828" s="37"/>
      <c r="O828" s="37"/>
      <c r="P828" s="37"/>
      <c r="Q828" s="66"/>
      <c r="R828" s="66"/>
      <c r="S828" s="37"/>
    </row>
    <row r="829" spans="1:19">
      <c r="A829" s="24"/>
      <c r="B829" s="25" t="s">
        <v>281</v>
      </c>
      <c r="C829" s="26" t="s">
        <v>8</v>
      </c>
      <c r="D829" s="351">
        <v>1</v>
      </c>
      <c r="E829" s="59"/>
      <c r="F829" s="351">
        <v>1</v>
      </c>
      <c r="G829" s="37"/>
      <c r="H829" s="37"/>
      <c r="I829" s="37"/>
      <c r="J829" s="37"/>
      <c r="K829" s="37"/>
      <c r="L829" s="37"/>
      <c r="M829" s="37"/>
      <c r="N829" s="37"/>
      <c r="O829" s="37"/>
      <c r="P829" s="37"/>
      <c r="Q829" s="66"/>
      <c r="R829" s="66"/>
      <c r="S829" s="37"/>
    </row>
    <row r="830" spans="1:19">
      <c r="A830" s="24"/>
      <c r="B830" s="25" t="s">
        <v>166</v>
      </c>
      <c r="C830" s="26" t="s">
        <v>8</v>
      </c>
      <c r="D830" s="351">
        <v>6</v>
      </c>
      <c r="E830" s="59"/>
      <c r="F830" s="351">
        <v>6</v>
      </c>
      <c r="G830" s="37"/>
      <c r="H830" s="37"/>
      <c r="I830" s="37"/>
      <c r="J830" s="37"/>
      <c r="K830" s="37"/>
      <c r="L830" s="37"/>
      <c r="M830" s="37"/>
      <c r="N830" s="37"/>
      <c r="O830" s="37"/>
      <c r="P830" s="37"/>
      <c r="Q830" s="66"/>
      <c r="R830" s="66"/>
      <c r="S830" s="37"/>
    </row>
    <row r="831" spans="1:19">
      <c r="A831" s="24"/>
      <c r="B831" s="25" t="s">
        <v>167</v>
      </c>
      <c r="C831" s="26" t="s">
        <v>8</v>
      </c>
      <c r="D831" s="351">
        <v>1</v>
      </c>
      <c r="E831" s="59"/>
      <c r="F831" s="351">
        <v>1</v>
      </c>
      <c r="G831" s="37"/>
      <c r="H831" s="37"/>
      <c r="I831" s="37"/>
      <c r="J831" s="37"/>
      <c r="K831" s="37"/>
      <c r="L831" s="37"/>
      <c r="M831" s="37"/>
      <c r="N831" s="37"/>
      <c r="O831" s="37"/>
      <c r="P831" s="37"/>
      <c r="Q831" s="66"/>
      <c r="R831" s="66"/>
      <c r="S831" s="37"/>
    </row>
    <row r="832" spans="1:19">
      <c r="A832" s="24"/>
      <c r="B832" s="25" t="s">
        <v>199</v>
      </c>
      <c r="C832" s="26" t="s">
        <v>17</v>
      </c>
      <c r="D832" s="351">
        <v>1</v>
      </c>
      <c r="E832" s="59"/>
      <c r="F832" s="351">
        <v>1</v>
      </c>
      <c r="G832" s="37"/>
      <c r="H832" s="37"/>
      <c r="I832" s="37"/>
      <c r="J832" s="37"/>
      <c r="K832" s="37"/>
      <c r="L832" s="37"/>
      <c r="M832" s="37"/>
      <c r="N832" s="37"/>
      <c r="O832" s="37"/>
      <c r="P832" s="37"/>
      <c r="Q832" s="66"/>
      <c r="R832" s="66"/>
      <c r="S832" s="37"/>
    </row>
    <row r="833" spans="1:19" ht="30">
      <c r="A833" s="24"/>
      <c r="B833" s="25" t="s">
        <v>176</v>
      </c>
      <c r="C833" s="26" t="s">
        <v>78</v>
      </c>
      <c r="D833" s="351">
        <v>1</v>
      </c>
      <c r="E833" s="59"/>
      <c r="F833" s="351">
        <v>1</v>
      </c>
      <c r="G833" s="37"/>
      <c r="H833" s="37"/>
      <c r="I833" s="37"/>
      <c r="J833" s="37"/>
      <c r="K833" s="37"/>
      <c r="L833" s="37"/>
      <c r="M833" s="37"/>
      <c r="N833" s="37"/>
      <c r="O833" s="37"/>
      <c r="P833" s="37"/>
      <c r="Q833" s="66"/>
      <c r="R833" s="66"/>
      <c r="S833" s="37"/>
    </row>
    <row r="834" spans="1:19" ht="60">
      <c r="A834" s="24">
        <v>21</v>
      </c>
      <c r="B834" s="25" t="s">
        <v>282</v>
      </c>
      <c r="C834" s="26" t="s">
        <v>7</v>
      </c>
      <c r="D834" s="351">
        <v>1</v>
      </c>
      <c r="E834" s="59"/>
      <c r="F834" s="351">
        <v>1</v>
      </c>
      <c r="G834" s="26" t="s">
        <v>2326</v>
      </c>
      <c r="H834" s="26"/>
      <c r="I834" s="26" t="s">
        <v>2327</v>
      </c>
      <c r="J834" s="26" t="s">
        <v>2328</v>
      </c>
      <c r="K834" s="311">
        <v>63989258.849999994</v>
      </c>
      <c r="L834" s="311">
        <v>0</v>
      </c>
      <c r="M834" s="311">
        <v>4068000.0000000014</v>
      </c>
      <c r="N834" s="311">
        <v>6823561.5</v>
      </c>
      <c r="O834" s="311">
        <v>4776493.0500000007</v>
      </c>
      <c r="P834" s="68">
        <f>SUM(K834:O834)</f>
        <v>79657313.399999991</v>
      </c>
      <c r="Q834" s="68">
        <f>D834*P834</f>
        <v>79657313.399999991</v>
      </c>
      <c r="R834" s="127">
        <f>F834*P834</f>
        <v>79657313.399999991</v>
      </c>
      <c r="S834" s="37"/>
    </row>
    <row r="835" spans="1:19" ht="30">
      <c r="A835" s="24"/>
      <c r="B835" s="25" t="s">
        <v>283</v>
      </c>
      <c r="C835" s="26" t="s">
        <v>8</v>
      </c>
      <c r="D835" s="351">
        <v>1</v>
      </c>
      <c r="E835" s="60"/>
      <c r="F835" s="351">
        <v>1</v>
      </c>
      <c r="G835" s="38"/>
      <c r="H835" s="38"/>
      <c r="I835" s="38"/>
      <c r="J835" s="38"/>
      <c r="K835" s="38"/>
      <c r="L835" s="38"/>
      <c r="M835" s="38"/>
      <c r="N835" s="38"/>
      <c r="O835" s="38"/>
      <c r="P835" s="38"/>
      <c r="Q835" s="65"/>
      <c r="R835" s="65"/>
      <c r="S835" s="38"/>
    </row>
    <row r="836" spans="1:19">
      <c r="A836" s="24"/>
      <c r="B836" s="25" t="s">
        <v>161</v>
      </c>
      <c r="C836" s="26"/>
      <c r="D836" s="351"/>
      <c r="E836" s="57"/>
      <c r="F836" s="351"/>
      <c r="G836" s="36"/>
      <c r="H836" s="36"/>
      <c r="I836" s="36"/>
      <c r="J836" s="36"/>
      <c r="K836" s="36"/>
      <c r="L836" s="36"/>
      <c r="M836" s="36"/>
      <c r="N836" s="36"/>
      <c r="O836" s="36"/>
      <c r="P836" s="36"/>
      <c r="Q836" s="65"/>
      <c r="R836" s="65"/>
      <c r="S836" s="36"/>
    </row>
    <row r="837" spans="1:19">
      <c r="A837" s="24"/>
      <c r="B837" s="25" t="s">
        <v>284</v>
      </c>
      <c r="C837" s="26" t="s">
        <v>8</v>
      </c>
      <c r="D837" s="351">
        <v>1</v>
      </c>
      <c r="E837" s="53"/>
      <c r="F837" s="351">
        <v>1</v>
      </c>
      <c r="G837" s="15"/>
      <c r="H837" s="15"/>
      <c r="I837" s="15"/>
      <c r="J837" s="15"/>
      <c r="K837" s="15"/>
      <c r="L837" s="15"/>
      <c r="M837" s="15"/>
      <c r="N837" s="15"/>
      <c r="O837" s="15"/>
      <c r="P837" s="15"/>
      <c r="Q837" s="66"/>
      <c r="R837" s="66"/>
      <c r="S837" s="15"/>
    </row>
    <row r="838" spans="1:19">
      <c r="A838" s="24"/>
      <c r="B838" s="25" t="s">
        <v>24</v>
      </c>
      <c r="C838" s="26" t="s">
        <v>8</v>
      </c>
      <c r="D838" s="351">
        <v>3</v>
      </c>
      <c r="E838" s="58"/>
      <c r="F838" s="351">
        <v>3</v>
      </c>
      <c r="G838" s="18"/>
      <c r="H838" s="18"/>
      <c r="I838" s="18"/>
      <c r="J838" s="18"/>
      <c r="K838" s="18"/>
      <c r="L838" s="18"/>
      <c r="M838" s="18"/>
      <c r="N838" s="18"/>
      <c r="O838" s="18"/>
      <c r="P838" s="18"/>
      <c r="Q838" s="65"/>
      <c r="R838" s="65"/>
      <c r="S838" s="18"/>
    </row>
    <row r="839" spans="1:19">
      <c r="A839" s="24"/>
      <c r="B839" s="25" t="s">
        <v>163</v>
      </c>
      <c r="C839" s="26" t="s">
        <v>8</v>
      </c>
      <c r="D839" s="351">
        <v>3</v>
      </c>
      <c r="E839" s="53"/>
      <c r="F839" s="351">
        <v>3</v>
      </c>
      <c r="G839" s="15"/>
      <c r="H839" s="15"/>
      <c r="I839" s="15"/>
      <c r="J839" s="15"/>
      <c r="K839" s="15"/>
      <c r="L839" s="15"/>
      <c r="M839" s="15"/>
      <c r="N839" s="15"/>
      <c r="O839" s="15"/>
      <c r="P839" s="15"/>
      <c r="Q839" s="66"/>
      <c r="R839" s="66"/>
      <c r="S839" s="15"/>
    </row>
    <row r="840" spans="1:19">
      <c r="A840" s="24"/>
      <c r="B840" s="25" t="s">
        <v>164</v>
      </c>
      <c r="C840" s="26"/>
      <c r="D840" s="351"/>
      <c r="E840" s="53"/>
      <c r="F840" s="351"/>
      <c r="G840" s="15"/>
      <c r="H840" s="15"/>
      <c r="I840" s="15"/>
      <c r="J840" s="15"/>
      <c r="K840" s="15"/>
      <c r="L840" s="15"/>
      <c r="M840" s="15"/>
      <c r="N840" s="15"/>
      <c r="O840" s="15"/>
      <c r="P840" s="15"/>
      <c r="Q840" s="66"/>
      <c r="R840" s="66"/>
      <c r="S840" s="15"/>
    </row>
    <row r="841" spans="1:19">
      <c r="A841" s="24"/>
      <c r="B841" s="25" t="s">
        <v>233</v>
      </c>
      <c r="C841" s="26" t="s">
        <v>8</v>
      </c>
      <c r="D841" s="351">
        <v>4</v>
      </c>
      <c r="E841" s="53"/>
      <c r="F841" s="351">
        <v>4</v>
      </c>
      <c r="G841" s="15"/>
      <c r="H841" s="15"/>
      <c r="I841" s="15"/>
      <c r="J841" s="15"/>
      <c r="K841" s="15"/>
      <c r="L841" s="15"/>
      <c r="M841" s="15"/>
      <c r="N841" s="15"/>
      <c r="O841" s="15"/>
      <c r="P841" s="15"/>
      <c r="Q841" s="66"/>
      <c r="R841" s="66"/>
      <c r="S841" s="15"/>
    </row>
    <row r="842" spans="1:19">
      <c r="A842" s="24"/>
      <c r="B842" s="25" t="s">
        <v>285</v>
      </c>
      <c r="C842" s="26" t="s">
        <v>8</v>
      </c>
      <c r="D842" s="351">
        <v>2</v>
      </c>
      <c r="E842" s="53"/>
      <c r="F842" s="351">
        <v>2</v>
      </c>
      <c r="G842" s="15"/>
      <c r="H842" s="15"/>
      <c r="I842" s="15"/>
      <c r="J842" s="15"/>
      <c r="K842" s="15"/>
      <c r="L842" s="15"/>
      <c r="M842" s="15"/>
      <c r="N842" s="15"/>
      <c r="O842" s="15"/>
      <c r="P842" s="15"/>
      <c r="Q842" s="66"/>
      <c r="R842" s="66"/>
      <c r="S842" s="15"/>
    </row>
    <row r="843" spans="1:19">
      <c r="A843" s="24"/>
      <c r="B843" s="25" t="s">
        <v>286</v>
      </c>
      <c r="C843" s="26" t="s">
        <v>8</v>
      </c>
      <c r="D843" s="351">
        <v>2</v>
      </c>
      <c r="E843" s="59"/>
      <c r="F843" s="351">
        <v>2</v>
      </c>
      <c r="G843" s="37"/>
      <c r="H843" s="37"/>
      <c r="I843" s="37"/>
      <c r="J843" s="37"/>
      <c r="K843" s="37"/>
      <c r="L843" s="37"/>
      <c r="M843" s="37"/>
      <c r="N843" s="37"/>
      <c r="O843" s="37"/>
      <c r="P843" s="37"/>
      <c r="Q843" s="66"/>
      <c r="R843" s="66"/>
      <c r="S843" s="37"/>
    </row>
    <row r="844" spans="1:19">
      <c r="A844" s="24"/>
      <c r="B844" s="25" t="s">
        <v>168</v>
      </c>
      <c r="C844" s="26" t="s">
        <v>8</v>
      </c>
      <c r="D844" s="351">
        <v>1</v>
      </c>
      <c r="E844" s="59"/>
      <c r="F844" s="351">
        <v>1</v>
      </c>
      <c r="G844" s="37"/>
      <c r="H844" s="37"/>
      <c r="I844" s="37"/>
      <c r="J844" s="37"/>
      <c r="K844" s="37"/>
      <c r="L844" s="37"/>
      <c r="M844" s="37"/>
      <c r="N844" s="37"/>
      <c r="O844" s="37"/>
      <c r="P844" s="37"/>
      <c r="Q844" s="66"/>
      <c r="R844" s="66"/>
      <c r="S844" s="37"/>
    </row>
    <row r="845" spans="1:19">
      <c r="A845" s="24"/>
      <c r="B845" s="25" t="s">
        <v>255</v>
      </c>
      <c r="C845" s="26" t="s">
        <v>8</v>
      </c>
      <c r="D845" s="351">
        <v>8</v>
      </c>
      <c r="E845" s="61"/>
      <c r="F845" s="351">
        <v>8</v>
      </c>
      <c r="G845" s="39"/>
      <c r="H845" s="39"/>
      <c r="I845" s="39"/>
      <c r="J845" s="39"/>
      <c r="K845" s="39"/>
      <c r="L845" s="39"/>
      <c r="M845" s="39"/>
      <c r="N845" s="39"/>
      <c r="O845" s="39"/>
      <c r="P845" s="39"/>
      <c r="Q845" s="65"/>
      <c r="R845" s="65"/>
      <c r="S845" s="39"/>
    </row>
    <row r="846" spans="1:19">
      <c r="A846" s="24"/>
      <c r="B846" s="25" t="s">
        <v>287</v>
      </c>
      <c r="C846" s="26" t="s">
        <v>8</v>
      </c>
      <c r="D846" s="351">
        <v>4</v>
      </c>
      <c r="E846" s="57"/>
      <c r="F846" s="351">
        <v>4</v>
      </c>
      <c r="G846" s="36"/>
      <c r="H846" s="36"/>
      <c r="I846" s="36"/>
      <c r="J846" s="36"/>
      <c r="K846" s="36"/>
      <c r="L846" s="36"/>
      <c r="M846" s="36"/>
      <c r="N846" s="36"/>
      <c r="O846" s="36"/>
      <c r="P846" s="36"/>
      <c r="Q846" s="65"/>
      <c r="R846" s="65"/>
      <c r="S846" s="36"/>
    </row>
    <row r="847" spans="1:19">
      <c r="A847" s="24"/>
      <c r="B847" s="25" t="s">
        <v>288</v>
      </c>
      <c r="C847" s="26" t="s">
        <v>8</v>
      </c>
      <c r="D847" s="351">
        <v>4</v>
      </c>
      <c r="E847" s="53"/>
      <c r="F847" s="351">
        <v>4</v>
      </c>
      <c r="G847" s="15"/>
      <c r="H847" s="15"/>
      <c r="I847" s="15"/>
      <c r="J847" s="15"/>
      <c r="K847" s="15"/>
      <c r="L847" s="15"/>
      <c r="M847" s="15"/>
      <c r="N847" s="15"/>
      <c r="O847" s="15"/>
      <c r="P847" s="15"/>
      <c r="Q847" s="66"/>
      <c r="R847" s="66"/>
      <c r="S847" s="15"/>
    </row>
    <row r="848" spans="1:19">
      <c r="A848" s="24"/>
      <c r="B848" s="25" t="s">
        <v>289</v>
      </c>
      <c r="C848" s="26" t="s">
        <v>8</v>
      </c>
      <c r="D848" s="351">
        <v>8</v>
      </c>
      <c r="E848" s="58"/>
      <c r="F848" s="351">
        <v>8</v>
      </c>
      <c r="G848" s="18"/>
      <c r="H848" s="18"/>
      <c r="I848" s="18"/>
      <c r="J848" s="18"/>
      <c r="K848" s="18"/>
      <c r="L848" s="18"/>
      <c r="M848" s="18"/>
      <c r="N848" s="18"/>
      <c r="O848" s="18"/>
      <c r="P848" s="18"/>
      <c r="Q848" s="65"/>
      <c r="R848" s="65"/>
      <c r="S848" s="18"/>
    </row>
    <row r="849" spans="1:19">
      <c r="A849" s="24"/>
      <c r="B849" s="25" t="s">
        <v>290</v>
      </c>
      <c r="C849" s="26" t="s">
        <v>8</v>
      </c>
      <c r="D849" s="351">
        <v>8</v>
      </c>
      <c r="E849" s="53"/>
      <c r="F849" s="351">
        <v>8</v>
      </c>
      <c r="G849" s="15"/>
      <c r="H849" s="15"/>
      <c r="I849" s="15"/>
      <c r="J849" s="15"/>
      <c r="K849" s="15"/>
      <c r="L849" s="15"/>
      <c r="M849" s="15"/>
      <c r="N849" s="15"/>
      <c r="O849" s="15"/>
      <c r="P849" s="15"/>
      <c r="Q849" s="66"/>
      <c r="R849" s="66"/>
      <c r="S849" s="15"/>
    </row>
    <row r="850" spans="1:19">
      <c r="A850" s="24"/>
      <c r="B850" s="25" t="s">
        <v>291</v>
      </c>
      <c r="C850" s="26" t="s">
        <v>17</v>
      </c>
      <c r="D850" s="351">
        <v>1</v>
      </c>
      <c r="E850" s="53"/>
      <c r="F850" s="351">
        <v>1</v>
      </c>
      <c r="G850" s="15"/>
      <c r="H850" s="15"/>
      <c r="I850" s="15"/>
      <c r="J850" s="15"/>
      <c r="K850" s="15"/>
      <c r="L850" s="15"/>
      <c r="M850" s="15"/>
      <c r="N850" s="15"/>
      <c r="O850" s="15"/>
      <c r="P850" s="15"/>
      <c r="Q850" s="66"/>
      <c r="R850" s="66"/>
      <c r="S850" s="15"/>
    </row>
    <row r="851" spans="1:19" ht="30">
      <c r="A851" s="24"/>
      <c r="B851" s="25" t="s">
        <v>176</v>
      </c>
      <c r="C851" s="26" t="s">
        <v>78</v>
      </c>
      <c r="D851" s="351">
        <v>1</v>
      </c>
      <c r="E851" s="53"/>
      <c r="F851" s="351">
        <v>1</v>
      </c>
      <c r="G851" s="15"/>
      <c r="H851" s="15"/>
      <c r="I851" s="15"/>
      <c r="J851" s="15"/>
      <c r="K851" s="15"/>
      <c r="L851" s="15"/>
      <c r="M851" s="15"/>
      <c r="N851" s="15"/>
      <c r="O851" s="15"/>
      <c r="P851" s="15"/>
      <c r="Q851" s="66"/>
      <c r="R851" s="66"/>
      <c r="S851" s="15"/>
    </row>
    <row r="852" spans="1:19" ht="60">
      <c r="A852" s="24">
        <v>22</v>
      </c>
      <c r="B852" s="25" t="s">
        <v>292</v>
      </c>
      <c r="C852" s="26" t="s">
        <v>7</v>
      </c>
      <c r="D852" s="351">
        <v>1</v>
      </c>
      <c r="E852" s="53"/>
      <c r="F852" s="351">
        <v>1</v>
      </c>
      <c r="G852" s="26" t="s">
        <v>2326</v>
      </c>
      <c r="H852" s="26"/>
      <c r="I852" s="26" t="s">
        <v>2327</v>
      </c>
      <c r="J852" s="26" t="s">
        <v>2328</v>
      </c>
      <c r="K852" s="311">
        <v>50530623.659999996</v>
      </c>
      <c r="L852" s="311">
        <v>0</v>
      </c>
      <c r="M852" s="311">
        <v>4068000.0000000014</v>
      </c>
      <c r="N852" s="311">
        <v>5464103.4000000004</v>
      </c>
      <c r="O852" s="311">
        <v>3824872.3800000004</v>
      </c>
      <c r="P852" s="68">
        <f>SUM(K852:O852)</f>
        <v>63887599.439999998</v>
      </c>
      <c r="Q852" s="68">
        <f>D852*P852</f>
        <v>63887599.439999998</v>
      </c>
      <c r="R852" s="127">
        <f>F852*P852</f>
        <v>63887599.439999998</v>
      </c>
      <c r="S852" s="15"/>
    </row>
    <row r="853" spans="1:19" ht="30">
      <c r="A853" s="24"/>
      <c r="B853" s="25" t="s">
        <v>283</v>
      </c>
      <c r="C853" s="26" t="s">
        <v>8</v>
      </c>
      <c r="D853" s="351">
        <v>1</v>
      </c>
      <c r="E853" s="59"/>
      <c r="F853" s="351">
        <v>1</v>
      </c>
      <c r="G853" s="37"/>
      <c r="H853" s="37"/>
      <c r="I853" s="37"/>
      <c r="J853" s="37"/>
      <c r="K853" s="37"/>
      <c r="L853" s="37"/>
      <c r="M853" s="37"/>
      <c r="N853" s="37"/>
      <c r="O853" s="37"/>
      <c r="P853" s="37"/>
      <c r="Q853" s="66"/>
      <c r="R853" s="66"/>
      <c r="S853" s="37"/>
    </row>
    <row r="854" spans="1:19">
      <c r="A854" s="24"/>
      <c r="B854" s="25" t="s">
        <v>161</v>
      </c>
      <c r="C854" s="26"/>
      <c r="D854" s="351"/>
      <c r="E854" s="61"/>
      <c r="F854" s="351"/>
      <c r="G854" s="39"/>
      <c r="H854" s="39"/>
      <c r="I854" s="39"/>
      <c r="J854" s="39"/>
      <c r="K854" s="39"/>
      <c r="L854" s="39"/>
      <c r="M854" s="39"/>
      <c r="N854" s="39"/>
      <c r="O854" s="39"/>
      <c r="P854" s="39"/>
      <c r="Q854" s="65"/>
      <c r="R854" s="65"/>
      <c r="S854" s="39"/>
    </row>
    <row r="855" spans="1:19">
      <c r="A855" s="24"/>
      <c r="B855" s="25" t="s">
        <v>214</v>
      </c>
      <c r="C855" s="26" t="s">
        <v>8</v>
      </c>
      <c r="D855" s="351">
        <v>1</v>
      </c>
      <c r="E855" s="57"/>
      <c r="F855" s="351">
        <v>1</v>
      </c>
      <c r="G855" s="36"/>
      <c r="H855" s="36"/>
      <c r="I855" s="36"/>
      <c r="J855" s="36"/>
      <c r="K855" s="36"/>
      <c r="L855" s="36"/>
      <c r="M855" s="36"/>
      <c r="N855" s="36"/>
      <c r="O855" s="36"/>
      <c r="P855" s="36"/>
      <c r="Q855" s="65"/>
      <c r="R855" s="65"/>
      <c r="S855" s="36"/>
    </row>
    <row r="856" spans="1:19">
      <c r="A856" s="24"/>
      <c r="B856" s="25" t="s">
        <v>24</v>
      </c>
      <c r="C856" s="26" t="s">
        <v>8</v>
      </c>
      <c r="D856" s="351">
        <v>3</v>
      </c>
      <c r="E856" s="53"/>
      <c r="F856" s="351">
        <v>3</v>
      </c>
      <c r="G856" s="15"/>
      <c r="H856" s="15"/>
      <c r="I856" s="15"/>
      <c r="J856" s="15"/>
      <c r="K856" s="15"/>
      <c r="L856" s="15"/>
      <c r="M856" s="15"/>
      <c r="N856" s="15"/>
      <c r="O856" s="15"/>
      <c r="P856" s="15"/>
      <c r="Q856" s="66"/>
      <c r="R856" s="66"/>
      <c r="S856" s="15"/>
    </row>
    <row r="857" spans="1:19">
      <c r="A857" s="24"/>
      <c r="B857" s="25" t="s">
        <v>163</v>
      </c>
      <c r="C857" s="26" t="s">
        <v>8</v>
      </c>
      <c r="D857" s="351">
        <v>3</v>
      </c>
      <c r="E857" s="58"/>
      <c r="F857" s="351">
        <v>3</v>
      </c>
      <c r="G857" s="18"/>
      <c r="H857" s="18"/>
      <c r="I857" s="18"/>
      <c r="J857" s="18"/>
      <c r="K857" s="18"/>
      <c r="L857" s="18"/>
      <c r="M857" s="18"/>
      <c r="N857" s="18"/>
      <c r="O857" s="18"/>
      <c r="P857" s="18"/>
      <c r="Q857" s="65"/>
      <c r="R857" s="65"/>
      <c r="S857" s="18"/>
    </row>
    <row r="858" spans="1:19">
      <c r="A858" s="24"/>
      <c r="B858" s="25" t="s">
        <v>164</v>
      </c>
      <c r="C858" s="26"/>
      <c r="D858" s="351"/>
      <c r="E858" s="53"/>
      <c r="F858" s="351"/>
      <c r="G858" s="15"/>
      <c r="H858" s="15"/>
      <c r="I858" s="15"/>
      <c r="J858" s="15"/>
      <c r="K858" s="15"/>
      <c r="L858" s="15"/>
      <c r="M858" s="15"/>
      <c r="N858" s="15"/>
      <c r="O858" s="15"/>
      <c r="P858" s="15"/>
      <c r="Q858" s="66"/>
      <c r="R858" s="66"/>
      <c r="S858" s="15"/>
    </row>
    <row r="859" spans="1:19">
      <c r="A859" s="24"/>
      <c r="B859" s="25" t="s">
        <v>233</v>
      </c>
      <c r="C859" s="26" t="s">
        <v>8</v>
      </c>
      <c r="D859" s="351">
        <v>1</v>
      </c>
      <c r="E859" s="53"/>
      <c r="F859" s="351">
        <v>1</v>
      </c>
      <c r="G859" s="15"/>
      <c r="H859" s="15"/>
      <c r="I859" s="15"/>
      <c r="J859" s="15"/>
      <c r="K859" s="15"/>
      <c r="L859" s="15"/>
      <c r="M859" s="15"/>
      <c r="N859" s="15"/>
      <c r="O859" s="15"/>
      <c r="P859" s="15"/>
      <c r="Q859" s="66"/>
      <c r="R859" s="66"/>
      <c r="S859" s="15"/>
    </row>
    <row r="860" spans="1:19">
      <c r="A860" s="24"/>
      <c r="B860" s="25" t="s">
        <v>285</v>
      </c>
      <c r="C860" s="26" t="s">
        <v>8</v>
      </c>
      <c r="D860" s="351">
        <v>2</v>
      </c>
      <c r="E860" s="53"/>
      <c r="F860" s="351">
        <v>2</v>
      </c>
      <c r="G860" s="15"/>
      <c r="H860" s="15"/>
      <c r="I860" s="15"/>
      <c r="J860" s="15"/>
      <c r="K860" s="15"/>
      <c r="L860" s="15"/>
      <c r="M860" s="15"/>
      <c r="N860" s="15"/>
      <c r="O860" s="15"/>
      <c r="P860" s="15"/>
      <c r="Q860" s="66"/>
      <c r="R860" s="66"/>
      <c r="S860" s="15"/>
    </row>
    <row r="861" spans="1:19">
      <c r="A861" s="24"/>
      <c r="B861" s="25" t="s">
        <v>286</v>
      </c>
      <c r="C861" s="26" t="s">
        <v>8</v>
      </c>
      <c r="D861" s="351">
        <v>1</v>
      </c>
      <c r="E861" s="312"/>
      <c r="F861" s="351">
        <v>1</v>
      </c>
      <c r="G861" s="26"/>
      <c r="H861" s="26"/>
      <c r="I861" s="26"/>
      <c r="J861" s="26"/>
      <c r="K861" s="26"/>
      <c r="L861" s="26"/>
      <c r="M861" s="26"/>
      <c r="N861" s="26"/>
      <c r="O861" s="26"/>
      <c r="P861" s="26"/>
      <c r="Q861" s="66"/>
      <c r="R861" s="66"/>
      <c r="S861" s="26"/>
    </row>
    <row r="862" spans="1:19">
      <c r="A862" s="24"/>
      <c r="B862" s="25" t="s">
        <v>281</v>
      </c>
      <c r="C862" s="26" t="s">
        <v>8</v>
      </c>
      <c r="D862" s="351">
        <v>2</v>
      </c>
      <c r="E862" s="62"/>
      <c r="F862" s="351">
        <v>2</v>
      </c>
      <c r="G862" s="40"/>
      <c r="H862" s="40"/>
      <c r="I862" s="40"/>
      <c r="J862" s="40"/>
      <c r="K862" s="40"/>
      <c r="L862" s="40"/>
      <c r="M862" s="40"/>
      <c r="N862" s="40"/>
      <c r="O862" s="40"/>
      <c r="P862" s="40"/>
      <c r="Q862" s="66"/>
      <c r="R862" s="66"/>
      <c r="S862" s="40"/>
    </row>
    <row r="863" spans="1:19">
      <c r="A863" s="24"/>
      <c r="B863" s="25" t="s">
        <v>293</v>
      </c>
      <c r="C863" s="26" t="s">
        <v>8</v>
      </c>
      <c r="D863" s="351">
        <v>3</v>
      </c>
      <c r="E863" s="62"/>
      <c r="F863" s="351">
        <v>3</v>
      </c>
      <c r="G863" s="40"/>
      <c r="H863" s="40"/>
      <c r="I863" s="40"/>
      <c r="J863" s="40"/>
      <c r="K863" s="40"/>
      <c r="L863" s="40"/>
      <c r="M863" s="40"/>
      <c r="N863" s="40"/>
      <c r="O863" s="40"/>
      <c r="P863" s="40"/>
      <c r="Q863" s="66"/>
      <c r="R863" s="66"/>
      <c r="S863" s="40"/>
    </row>
    <row r="864" spans="1:19">
      <c r="A864" s="24"/>
      <c r="B864" s="25" t="s">
        <v>168</v>
      </c>
      <c r="C864" s="26" t="s">
        <v>8</v>
      </c>
      <c r="D864" s="351">
        <v>1</v>
      </c>
      <c r="E864" s="53"/>
      <c r="F864" s="351">
        <v>1</v>
      </c>
      <c r="G864" s="15"/>
      <c r="H864" s="15"/>
      <c r="I864" s="15"/>
      <c r="J864" s="15"/>
      <c r="K864" s="15"/>
      <c r="L864" s="15"/>
      <c r="M864" s="15"/>
      <c r="N864" s="15"/>
      <c r="O864" s="15"/>
      <c r="P864" s="15"/>
      <c r="Q864" s="66"/>
      <c r="R864" s="66"/>
      <c r="S864" s="15"/>
    </row>
    <row r="865" spans="1:19">
      <c r="A865" s="24"/>
      <c r="B865" s="25" t="s">
        <v>255</v>
      </c>
      <c r="C865" s="26" t="s">
        <v>8</v>
      </c>
      <c r="D865" s="351">
        <v>2</v>
      </c>
      <c r="E865" s="57"/>
      <c r="F865" s="351">
        <v>2</v>
      </c>
      <c r="G865" s="36"/>
      <c r="H865" s="36"/>
      <c r="I865" s="36"/>
      <c r="J865" s="36"/>
      <c r="K865" s="36"/>
      <c r="L865" s="36"/>
      <c r="M865" s="36"/>
      <c r="N865" s="36"/>
      <c r="O865" s="36"/>
      <c r="P865" s="36"/>
      <c r="Q865" s="65"/>
      <c r="R865" s="65"/>
      <c r="S865" s="36"/>
    </row>
    <row r="866" spans="1:19">
      <c r="A866" s="24"/>
      <c r="B866" s="25" t="s">
        <v>287</v>
      </c>
      <c r="C866" s="26" t="s">
        <v>8</v>
      </c>
      <c r="D866" s="351">
        <v>4</v>
      </c>
      <c r="E866" s="59"/>
      <c r="F866" s="351">
        <v>4</v>
      </c>
      <c r="G866" s="37"/>
      <c r="H866" s="37"/>
      <c r="I866" s="37"/>
      <c r="J866" s="37"/>
      <c r="K866" s="37"/>
      <c r="L866" s="37"/>
      <c r="M866" s="37"/>
      <c r="N866" s="37"/>
      <c r="O866" s="37"/>
      <c r="P866" s="37"/>
      <c r="Q866" s="66"/>
      <c r="R866" s="66"/>
      <c r="S866" s="37"/>
    </row>
    <row r="867" spans="1:19">
      <c r="A867" s="24"/>
      <c r="B867" s="25" t="s">
        <v>288</v>
      </c>
      <c r="C867" s="26" t="s">
        <v>8</v>
      </c>
      <c r="D867" s="351">
        <v>2</v>
      </c>
      <c r="E867" s="59"/>
      <c r="F867" s="351">
        <v>2</v>
      </c>
      <c r="G867" s="37"/>
      <c r="H867" s="37"/>
      <c r="I867" s="37"/>
      <c r="J867" s="37"/>
      <c r="K867" s="37"/>
      <c r="L867" s="37"/>
      <c r="M867" s="37"/>
      <c r="N867" s="37"/>
      <c r="O867" s="37"/>
      <c r="P867" s="37"/>
      <c r="Q867" s="66"/>
      <c r="R867" s="66"/>
      <c r="S867" s="37"/>
    </row>
    <row r="868" spans="1:19">
      <c r="A868" s="24"/>
      <c r="B868" s="25" t="s">
        <v>294</v>
      </c>
      <c r="C868" s="26" t="s">
        <v>8</v>
      </c>
      <c r="D868" s="351">
        <v>4</v>
      </c>
      <c r="E868" s="59"/>
      <c r="F868" s="351">
        <v>4</v>
      </c>
      <c r="G868" s="37"/>
      <c r="H868" s="37"/>
      <c r="I868" s="37"/>
      <c r="J868" s="37"/>
      <c r="K868" s="37"/>
      <c r="L868" s="37"/>
      <c r="M868" s="37"/>
      <c r="N868" s="37"/>
      <c r="O868" s="37"/>
      <c r="P868" s="37"/>
      <c r="Q868" s="66"/>
      <c r="R868" s="66"/>
      <c r="S868" s="37"/>
    </row>
    <row r="869" spans="1:19">
      <c r="A869" s="24"/>
      <c r="B869" s="25" t="s">
        <v>295</v>
      </c>
      <c r="C869" s="26" t="s">
        <v>8</v>
      </c>
      <c r="D869" s="351">
        <v>6</v>
      </c>
      <c r="E869" s="59"/>
      <c r="F869" s="351">
        <v>6</v>
      </c>
      <c r="G869" s="37"/>
      <c r="H869" s="37"/>
      <c r="I869" s="37"/>
      <c r="J869" s="37"/>
      <c r="K869" s="37"/>
      <c r="L869" s="37"/>
      <c r="M869" s="37"/>
      <c r="N869" s="37"/>
      <c r="O869" s="37"/>
      <c r="P869" s="37"/>
      <c r="Q869" s="66"/>
      <c r="R869" s="66"/>
      <c r="S869" s="37"/>
    </row>
    <row r="870" spans="1:19">
      <c r="A870" s="24"/>
      <c r="B870" s="25" t="s">
        <v>289</v>
      </c>
      <c r="C870" s="26" t="s">
        <v>8</v>
      </c>
      <c r="D870" s="351">
        <v>2</v>
      </c>
      <c r="E870" s="59"/>
      <c r="F870" s="351">
        <v>2</v>
      </c>
      <c r="G870" s="37"/>
      <c r="H870" s="37"/>
      <c r="I870" s="37"/>
      <c r="J870" s="37"/>
      <c r="K870" s="37"/>
      <c r="L870" s="37"/>
      <c r="M870" s="37"/>
      <c r="N870" s="37"/>
      <c r="O870" s="37"/>
      <c r="P870" s="37"/>
      <c r="Q870" s="66"/>
      <c r="R870" s="66"/>
      <c r="S870" s="37"/>
    </row>
    <row r="871" spans="1:19">
      <c r="A871" s="24"/>
      <c r="B871" s="25" t="s">
        <v>296</v>
      </c>
      <c r="C871" s="26" t="s">
        <v>8</v>
      </c>
      <c r="D871" s="351">
        <v>16</v>
      </c>
      <c r="E871" s="59"/>
      <c r="F871" s="351">
        <v>16</v>
      </c>
      <c r="G871" s="37"/>
      <c r="H871" s="37"/>
      <c r="I871" s="37"/>
      <c r="J871" s="37"/>
      <c r="K871" s="37"/>
      <c r="L871" s="37"/>
      <c r="M871" s="37"/>
      <c r="N871" s="37"/>
      <c r="O871" s="37"/>
      <c r="P871" s="37"/>
      <c r="Q871" s="66"/>
      <c r="R871" s="66"/>
      <c r="S871" s="37"/>
    </row>
    <row r="872" spans="1:19">
      <c r="A872" s="24"/>
      <c r="B872" s="25" t="s">
        <v>297</v>
      </c>
      <c r="C872" s="26" t="s">
        <v>17</v>
      </c>
      <c r="D872" s="351">
        <v>1</v>
      </c>
      <c r="E872" s="59"/>
      <c r="F872" s="351">
        <v>1</v>
      </c>
      <c r="G872" s="37"/>
      <c r="H872" s="37"/>
      <c r="I872" s="37"/>
      <c r="J872" s="37"/>
      <c r="K872" s="37"/>
      <c r="L872" s="37"/>
      <c r="M872" s="37"/>
      <c r="N872" s="37"/>
      <c r="O872" s="37"/>
      <c r="P872" s="37"/>
      <c r="Q872" s="66"/>
      <c r="R872" s="66"/>
      <c r="S872" s="37"/>
    </row>
    <row r="873" spans="1:19" ht="30">
      <c r="A873" s="24"/>
      <c r="B873" s="25" t="s">
        <v>176</v>
      </c>
      <c r="C873" s="26" t="s">
        <v>78</v>
      </c>
      <c r="D873" s="351">
        <v>1</v>
      </c>
      <c r="E873" s="59"/>
      <c r="F873" s="351">
        <v>1</v>
      </c>
      <c r="G873" s="37"/>
      <c r="H873" s="37"/>
      <c r="I873" s="37"/>
      <c r="J873" s="37"/>
      <c r="K873" s="37"/>
      <c r="L873" s="37"/>
      <c r="M873" s="37"/>
      <c r="N873" s="37"/>
      <c r="O873" s="37"/>
      <c r="P873" s="37"/>
      <c r="Q873" s="66"/>
      <c r="R873" s="66"/>
      <c r="S873" s="37"/>
    </row>
    <row r="874" spans="1:19" ht="60">
      <c r="A874" s="24">
        <v>23</v>
      </c>
      <c r="B874" s="25" t="s">
        <v>298</v>
      </c>
      <c r="C874" s="26" t="s">
        <v>7</v>
      </c>
      <c r="D874" s="351">
        <v>1</v>
      </c>
      <c r="E874" s="59"/>
      <c r="F874" s="351">
        <v>1</v>
      </c>
      <c r="G874" s="26" t="s">
        <v>2326</v>
      </c>
      <c r="H874" s="26"/>
      <c r="I874" s="26" t="s">
        <v>2327</v>
      </c>
      <c r="J874" s="26" t="s">
        <v>2328</v>
      </c>
      <c r="K874" s="311">
        <v>79912845.539999992</v>
      </c>
      <c r="L874" s="311">
        <v>0</v>
      </c>
      <c r="M874" s="311">
        <v>4068000.0000000014</v>
      </c>
      <c r="N874" s="311">
        <v>8432004.5999999996</v>
      </c>
      <c r="O874" s="311">
        <v>5902403.2200000007</v>
      </c>
      <c r="P874" s="68">
        <f>SUM(K874:O874)</f>
        <v>98315253.359999985</v>
      </c>
      <c r="Q874" s="68">
        <f>D874*P874</f>
        <v>98315253.359999985</v>
      </c>
      <c r="R874" s="127">
        <f>F874*P874</f>
        <v>98315253.359999985</v>
      </c>
      <c r="S874" s="37"/>
    </row>
    <row r="875" spans="1:19" ht="30">
      <c r="A875" s="24"/>
      <c r="B875" s="25" t="s">
        <v>283</v>
      </c>
      <c r="C875" s="26" t="s">
        <v>8</v>
      </c>
      <c r="D875" s="351">
        <v>1</v>
      </c>
      <c r="E875" s="59"/>
      <c r="F875" s="351">
        <v>1</v>
      </c>
      <c r="G875" s="37"/>
      <c r="H875" s="37"/>
      <c r="I875" s="37"/>
      <c r="J875" s="37"/>
      <c r="K875" s="37"/>
      <c r="L875" s="37"/>
      <c r="M875" s="37"/>
      <c r="N875" s="37"/>
      <c r="O875" s="37"/>
      <c r="P875" s="37"/>
      <c r="Q875" s="66"/>
      <c r="R875" s="66"/>
      <c r="S875" s="37"/>
    </row>
    <row r="876" spans="1:19">
      <c r="A876" s="24"/>
      <c r="B876" s="25" t="s">
        <v>161</v>
      </c>
      <c r="C876" s="26"/>
      <c r="D876" s="351"/>
      <c r="E876" s="59"/>
      <c r="F876" s="351"/>
      <c r="G876" s="37"/>
      <c r="H876" s="37"/>
      <c r="I876" s="37"/>
      <c r="J876" s="37"/>
      <c r="K876" s="37"/>
      <c r="L876" s="37"/>
      <c r="M876" s="37"/>
      <c r="N876" s="37"/>
      <c r="O876" s="37"/>
      <c r="P876" s="37"/>
      <c r="Q876" s="66"/>
      <c r="R876" s="66"/>
      <c r="S876" s="37"/>
    </row>
    <row r="877" spans="1:19">
      <c r="A877" s="24"/>
      <c r="B877" s="25" t="s">
        <v>299</v>
      </c>
      <c r="C877" s="26" t="s">
        <v>8</v>
      </c>
      <c r="D877" s="351">
        <v>1</v>
      </c>
      <c r="E877" s="61"/>
      <c r="F877" s="351">
        <v>1</v>
      </c>
      <c r="G877" s="39"/>
      <c r="H877" s="39"/>
      <c r="I877" s="39"/>
      <c r="J877" s="39"/>
      <c r="K877" s="39"/>
      <c r="L877" s="39"/>
      <c r="M877" s="39"/>
      <c r="N877" s="39"/>
      <c r="O877" s="39"/>
      <c r="P877" s="39"/>
      <c r="Q877" s="65"/>
      <c r="R877" s="65"/>
      <c r="S877" s="39"/>
    </row>
    <row r="878" spans="1:19">
      <c r="A878" s="24"/>
      <c r="B878" s="25" t="s">
        <v>24</v>
      </c>
      <c r="C878" s="26" t="s">
        <v>8</v>
      </c>
      <c r="D878" s="351">
        <v>3</v>
      </c>
      <c r="E878" s="57"/>
      <c r="F878" s="351">
        <v>3</v>
      </c>
      <c r="G878" s="36"/>
      <c r="H878" s="36"/>
      <c r="I878" s="36"/>
      <c r="J878" s="36"/>
      <c r="K878" s="36"/>
      <c r="L878" s="36"/>
      <c r="M878" s="36"/>
      <c r="N878" s="36"/>
      <c r="O878" s="36"/>
      <c r="P878" s="36"/>
      <c r="Q878" s="65"/>
      <c r="R878" s="65"/>
      <c r="S878" s="36"/>
    </row>
    <row r="879" spans="1:19">
      <c r="A879" s="24"/>
      <c r="B879" s="25" t="s">
        <v>163</v>
      </c>
      <c r="C879" s="26" t="s">
        <v>8</v>
      </c>
      <c r="D879" s="351">
        <v>3</v>
      </c>
      <c r="E879" s="53"/>
      <c r="F879" s="351">
        <v>3</v>
      </c>
      <c r="G879" s="15"/>
      <c r="H879" s="15"/>
      <c r="I879" s="15"/>
      <c r="J879" s="15"/>
      <c r="K879" s="15"/>
      <c r="L879" s="15"/>
      <c r="M879" s="15"/>
      <c r="N879" s="15"/>
      <c r="O879" s="15"/>
      <c r="P879" s="15"/>
      <c r="Q879" s="66"/>
      <c r="R879" s="66"/>
      <c r="S879" s="15"/>
    </row>
    <row r="880" spans="1:19">
      <c r="A880" s="24"/>
      <c r="B880" s="25" t="s">
        <v>164</v>
      </c>
      <c r="C880" s="26"/>
      <c r="D880" s="351"/>
      <c r="E880" s="58"/>
      <c r="F880" s="351"/>
      <c r="G880" s="18"/>
      <c r="H880" s="18"/>
      <c r="I880" s="18"/>
      <c r="J880" s="18"/>
      <c r="K880" s="18"/>
      <c r="L880" s="18"/>
      <c r="M880" s="18"/>
      <c r="N880" s="18"/>
      <c r="O880" s="18"/>
      <c r="P880" s="18"/>
      <c r="Q880" s="65"/>
      <c r="R880" s="65"/>
      <c r="S880" s="18"/>
    </row>
    <row r="881" spans="1:19">
      <c r="A881" s="24"/>
      <c r="B881" s="25" t="s">
        <v>300</v>
      </c>
      <c r="C881" s="26" t="s">
        <v>8</v>
      </c>
      <c r="D881" s="351">
        <v>1</v>
      </c>
      <c r="E881" s="53"/>
      <c r="F881" s="351">
        <v>1</v>
      </c>
      <c r="G881" s="15"/>
      <c r="H881" s="15"/>
      <c r="I881" s="15"/>
      <c r="J881" s="15"/>
      <c r="K881" s="15"/>
      <c r="L881" s="15"/>
      <c r="M881" s="15"/>
      <c r="N881" s="15"/>
      <c r="O881" s="15"/>
      <c r="P881" s="15"/>
      <c r="Q881" s="66"/>
      <c r="R881" s="66"/>
      <c r="S881" s="15"/>
    </row>
    <row r="882" spans="1:19">
      <c r="A882" s="24"/>
      <c r="B882" s="25" t="s">
        <v>301</v>
      </c>
      <c r="C882" s="26" t="s">
        <v>8</v>
      </c>
      <c r="D882" s="351">
        <v>2</v>
      </c>
      <c r="E882" s="53"/>
      <c r="F882" s="351">
        <v>2</v>
      </c>
      <c r="G882" s="15"/>
      <c r="H882" s="15"/>
      <c r="I882" s="15"/>
      <c r="J882" s="15"/>
      <c r="K882" s="15"/>
      <c r="L882" s="15"/>
      <c r="M882" s="15"/>
      <c r="N882" s="15"/>
      <c r="O882" s="15"/>
      <c r="P882" s="15"/>
      <c r="Q882" s="66"/>
      <c r="R882" s="66"/>
      <c r="S882" s="15"/>
    </row>
    <row r="883" spans="1:19">
      <c r="A883" s="24"/>
      <c r="B883" s="25" t="s">
        <v>233</v>
      </c>
      <c r="C883" s="26" t="s">
        <v>8</v>
      </c>
      <c r="D883" s="351">
        <v>4</v>
      </c>
      <c r="E883" s="53"/>
      <c r="F883" s="351">
        <v>4</v>
      </c>
      <c r="G883" s="15"/>
      <c r="H883" s="15"/>
      <c r="I883" s="15"/>
      <c r="J883" s="15"/>
      <c r="K883" s="15"/>
      <c r="L883" s="15"/>
      <c r="M883" s="15"/>
      <c r="N883" s="15"/>
      <c r="O883" s="15"/>
      <c r="P883" s="15"/>
      <c r="Q883" s="66"/>
      <c r="R883" s="66"/>
      <c r="S883" s="15"/>
    </row>
    <row r="884" spans="1:19">
      <c r="A884" s="24"/>
      <c r="B884" s="25" t="s">
        <v>168</v>
      </c>
      <c r="C884" s="26" t="s">
        <v>8</v>
      </c>
      <c r="D884" s="351">
        <v>1</v>
      </c>
      <c r="E884" s="312"/>
      <c r="F884" s="351">
        <v>1</v>
      </c>
      <c r="G884" s="26"/>
      <c r="H884" s="26"/>
      <c r="I884" s="26"/>
      <c r="J884" s="26"/>
      <c r="K884" s="26"/>
      <c r="L884" s="26"/>
      <c r="M884" s="26"/>
      <c r="N884" s="26"/>
      <c r="O884" s="26"/>
      <c r="P884" s="26"/>
      <c r="Q884" s="66"/>
      <c r="R884" s="66"/>
      <c r="S884" s="26"/>
    </row>
    <row r="885" spans="1:19">
      <c r="A885" s="24"/>
      <c r="B885" s="25" t="s">
        <v>285</v>
      </c>
      <c r="C885" s="26" t="s">
        <v>8</v>
      </c>
      <c r="D885" s="351">
        <v>5</v>
      </c>
      <c r="E885" s="62"/>
      <c r="F885" s="351">
        <v>5</v>
      </c>
      <c r="G885" s="40"/>
      <c r="H885" s="40"/>
      <c r="I885" s="40"/>
      <c r="J885" s="40"/>
      <c r="K885" s="40"/>
      <c r="L885" s="40"/>
      <c r="M885" s="40"/>
      <c r="N885" s="40"/>
      <c r="O885" s="40"/>
      <c r="P885" s="40"/>
      <c r="Q885" s="66"/>
      <c r="R885" s="66"/>
      <c r="S885" s="40"/>
    </row>
    <row r="886" spans="1:19">
      <c r="A886" s="24"/>
      <c r="B886" s="25" t="s">
        <v>286</v>
      </c>
      <c r="C886" s="26" t="s">
        <v>8</v>
      </c>
      <c r="D886" s="351">
        <v>1</v>
      </c>
      <c r="E886" s="62"/>
      <c r="F886" s="351">
        <v>1</v>
      </c>
      <c r="G886" s="40"/>
      <c r="H886" s="40"/>
      <c r="I886" s="40"/>
      <c r="J886" s="40"/>
      <c r="K886" s="40"/>
      <c r="L886" s="40"/>
      <c r="M886" s="40"/>
      <c r="N886" s="40"/>
      <c r="O886" s="40"/>
      <c r="P886" s="40"/>
      <c r="Q886" s="66"/>
      <c r="R886" s="66"/>
      <c r="S886" s="40"/>
    </row>
    <row r="887" spans="1:19">
      <c r="A887" s="24"/>
      <c r="B887" s="25" t="s">
        <v>293</v>
      </c>
      <c r="C887" s="26" t="s">
        <v>8</v>
      </c>
      <c r="D887" s="351">
        <v>4</v>
      </c>
      <c r="E887" s="53"/>
      <c r="F887" s="351">
        <v>4</v>
      </c>
      <c r="G887" s="15"/>
      <c r="H887" s="15"/>
      <c r="I887" s="15"/>
      <c r="J887" s="15"/>
      <c r="K887" s="15"/>
      <c r="L887" s="15"/>
      <c r="M887" s="15"/>
      <c r="N887" s="15"/>
      <c r="O887" s="15"/>
      <c r="P887" s="15"/>
      <c r="Q887" s="66"/>
      <c r="R887" s="66"/>
      <c r="S887" s="15"/>
    </row>
    <row r="888" spans="1:19">
      <c r="A888" s="24"/>
      <c r="B888" s="25" t="s">
        <v>302</v>
      </c>
      <c r="C888" s="26" t="s">
        <v>8</v>
      </c>
      <c r="D888" s="351">
        <v>2</v>
      </c>
      <c r="E888" s="59"/>
      <c r="F888" s="351">
        <v>2</v>
      </c>
      <c r="G888" s="37"/>
      <c r="H888" s="37"/>
      <c r="I888" s="37"/>
      <c r="J888" s="37"/>
      <c r="K888" s="37"/>
      <c r="L888" s="37"/>
      <c r="M888" s="37"/>
      <c r="N888" s="37"/>
      <c r="O888" s="37"/>
      <c r="P888" s="37"/>
      <c r="Q888" s="66"/>
      <c r="R888" s="66"/>
      <c r="S888" s="37"/>
    </row>
    <row r="889" spans="1:19">
      <c r="A889" s="24"/>
      <c r="B889" s="25" t="s">
        <v>303</v>
      </c>
      <c r="C889" s="26" t="s">
        <v>8</v>
      </c>
      <c r="D889" s="351">
        <v>4</v>
      </c>
      <c r="E889" s="59"/>
      <c r="F889" s="351">
        <v>4</v>
      </c>
      <c r="G889" s="37"/>
      <c r="H889" s="37"/>
      <c r="I889" s="37"/>
      <c r="J889" s="37"/>
      <c r="K889" s="37"/>
      <c r="L889" s="37"/>
      <c r="M889" s="37"/>
      <c r="N889" s="37"/>
      <c r="O889" s="37"/>
      <c r="P889" s="37"/>
      <c r="Q889" s="66"/>
      <c r="R889" s="66"/>
      <c r="S889" s="37"/>
    </row>
    <row r="890" spans="1:19">
      <c r="A890" s="24"/>
      <c r="B890" s="25" t="s">
        <v>255</v>
      </c>
      <c r="C890" s="26" t="s">
        <v>8</v>
      </c>
      <c r="D890" s="351">
        <v>8</v>
      </c>
      <c r="E890" s="59"/>
      <c r="F890" s="351">
        <v>8</v>
      </c>
      <c r="G890" s="37"/>
      <c r="H890" s="37"/>
      <c r="I890" s="37"/>
      <c r="J890" s="37"/>
      <c r="K890" s="37"/>
      <c r="L890" s="37"/>
      <c r="M890" s="37"/>
      <c r="N890" s="37"/>
      <c r="O890" s="37"/>
      <c r="P890" s="37"/>
      <c r="Q890" s="66"/>
      <c r="R890" s="66"/>
      <c r="S890" s="37"/>
    </row>
    <row r="891" spans="1:19">
      <c r="A891" s="24"/>
      <c r="B891" s="25" t="s">
        <v>287</v>
      </c>
      <c r="C891" s="26" t="s">
        <v>8</v>
      </c>
      <c r="D891" s="351">
        <v>10</v>
      </c>
      <c r="E891" s="59"/>
      <c r="F891" s="351">
        <v>10</v>
      </c>
      <c r="G891" s="37"/>
      <c r="H891" s="37"/>
      <c r="I891" s="37"/>
      <c r="J891" s="37"/>
      <c r="K891" s="37"/>
      <c r="L891" s="37"/>
      <c r="M891" s="37"/>
      <c r="N891" s="37"/>
      <c r="O891" s="37"/>
      <c r="P891" s="37"/>
      <c r="Q891" s="66"/>
      <c r="R891" s="66"/>
      <c r="S891" s="37"/>
    </row>
    <row r="892" spans="1:19">
      <c r="A892" s="24"/>
      <c r="B892" s="25" t="s">
        <v>288</v>
      </c>
      <c r="C892" s="26" t="s">
        <v>8</v>
      </c>
      <c r="D892" s="351">
        <v>2</v>
      </c>
      <c r="E892" s="61"/>
      <c r="F892" s="351">
        <v>2</v>
      </c>
      <c r="G892" s="39"/>
      <c r="H892" s="39"/>
      <c r="I892" s="39"/>
      <c r="J892" s="39"/>
      <c r="K892" s="39"/>
      <c r="L892" s="39"/>
      <c r="M892" s="39"/>
      <c r="N892" s="39"/>
      <c r="O892" s="39"/>
      <c r="P892" s="39"/>
      <c r="Q892" s="65"/>
      <c r="R892" s="65"/>
      <c r="S892" s="39"/>
    </row>
    <row r="893" spans="1:19">
      <c r="A893" s="24"/>
      <c r="B893" s="25" t="s">
        <v>295</v>
      </c>
      <c r="C893" s="26" t="s">
        <v>8</v>
      </c>
      <c r="D893" s="351">
        <v>8</v>
      </c>
      <c r="E893" s="92"/>
      <c r="F893" s="351">
        <v>8</v>
      </c>
      <c r="G893" s="329"/>
      <c r="H893" s="329"/>
      <c r="I893" s="329"/>
      <c r="J893" s="329"/>
      <c r="K893" s="329"/>
      <c r="L893" s="329"/>
      <c r="M893" s="329"/>
      <c r="N893" s="329"/>
      <c r="O893" s="329"/>
      <c r="P893" s="329"/>
      <c r="Q893" s="65"/>
      <c r="R893" s="65"/>
      <c r="S893" s="329"/>
    </row>
    <row r="894" spans="1:19">
      <c r="A894" s="24"/>
      <c r="B894" s="25" t="s">
        <v>304</v>
      </c>
      <c r="C894" s="26" t="s">
        <v>17</v>
      </c>
      <c r="D894" s="351">
        <v>1</v>
      </c>
      <c r="E894" s="303"/>
      <c r="F894" s="351">
        <v>1</v>
      </c>
      <c r="G894" s="26"/>
      <c r="H894" s="26"/>
      <c r="I894" s="26"/>
      <c r="J894" s="26"/>
      <c r="K894" s="26"/>
      <c r="L894" s="26"/>
      <c r="M894" s="26"/>
      <c r="N894" s="26"/>
      <c r="O894" s="26"/>
      <c r="P894" s="26"/>
      <c r="Q894" s="66"/>
      <c r="R894" s="66"/>
      <c r="S894" s="26"/>
    </row>
    <row r="895" spans="1:19" ht="30">
      <c r="A895" s="24"/>
      <c r="B895" s="25" t="s">
        <v>176</v>
      </c>
      <c r="C895" s="26" t="s">
        <v>78</v>
      </c>
      <c r="D895" s="351">
        <v>1</v>
      </c>
      <c r="E895" s="303"/>
      <c r="F895" s="351">
        <v>1</v>
      </c>
      <c r="G895" s="26"/>
      <c r="H895" s="26"/>
      <c r="I895" s="26"/>
      <c r="J895" s="26"/>
      <c r="K895" s="26"/>
      <c r="L895" s="26"/>
      <c r="M895" s="26"/>
      <c r="N895" s="26"/>
      <c r="O895" s="26"/>
      <c r="P895" s="26"/>
      <c r="Q895" s="66"/>
      <c r="R895" s="66"/>
      <c r="S895" s="26"/>
    </row>
    <row r="896" spans="1:19" ht="60">
      <c r="A896" s="24">
        <v>24</v>
      </c>
      <c r="B896" s="25" t="s">
        <v>305</v>
      </c>
      <c r="C896" s="26" t="s">
        <v>7</v>
      </c>
      <c r="D896" s="351">
        <v>1</v>
      </c>
      <c r="E896" s="303"/>
      <c r="F896" s="351">
        <v>1</v>
      </c>
      <c r="G896" s="26" t="s">
        <v>2326</v>
      </c>
      <c r="H896" s="26"/>
      <c r="I896" s="26" t="s">
        <v>2327</v>
      </c>
      <c r="J896" s="26" t="s">
        <v>2328</v>
      </c>
      <c r="K896" s="311">
        <v>53973224.909999996</v>
      </c>
      <c r="L896" s="311">
        <v>0</v>
      </c>
      <c r="M896" s="311">
        <v>2034000.0000000007</v>
      </c>
      <c r="N896" s="311">
        <v>5631840.9000000004</v>
      </c>
      <c r="O896" s="311">
        <v>3942288.6300000004</v>
      </c>
      <c r="P896" s="68">
        <f>SUM(K896:O896)</f>
        <v>65581354.439999998</v>
      </c>
      <c r="Q896" s="68">
        <f>D896*P896</f>
        <v>65581354.439999998</v>
      </c>
      <c r="R896" s="127">
        <f>F896*P896</f>
        <v>65581354.439999998</v>
      </c>
      <c r="S896" s="26"/>
    </row>
    <row r="897" spans="1:19" ht="30">
      <c r="A897" s="24"/>
      <c r="B897" s="25" t="s">
        <v>283</v>
      </c>
      <c r="C897" s="26" t="s">
        <v>8</v>
      </c>
      <c r="D897" s="351">
        <v>1</v>
      </c>
      <c r="E897" s="303"/>
      <c r="F897" s="351">
        <v>1</v>
      </c>
      <c r="G897" s="26"/>
      <c r="H897" s="26"/>
      <c r="I897" s="26"/>
      <c r="J897" s="26"/>
      <c r="K897" s="26"/>
      <c r="L897" s="26"/>
      <c r="M897" s="26"/>
      <c r="N897" s="26"/>
      <c r="O897" s="26"/>
      <c r="P897" s="26"/>
      <c r="Q897" s="66"/>
      <c r="R897" s="66"/>
      <c r="S897" s="26"/>
    </row>
    <row r="898" spans="1:19">
      <c r="A898" s="24"/>
      <c r="B898" s="25" t="s">
        <v>306</v>
      </c>
      <c r="C898" s="26" t="s">
        <v>8</v>
      </c>
      <c r="D898" s="351">
        <v>3</v>
      </c>
      <c r="E898" s="303"/>
      <c r="F898" s="351">
        <v>3</v>
      </c>
      <c r="G898" s="26"/>
      <c r="H898" s="26"/>
      <c r="I898" s="26"/>
      <c r="J898" s="26"/>
      <c r="K898" s="26"/>
      <c r="L898" s="26"/>
      <c r="M898" s="26"/>
      <c r="N898" s="26"/>
      <c r="O898" s="26"/>
      <c r="P898" s="26"/>
      <c r="Q898" s="66"/>
      <c r="R898" s="66"/>
      <c r="S898" s="26"/>
    </row>
    <row r="899" spans="1:19">
      <c r="A899" s="24"/>
      <c r="B899" s="25" t="s">
        <v>289</v>
      </c>
      <c r="C899" s="26" t="s">
        <v>8</v>
      </c>
      <c r="D899" s="351">
        <v>4</v>
      </c>
      <c r="E899" s="303"/>
      <c r="F899" s="351">
        <v>4</v>
      </c>
      <c r="G899" s="26"/>
      <c r="H899" s="26"/>
      <c r="I899" s="26"/>
      <c r="J899" s="26"/>
      <c r="K899" s="26"/>
      <c r="L899" s="26"/>
      <c r="M899" s="26"/>
      <c r="N899" s="26"/>
      <c r="O899" s="26"/>
      <c r="P899" s="26"/>
      <c r="Q899" s="66"/>
      <c r="R899" s="66"/>
      <c r="S899" s="26"/>
    </row>
    <row r="900" spans="1:19">
      <c r="A900" s="24"/>
      <c r="B900" s="25" t="s">
        <v>290</v>
      </c>
      <c r="C900" s="26" t="s">
        <v>8</v>
      </c>
      <c r="D900" s="351">
        <v>6</v>
      </c>
      <c r="E900" s="303"/>
      <c r="F900" s="351">
        <v>6</v>
      </c>
      <c r="G900" s="26"/>
      <c r="H900" s="26"/>
      <c r="I900" s="26"/>
      <c r="J900" s="26"/>
      <c r="K900" s="26"/>
      <c r="L900" s="26"/>
      <c r="M900" s="26"/>
      <c r="N900" s="26"/>
      <c r="O900" s="26"/>
      <c r="P900" s="26"/>
      <c r="Q900" s="66"/>
      <c r="R900" s="66"/>
      <c r="S900" s="26"/>
    </row>
    <row r="901" spans="1:19">
      <c r="A901" s="24"/>
      <c r="B901" s="25" t="s">
        <v>296</v>
      </c>
      <c r="C901" s="26" t="s">
        <v>8</v>
      </c>
      <c r="D901" s="351">
        <v>4</v>
      </c>
      <c r="E901" s="303"/>
      <c r="F901" s="351">
        <v>4</v>
      </c>
      <c r="G901" s="26"/>
      <c r="H901" s="26"/>
      <c r="I901" s="26"/>
      <c r="J901" s="26"/>
      <c r="K901" s="26"/>
      <c r="L901" s="26"/>
      <c r="M901" s="26"/>
      <c r="N901" s="26"/>
      <c r="O901" s="26"/>
      <c r="P901" s="26"/>
      <c r="Q901" s="66"/>
      <c r="R901" s="66"/>
      <c r="S901" s="26"/>
    </row>
    <row r="902" spans="1:19" ht="60">
      <c r="A902" s="24">
        <v>25</v>
      </c>
      <c r="B902" s="25" t="s">
        <v>307</v>
      </c>
      <c r="C902" s="26" t="s">
        <v>7</v>
      </c>
      <c r="D902" s="351">
        <v>1</v>
      </c>
      <c r="E902" s="303"/>
      <c r="F902" s="351">
        <v>1</v>
      </c>
      <c r="G902" s="26" t="s">
        <v>2326</v>
      </c>
      <c r="H902" s="26"/>
      <c r="I902" s="26" t="s">
        <v>2327</v>
      </c>
      <c r="J902" s="26" t="s">
        <v>2328</v>
      </c>
      <c r="K902" s="311">
        <v>52872082.559999995</v>
      </c>
      <c r="L902" s="311">
        <v>0</v>
      </c>
      <c r="M902" s="311">
        <v>4068000.0000000014</v>
      </c>
      <c r="N902" s="311">
        <v>5700614.4000000004</v>
      </c>
      <c r="O902" s="311">
        <v>3990430.0800000005</v>
      </c>
      <c r="P902" s="68">
        <f>SUM(K902:O902)</f>
        <v>66631127.039999992</v>
      </c>
      <c r="Q902" s="68">
        <f>D902*P902</f>
        <v>66631127.039999992</v>
      </c>
      <c r="R902" s="127">
        <f>F902*P902</f>
        <v>66631127.039999992</v>
      </c>
      <c r="S902" s="26"/>
    </row>
    <row r="903" spans="1:19" ht="30">
      <c r="A903" s="24"/>
      <c r="B903" s="25" t="s">
        <v>283</v>
      </c>
      <c r="C903" s="26" t="s">
        <v>8</v>
      </c>
      <c r="D903" s="351">
        <v>1</v>
      </c>
      <c r="E903" s="303"/>
      <c r="F903" s="351">
        <v>1</v>
      </c>
      <c r="G903" s="26"/>
      <c r="H903" s="26"/>
      <c r="I903" s="26"/>
      <c r="J903" s="26"/>
      <c r="K903" s="26"/>
      <c r="L903" s="26"/>
      <c r="M903" s="26"/>
      <c r="N903" s="26"/>
      <c r="O903" s="26"/>
      <c r="P903" s="26"/>
      <c r="Q903" s="66"/>
      <c r="R903" s="66"/>
      <c r="S903" s="26"/>
    </row>
    <row r="904" spans="1:19">
      <c r="A904" s="24"/>
      <c r="B904" s="25" t="s">
        <v>161</v>
      </c>
      <c r="C904" s="26"/>
      <c r="D904" s="351"/>
      <c r="E904" s="303"/>
      <c r="F904" s="351"/>
      <c r="G904" s="26"/>
      <c r="H904" s="26"/>
      <c r="I904" s="26"/>
      <c r="J904" s="26"/>
      <c r="K904" s="26"/>
      <c r="L904" s="26"/>
      <c r="M904" s="26"/>
      <c r="N904" s="26"/>
      <c r="O904" s="26"/>
      <c r="P904" s="26"/>
      <c r="Q904" s="66"/>
      <c r="R904" s="66"/>
      <c r="S904" s="26"/>
    </row>
    <row r="905" spans="1:19">
      <c r="A905" s="24"/>
      <c r="B905" s="25" t="s">
        <v>284</v>
      </c>
      <c r="C905" s="26" t="s">
        <v>8</v>
      </c>
      <c r="D905" s="351">
        <v>1</v>
      </c>
      <c r="E905" s="303"/>
      <c r="F905" s="351">
        <v>1</v>
      </c>
      <c r="G905" s="26"/>
      <c r="H905" s="26"/>
      <c r="I905" s="26"/>
      <c r="J905" s="26"/>
      <c r="K905" s="26"/>
      <c r="L905" s="26"/>
      <c r="M905" s="26"/>
      <c r="N905" s="26"/>
      <c r="O905" s="26"/>
      <c r="P905" s="26"/>
      <c r="Q905" s="66"/>
      <c r="R905" s="66"/>
      <c r="S905" s="26"/>
    </row>
    <row r="906" spans="1:19">
      <c r="A906" s="24"/>
      <c r="B906" s="25" t="s">
        <v>24</v>
      </c>
      <c r="C906" s="26" t="s">
        <v>8</v>
      </c>
      <c r="D906" s="351">
        <v>3</v>
      </c>
      <c r="E906" s="303"/>
      <c r="F906" s="351">
        <v>3</v>
      </c>
      <c r="G906" s="26"/>
      <c r="H906" s="26"/>
      <c r="I906" s="26"/>
      <c r="J906" s="26"/>
      <c r="K906" s="26"/>
      <c r="L906" s="26"/>
      <c r="M906" s="26"/>
      <c r="N906" s="26"/>
      <c r="O906" s="26"/>
      <c r="P906" s="26"/>
      <c r="Q906" s="66"/>
      <c r="R906" s="66"/>
      <c r="S906" s="26"/>
    </row>
    <row r="907" spans="1:19">
      <c r="A907" s="24"/>
      <c r="B907" s="25" t="s">
        <v>163</v>
      </c>
      <c r="C907" s="26" t="s">
        <v>8</v>
      </c>
      <c r="D907" s="351">
        <v>3</v>
      </c>
      <c r="E907" s="303"/>
      <c r="F907" s="351">
        <v>3</v>
      </c>
      <c r="G907" s="26"/>
      <c r="H907" s="26"/>
      <c r="I907" s="26"/>
      <c r="J907" s="26"/>
      <c r="K907" s="26"/>
      <c r="L907" s="26"/>
      <c r="M907" s="26"/>
      <c r="N907" s="26"/>
      <c r="O907" s="26"/>
      <c r="P907" s="26"/>
      <c r="Q907" s="66"/>
      <c r="R907" s="66"/>
      <c r="S907" s="26"/>
    </row>
    <row r="908" spans="1:19">
      <c r="A908" s="24"/>
      <c r="B908" s="25" t="s">
        <v>164</v>
      </c>
      <c r="C908" s="26"/>
      <c r="D908" s="351"/>
      <c r="E908" s="303"/>
      <c r="F908" s="351"/>
      <c r="G908" s="26"/>
      <c r="H908" s="26"/>
      <c r="I908" s="26"/>
      <c r="J908" s="26"/>
      <c r="K908" s="26"/>
      <c r="L908" s="26"/>
      <c r="M908" s="26"/>
      <c r="N908" s="26"/>
      <c r="O908" s="26"/>
      <c r="P908" s="26"/>
      <c r="Q908" s="66"/>
      <c r="R908" s="66"/>
      <c r="S908" s="26"/>
    </row>
    <row r="909" spans="1:19">
      <c r="A909" s="24"/>
      <c r="B909" s="25" t="s">
        <v>233</v>
      </c>
      <c r="C909" s="26" t="s">
        <v>8</v>
      </c>
      <c r="D909" s="351">
        <v>1</v>
      </c>
      <c r="E909" s="303"/>
      <c r="F909" s="351">
        <v>1</v>
      </c>
      <c r="G909" s="26"/>
      <c r="H909" s="26"/>
      <c r="I909" s="26"/>
      <c r="J909" s="26"/>
      <c r="K909" s="26"/>
      <c r="L909" s="26"/>
      <c r="M909" s="26"/>
      <c r="N909" s="26"/>
      <c r="O909" s="26"/>
      <c r="P909" s="26"/>
      <c r="Q909" s="66"/>
      <c r="R909" s="66"/>
      <c r="S909" s="26"/>
    </row>
    <row r="910" spans="1:19">
      <c r="A910" s="24"/>
      <c r="B910" s="25" t="s">
        <v>168</v>
      </c>
      <c r="C910" s="26" t="s">
        <v>8</v>
      </c>
      <c r="D910" s="351">
        <v>1</v>
      </c>
      <c r="E910" s="303"/>
      <c r="F910" s="351">
        <v>1</v>
      </c>
      <c r="G910" s="26"/>
      <c r="H910" s="26"/>
      <c r="I910" s="26"/>
      <c r="J910" s="26"/>
      <c r="K910" s="26"/>
      <c r="L910" s="26"/>
      <c r="M910" s="26"/>
      <c r="N910" s="26"/>
      <c r="O910" s="26"/>
      <c r="P910" s="26"/>
      <c r="Q910" s="66"/>
      <c r="R910" s="66"/>
      <c r="S910" s="26"/>
    </row>
    <row r="911" spans="1:19">
      <c r="A911" s="24"/>
      <c r="B911" s="25" t="s">
        <v>285</v>
      </c>
      <c r="C911" s="26" t="s">
        <v>8</v>
      </c>
      <c r="D911" s="351">
        <v>3</v>
      </c>
      <c r="E911" s="303"/>
      <c r="F911" s="351">
        <v>3</v>
      </c>
      <c r="G911" s="26"/>
      <c r="H911" s="26"/>
      <c r="I911" s="26"/>
      <c r="J911" s="26"/>
      <c r="K911" s="26"/>
      <c r="L911" s="26"/>
      <c r="M911" s="26"/>
      <c r="N911" s="26"/>
      <c r="O911" s="26"/>
      <c r="P911" s="26"/>
      <c r="Q911" s="66"/>
      <c r="R911" s="66"/>
      <c r="S911" s="26"/>
    </row>
    <row r="912" spans="1:19">
      <c r="A912" s="24"/>
      <c r="B912" s="25" t="s">
        <v>281</v>
      </c>
      <c r="C912" s="26" t="s">
        <v>8</v>
      </c>
      <c r="D912" s="351">
        <v>4</v>
      </c>
      <c r="E912" s="303"/>
      <c r="F912" s="351">
        <v>4</v>
      </c>
      <c r="G912" s="26"/>
      <c r="H912" s="26"/>
      <c r="I912" s="26"/>
      <c r="J912" s="26"/>
      <c r="K912" s="26"/>
      <c r="L912" s="26"/>
      <c r="M912" s="26"/>
      <c r="N912" s="26"/>
      <c r="O912" s="26"/>
      <c r="P912" s="26"/>
      <c r="Q912" s="66"/>
      <c r="R912" s="66"/>
      <c r="S912" s="26"/>
    </row>
    <row r="913" spans="1:19">
      <c r="A913" s="24"/>
      <c r="B913" s="25" t="s">
        <v>293</v>
      </c>
      <c r="C913" s="26" t="s">
        <v>8</v>
      </c>
      <c r="D913" s="351">
        <v>5</v>
      </c>
      <c r="E913" s="303"/>
      <c r="F913" s="351">
        <v>5</v>
      </c>
      <c r="G913" s="26"/>
      <c r="H913" s="26"/>
      <c r="I913" s="26"/>
      <c r="J913" s="26"/>
      <c r="K913" s="26"/>
      <c r="L913" s="26"/>
      <c r="M913" s="26"/>
      <c r="N913" s="26"/>
      <c r="O913" s="26"/>
      <c r="P913" s="26"/>
      <c r="Q913" s="66"/>
      <c r="R913" s="66"/>
      <c r="S913" s="26"/>
    </row>
    <row r="914" spans="1:19">
      <c r="A914" s="24"/>
      <c r="B914" s="25" t="s">
        <v>255</v>
      </c>
      <c r="C914" s="26" t="s">
        <v>8</v>
      </c>
      <c r="D914" s="351">
        <v>2</v>
      </c>
      <c r="E914" s="303"/>
      <c r="F914" s="351">
        <v>2</v>
      </c>
      <c r="G914" s="26"/>
      <c r="H914" s="26"/>
      <c r="I914" s="26"/>
      <c r="J914" s="26"/>
      <c r="K914" s="26"/>
      <c r="L914" s="26"/>
      <c r="M914" s="26"/>
      <c r="N914" s="26"/>
      <c r="O914" s="26"/>
      <c r="P914" s="26"/>
      <c r="Q914" s="66"/>
      <c r="R914" s="66"/>
      <c r="S914" s="26"/>
    </row>
    <row r="915" spans="1:19">
      <c r="A915" s="24"/>
      <c r="B915" s="25" t="s">
        <v>287</v>
      </c>
      <c r="C915" s="26" t="s">
        <v>8</v>
      </c>
      <c r="D915" s="351">
        <v>8</v>
      </c>
      <c r="E915" s="303"/>
      <c r="F915" s="351">
        <v>8</v>
      </c>
      <c r="G915" s="26"/>
      <c r="H915" s="26"/>
      <c r="I915" s="26"/>
      <c r="J915" s="26"/>
      <c r="K915" s="26"/>
      <c r="L915" s="26"/>
      <c r="M915" s="26"/>
      <c r="N915" s="26"/>
      <c r="O915" s="26"/>
      <c r="P915" s="26"/>
      <c r="Q915" s="66"/>
      <c r="R915" s="66"/>
      <c r="S915" s="26"/>
    </row>
    <row r="916" spans="1:19">
      <c r="A916" s="24"/>
      <c r="B916" s="25" t="s">
        <v>294</v>
      </c>
      <c r="C916" s="26" t="s">
        <v>8</v>
      </c>
      <c r="D916" s="351">
        <v>8</v>
      </c>
      <c r="E916" s="303"/>
      <c r="F916" s="351">
        <v>8</v>
      </c>
      <c r="G916" s="26"/>
      <c r="H916" s="26"/>
      <c r="I916" s="26"/>
      <c r="J916" s="26"/>
      <c r="K916" s="26"/>
      <c r="L916" s="26"/>
      <c r="M916" s="26"/>
      <c r="N916" s="26"/>
      <c r="O916" s="26"/>
      <c r="P916" s="26"/>
      <c r="Q916" s="66"/>
      <c r="R916" s="66"/>
      <c r="S916" s="26"/>
    </row>
    <row r="917" spans="1:19">
      <c r="A917" s="24"/>
      <c r="B917" s="25" t="s">
        <v>295</v>
      </c>
      <c r="C917" s="26" t="s">
        <v>8</v>
      </c>
      <c r="D917" s="351">
        <v>12</v>
      </c>
      <c r="E917" s="303"/>
      <c r="F917" s="351">
        <v>12</v>
      </c>
      <c r="G917" s="26"/>
      <c r="H917" s="26"/>
      <c r="I917" s="26"/>
      <c r="J917" s="26"/>
      <c r="K917" s="26"/>
      <c r="L917" s="26"/>
      <c r="M917" s="26"/>
      <c r="N917" s="26"/>
      <c r="O917" s="26"/>
      <c r="P917" s="26"/>
      <c r="Q917" s="66"/>
      <c r="R917" s="66"/>
      <c r="S917" s="26"/>
    </row>
    <row r="918" spans="1:19">
      <c r="A918" s="24"/>
      <c r="B918" s="25" t="s">
        <v>289</v>
      </c>
      <c r="C918" s="26" t="s">
        <v>8</v>
      </c>
      <c r="D918" s="351">
        <v>1</v>
      </c>
      <c r="E918" s="303"/>
      <c r="F918" s="351">
        <v>1</v>
      </c>
      <c r="G918" s="26"/>
      <c r="H918" s="26"/>
      <c r="I918" s="26"/>
      <c r="J918" s="26"/>
      <c r="K918" s="26"/>
      <c r="L918" s="26"/>
      <c r="M918" s="26"/>
      <c r="N918" s="26"/>
      <c r="O918" s="26"/>
      <c r="P918" s="26"/>
      <c r="Q918" s="66"/>
      <c r="R918" s="66"/>
      <c r="S918" s="26"/>
    </row>
    <row r="919" spans="1:19">
      <c r="A919" s="24"/>
      <c r="B919" s="25" t="s">
        <v>290</v>
      </c>
      <c r="C919" s="26" t="s">
        <v>8</v>
      </c>
      <c r="D919" s="351">
        <v>3</v>
      </c>
      <c r="E919" s="303"/>
      <c r="F919" s="351">
        <v>3</v>
      </c>
      <c r="G919" s="26"/>
      <c r="H919" s="26"/>
      <c r="I919" s="26"/>
      <c r="J919" s="26"/>
      <c r="K919" s="26"/>
      <c r="L919" s="26"/>
      <c r="M919" s="26"/>
      <c r="N919" s="26"/>
      <c r="O919" s="26"/>
      <c r="P919" s="26"/>
      <c r="Q919" s="66"/>
      <c r="R919" s="66"/>
      <c r="S919" s="26"/>
    </row>
    <row r="920" spans="1:19">
      <c r="A920" s="24"/>
      <c r="B920" s="25" t="s">
        <v>296</v>
      </c>
      <c r="C920" s="26" t="s">
        <v>8</v>
      </c>
      <c r="D920" s="351">
        <v>9</v>
      </c>
      <c r="E920" s="303"/>
      <c r="F920" s="351">
        <v>9</v>
      </c>
      <c r="G920" s="26"/>
      <c r="H920" s="26"/>
      <c r="I920" s="26"/>
      <c r="J920" s="26"/>
      <c r="K920" s="26"/>
      <c r="L920" s="26"/>
      <c r="M920" s="26"/>
      <c r="N920" s="26"/>
      <c r="O920" s="26"/>
      <c r="P920" s="26"/>
      <c r="Q920" s="66"/>
      <c r="R920" s="66"/>
      <c r="S920" s="26"/>
    </row>
    <row r="921" spans="1:19">
      <c r="A921" s="24"/>
      <c r="B921" s="25" t="s">
        <v>291</v>
      </c>
      <c r="C921" s="26" t="s">
        <v>17</v>
      </c>
      <c r="D921" s="351">
        <v>1</v>
      </c>
      <c r="E921" s="303"/>
      <c r="F921" s="351">
        <v>1</v>
      </c>
      <c r="G921" s="26"/>
      <c r="H921" s="26"/>
      <c r="I921" s="26"/>
      <c r="J921" s="26"/>
      <c r="K921" s="26"/>
      <c r="L921" s="26"/>
      <c r="M921" s="26"/>
      <c r="N921" s="26"/>
      <c r="O921" s="26"/>
      <c r="P921" s="26"/>
      <c r="Q921" s="66"/>
      <c r="R921" s="66"/>
      <c r="S921" s="26"/>
    </row>
    <row r="922" spans="1:19" ht="30">
      <c r="A922" s="24"/>
      <c r="B922" s="25" t="s">
        <v>176</v>
      </c>
      <c r="C922" s="26" t="s">
        <v>78</v>
      </c>
      <c r="D922" s="351">
        <v>1</v>
      </c>
      <c r="E922" s="303"/>
      <c r="F922" s="351">
        <v>1</v>
      </c>
      <c r="G922" s="26"/>
      <c r="H922" s="26"/>
      <c r="I922" s="26"/>
      <c r="J922" s="26"/>
      <c r="K922" s="26"/>
      <c r="L922" s="26"/>
      <c r="M922" s="26"/>
      <c r="N922" s="26"/>
      <c r="O922" s="26"/>
      <c r="P922" s="26"/>
      <c r="Q922" s="66"/>
      <c r="R922" s="66"/>
      <c r="S922" s="26"/>
    </row>
    <row r="923" spans="1:19" ht="60">
      <c r="A923" s="24">
        <v>26</v>
      </c>
      <c r="B923" s="25" t="s">
        <v>308</v>
      </c>
      <c r="C923" s="26" t="s">
        <v>7</v>
      </c>
      <c r="D923" s="351">
        <v>1</v>
      </c>
      <c r="E923" s="303"/>
      <c r="F923" s="351">
        <v>1</v>
      </c>
      <c r="G923" s="26" t="s">
        <v>2326</v>
      </c>
      <c r="H923" s="26"/>
      <c r="I923" s="26" t="s">
        <v>2327</v>
      </c>
      <c r="J923" s="26" t="s">
        <v>2328</v>
      </c>
      <c r="K923" s="311">
        <v>53973224.909999996</v>
      </c>
      <c r="L923" s="311">
        <v>0</v>
      </c>
      <c r="M923" s="311">
        <v>2034000.0000000007</v>
      </c>
      <c r="N923" s="311">
        <v>5631840.9000000004</v>
      </c>
      <c r="O923" s="311">
        <v>3942288.6300000004</v>
      </c>
      <c r="P923" s="68">
        <f>SUM(K923:O923)</f>
        <v>65581354.439999998</v>
      </c>
      <c r="Q923" s="68">
        <f>D923*P923</f>
        <v>65581354.439999998</v>
      </c>
      <c r="R923" s="127">
        <f>F923*P923</f>
        <v>65581354.439999998</v>
      </c>
      <c r="S923" s="26"/>
    </row>
    <row r="924" spans="1:19" ht="30">
      <c r="A924" s="24"/>
      <c r="B924" s="25" t="s">
        <v>283</v>
      </c>
      <c r="C924" s="26" t="s">
        <v>8</v>
      </c>
      <c r="D924" s="351">
        <v>1</v>
      </c>
      <c r="E924" s="303"/>
      <c r="F924" s="351">
        <v>1</v>
      </c>
      <c r="G924" s="26"/>
      <c r="H924" s="26"/>
      <c r="I924" s="26"/>
      <c r="J924" s="26"/>
      <c r="K924" s="26"/>
      <c r="L924" s="26"/>
      <c r="M924" s="26"/>
      <c r="N924" s="26"/>
      <c r="O924" s="26"/>
      <c r="P924" s="26"/>
      <c r="Q924" s="66"/>
      <c r="R924" s="66"/>
      <c r="S924" s="26"/>
    </row>
    <row r="925" spans="1:19">
      <c r="A925" s="24"/>
      <c r="B925" s="25" t="s">
        <v>289</v>
      </c>
      <c r="C925" s="26" t="s">
        <v>8</v>
      </c>
      <c r="D925" s="351">
        <v>1</v>
      </c>
      <c r="E925" s="92"/>
      <c r="F925" s="351">
        <v>1</v>
      </c>
      <c r="G925" s="329"/>
      <c r="H925" s="329"/>
      <c r="I925" s="329"/>
      <c r="J925" s="329"/>
      <c r="K925" s="329"/>
      <c r="L925" s="329"/>
      <c r="M925" s="329"/>
      <c r="N925" s="329"/>
      <c r="O925" s="329"/>
      <c r="P925" s="329"/>
      <c r="Q925" s="65"/>
      <c r="R925" s="65"/>
      <c r="S925" s="329"/>
    </row>
    <row r="926" spans="1:19">
      <c r="A926" s="24"/>
      <c r="B926" s="25" t="s">
        <v>290</v>
      </c>
      <c r="C926" s="26" t="s">
        <v>8</v>
      </c>
      <c r="D926" s="351">
        <v>3</v>
      </c>
      <c r="E926" s="313"/>
      <c r="F926" s="351">
        <v>3</v>
      </c>
      <c r="G926" s="315"/>
      <c r="H926" s="315"/>
      <c r="I926" s="315"/>
      <c r="J926" s="315"/>
      <c r="K926" s="315"/>
      <c r="L926" s="315"/>
      <c r="M926" s="315"/>
      <c r="N926" s="315"/>
      <c r="O926" s="315"/>
      <c r="P926" s="315"/>
      <c r="Q926" s="66"/>
      <c r="R926" s="66"/>
      <c r="S926" s="315"/>
    </row>
    <row r="927" spans="1:19">
      <c r="A927" s="24"/>
      <c r="B927" s="25" t="s">
        <v>296</v>
      </c>
      <c r="C927" s="26" t="s">
        <v>8</v>
      </c>
      <c r="D927" s="351">
        <v>9</v>
      </c>
      <c r="E927" s="313"/>
      <c r="F927" s="351">
        <v>9</v>
      </c>
      <c r="G927" s="315"/>
      <c r="H927" s="315"/>
      <c r="I927" s="315"/>
      <c r="J927" s="315"/>
      <c r="K927" s="315"/>
      <c r="L927" s="315"/>
      <c r="M927" s="315"/>
      <c r="N927" s="315"/>
      <c r="O927" s="315"/>
      <c r="P927" s="315"/>
      <c r="Q927" s="66"/>
      <c r="R927" s="66"/>
      <c r="S927" s="315"/>
    </row>
    <row r="928" spans="1:19" ht="60">
      <c r="A928" s="24">
        <v>27</v>
      </c>
      <c r="B928" s="25" t="s">
        <v>309</v>
      </c>
      <c r="C928" s="26" t="s">
        <v>7</v>
      </c>
      <c r="D928" s="351">
        <v>1</v>
      </c>
      <c r="E928" s="313"/>
      <c r="F928" s="351">
        <v>1</v>
      </c>
      <c r="G928" s="26" t="s">
        <v>2326</v>
      </c>
      <c r="H928" s="26"/>
      <c r="I928" s="26" t="s">
        <v>2327</v>
      </c>
      <c r="J928" s="26" t="s">
        <v>2328</v>
      </c>
      <c r="K928" s="311">
        <v>12792069.179999998</v>
      </c>
      <c r="L928" s="311">
        <v>0</v>
      </c>
      <c r="M928" s="311">
        <v>1318333.3333333335</v>
      </c>
      <c r="N928" s="311">
        <v>1408794.8666666667</v>
      </c>
      <c r="O928" s="311">
        <v>986156.40666666673</v>
      </c>
      <c r="P928" s="68">
        <f>SUM(K928:O928)</f>
        <v>16505353.786666665</v>
      </c>
      <c r="Q928" s="68">
        <f>D928*P928</f>
        <v>16505353.786666665</v>
      </c>
      <c r="R928" s="127">
        <f>F928*P928</f>
        <v>16505353.786666665</v>
      </c>
      <c r="S928" s="315"/>
    </row>
    <row r="929" spans="1:19" ht="30">
      <c r="A929" s="24"/>
      <c r="B929" s="25" t="s">
        <v>310</v>
      </c>
      <c r="C929" s="26" t="s">
        <v>8</v>
      </c>
      <c r="D929" s="351">
        <v>1</v>
      </c>
      <c r="E929" s="313"/>
      <c r="F929" s="351">
        <v>1</v>
      </c>
      <c r="G929" s="315"/>
      <c r="H929" s="315"/>
      <c r="I929" s="315"/>
      <c r="J929" s="315"/>
      <c r="K929" s="315"/>
      <c r="L929" s="315"/>
      <c r="M929" s="315"/>
      <c r="N929" s="315"/>
      <c r="O929" s="315"/>
      <c r="P929" s="315"/>
      <c r="Q929" s="66"/>
      <c r="R929" s="66"/>
      <c r="S929" s="315"/>
    </row>
    <row r="930" spans="1:19">
      <c r="A930" s="24"/>
      <c r="B930" s="25" t="s">
        <v>161</v>
      </c>
      <c r="C930" s="26"/>
      <c r="D930" s="351"/>
      <c r="E930" s="313"/>
      <c r="F930" s="351"/>
      <c r="G930" s="315"/>
      <c r="H930" s="315"/>
      <c r="I930" s="315"/>
      <c r="J930" s="315"/>
      <c r="K930" s="315"/>
      <c r="L930" s="315"/>
      <c r="M930" s="315"/>
      <c r="N930" s="315"/>
      <c r="O930" s="315"/>
      <c r="P930" s="315"/>
      <c r="Q930" s="66"/>
      <c r="R930" s="66"/>
      <c r="S930" s="315"/>
    </row>
    <row r="931" spans="1:19">
      <c r="A931" s="24"/>
      <c r="B931" s="25" t="s">
        <v>311</v>
      </c>
      <c r="C931" s="26" t="s">
        <v>8</v>
      </c>
      <c r="D931" s="351">
        <v>1</v>
      </c>
      <c r="E931" s="313"/>
      <c r="F931" s="351">
        <v>1</v>
      </c>
      <c r="G931" s="315"/>
      <c r="H931" s="315"/>
      <c r="I931" s="315"/>
      <c r="J931" s="315"/>
      <c r="K931" s="315"/>
      <c r="L931" s="315"/>
      <c r="M931" s="315"/>
      <c r="N931" s="315"/>
      <c r="O931" s="315"/>
      <c r="P931" s="315"/>
      <c r="Q931" s="66"/>
      <c r="R931" s="66"/>
      <c r="S931" s="315"/>
    </row>
    <row r="932" spans="1:19">
      <c r="A932" s="24"/>
      <c r="B932" s="25" t="s">
        <v>24</v>
      </c>
      <c r="C932" s="26" t="s">
        <v>8</v>
      </c>
      <c r="D932" s="351">
        <v>3</v>
      </c>
      <c r="E932" s="313"/>
      <c r="F932" s="351">
        <v>3</v>
      </c>
      <c r="G932" s="315"/>
      <c r="H932" s="315"/>
      <c r="I932" s="315"/>
      <c r="J932" s="315"/>
      <c r="K932" s="315"/>
      <c r="L932" s="315"/>
      <c r="M932" s="315"/>
      <c r="N932" s="315"/>
      <c r="O932" s="315"/>
      <c r="P932" s="315"/>
      <c r="Q932" s="66"/>
      <c r="R932" s="66"/>
      <c r="S932" s="315"/>
    </row>
    <row r="933" spans="1:19">
      <c r="A933" s="24"/>
      <c r="B933" s="25" t="s">
        <v>163</v>
      </c>
      <c r="C933" s="26" t="s">
        <v>8</v>
      </c>
      <c r="D933" s="351">
        <v>3</v>
      </c>
      <c r="E933" s="313"/>
      <c r="F933" s="351">
        <v>3</v>
      </c>
      <c r="G933" s="315"/>
      <c r="H933" s="315"/>
      <c r="I933" s="315"/>
      <c r="J933" s="315"/>
      <c r="K933" s="315"/>
      <c r="L933" s="315"/>
      <c r="M933" s="315"/>
      <c r="N933" s="315"/>
      <c r="O933" s="315"/>
      <c r="P933" s="315"/>
      <c r="Q933" s="66"/>
      <c r="R933" s="66"/>
      <c r="S933" s="315"/>
    </row>
    <row r="934" spans="1:19">
      <c r="A934" s="24"/>
      <c r="B934" s="25" t="s">
        <v>164</v>
      </c>
      <c r="C934" s="26"/>
      <c r="D934" s="351"/>
      <c r="E934" s="313"/>
      <c r="F934" s="351"/>
      <c r="G934" s="315"/>
      <c r="H934" s="315"/>
      <c r="I934" s="315"/>
      <c r="J934" s="315"/>
      <c r="K934" s="315"/>
      <c r="L934" s="315"/>
      <c r="M934" s="315"/>
      <c r="N934" s="315"/>
      <c r="O934" s="315"/>
      <c r="P934" s="315"/>
      <c r="Q934" s="66"/>
      <c r="R934" s="66"/>
      <c r="S934" s="315"/>
    </row>
    <row r="935" spans="1:19">
      <c r="A935" s="24"/>
      <c r="B935" s="25" t="s">
        <v>179</v>
      </c>
      <c r="C935" s="26" t="s">
        <v>8</v>
      </c>
      <c r="D935" s="351">
        <v>1</v>
      </c>
      <c r="E935" s="313"/>
      <c r="F935" s="351">
        <v>1</v>
      </c>
      <c r="G935" s="315"/>
      <c r="H935" s="315"/>
      <c r="I935" s="315"/>
      <c r="J935" s="315"/>
      <c r="K935" s="315"/>
      <c r="L935" s="315"/>
      <c r="M935" s="315"/>
      <c r="N935" s="315"/>
      <c r="O935" s="315"/>
      <c r="P935" s="315"/>
      <c r="Q935" s="66"/>
      <c r="R935" s="66"/>
      <c r="S935" s="315"/>
    </row>
    <row r="936" spans="1:19">
      <c r="A936" s="24"/>
      <c r="B936" s="25" t="s">
        <v>166</v>
      </c>
      <c r="C936" s="26" t="s">
        <v>8</v>
      </c>
      <c r="D936" s="351">
        <v>6</v>
      </c>
      <c r="E936" s="313"/>
      <c r="F936" s="351">
        <v>6</v>
      </c>
      <c r="G936" s="315"/>
      <c r="H936" s="315"/>
      <c r="I936" s="315"/>
      <c r="J936" s="315"/>
      <c r="K936" s="315"/>
      <c r="L936" s="315"/>
      <c r="M936" s="315"/>
      <c r="N936" s="315"/>
      <c r="O936" s="315"/>
      <c r="P936" s="315"/>
      <c r="Q936" s="66"/>
      <c r="R936" s="66"/>
      <c r="S936" s="315"/>
    </row>
    <row r="937" spans="1:19">
      <c r="A937" s="24"/>
      <c r="B937" s="25" t="s">
        <v>167</v>
      </c>
      <c r="C937" s="26" t="s">
        <v>8</v>
      </c>
      <c r="D937" s="351">
        <v>9</v>
      </c>
      <c r="E937" s="313"/>
      <c r="F937" s="351">
        <v>9</v>
      </c>
      <c r="G937" s="315"/>
      <c r="H937" s="315"/>
      <c r="I937" s="315"/>
      <c r="J937" s="315"/>
      <c r="K937" s="315"/>
      <c r="L937" s="315"/>
      <c r="M937" s="315"/>
      <c r="N937" s="315"/>
      <c r="O937" s="315"/>
      <c r="P937" s="315"/>
      <c r="Q937" s="66"/>
      <c r="R937" s="66"/>
      <c r="S937" s="315"/>
    </row>
    <row r="938" spans="1:19">
      <c r="A938" s="24"/>
      <c r="B938" s="25" t="s">
        <v>168</v>
      </c>
      <c r="C938" s="26" t="s">
        <v>8</v>
      </c>
      <c r="D938" s="351">
        <v>1</v>
      </c>
      <c r="E938" s="313"/>
      <c r="F938" s="351">
        <v>1</v>
      </c>
      <c r="G938" s="315"/>
      <c r="H938" s="315"/>
      <c r="I938" s="315"/>
      <c r="J938" s="315"/>
      <c r="K938" s="315"/>
      <c r="L938" s="315"/>
      <c r="M938" s="315"/>
      <c r="N938" s="315"/>
      <c r="O938" s="315"/>
      <c r="P938" s="315"/>
      <c r="Q938" s="66"/>
      <c r="R938" s="66"/>
      <c r="S938" s="315"/>
    </row>
    <row r="939" spans="1:19">
      <c r="A939" s="24"/>
      <c r="B939" s="25" t="s">
        <v>169</v>
      </c>
      <c r="C939" s="26"/>
      <c r="D939" s="351"/>
      <c r="E939" s="313"/>
      <c r="F939" s="351"/>
      <c r="G939" s="315"/>
      <c r="H939" s="315"/>
      <c r="I939" s="315"/>
      <c r="J939" s="315"/>
      <c r="K939" s="315"/>
      <c r="L939" s="315"/>
      <c r="M939" s="315"/>
      <c r="N939" s="315"/>
      <c r="O939" s="315"/>
      <c r="P939" s="315"/>
      <c r="Q939" s="66"/>
      <c r="R939" s="66"/>
      <c r="S939" s="315"/>
    </row>
    <row r="940" spans="1:19">
      <c r="A940" s="24"/>
      <c r="B940" s="25" t="s">
        <v>170</v>
      </c>
      <c r="C940" s="26" t="s">
        <v>8</v>
      </c>
      <c r="D940" s="351">
        <v>5</v>
      </c>
      <c r="E940" s="313"/>
      <c r="F940" s="351">
        <v>5</v>
      </c>
      <c r="G940" s="315"/>
      <c r="H940" s="315"/>
      <c r="I940" s="315"/>
      <c r="J940" s="315"/>
      <c r="K940" s="315"/>
      <c r="L940" s="315"/>
      <c r="M940" s="315"/>
      <c r="N940" s="315"/>
      <c r="O940" s="315"/>
      <c r="P940" s="315"/>
      <c r="Q940" s="66"/>
      <c r="R940" s="66"/>
      <c r="S940" s="315"/>
    </row>
    <row r="941" spans="1:19">
      <c r="A941" s="24"/>
      <c r="B941" s="25" t="s">
        <v>171</v>
      </c>
      <c r="C941" s="26" t="s">
        <v>8</v>
      </c>
      <c r="D941" s="351">
        <v>1</v>
      </c>
      <c r="E941" s="313"/>
      <c r="F941" s="351">
        <v>1</v>
      </c>
      <c r="G941" s="315"/>
      <c r="H941" s="315"/>
      <c r="I941" s="315"/>
      <c r="J941" s="315"/>
      <c r="K941" s="315"/>
      <c r="L941" s="315"/>
      <c r="M941" s="315"/>
      <c r="N941" s="315"/>
      <c r="O941" s="315"/>
      <c r="P941" s="315"/>
      <c r="Q941" s="66"/>
      <c r="R941" s="66"/>
      <c r="S941" s="315"/>
    </row>
    <row r="942" spans="1:19">
      <c r="A942" s="24"/>
      <c r="B942" s="25" t="s">
        <v>172</v>
      </c>
      <c r="C942" s="26" t="s">
        <v>78</v>
      </c>
      <c r="D942" s="351">
        <v>1</v>
      </c>
      <c r="E942" s="313"/>
      <c r="F942" s="351">
        <v>1</v>
      </c>
      <c r="G942" s="315"/>
      <c r="H942" s="315"/>
      <c r="I942" s="315"/>
      <c r="J942" s="315"/>
      <c r="K942" s="315"/>
      <c r="L942" s="315"/>
      <c r="M942" s="315"/>
      <c r="N942" s="315"/>
      <c r="O942" s="315"/>
      <c r="P942" s="315"/>
      <c r="Q942" s="66"/>
      <c r="R942" s="66"/>
      <c r="S942" s="315"/>
    </row>
    <row r="943" spans="1:19">
      <c r="A943" s="24"/>
      <c r="B943" s="25" t="s">
        <v>173</v>
      </c>
      <c r="C943" s="26" t="s">
        <v>8</v>
      </c>
      <c r="D943" s="351">
        <v>1</v>
      </c>
      <c r="E943" s="313"/>
      <c r="F943" s="351">
        <v>1</v>
      </c>
      <c r="G943" s="315"/>
      <c r="H943" s="315"/>
      <c r="I943" s="315"/>
      <c r="J943" s="315"/>
      <c r="K943" s="315"/>
      <c r="L943" s="315"/>
      <c r="M943" s="315"/>
      <c r="N943" s="315"/>
      <c r="O943" s="315"/>
      <c r="P943" s="315"/>
      <c r="Q943" s="66"/>
      <c r="R943" s="66"/>
      <c r="S943" s="315"/>
    </row>
    <row r="944" spans="1:19">
      <c r="A944" s="24"/>
      <c r="B944" s="25" t="s">
        <v>199</v>
      </c>
      <c r="C944" s="26" t="s">
        <v>17</v>
      </c>
      <c r="D944" s="351">
        <v>1</v>
      </c>
      <c r="E944" s="313"/>
      <c r="F944" s="351">
        <v>1</v>
      </c>
      <c r="G944" s="315"/>
      <c r="H944" s="315"/>
      <c r="I944" s="315"/>
      <c r="J944" s="315"/>
      <c r="K944" s="315"/>
      <c r="L944" s="315"/>
      <c r="M944" s="315"/>
      <c r="N944" s="315"/>
      <c r="O944" s="315"/>
      <c r="P944" s="315"/>
      <c r="Q944" s="66"/>
      <c r="R944" s="66"/>
      <c r="S944" s="315"/>
    </row>
    <row r="945" spans="1:19" ht="30">
      <c r="A945" s="24"/>
      <c r="B945" s="25" t="s">
        <v>176</v>
      </c>
      <c r="C945" s="26" t="s">
        <v>78</v>
      </c>
      <c r="D945" s="351">
        <v>1</v>
      </c>
      <c r="E945" s="313"/>
      <c r="F945" s="351">
        <v>1</v>
      </c>
      <c r="G945" s="315"/>
      <c r="H945" s="315"/>
      <c r="I945" s="315"/>
      <c r="J945" s="315"/>
      <c r="K945" s="315"/>
      <c r="L945" s="315"/>
      <c r="M945" s="315"/>
      <c r="N945" s="315"/>
      <c r="O945" s="315"/>
      <c r="P945" s="315"/>
      <c r="Q945" s="66"/>
      <c r="R945" s="66"/>
      <c r="S945" s="315"/>
    </row>
    <row r="946" spans="1:19" ht="60">
      <c r="A946" s="24">
        <v>28</v>
      </c>
      <c r="B946" s="25" t="s">
        <v>312</v>
      </c>
      <c r="C946" s="26" t="s">
        <v>7</v>
      </c>
      <c r="D946" s="351">
        <v>1</v>
      </c>
      <c r="E946" s="313"/>
      <c r="F946" s="351">
        <v>1</v>
      </c>
      <c r="G946" s="26" t="s">
        <v>2326</v>
      </c>
      <c r="H946" s="26"/>
      <c r="I946" s="26" t="s">
        <v>2327</v>
      </c>
      <c r="J946" s="26" t="s">
        <v>2328</v>
      </c>
      <c r="K946" s="311">
        <v>12515778.989999998</v>
      </c>
      <c r="L946" s="311">
        <v>0</v>
      </c>
      <c r="M946" s="311">
        <v>1318333.3333333335</v>
      </c>
      <c r="N946" s="311">
        <v>1380886.7666666666</v>
      </c>
      <c r="O946" s="311">
        <v>966620.73666666669</v>
      </c>
      <c r="P946" s="68">
        <f>SUM(K946:O946)</f>
        <v>16181619.826666666</v>
      </c>
      <c r="Q946" s="68">
        <f>D946*P946</f>
        <v>16181619.826666666</v>
      </c>
      <c r="R946" s="127">
        <f>F946*P946</f>
        <v>16181619.826666666</v>
      </c>
      <c r="S946" s="315"/>
    </row>
    <row r="947" spans="1:19" ht="30">
      <c r="A947" s="24"/>
      <c r="B947" s="25" t="s">
        <v>310</v>
      </c>
      <c r="C947" s="26" t="s">
        <v>8</v>
      </c>
      <c r="D947" s="351">
        <v>1</v>
      </c>
      <c r="E947" s="313"/>
      <c r="F947" s="351">
        <v>1</v>
      </c>
      <c r="G947" s="315"/>
      <c r="H947" s="315"/>
      <c r="I947" s="315"/>
      <c r="J947" s="315"/>
      <c r="K947" s="315"/>
      <c r="L947" s="315"/>
      <c r="M947" s="315"/>
      <c r="N947" s="315"/>
      <c r="O947" s="315"/>
      <c r="P947" s="315"/>
      <c r="Q947" s="66"/>
      <c r="R947" s="66"/>
      <c r="S947" s="315"/>
    </row>
    <row r="948" spans="1:19">
      <c r="A948" s="24"/>
      <c r="B948" s="25" t="s">
        <v>161</v>
      </c>
      <c r="C948" s="26"/>
      <c r="D948" s="351"/>
      <c r="E948" s="313"/>
      <c r="F948" s="351"/>
      <c r="G948" s="315"/>
      <c r="H948" s="315"/>
      <c r="I948" s="315"/>
      <c r="J948" s="315"/>
      <c r="K948" s="315"/>
      <c r="L948" s="315"/>
      <c r="M948" s="315"/>
      <c r="N948" s="315"/>
      <c r="O948" s="315"/>
      <c r="P948" s="315"/>
      <c r="Q948" s="66"/>
      <c r="R948" s="66"/>
      <c r="S948" s="315"/>
    </row>
    <row r="949" spans="1:19">
      <c r="A949" s="24"/>
      <c r="B949" s="25" t="s">
        <v>311</v>
      </c>
      <c r="C949" s="26" t="s">
        <v>8</v>
      </c>
      <c r="D949" s="351">
        <v>1</v>
      </c>
      <c r="E949" s="313"/>
      <c r="F949" s="351">
        <v>1</v>
      </c>
      <c r="G949" s="315"/>
      <c r="H949" s="315"/>
      <c r="I949" s="315"/>
      <c r="J949" s="315"/>
      <c r="K949" s="315"/>
      <c r="L949" s="315"/>
      <c r="M949" s="315"/>
      <c r="N949" s="315"/>
      <c r="O949" s="315"/>
      <c r="P949" s="315"/>
      <c r="Q949" s="66"/>
      <c r="R949" s="66"/>
      <c r="S949" s="315"/>
    </row>
    <row r="950" spans="1:19">
      <c r="A950" s="24"/>
      <c r="B950" s="25" t="s">
        <v>24</v>
      </c>
      <c r="C950" s="26" t="s">
        <v>8</v>
      </c>
      <c r="D950" s="351">
        <v>3</v>
      </c>
      <c r="E950" s="313"/>
      <c r="F950" s="351">
        <v>3</v>
      </c>
      <c r="G950" s="315"/>
      <c r="H950" s="315"/>
      <c r="I950" s="315"/>
      <c r="J950" s="315"/>
      <c r="K950" s="315"/>
      <c r="L950" s="315"/>
      <c r="M950" s="315"/>
      <c r="N950" s="315"/>
      <c r="O950" s="315"/>
      <c r="P950" s="315"/>
      <c r="Q950" s="66"/>
      <c r="R950" s="66"/>
      <c r="S950" s="315"/>
    </row>
    <row r="951" spans="1:19">
      <c r="A951" s="24"/>
      <c r="B951" s="25" t="s">
        <v>163</v>
      </c>
      <c r="C951" s="26" t="s">
        <v>8</v>
      </c>
      <c r="D951" s="351">
        <v>3</v>
      </c>
      <c r="E951" s="313"/>
      <c r="F951" s="351">
        <v>3</v>
      </c>
      <c r="G951" s="315"/>
      <c r="H951" s="315"/>
      <c r="I951" s="315"/>
      <c r="J951" s="315"/>
      <c r="K951" s="315"/>
      <c r="L951" s="315"/>
      <c r="M951" s="315"/>
      <c r="N951" s="315"/>
      <c r="O951" s="315"/>
      <c r="P951" s="315"/>
      <c r="Q951" s="66"/>
      <c r="R951" s="66"/>
      <c r="S951" s="315"/>
    </row>
    <row r="952" spans="1:19">
      <c r="A952" s="24"/>
      <c r="B952" s="25" t="s">
        <v>164</v>
      </c>
      <c r="C952" s="26"/>
      <c r="D952" s="351"/>
      <c r="E952" s="313"/>
      <c r="F952" s="351"/>
      <c r="G952" s="315"/>
      <c r="H952" s="315"/>
      <c r="I952" s="315"/>
      <c r="J952" s="315"/>
      <c r="K952" s="315"/>
      <c r="L952" s="315"/>
      <c r="M952" s="315"/>
      <c r="N952" s="315"/>
      <c r="O952" s="315"/>
      <c r="P952" s="315"/>
      <c r="Q952" s="66"/>
      <c r="R952" s="66"/>
      <c r="S952" s="315"/>
    </row>
    <row r="953" spans="1:19">
      <c r="A953" s="24"/>
      <c r="B953" s="25" t="s">
        <v>165</v>
      </c>
      <c r="C953" s="26" t="s">
        <v>8</v>
      </c>
      <c r="D953" s="351">
        <v>1</v>
      </c>
      <c r="E953" s="313"/>
      <c r="F953" s="351">
        <v>1</v>
      </c>
      <c r="G953" s="315"/>
      <c r="H953" s="315"/>
      <c r="I953" s="315"/>
      <c r="J953" s="315"/>
      <c r="K953" s="315"/>
      <c r="L953" s="315"/>
      <c r="M953" s="315"/>
      <c r="N953" s="315"/>
      <c r="O953" s="315"/>
      <c r="P953" s="315"/>
      <c r="Q953" s="66"/>
      <c r="R953" s="66"/>
      <c r="S953" s="315"/>
    </row>
    <row r="954" spans="1:19">
      <c r="A954" s="24"/>
      <c r="B954" s="25" t="s">
        <v>166</v>
      </c>
      <c r="C954" s="26" t="s">
        <v>8</v>
      </c>
      <c r="D954" s="351">
        <v>6</v>
      </c>
      <c r="E954" s="313"/>
      <c r="F954" s="351">
        <v>6</v>
      </c>
      <c r="G954" s="315"/>
      <c r="H954" s="315"/>
      <c r="I954" s="315"/>
      <c r="J954" s="315"/>
      <c r="K954" s="315"/>
      <c r="L954" s="315"/>
      <c r="M954" s="315"/>
      <c r="N954" s="315"/>
      <c r="O954" s="315"/>
      <c r="P954" s="315"/>
      <c r="Q954" s="66"/>
      <c r="R954" s="66"/>
      <c r="S954" s="315"/>
    </row>
    <row r="955" spans="1:19">
      <c r="A955" s="24"/>
      <c r="B955" s="25" t="s">
        <v>167</v>
      </c>
      <c r="C955" s="26" t="s">
        <v>8</v>
      </c>
      <c r="D955" s="351">
        <v>9</v>
      </c>
      <c r="E955" s="313"/>
      <c r="F955" s="351">
        <v>9</v>
      </c>
      <c r="G955" s="315"/>
      <c r="H955" s="315"/>
      <c r="I955" s="315"/>
      <c r="J955" s="315"/>
      <c r="K955" s="315"/>
      <c r="L955" s="315"/>
      <c r="M955" s="315"/>
      <c r="N955" s="315"/>
      <c r="O955" s="315"/>
      <c r="P955" s="315"/>
      <c r="Q955" s="66"/>
      <c r="R955" s="66"/>
      <c r="S955" s="315"/>
    </row>
    <row r="956" spans="1:19">
      <c r="A956" s="24"/>
      <c r="B956" s="25" t="s">
        <v>168</v>
      </c>
      <c r="C956" s="26" t="s">
        <v>8</v>
      </c>
      <c r="D956" s="351">
        <v>1</v>
      </c>
      <c r="E956" s="313"/>
      <c r="F956" s="351">
        <v>1</v>
      </c>
      <c r="G956" s="315"/>
      <c r="H956" s="315"/>
      <c r="I956" s="315"/>
      <c r="J956" s="315"/>
      <c r="K956" s="315"/>
      <c r="L956" s="315"/>
      <c r="M956" s="315"/>
      <c r="N956" s="315"/>
      <c r="O956" s="315"/>
      <c r="P956" s="315"/>
      <c r="Q956" s="66"/>
      <c r="R956" s="66"/>
      <c r="S956" s="315"/>
    </row>
    <row r="957" spans="1:19">
      <c r="A957" s="24"/>
      <c r="B957" s="25" t="s">
        <v>169</v>
      </c>
      <c r="C957" s="26"/>
      <c r="D957" s="351"/>
      <c r="E957" s="313"/>
      <c r="F957" s="351"/>
      <c r="G957" s="315"/>
      <c r="H957" s="315"/>
      <c r="I957" s="315"/>
      <c r="J957" s="315"/>
      <c r="K957" s="315"/>
      <c r="L957" s="315"/>
      <c r="M957" s="315"/>
      <c r="N957" s="315"/>
      <c r="O957" s="315"/>
      <c r="P957" s="315"/>
      <c r="Q957" s="66"/>
      <c r="R957" s="66"/>
      <c r="S957" s="315"/>
    </row>
    <row r="958" spans="1:19">
      <c r="A958" s="24"/>
      <c r="B958" s="25" t="s">
        <v>170</v>
      </c>
      <c r="C958" s="26" t="s">
        <v>8</v>
      </c>
      <c r="D958" s="351">
        <v>5</v>
      </c>
      <c r="E958" s="313"/>
      <c r="F958" s="351">
        <v>5</v>
      </c>
      <c r="G958" s="315"/>
      <c r="H958" s="315"/>
      <c r="I958" s="315"/>
      <c r="J958" s="315"/>
      <c r="K958" s="315"/>
      <c r="L958" s="315"/>
      <c r="M958" s="315"/>
      <c r="N958" s="315"/>
      <c r="O958" s="315"/>
      <c r="P958" s="315"/>
      <c r="Q958" s="66"/>
      <c r="R958" s="66"/>
      <c r="S958" s="315"/>
    </row>
    <row r="959" spans="1:19">
      <c r="A959" s="24"/>
      <c r="B959" s="25" t="s">
        <v>171</v>
      </c>
      <c r="C959" s="26" t="s">
        <v>8</v>
      </c>
      <c r="D959" s="351">
        <v>1</v>
      </c>
      <c r="E959" s="313"/>
      <c r="F959" s="351">
        <v>1</v>
      </c>
      <c r="G959" s="315"/>
      <c r="H959" s="315"/>
      <c r="I959" s="315"/>
      <c r="J959" s="315"/>
      <c r="K959" s="315"/>
      <c r="L959" s="315"/>
      <c r="M959" s="315"/>
      <c r="N959" s="315"/>
      <c r="O959" s="315"/>
      <c r="P959" s="315"/>
      <c r="Q959" s="66"/>
      <c r="R959" s="66"/>
      <c r="S959" s="315"/>
    </row>
    <row r="960" spans="1:19">
      <c r="A960" s="24"/>
      <c r="B960" s="25" t="s">
        <v>172</v>
      </c>
      <c r="C960" s="26" t="s">
        <v>78</v>
      </c>
      <c r="D960" s="351">
        <v>1</v>
      </c>
      <c r="E960" s="313"/>
      <c r="F960" s="351">
        <v>1</v>
      </c>
      <c r="G960" s="315"/>
      <c r="H960" s="315"/>
      <c r="I960" s="315"/>
      <c r="J960" s="315"/>
      <c r="K960" s="315"/>
      <c r="L960" s="315"/>
      <c r="M960" s="315"/>
      <c r="N960" s="315"/>
      <c r="O960" s="315"/>
      <c r="P960" s="315"/>
      <c r="Q960" s="66"/>
      <c r="R960" s="66"/>
      <c r="S960" s="315"/>
    </row>
    <row r="961" spans="1:19">
      <c r="A961" s="24"/>
      <c r="B961" s="25" t="s">
        <v>173</v>
      </c>
      <c r="C961" s="26" t="s">
        <v>8</v>
      </c>
      <c r="D961" s="351">
        <v>1</v>
      </c>
      <c r="E961" s="313"/>
      <c r="F961" s="351">
        <v>1</v>
      </c>
      <c r="G961" s="315"/>
      <c r="H961" s="315"/>
      <c r="I961" s="315"/>
      <c r="J961" s="315"/>
      <c r="K961" s="315"/>
      <c r="L961" s="315"/>
      <c r="M961" s="315"/>
      <c r="N961" s="315"/>
      <c r="O961" s="315"/>
      <c r="P961" s="315"/>
      <c r="Q961" s="66"/>
      <c r="R961" s="66"/>
      <c r="S961" s="315"/>
    </row>
    <row r="962" spans="1:19">
      <c r="A962" s="24"/>
      <c r="B962" s="25" t="s">
        <v>199</v>
      </c>
      <c r="C962" s="26" t="s">
        <v>17</v>
      </c>
      <c r="D962" s="351">
        <v>1</v>
      </c>
      <c r="E962" s="313"/>
      <c r="F962" s="351">
        <v>1</v>
      </c>
      <c r="G962" s="315"/>
      <c r="H962" s="315"/>
      <c r="I962" s="315"/>
      <c r="J962" s="315"/>
      <c r="K962" s="315"/>
      <c r="L962" s="315"/>
      <c r="M962" s="315"/>
      <c r="N962" s="315"/>
      <c r="O962" s="315"/>
      <c r="P962" s="315"/>
      <c r="Q962" s="66"/>
      <c r="R962" s="66"/>
      <c r="S962" s="315"/>
    </row>
    <row r="963" spans="1:19" ht="30">
      <c r="A963" s="24"/>
      <c r="B963" s="25" t="s">
        <v>176</v>
      </c>
      <c r="C963" s="26" t="s">
        <v>78</v>
      </c>
      <c r="D963" s="351">
        <v>1</v>
      </c>
      <c r="E963" s="313"/>
      <c r="F963" s="351">
        <v>1</v>
      </c>
      <c r="G963" s="315"/>
      <c r="H963" s="315"/>
      <c r="I963" s="315"/>
      <c r="J963" s="315"/>
      <c r="K963" s="315"/>
      <c r="L963" s="315"/>
      <c r="M963" s="315"/>
      <c r="N963" s="315"/>
      <c r="O963" s="315"/>
      <c r="P963" s="315"/>
      <c r="Q963" s="66"/>
      <c r="R963" s="66"/>
      <c r="S963" s="315"/>
    </row>
    <row r="964" spans="1:19" ht="60">
      <c r="A964" s="24">
        <v>29</v>
      </c>
      <c r="B964" s="25" t="s">
        <v>313</v>
      </c>
      <c r="C964" s="26" t="s">
        <v>7</v>
      </c>
      <c r="D964" s="351">
        <v>1</v>
      </c>
      <c r="E964" s="313"/>
      <c r="F964" s="351">
        <v>1</v>
      </c>
      <c r="G964" s="26" t="s">
        <v>2326</v>
      </c>
      <c r="H964" s="26"/>
      <c r="I964" s="26" t="s">
        <v>2327</v>
      </c>
      <c r="J964" s="26" t="s">
        <v>2328</v>
      </c>
      <c r="K964" s="311">
        <v>27605300.579999998</v>
      </c>
      <c r="L964" s="311">
        <v>0</v>
      </c>
      <c r="M964" s="311">
        <v>2034000.0000000007</v>
      </c>
      <c r="N964" s="311">
        <v>2968414.2</v>
      </c>
      <c r="O964" s="311">
        <v>2077889.9400000002</v>
      </c>
      <c r="P964" s="68">
        <f>SUM(K964:O964)</f>
        <v>34685604.719999999</v>
      </c>
      <c r="Q964" s="68">
        <f>D964*P964</f>
        <v>34685604.719999999</v>
      </c>
      <c r="R964" s="127">
        <f>F964*P964</f>
        <v>34685604.719999999</v>
      </c>
      <c r="S964" s="315"/>
    </row>
    <row r="965" spans="1:19" ht="30">
      <c r="A965" s="24"/>
      <c r="B965" s="25" t="s">
        <v>221</v>
      </c>
      <c r="C965" s="26" t="s">
        <v>8</v>
      </c>
      <c r="D965" s="351">
        <v>1</v>
      </c>
      <c r="E965" s="313"/>
      <c r="F965" s="351">
        <v>1</v>
      </c>
      <c r="G965" s="315"/>
      <c r="H965" s="315"/>
      <c r="I965" s="315"/>
      <c r="J965" s="315"/>
      <c r="K965" s="315"/>
      <c r="L965" s="315"/>
      <c r="M965" s="315"/>
      <c r="N965" s="315"/>
      <c r="O965" s="315"/>
      <c r="P965" s="315"/>
      <c r="Q965" s="66"/>
      <c r="R965" s="66"/>
      <c r="S965" s="315"/>
    </row>
    <row r="966" spans="1:19">
      <c r="A966" s="24"/>
      <c r="B966" s="25" t="s">
        <v>161</v>
      </c>
      <c r="C966" s="26"/>
      <c r="D966" s="351"/>
      <c r="E966" s="313"/>
      <c r="F966" s="351"/>
      <c r="G966" s="315"/>
      <c r="H966" s="315"/>
      <c r="I966" s="315"/>
      <c r="J966" s="315"/>
      <c r="K966" s="315"/>
      <c r="L966" s="315"/>
      <c r="M966" s="315"/>
      <c r="N966" s="315"/>
      <c r="O966" s="315"/>
      <c r="P966" s="315"/>
      <c r="Q966" s="66"/>
      <c r="R966" s="66"/>
      <c r="S966" s="315"/>
    </row>
    <row r="967" spans="1:19">
      <c r="A967" s="24"/>
      <c r="B967" s="25" t="s">
        <v>178</v>
      </c>
      <c r="C967" s="26" t="s">
        <v>8</v>
      </c>
      <c r="D967" s="351">
        <v>1</v>
      </c>
      <c r="E967" s="313"/>
      <c r="F967" s="351">
        <v>1</v>
      </c>
      <c r="G967" s="315"/>
      <c r="H967" s="315"/>
      <c r="I967" s="315"/>
      <c r="J967" s="315"/>
      <c r="K967" s="315"/>
      <c r="L967" s="315"/>
      <c r="M967" s="315"/>
      <c r="N967" s="315"/>
      <c r="O967" s="315"/>
      <c r="P967" s="315"/>
      <c r="Q967" s="66"/>
      <c r="R967" s="66"/>
      <c r="S967" s="315"/>
    </row>
    <row r="968" spans="1:19">
      <c r="A968" s="24"/>
      <c r="B968" s="25" t="s">
        <v>202</v>
      </c>
      <c r="C968" s="26" t="s">
        <v>20</v>
      </c>
      <c r="D968" s="351">
        <v>3</v>
      </c>
      <c r="E968" s="313"/>
      <c r="F968" s="351">
        <v>3</v>
      </c>
      <c r="G968" s="315"/>
      <c r="H968" s="315"/>
      <c r="I968" s="315"/>
      <c r="J968" s="315"/>
      <c r="K968" s="315"/>
      <c r="L968" s="315"/>
      <c r="M968" s="315"/>
      <c r="N968" s="315"/>
      <c r="O968" s="315"/>
      <c r="P968" s="315"/>
      <c r="Q968" s="66"/>
      <c r="R968" s="66"/>
      <c r="S968" s="315"/>
    </row>
    <row r="969" spans="1:19">
      <c r="A969" s="24"/>
      <c r="B969" s="25" t="s">
        <v>21</v>
      </c>
      <c r="C969" s="26" t="s">
        <v>8</v>
      </c>
      <c r="D969" s="351">
        <v>1</v>
      </c>
      <c r="E969" s="313"/>
      <c r="F969" s="351">
        <v>1</v>
      </c>
      <c r="G969" s="315"/>
      <c r="H969" s="315"/>
      <c r="I969" s="315"/>
      <c r="J969" s="315"/>
      <c r="K969" s="315"/>
      <c r="L969" s="315"/>
      <c r="M969" s="315"/>
      <c r="N969" s="315"/>
      <c r="O969" s="315"/>
      <c r="P969" s="315"/>
      <c r="Q969" s="66"/>
      <c r="R969" s="66"/>
      <c r="S969" s="315"/>
    </row>
    <row r="970" spans="1:19">
      <c r="A970" s="24"/>
      <c r="B970" s="25" t="s">
        <v>22</v>
      </c>
      <c r="C970" s="26" t="s">
        <v>8</v>
      </c>
      <c r="D970" s="351">
        <v>1</v>
      </c>
      <c r="E970" s="313"/>
      <c r="F970" s="351">
        <v>1</v>
      </c>
      <c r="G970" s="315"/>
      <c r="H970" s="315"/>
      <c r="I970" s="315"/>
      <c r="J970" s="315"/>
      <c r="K970" s="315"/>
      <c r="L970" s="315"/>
      <c r="M970" s="315"/>
      <c r="N970" s="315"/>
      <c r="O970" s="315"/>
      <c r="P970" s="315"/>
      <c r="Q970" s="66"/>
      <c r="R970" s="66"/>
      <c r="S970" s="315"/>
    </row>
    <row r="971" spans="1:19">
      <c r="A971" s="24"/>
      <c r="B971" s="25" t="s">
        <v>203</v>
      </c>
      <c r="C971" s="26" t="s">
        <v>8</v>
      </c>
      <c r="D971" s="351">
        <v>3</v>
      </c>
      <c r="E971" s="313"/>
      <c r="F971" s="351">
        <v>3</v>
      </c>
      <c r="G971" s="315"/>
      <c r="H971" s="315"/>
      <c r="I971" s="315"/>
      <c r="J971" s="315"/>
      <c r="K971" s="315"/>
      <c r="L971" s="315"/>
      <c r="M971" s="315"/>
      <c r="N971" s="315"/>
      <c r="O971" s="315"/>
      <c r="P971" s="315"/>
      <c r="Q971" s="66"/>
      <c r="R971" s="66"/>
      <c r="S971" s="315"/>
    </row>
    <row r="972" spans="1:19">
      <c r="A972" s="24"/>
      <c r="B972" s="25" t="s">
        <v>24</v>
      </c>
      <c r="C972" s="26" t="s">
        <v>8</v>
      </c>
      <c r="D972" s="351">
        <v>3</v>
      </c>
      <c r="E972" s="313"/>
      <c r="F972" s="351">
        <v>3</v>
      </c>
      <c r="G972" s="315"/>
      <c r="H972" s="315"/>
      <c r="I972" s="315"/>
      <c r="J972" s="315"/>
      <c r="K972" s="315"/>
      <c r="L972" s="315"/>
      <c r="M972" s="315"/>
      <c r="N972" s="315"/>
      <c r="O972" s="315"/>
      <c r="P972" s="315"/>
      <c r="Q972" s="66"/>
      <c r="R972" s="66"/>
      <c r="S972" s="315"/>
    </row>
    <row r="973" spans="1:19">
      <c r="A973" s="24"/>
      <c r="B973" s="25" t="s">
        <v>163</v>
      </c>
      <c r="C973" s="26" t="s">
        <v>8</v>
      </c>
      <c r="D973" s="351">
        <v>3</v>
      </c>
      <c r="E973" s="313"/>
      <c r="F973" s="351">
        <v>3</v>
      </c>
      <c r="G973" s="315"/>
      <c r="H973" s="315"/>
      <c r="I973" s="315"/>
      <c r="J973" s="315"/>
      <c r="K973" s="315"/>
      <c r="L973" s="315"/>
      <c r="M973" s="315"/>
      <c r="N973" s="315"/>
      <c r="O973" s="315"/>
      <c r="P973" s="315"/>
      <c r="Q973" s="66"/>
      <c r="R973" s="66"/>
      <c r="S973" s="315"/>
    </row>
    <row r="974" spans="1:19">
      <c r="A974" s="24"/>
      <c r="B974" s="25" t="s">
        <v>164</v>
      </c>
      <c r="C974" s="26"/>
      <c r="D974" s="351"/>
      <c r="E974" s="313"/>
      <c r="F974" s="351"/>
      <c r="G974" s="315"/>
      <c r="H974" s="315"/>
      <c r="I974" s="315"/>
      <c r="J974" s="315"/>
      <c r="K974" s="315"/>
      <c r="L974" s="315"/>
      <c r="M974" s="315"/>
      <c r="N974" s="315"/>
      <c r="O974" s="315"/>
      <c r="P974" s="315"/>
      <c r="Q974" s="66"/>
      <c r="R974" s="66"/>
      <c r="S974" s="315"/>
    </row>
    <row r="975" spans="1:19">
      <c r="A975" s="24"/>
      <c r="B975" s="25" t="s">
        <v>165</v>
      </c>
      <c r="C975" s="26" t="s">
        <v>8</v>
      </c>
      <c r="D975" s="351">
        <v>1</v>
      </c>
      <c r="E975" s="298"/>
      <c r="F975" s="351">
        <v>1</v>
      </c>
      <c r="G975" s="339"/>
      <c r="H975" s="339"/>
      <c r="I975" s="339"/>
      <c r="J975" s="339"/>
      <c r="K975" s="339"/>
      <c r="L975" s="339"/>
      <c r="M975" s="339"/>
      <c r="N975" s="339"/>
      <c r="O975" s="339"/>
      <c r="P975" s="339"/>
      <c r="Q975" s="66"/>
      <c r="R975" s="66"/>
      <c r="S975" s="339"/>
    </row>
    <row r="976" spans="1:19">
      <c r="A976" s="24"/>
      <c r="B976" s="25" t="s">
        <v>180</v>
      </c>
      <c r="C976" s="26" t="s">
        <v>8</v>
      </c>
      <c r="D976" s="351">
        <v>2</v>
      </c>
      <c r="E976" s="298"/>
      <c r="F976" s="351">
        <v>2</v>
      </c>
      <c r="G976" s="339"/>
      <c r="H976" s="339"/>
      <c r="I976" s="339"/>
      <c r="J976" s="339"/>
      <c r="K976" s="339"/>
      <c r="L976" s="339"/>
      <c r="M976" s="339"/>
      <c r="N976" s="339"/>
      <c r="O976" s="339"/>
      <c r="P976" s="339"/>
      <c r="Q976" s="66"/>
      <c r="R976" s="66"/>
      <c r="S976" s="339"/>
    </row>
    <row r="977" spans="1:19">
      <c r="A977" s="24"/>
      <c r="B977" s="25" t="s">
        <v>314</v>
      </c>
      <c r="C977" s="26" t="s">
        <v>8</v>
      </c>
      <c r="D977" s="351">
        <v>0</v>
      </c>
      <c r="E977" s="313"/>
      <c r="F977" s="351">
        <v>0</v>
      </c>
      <c r="G977" s="315"/>
      <c r="H977" s="315"/>
      <c r="I977" s="315"/>
      <c r="J977" s="315"/>
      <c r="K977" s="315"/>
      <c r="L977" s="315"/>
      <c r="M977" s="315"/>
      <c r="N977" s="315"/>
      <c r="O977" s="315"/>
      <c r="P977" s="315"/>
      <c r="Q977" s="66"/>
      <c r="R977" s="66"/>
      <c r="S977" s="315"/>
    </row>
    <row r="978" spans="1:19">
      <c r="A978" s="24"/>
      <c r="B978" s="25" t="s">
        <v>315</v>
      </c>
      <c r="C978" s="26" t="s">
        <v>8</v>
      </c>
      <c r="D978" s="351">
        <v>1</v>
      </c>
      <c r="E978" s="313"/>
      <c r="F978" s="351">
        <v>1</v>
      </c>
      <c r="G978" s="315"/>
      <c r="H978" s="315"/>
      <c r="I978" s="315"/>
      <c r="J978" s="315"/>
      <c r="K978" s="315"/>
      <c r="L978" s="315"/>
      <c r="M978" s="315"/>
      <c r="N978" s="315"/>
      <c r="O978" s="315"/>
      <c r="P978" s="315"/>
      <c r="Q978" s="66"/>
      <c r="R978" s="66"/>
      <c r="S978" s="315"/>
    </row>
    <row r="979" spans="1:19">
      <c r="A979" s="24"/>
      <c r="B979" s="25" t="s">
        <v>166</v>
      </c>
      <c r="C979" s="26" t="s">
        <v>8</v>
      </c>
      <c r="D979" s="351">
        <v>13</v>
      </c>
      <c r="E979" s="313"/>
      <c r="F979" s="351">
        <v>13</v>
      </c>
      <c r="G979" s="315"/>
      <c r="H979" s="315"/>
      <c r="I979" s="315"/>
      <c r="J979" s="315"/>
      <c r="K979" s="315"/>
      <c r="L979" s="315"/>
      <c r="M979" s="315"/>
      <c r="N979" s="315"/>
      <c r="O979" s="315"/>
      <c r="P979" s="315"/>
      <c r="Q979" s="66"/>
      <c r="R979" s="66"/>
      <c r="S979" s="315"/>
    </row>
    <row r="980" spans="1:19">
      <c r="A980" s="24"/>
      <c r="B980" s="25" t="s">
        <v>167</v>
      </c>
      <c r="C980" s="26" t="s">
        <v>8</v>
      </c>
      <c r="D980" s="351">
        <v>8</v>
      </c>
      <c r="E980" s="313"/>
      <c r="F980" s="351">
        <v>8</v>
      </c>
      <c r="G980" s="315"/>
      <c r="H980" s="315"/>
      <c r="I980" s="315"/>
      <c r="J980" s="315"/>
      <c r="K980" s="315"/>
      <c r="L980" s="315"/>
      <c r="M980" s="315"/>
      <c r="N980" s="315"/>
      <c r="O980" s="315"/>
      <c r="P980" s="315"/>
      <c r="Q980" s="66"/>
      <c r="R980" s="66"/>
      <c r="S980" s="315"/>
    </row>
    <row r="981" spans="1:19">
      <c r="A981" s="24"/>
      <c r="B981" s="25" t="s">
        <v>168</v>
      </c>
      <c r="C981" s="26" t="s">
        <v>8</v>
      </c>
      <c r="D981" s="351">
        <v>1</v>
      </c>
      <c r="E981" s="313"/>
      <c r="F981" s="351">
        <v>1</v>
      </c>
      <c r="G981" s="315"/>
      <c r="H981" s="315"/>
      <c r="I981" s="315"/>
      <c r="J981" s="315"/>
      <c r="K981" s="315"/>
      <c r="L981" s="315"/>
      <c r="M981" s="315"/>
      <c r="N981" s="315"/>
      <c r="O981" s="315"/>
      <c r="P981" s="315"/>
      <c r="Q981" s="66"/>
      <c r="R981" s="66"/>
      <c r="S981" s="315"/>
    </row>
    <row r="982" spans="1:19">
      <c r="A982" s="24"/>
      <c r="B982" s="25" t="s">
        <v>169</v>
      </c>
      <c r="C982" s="26"/>
      <c r="D982" s="351"/>
      <c r="E982" s="313"/>
      <c r="F982" s="351"/>
      <c r="G982" s="315"/>
      <c r="H982" s="315"/>
      <c r="I982" s="315"/>
      <c r="J982" s="315"/>
      <c r="K982" s="315"/>
      <c r="L982" s="315"/>
      <c r="M982" s="315"/>
      <c r="N982" s="315"/>
      <c r="O982" s="315"/>
      <c r="P982" s="315"/>
      <c r="Q982" s="66"/>
      <c r="R982" s="66"/>
      <c r="S982" s="315"/>
    </row>
    <row r="983" spans="1:19">
      <c r="A983" s="24"/>
      <c r="B983" s="25" t="s">
        <v>170</v>
      </c>
      <c r="C983" s="26" t="s">
        <v>8</v>
      </c>
      <c r="D983" s="351">
        <v>13</v>
      </c>
      <c r="E983" s="313"/>
      <c r="F983" s="351">
        <v>13</v>
      </c>
      <c r="G983" s="315"/>
      <c r="H983" s="315"/>
      <c r="I983" s="315"/>
      <c r="J983" s="315"/>
      <c r="K983" s="315"/>
      <c r="L983" s="315"/>
      <c r="M983" s="315"/>
      <c r="N983" s="315"/>
      <c r="O983" s="315"/>
      <c r="P983" s="315"/>
      <c r="Q983" s="66"/>
      <c r="R983" s="66"/>
      <c r="S983" s="315"/>
    </row>
    <row r="984" spans="1:19">
      <c r="A984" s="24"/>
      <c r="B984" s="25" t="s">
        <v>171</v>
      </c>
      <c r="C984" s="26" t="s">
        <v>8</v>
      </c>
      <c r="D984" s="351">
        <v>1</v>
      </c>
      <c r="E984" s="313"/>
      <c r="F984" s="351">
        <v>1</v>
      </c>
      <c r="G984" s="315"/>
      <c r="H984" s="315"/>
      <c r="I984" s="315"/>
      <c r="J984" s="315"/>
      <c r="K984" s="315"/>
      <c r="L984" s="315"/>
      <c r="M984" s="315"/>
      <c r="N984" s="315"/>
      <c r="O984" s="315"/>
      <c r="P984" s="315"/>
      <c r="Q984" s="66"/>
      <c r="R984" s="66"/>
      <c r="S984" s="315"/>
    </row>
    <row r="985" spans="1:19">
      <c r="A985" s="24"/>
      <c r="B985" s="25" t="s">
        <v>172</v>
      </c>
      <c r="C985" s="26" t="s">
        <v>78</v>
      </c>
      <c r="D985" s="351">
        <v>1</v>
      </c>
      <c r="E985" s="313"/>
      <c r="F985" s="351">
        <v>1</v>
      </c>
      <c r="G985" s="315"/>
      <c r="H985" s="315"/>
      <c r="I985" s="315"/>
      <c r="J985" s="315"/>
      <c r="K985" s="315"/>
      <c r="L985" s="315"/>
      <c r="M985" s="315"/>
      <c r="N985" s="315"/>
      <c r="O985" s="315"/>
      <c r="P985" s="315"/>
      <c r="Q985" s="66"/>
      <c r="R985" s="66"/>
      <c r="S985" s="315"/>
    </row>
    <row r="986" spans="1:19">
      <c r="A986" s="24"/>
      <c r="B986" s="25" t="s">
        <v>274</v>
      </c>
      <c r="C986" s="26" t="s">
        <v>17</v>
      </c>
      <c r="D986" s="351">
        <v>1</v>
      </c>
      <c r="E986" s="313"/>
      <c r="F986" s="351">
        <v>1</v>
      </c>
      <c r="G986" s="315"/>
      <c r="H986" s="315"/>
      <c r="I986" s="315"/>
      <c r="J986" s="315"/>
      <c r="K986" s="315"/>
      <c r="L986" s="315"/>
      <c r="M986" s="315"/>
      <c r="N986" s="315"/>
      <c r="O986" s="315"/>
      <c r="P986" s="315"/>
      <c r="Q986" s="66"/>
      <c r="R986" s="66"/>
      <c r="S986" s="315"/>
    </row>
    <row r="987" spans="1:19">
      <c r="A987" s="24"/>
      <c r="B987" s="25" t="s">
        <v>182</v>
      </c>
      <c r="C987" s="26" t="s">
        <v>8</v>
      </c>
      <c r="D987" s="351">
        <v>1</v>
      </c>
      <c r="E987" s="313"/>
      <c r="F987" s="351">
        <v>1</v>
      </c>
      <c r="G987" s="315"/>
      <c r="H987" s="315"/>
      <c r="I987" s="315"/>
      <c r="J987" s="315"/>
      <c r="K987" s="315"/>
      <c r="L987" s="315"/>
      <c r="M987" s="315"/>
      <c r="N987" s="315"/>
      <c r="O987" s="315"/>
      <c r="P987" s="315"/>
      <c r="Q987" s="66"/>
      <c r="R987" s="66"/>
      <c r="S987" s="315"/>
    </row>
    <row r="988" spans="1:19">
      <c r="A988" s="24"/>
      <c r="B988" s="25" t="s">
        <v>183</v>
      </c>
      <c r="C988" s="26" t="s">
        <v>8</v>
      </c>
      <c r="D988" s="351">
        <v>1</v>
      </c>
      <c r="E988" s="313"/>
      <c r="F988" s="351">
        <v>1</v>
      </c>
      <c r="G988" s="315"/>
      <c r="H988" s="315"/>
      <c r="I988" s="315"/>
      <c r="J988" s="315"/>
      <c r="K988" s="315"/>
      <c r="L988" s="315"/>
      <c r="M988" s="315"/>
      <c r="N988" s="315"/>
      <c r="O988" s="315"/>
      <c r="P988" s="315"/>
      <c r="Q988" s="66"/>
      <c r="R988" s="66"/>
      <c r="S988" s="315"/>
    </row>
    <row r="989" spans="1:19">
      <c r="A989" s="24"/>
      <c r="B989" s="25" t="s">
        <v>275</v>
      </c>
      <c r="C989" s="26" t="s">
        <v>8</v>
      </c>
      <c r="D989" s="351">
        <v>1</v>
      </c>
      <c r="E989" s="313"/>
      <c r="F989" s="351">
        <v>1</v>
      </c>
      <c r="G989" s="315"/>
      <c r="H989" s="315"/>
      <c r="I989" s="315"/>
      <c r="J989" s="315"/>
      <c r="K989" s="315"/>
      <c r="L989" s="315"/>
      <c r="M989" s="315"/>
      <c r="N989" s="315"/>
      <c r="O989" s="315"/>
      <c r="P989" s="315"/>
      <c r="Q989" s="66"/>
      <c r="R989" s="66"/>
      <c r="S989" s="315"/>
    </row>
    <row r="990" spans="1:19">
      <c r="A990" s="24"/>
      <c r="B990" s="25" t="s">
        <v>185</v>
      </c>
      <c r="C990" s="26" t="s">
        <v>8</v>
      </c>
      <c r="D990" s="351">
        <v>1</v>
      </c>
      <c r="E990" s="313"/>
      <c r="F990" s="351">
        <v>1</v>
      </c>
      <c r="G990" s="315"/>
      <c r="H990" s="315"/>
      <c r="I990" s="315"/>
      <c r="J990" s="315"/>
      <c r="K990" s="315"/>
      <c r="L990" s="315"/>
      <c r="M990" s="315"/>
      <c r="N990" s="315"/>
      <c r="O990" s="315"/>
      <c r="P990" s="315"/>
      <c r="Q990" s="66"/>
      <c r="R990" s="66"/>
      <c r="S990" s="315"/>
    </row>
    <row r="991" spans="1:19">
      <c r="A991" s="24"/>
      <c r="B991" s="25" t="s">
        <v>186</v>
      </c>
      <c r="C991" s="26" t="s">
        <v>8</v>
      </c>
      <c r="D991" s="351">
        <v>2</v>
      </c>
      <c r="E991" s="313"/>
      <c r="F991" s="351">
        <v>2</v>
      </c>
      <c r="G991" s="315"/>
      <c r="H991" s="315"/>
      <c r="I991" s="315"/>
      <c r="J991" s="315"/>
      <c r="K991" s="315"/>
      <c r="L991" s="315"/>
      <c r="M991" s="315"/>
      <c r="N991" s="315"/>
      <c r="O991" s="315"/>
      <c r="P991" s="315"/>
      <c r="Q991" s="66"/>
      <c r="R991" s="66"/>
      <c r="S991" s="315"/>
    </row>
    <row r="992" spans="1:19">
      <c r="A992" s="24"/>
      <c r="B992" s="25" t="s">
        <v>187</v>
      </c>
      <c r="C992" s="26" t="s">
        <v>78</v>
      </c>
      <c r="D992" s="351">
        <v>1</v>
      </c>
      <c r="E992" s="313"/>
      <c r="F992" s="351">
        <v>1</v>
      </c>
      <c r="G992" s="315"/>
      <c r="H992" s="315"/>
      <c r="I992" s="315"/>
      <c r="J992" s="315"/>
      <c r="K992" s="315"/>
      <c r="L992" s="315"/>
      <c r="M992" s="315"/>
      <c r="N992" s="315"/>
      <c r="O992" s="315"/>
      <c r="P992" s="315"/>
      <c r="Q992" s="66"/>
      <c r="R992" s="66"/>
      <c r="S992" s="315"/>
    </row>
    <row r="993" spans="1:19">
      <c r="A993" s="24"/>
      <c r="B993" s="25" t="s">
        <v>226</v>
      </c>
      <c r="C993" s="26" t="s">
        <v>17</v>
      </c>
      <c r="D993" s="351">
        <v>1</v>
      </c>
      <c r="E993" s="313"/>
      <c r="F993" s="351">
        <v>1</v>
      </c>
      <c r="G993" s="315"/>
      <c r="H993" s="315"/>
      <c r="I993" s="315"/>
      <c r="J993" s="315"/>
      <c r="K993" s="315"/>
      <c r="L993" s="315"/>
      <c r="M993" s="315"/>
      <c r="N993" s="315"/>
      <c r="O993" s="315"/>
      <c r="P993" s="315"/>
      <c r="Q993" s="66"/>
      <c r="R993" s="66"/>
      <c r="S993" s="315"/>
    </row>
    <row r="994" spans="1:19">
      <c r="A994" s="24"/>
      <c r="B994" s="25" t="s">
        <v>182</v>
      </c>
      <c r="C994" s="26" t="s">
        <v>8</v>
      </c>
      <c r="D994" s="351">
        <v>1</v>
      </c>
      <c r="E994" s="92"/>
      <c r="F994" s="351">
        <v>1</v>
      </c>
      <c r="G994" s="329"/>
      <c r="H994" s="329"/>
      <c r="I994" s="329"/>
      <c r="J994" s="329"/>
      <c r="K994" s="329"/>
      <c r="L994" s="329"/>
      <c r="M994" s="329"/>
      <c r="N994" s="329"/>
      <c r="O994" s="329"/>
      <c r="P994" s="329"/>
      <c r="Q994" s="65"/>
      <c r="R994" s="65"/>
      <c r="S994" s="329"/>
    </row>
    <row r="995" spans="1:19">
      <c r="A995" s="24"/>
      <c r="B995" s="25" t="s">
        <v>183</v>
      </c>
      <c r="C995" s="26" t="s">
        <v>8</v>
      </c>
      <c r="D995" s="351">
        <v>1</v>
      </c>
      <c r="E995" s="303"/>
      <c r="F995" s="351">
        <v>1</v>
      </c>
      <c r="G995" s="26"/>
      <c r="H995" s="26"/>
      <c r="I995" s="26"/>
      <c r="J995" s="26"/>
      <c r="K995" s="26"/>
      <c r="L995" s="26"/>
      <c r="M995" s="26"/>
      <c r="N995" s="26"/>
      <c r="O995" s="26"/>
      <c r="P995" s="26"/>
      <c r="Q995" s="66"/>
      <c r="R995" s="66"/>
      <c r="S995" s="26"/>
    </row>
    <row r="996" spans="1:19">
      <c r="A996" s="24"/>
      <c r="B996" s="25" t="s">
        <v>190</v>
      </c>
      <c r="C996" s="26" t="s">
        <v>8</v>
      </c>
      <c r="D996" s="351">
        <v>1</v>
      </c>
      <c r="E996" s="303"/>
      <c r="F996" s="351">
        <v>1</v>
      </c>
      <c r="G996" s="26"/>
      <c r="H996" s="26"/>
      <c r="I996" s="26"/>
      <c r="J996" s="26"/>
      <c r="K996" s="26"/>
      <c r="L996" s="26"/>
      <c r="M996" s="26"/>
      <c r="N996" s="26"/>
      <c r="O996" s="26"/>
      <c r="P996" s="26"/>
      <c r="Q996" s="66"/>
      <c r="R996" s="66"/>
      <c r="S996" s="26"/>
    </row>
    <row r="997" spans="1:19">
      <c r="A997" s="24"/>
      <c r="B997" s="25" t="s">
        <v>185</v>
      </c>
      <c r="C997" s="26" t="s">
        <v>8</v>
      </c>
      <c r="D997" s="351">
        <v>1</v>
      </c>
      <c r="E997" s="303"/>
      <c r="F997" s="351">
        <v>1</v>
      </c>
      <c r="G997" s="26"/>
      <c r="H997" s="26"/>
      <c r="I997" s="26"/>
      <c r="J997" s="26"/>
      <c r="K997" s="26"/>
      <c r="L997" s="26"/>
      <c r="M997" s="26"/>
      <c r="N997" s="26"/>
      <c r="O997" s="26"/>
      <c r="P997" s="26"/>
      <c r="Q997" s="66"/>
      <c r="R997" s="66"/>
      <c r="S997" s="26"/>
    </row>
    <row r="998" spans="1:19">
      <c r="A998" s="24"/>
      <c r="B998" s="25" t="s">
        <v>186</v>
      </c>
      <c r="C998" s="26" t="s">
        <v>8</v>
      </c>
      <c r="D998" s="351">
        <v>2</v>
      </c>
      <c r="E998" s="303"/>
      <c r="F998" s="351">
        <v>2</v>
      </c>
      <c r="G998" s="26"/>
      <c r="H998" s="26"/>
      <c r="I998" s="26"/>
      <c r="J998" s="26"/>
      <c r="K998" s="26"/>
      <c r="L998" s="26"/>
      <c r="M998" s="26"/>
      <c r="N998" s="26"/>
      <c r="O998" s="26"/>
      <c r="P998" s="26"/>
      <c r="Q998" s="66"/>
      <c r="R998" s="66"/>
      <c r="S998" s="26"/>
    </row>
    <row r="999" spans="1:19">
      <c r="A999" s="24"/>
      <c r="B999" s="25" t="s">
        <v>187</v>
      </c>
      <c r="C999" s="26" t="s">
        <v>78</v>
      </c>
      <c r="D999" s="351">
        <v>1</v>
      </c>
      <c r="E999" s="303"/>
      <c r="F999" s="351">
        <v>1</v>
      </c>
      <c r="G999" s="26"/>
      <c r="H999" s="26"/>
      <c r="I999" s="26"/>
      <c r="J999" s="26"/>
      <c r="K999" s="26"/>
      <c r="L999" s="26"/>
      <c r="M999" s="26"/>
      <c r="N999" s="26"/>
      <c r="O999" s="26"/>
      <c r="P999" s="26"/>
      <c r="Q999" s="66"/>
      <c r="R999" s="66"/>
      <c r="S999" s="26"/>
    </row>
    <row r="1000" spans="1:19">
      <c r="A1000" s="24"/>
      <c r="B1000" s="25" t="s">
        <v>316</v>
      </c>
      <c r="C1000" s="26" t="s">
        <v>17</v>
      </c>
      <c r="D1000" s="351">
        <v>1</v>
      </c>
      <c r="E1000" s="303"/>
      <c r="F1000" s="351">
        <v>1</v>
      </c>
      <c r="G1000" s="26"/>
      <c r="H1000" s="26"/>
      <c r="I1000" s="26"/>
      <c r="J1000" s="26"/>
      <c r="K1000" s="26"/>
      <c r="L1000" s="26"/>
      <c r="M1000" s="26"/>
      <c r="N1000" s="26"/>
      <c r="O1000" s="26"/>
      <c r="P1000" s="26"/>
      <c r="Q1000" s="66"/>
      <c r="R1000" s="66"/>
      <c r="S1000" s="26"/>
    </row>
    <row r="1001" spans="1:19">
      <c r="A1001" s="24"/>
      <c r="B1001" s="25" t="s">
        <v>317</v>
      </c>
      <c r="C1001" s="26" t="s">
        <v>8</v>
      </c>
      <c r="D1001" s="351">
        <v>1</v>
      </c>
      <c r="E1001" s="303"/>
      <c r="F1001" s="351">
        <v>1</v>
      </c>
      <c r="G1001" s="26"/>
      <c r="H1001" s="26"/>
      <c r="I1001" s="26"/>
      <c r="J1001" s="26"/>
      <c r="K1001" s="26"/>
      <c r="L1001" s="26"/>
      <c r="M1001" s="26"/>
      <c r="N1001" s="26"/>
      <c r="O1001" s="26"/>
      <c r="P1001" s="26"/>
      <c r="Q1001" s="66"/>
      <c r="R1001" s="66"/>
      <c r="S1001" s="26"/>
    </row>
    <row r="1002" spans="1:19">
      <c r="A1002" s="24"/>
      <c r="B1002" s="25" t="s">
        <v>183</v>
      </c>
      <c r="C1002" s="26" t="s">
        <v>8</v>
      </c>
      <c r="D1002" s="351">
        <v>1</v>
      </c>
      <c r="E1002" s="303"/>
      <c r="F1002" s="351">
        <v>1</v>
      </c>
      <c r="G1002" s="26"/>
      <c r="H1002" s="26"/>
      <c r="I1002" s="26"/>
      <c r="J1002" s="26"/>
      <c r="K1002" s="26"/>
      <c r="L1002" s="26"/>
      <c r="M1002" s="26"/>
      <c r="N1002" s="26"/>
      <c r="O1002" s="26"/>
      <c r="P1002" s="26"/>
      <c r="Q1002" s="66"/>
      <c r="R1002" s="66"/>
      <c r="S1002" s="26"/>
    </row>
    <row r="1003" spans="1:19">
      <c r="A1003" s="24"/>
      <c r="B1003" s="25" t="s">
        <v>190</v>
      </c>
      <c r="C1003" s="26" t="s">
        <v>8</v>
      </c>
      <c r="D1003" s="351">
        <v>1</v>
      </c>
      <c r="E1003" s="303"/>
      <c r="F1003" s="351">
        <v>1</v>
      </c>
      <c r="G1003" s="26"/>
      <c r="H1003" s="26"/>
      <c r="I1003" s="26"/>
      <c r="J1003" s="26"/>
      <c r="K1003" s="26"/>
      <c r="L1003" s="26"/>
      <c r="M1003" s="26"/>
      <c r="N1003" s="26"/>
      <c r="O1003" s="26"/>
      <c r="P1003" s="26"/>
      <c r="Q1003" s="66"/>
      <c r="R1003" s="66"/>
      <c r="S1003" s="26"/>
    </row>
    <row r="1004" spans="1:19">
      <c r="A1004" s="24"/>
      <c r="B1004" s="25" t="s">
        <v>185</v>
      </c>
      <c r="C1004" s="26" t="s">
        <v>8</v>
      </c>
      <c r="D1004" s="351">
        <v>1</v>
      </c>
      <c r="E1004" s="303"/>
      <c r="F1004" s="351">
        <v>1</v>
      </c>
      <c r="G1004" s="26"/>
      <c r="H1004" s="26"/>
      <c r="I1004" s="26"/>
      <c r="J1004" s="26"/>
      <c r="K1004" s="26"/>
      <c r="L1004" s="26"/>
      <c r="M1004" s="26"/>
      <c r="N1004" s="26"/>
      <c r="O1004" s="26"/>
      <c r="P1004" s="26"/>
      <c r="Q1004" s="66"/>
      <c r="R1004" s="66"/>
      <c r="S1004" s="26"/>
    </row>
    <row r="1005" spans="1:19">
      <c r="A1005" s="24"/>
      <c r="B1005" s="25" t="s">
        <v>186</v>
      </c>
      <c r="C1005" s="26" t="s">
        <v>8</v>
      </c>
      <c r="D1005" s="351">
        <v>2</v>
      </c>
      <c r="E1005" s="303"/>
      <c r="F1005" s="351">
        <v>2</v>
      </c>
      <c r="G1005" s="26"/>
      <c r="H1005" s="26"/>
      <c r="I1005" s="26"/>
      <c r="J1005" s="26"/>
      <c r="K1005" s="26"/>
      <c r="L1005" s="26"/>
      <c r="M1005" s="26"/>
      <c r="N1005" s="26"/>
      <c r="O1005" s="26"/>
      <c r="P1005" s="26"/>
      <c r="Q1005" s="66"/>
      <c r="R1005" s="66"/>
      <c r="S1005" s="26"/>
    </row>
    <row r="1006" spans="1:19">
      <c r="A1006" s="24"/>
      <c r="B1006" s="25" t="s">
        <v>187</v>
      </c>
      <c r="C1006" s="26" t="s">
        <v>78</v>
      </c>
      <c r="D1006" s="351">
        <v>1</v>
      </c>
      <c r="E1006" s="303"/>
      <c r="F1006" s="351">
        <v>1</v>
      </c>
      <c r="G1006" s="26"/>
      <c r="H1006" s="26"/>
      <c r="I1006" s="26"/>
      <c r="J1006" s="26"/>
      <c r="K1006" s="26"/>
      <c r="L1006" s="26"/>
      <c r="M1006" s="26"/>
      <c r="N1006" s="26"/>
      <c r="O1006" s="26"/>
      <c r="P1006" s="26"/>
      <c r="Q1006" s="66"/>
      <c r="R1006" s="66"/>
      <c r="S1006" s="26"/>
    </row>
    <row r="1007" spans="1:19">
      <c r="A1007" s="24"/>
      <c r="B1007" s="25" t="s">
        <v>173</v>
      </c>
      <c r="C1007" s="26" t="s">
        <v>8</v>
      </c>
      <c r="D1007" s="351">
        <v>1</v>
      </c>
      <c r="E1007" s="303"/>
      <c r="F1007" s="351">
        <v>1</v>
      </c>
      <c r="G1007" s="26"/>
      <c r="H1007" s="26"/>
      <c r="I1007" s="26"/>
      <c r="J1007" s="26"/>
      <c r="K1007" s="26"/>
      <c r="L1007" s="26"/>
      <c r="M1007" s="26"/>
      <c r="N1007" s="26"/>
      <c r="O1007" s="26"/>
      <c r="P1007" s="26"/>
      <c r="Q1007" s="66"/>
      <c r="R1007" s="66"/>
      <c r="S1007" s="26"/>
    </row>
    <row r="1008" spans="1:19">
      <c r="A1008" s="24"/>
      <c r="B1008" s="25" t="s">
        <v>199</v>
      </c>
      <c r="C1008" s="26" t="s">
        <v>17</v>
      </c>
      <c r="D1008" s="351">
        <v>1</v>
      </c>
      <c r="E1008" s="303"/>
      <c r="F1008" s="351">
        <v>1</v>
      </c>
      <c r="G1008" s="26"/>
      <c r="H1008" s="26"/>
      <c r="I1008" s="26"/>
      <c r="J1008" s="26"/>
      <c r="K1008" s="26"/>
      <c r="L1008" s="26"/>
      <c r="M1008" s="26"/>
      <c r="N1008" s="26"/>
      <c r="O1008" s="26"/>
      <c r="P1008" s="26"/>
      <c r="Q1008" s="66"/>
      <c r="R1008" s="66"/>
      <c r="S1008" s="26"/>
    </row>
    <row r="1009" spans="1:19" ht="30">
      <c r="A1009" s="24"/>
      <c r="B1009" s="25" t="s">
        <v>176</v>
      </c>
      <c r="C1009" s="26" t="s">
        <v>78</v>
      </c>
      <c r="D1009" s="351">
        <v>1</v>
      </c>
      <c r="E1009" s="303"/>
      <c r="F1009" s="351">
        <v>1</v>
      </c>
      <c r="G1009" s="26"/>
      <c r="H1009" s="26"/>
      <c r="I1009" s="26"/>
      <c r="J1009" s="26"/>
      <c r="K1009" s="26"/>
      <c r="L1009" s="26"/>
      <c r="M1009" s="26"/>
      <c r="N1009" s="26"/>
      <c r="O1009" s="26"/>
      <c r="P1009" s="26"/>
      <c r="Q1009" s="66"/>
      <c r="R1009" s="66"/>
      <c r="S1009" s="26"/>
    </row>
    <row r="1010" spans="1:19" ht="60">
      <c r="A1010" s="24">
        <v>30</v>
      </c>
      <c r="B1010" s="25" t="s">
        <v>318</v>
      </c>
      <c r="C1010" s="26" t="s">
        <v>7</v>
      </c>
      <c r="D1010" s="351">
        <v>1</v>
      </c>
      <c r="E1010" s="303"/>
      <c r="F1010" s="351">
        <v>1</v>
      </c>
      <c r="G1010" s="26" t="s">
        <v>2326</v>
      </c>
      <c r="H1010" s="26"/>
      <c r="I1010" s="26" t="s">
        <v>2327</v>
      </c>
      <c r="J1010" s="26" t="s">
        <v>2328</v>
      </c>
      <c r="K1010" s="311">
        <v>40889477.969999991</v>
      </c>
      <c r="L1010" s="311">
        <v>0</v>
      </c>
      <c r="M1010" s="311">
        <v>1582000.0000000002</v>
      </c>
      <c r="N1010" s="311">
        <v>4270250.3</v>
      </c>
      <c r="O1010" s="311">
        <v>2989175.2100000004</v>
      </c>
      <c r="P1010" s="68">
        <f>SUM(K1010:O1010)</f>
        <v>49730903.479999989</v>
      </c>
      <c r="Q1010" s="68">
        <f>D1010*P1010</f>
        <v>49730903.479999989</v>
      </c>
      <c r="R1010" s="127">
        <f>F1010*P1010</f>
        <v>49730903.479999989</v>
      </c>
      <c r="S1010" s="26"/>
    </row>
    <row r="1011" spans="1:19" ht="30">
      <c r="A1011" s="24"/>
      <c r="B1011" s="25" t="s">
        <v>319</v>
      </c>
      <c r="C1011" s="26" t="s">
        <v>8</v>
      </c>
      <c r="D1011" s="351">
        <v>1</v>
      </c>
      <c r="E1011" s="303"/>
      <c r="F1011" s="351">
        <v>1</v>
      </c>
      <c r="G1011" s="26"/>
      <c r="H1011" s="26"/>
      <c r="I1011" s="26"/>
      <c r="J1011" s="26"/>
      <c r="K1011" s="26"/>
      <c r="L1011" s="26"/>
      <c r="M1011" s="26"/>
      <c r="N1011" s="26"/>
      <c r="O1011" s="26"/>
      <c r="P1011" s="26"/>
      <c r="Q1011" s="66"/>
      <c r="R1011" s="66"/>
      <c r="S1011" s="26"/>
    </row>
    <row r="1012" spans="1:19">
      <c r="A1012" s="24"/>
      <c r="B1012" s="25" t="s">
        <v>161</v>
      </c>
      <c r="C1012" s="26"/>
      <c r="D1012" s="351"/>
      <c r="E1012" s="303"/>
      <c r="F1012" s="351"/>
      <c r="G1012" s="26"/>
      <c r="H1012" s="26"/>
      <c r="I1012" s="26"/>
      <c r="J1012" s="26"/>
      <c r="K1012" s="26"/>
      <c r="L1012" s="26"/>
      <c r="M1012" s="26"/>
      <c r="N1012" s="26"/>
      <c r="O1012" s="26"/>
      <c r="P1012" s="26"/>
      <c r="Q1012" s="66"/>
      <c r="R1012" s="66"/>
      <c r="S1012" s="26"/>
    </row>
    <row r="1013" spans="1:19">
      <c r="A1013" s="24"/>
      <c r="B1013" s="25" t="s">
        <v>237</v>
      </c>
      <c r="C1013" s="26" t="s">
        <v>8</v>
      </c>
      <c r="D1013" s="351">
        <v>1</v>
      </c>
      <c r="E1013" s="303"/>
      <c r="F1013" s="351">
        <v>1</v>
      </c>
      <c r="G1013" s="26"/>
      <c r="H1013" s="26"/>
      <c r="I1013" s="26"/>
      <c r="J1013" s="26"/>
      <c r="K1013" s="26"/>
      <c r="L1013" s="26"/>
      <c r="M1013" s="26"/>
      <c r="N1013" s="26"/>
      <c r="O1013" s="26"/>
      <c r="P1013" s="26"/>
      <c r="Q1013" s="66"/>
      <c r="R1013" s="66"/>
      <c r="S1013" s="26"/>
    </row>
    <row r="1014" spans="1:19">
      <c r="A1014" s="24"/>
      <c r="B1014" s="25" t="s">
        <v>24</v>
      </c>
      <c r="C1014" s="26" t="s">
        <v>8</v>
      </c>
      <c r="D1014" s="351">
        <v>3</v>
      </c>
      <c r="E1014" s="303"/>
      <c r="F1014" s="351">
        <v>3</v>
      </c>
      <c r="G1014" s="26"/>
      <c r="H1014" s="26"/>
      <c r="I1014" s="26"/>
      <c r="J1014" s="26"/>
      <c r="K1014" s="26"/>
      <c r="L1014" s="26"/>
      <c r="M1014" s="26"/>
      <c r="N1014" s="26"/>
      <c r="O1014" s="26"/>
      <c r="P1014" s="26"/>
      <c r="Q1014" s="66"/>
      <c r="R1014" s="66"/>
      <c r="S1014" s="26"/>
    </row>
    <row r="1015" spans="1:19">
      <c r="A1015" s="24"/>
      <c r="B1015" s="25" t="s">
        <v>163</v>
      </c>
      <c r="C1015" s="26" t="s">
        <v>8</v>
      </c>
      <c r="D1015" s="351">
        <v>3</v>
      </c>
      <c r="E1015" s="303"/>
      <c r="F1015" s="351">
        <v>3</v>
      </c>
      <c r="G1015" s="26"/>
      <c r="H1015" s="26"/>
      <c r="I1015" s="26"/>
      <c r="J1015" s="26"/>
      <c r="K1015" s="26"/>
      <c r="L1015" s="26"/>
      <c r="M1015" s="26"/>
      <c r="N1015" s="26"/>
      <c r="O1015" s="26"/>
      <c r="P1015" s="26"/>
      <c r="Q1015" s="66"/>
      <c r="R1015" s="66"/>
      <c r="S1015" s="26"/>
    </row>
    <row r="1016" spans="1:19">
      <c r="A1016" s="24"/>
      <c r="B1016" s="25" t="s">
        <v>164</v>
      </c>
      <c r="C1016" s="26"/>
      <c r="D1016" s="351"/>
      <c r="E1016" s="303"/>
      <c r="F1016" s="351"/>
      <c r="G1016" s="26"/>
      <c r="H1016" s="26"/>
      <c r="I1016" s="26"/>
      <c r="J1016" s="26"/>
      <c r="K1016" s="26"/>
      <c r="L1016" s="26"/>
      <c r="M1016" s="26"/>
      <c r="N1016" s="26"/>
      <c r="O1016" s="26"/>
      <c r="P1016" s="26"/>
      <c r="Q1016" s="66"/>
      <c r="R1016" s="66"/>
      <c r="S1016" s="26"/>
    </row>
    <row r="1017" spans="1:19">
      <c r="A1017" s="24"/>
      <c r="B1017" s="25" t="s">
        <v>320</v>
      </c>
      <c r="C1017" s="26" t="s">
        <v>8</v>
      </c>
      <c r="D1017" s="351">
        <v>1</v>
      </c>
      <c r="E1017" s="303"/>
      <c r="F1017" s="351">
        <v>1</v>
      </c>
      <c r="G1017" s="26"/>
      <c r="H1017" s="26"/>
      <c r="I1017" s="26"/>
      <c r="J1017" s="26"/>
      <c r="K1017" s="26"/>
      <c r="L1017" s="26"/>
      <c r="M1017" s="26"/>
      <c r="N1017" s="26"/>
      <c r="O1017" s="26"/>
      <c r="P1017" s="26"/>
      <c r="Q1017" s="66"/>
      <c r="R1017" s="66"/>
      <c r="S1017" s="26"/>
    </row>
    <row r="1018" spans="1:19">
      <c r="A1018" s="24"/>
      <c r="B1018" s="25" t="s">
        <v>209</v>
      </c>
      <c r="C1018" s="26" t="s">
        <v>8</v>
      </c>
      <c r="D1018" s="351">
        <v>3</v>
      </c>
      <c r="E1018" s="92"/>
      <c r="F1018" s="351">
        <v>3</v>
      </c>
      <c r="G1018" s="329"/>
      <c r="H1018" s="329"/>
      <c r="I1018" s="329"/>
      <c r="J1018" s="329"/>
      <c r="K1018" s="329"/>
      <c r="L1018" s="329"/>
      <c r="M1018" s="329"/>
      <c r="N1018" s="329"/>
      <c r="O1018" s="329"/>
      <c r="P1018" s="329"/>
      <c r="Q1018" s="65"/>
      <c r="R1018" s="65"/>
      <c r="S1018" s="329"/>
    </row>
    <row r="1019" spans="1:19">
      <c r="A1019" s="24"/>
      <c r="B1019" s="25" t="s">
        <v>321</v>
      </c>
      <c r="C1019" s="26" t="s">
        <v>8</v>
      </c>
      <c r="D1019" s="351">
        <v>3</v>
      </c>
      <c r="E1019" s="303"/>
      <c r="F1019" s="351">
        <v>3</v>
      </c>
      <c r="G1019" s="26"/>
      <c r="H1019" s="26"/>
      <c r="I1019" s="26"/>
      <c r="J1019" s="26"/>
      <c r="K1019" s="26"/>
      <c r="L1019" s="26"/>
      <c r="M1019" s="26"/>
      <c r="N1019" s="26"/>
      <c r="O1019" s="26"/>
      <c r="P1019" s="26"/>
      <c r="Q1019" s="66"/>
      <c r="R1019" s="66"/>
      <c r="S1019" s="26"/>
    </row>
    <row r="1020" spans="1:19">
      <c r="A1020" s="24"/>
      <c r="B1020" s="25" t="s">
        <v>322</v>
      </c>
      <c r="C1020" s="26" t="s">
        <v>8</v>
      </c>
      <c r="D1020" s="351">
        <v>3</v>
      </c>
      <c r="E1020" s="303"/>
      <c r="F1020" s="351">
        <v>3</v>
      </c>
      <c r="G1020" s="26"/>
      <c r="H1020" s="26"/>
      <c r="I1020" s="26"/>
      <c r="J1020" s="26"/>
      <c r="K1020" s="26"/>
      <c r="L1020" s="26"/>
      <c r="M1020" s="26"/>
      <c r="N1020" s="26"/>
      <c r="O1020" s="26"/>
      <c r="P1020" s="26"/>
      <c r="Q1020" s="66"/>
      <c r="R1020" s="66"/>
      <c r="S1020" s="26"/>
    </row>
    <row r="1021" spans="1:19">
      <c r="A1021" s="24"/>
      <c r="B1021" s="25" t="s">
        <v>323</v>
      </c>
      <c r="C1021" s="26" t="s">
        <v>8</v>
      </c>
      <c r="D1021" s="351">
        <v>1</v>
      </c>
      <c r="E1021" s="303"/>
      <c r="F1021" s="351">
        <v>1</v>
      </c>
      <c r="G1021" s="26"/>
      <c r="H1021" s="26"/>
      <c r="I1021" s="26"/>
      <c r="J1021" s="26"/>
      <c r="K1021" s="26"/>
      <c r="L1021" s="26"/>
      <c r="M1021" s="26"/>
      <c r="N1021" s="26"/>
      <c r="O1021" s="26"/>
      <c r="P1021" s="26"/>
      <c r="Q1021" s="66"/>
      <c r="R1021" s="66"/>
      <c r="S1021" s="26"/>
    </row>
    <row r="1022" spans="1:19">
      <c r="A1022" s="24"/>
      <c r="B1022" s="25" t="s">
        <v>324</v>
      </c>
      <c r="C1022" s="26" t="s">
        <v>17</v>
      </c>
      <c r="D1022" s="351">
        <v>1</v>
      </c>
      <c r="E1022" s="303"/>
      <c r="F1022" s="351">
        <v>1</v>
      </c>
      <c r="G1022" s="26"/>
      <c r="H1022" s="26"/>
      <c r="I1022" s="26"/>
      <c r="J1022" s="26"/>
      <c r="K1022" s="26"/>
      <c r="L1022" s="26"/>
      <c r="M1022" s="26"/>
      <c r="N1022" s="26"/>
      <c r="O1022" s="26"/>
      <c r="P1022" s="26"/>
      <c r="Q1022" s="66"/>
      <c r="R1022" s="66"/>
      <c r="S1022" s="26"/>
    </row>
    <row r="1023" spans="1:19" ht="30">
      <c r="A1023" s="24"/>
      <c r="B1023" s="25" t="s">
        <v>176</v>
      </c>
      <c r="C1023" s="26" t="s">
        <v>78</v>
      </c>
      <c r="D1023" s="351">
        <v>1</v>
      </c>
      <c r="E1023" s="303"/>
      <c r="F1023" s="351">
        <v>1</v>
      </c>
      <c r="G1023" s="26"/>
      <c r="H1023" s="26"/>
      <c r="I1023" s="26"/>
      <c r="J1023" s="26"/>
      <c r="K1023" s="26"/>
      <c r="L1023" s="26"/>
      <c r="M1023" s="26"/>
      <c r="N1023" s="26"/>
      <c r="O1023" s="26"/>
      <c r="P1023" s="26"/>
      <c r="Q1023" s="66"/>
      <c r="R1023" s="66"/>
      <c r="S1023" s="26"/>
    </row>
    <row r="1024" spans="1:19" ht="60">
      <c r="A1024" s="24">
        <v>31</v>
      </c>
      <c r="B1024" s="25" t="s">
        <v>325</v>
      </c>
      <c r="C1024" s="26" t="s">
        <v>7</v>
      </c>
      <c r="D1024" s="351">
        <v>1</v>
      </c>
      <c r="E1024" s="303"/>
      <c r="F1024" s="351">
        <v>1</v>
      </c>
      <c r="G1024" s="26" t="s">
        <v>2326</v>
      </c>
      <c r="H1024" s="26"/>
      <c r="I1024" s="26" t="s">
        <v>2327</v>
      </c>
      <c r="J1024" s="26" t="s">
        <v>2328</v>
      </c>
      <c r="K1024" s="311">
        <v>24423601.949999996</v>
      </c>
      <c r="L1024" s="311">
        <v>0</v>
      </c>
      <c r="M1024" s="311">
        <v>2034000.0000000007</v>
      </c>
      <c r="N1024" s="311">
        <v>2647030.5</v>
      </c>
      <c r="O1024" s="311">
        <v>1852921.35</v>
      </c>
      <c r="P1024" s="68">
        <f>SUM(K1024:O1024)</f>
        <v>30957553.799999997</v>
      </c>
      <c r="Q1024" s="68">
        <f>D1024*P1024</f>
        <v>30957553.799999997</v>
      </c>
      <c r="R1024" s="127">
        <f>F1024*P1024</f>
        <v>30957553.799999997</v>
      </c>
      <c r="S1024" s="26"/>
    </row>
    <row r="1025" spans="1:19" ht="30">
      <c r="A1025" s="24"/>
      <c r="B1025" s="25" t="s">
        <v>326</v>
      </c>
      <c r="C1025" s="26" t="s">
        <v>8</v>
      </c>
      <c r="D1025" s="351">
        <v>1</v>
      </c>
      <c r="E1025" s="303"/>
      <c r="F1025" s="351">
        <v>1</v>
      </c>
      <c r="G1025" s="26"/>
      <c r="H1025" s="26"/>
      <c r="I1025" s="26"/>
      <c r="J1025" s="26"/>
      <c r="K1025" s="26"/>
      <c r="L1025" s="26"/>
      <c r="M1025" s="26"/>
      <c r="N1025" s="26"/>
      <c r="O1025" s="26"/>
      <c r="P1025" s="26"/>
      <c r="Q1025" s="66"/>
      <c r="R1025" s="66"/>
      <c r="S1025" s="26"/>
    </row>
    <row r="1026" spans="1:19">
      <c r="A1026" s="24"/>
      <c r="B1026" s="25" t="s">
        <v>161</v>
      </c>
      <c r="C1026" s="26"/>
      <c r="D1026" s="351"/>
      <c r="E1026" s="303"/>
      <c r="F1026" s="351"/>
      <c r="G1026" s="26"/>
      <c r="H1026" s="26"/>
      <c r="I1026" s="26"/>
      <c r="J1026" s="26"/>
      <c r="K1026" s="26"/>
      <c r="L1026" s="26"/>
      <c r="M1026" s="26"/>
      <c r="N1026" s="26"/>
      <c r="O1026" s="26"/>
      <c r="P1026" s="26"/>
      <c r="Q1026" s="66"/>
      <c r="R1026" s="66"/>
      <c r="S1026" s="26"/>
    </row>
    <row r="1027" spans="1:19">
      <c r="A1027" s="24"/>
      <c r="B1027" s="25" t="s">
        <v>178</v>
      </c>
      <c r="C1027" s="26" t="s">
        <v>8</v>
      </c>
      <c r="D1027" s="351">
        <v>1</v>
      </c>
      <c r="E1027" s="303"/>
      <c r="F1027" s="351">
        <v>1</v>
      </c>
      <c r="G1027" s="26"/>
      <c r="H1027" s="26"/>
      <c r="I1027" s="26"/>
      <c r="J1027" s="26"/>
      <c r="K1027" s="26"/>
      <c r="L1027" s="26"/>
      <c r="M1027" s="26"/>
      <c r="N1027" s="26"/>
      <c r="O1027" s="26"/>
      <c r="P1027" s="26"/>
      <c r="Q1027" s="66"/>
      <c r="R1027" s="66"/>
      <c r="S1027" s="26"/>
    </row>
    <row r="1028" spans="1:19">
      <c r="A1028" s="24"/>
      <c r="B1028" s="25" t="s">
        <v>24</v>
      </c>
      <c r="C1028" s="26" t="s">
        <v>8</v>
      </c>
      <c r="D1028" s="351">
        <v>3</v>
      </c>
      <c r="E1028" s="303"/>
      <c r="F1028" s="351">
        <v>3</v>
      </c>
      <c r="G1028" s="26"/>
      <c r="H1028" s="26"/>
      <c r="I1028" s="26"/>
      <c r="J1028" s="26"/>
      <c r="K1028" s="26"/>
      <c r="L1028" s="26"/>
      <c r="M1028" s="26"/>
      <c r="N1028" s="26"/>
      <c r="O1028" s="26"/>
      <c r="P1028" s="26"/>
      <c r="Q1028" s="66"/>
      <c r="R1028" s="66"/>
      <c r="S1028" s="26"/>
    </row>
    <row r="1029" spans="1:19">
      <c r="A1029" s="24"/>
      <c r="B1029" s="25" t="s">
        <v>163</v>
      </c>
      <c r="C1029" s="26" t="s">
        <v>8</v>
      </c>
      <c r="D1029" s="351">
        <v>3</v>
      </c>
      <c r="E1029" s="303"/>
      <c r="F1029" s="351">
        <v>3</v>
      </c>
      <c r="G1029" s="26"/>
      <c r="H1029" s="26"/>
      <c r="I1029" s="26"/>
      <c r="J1029" s="26"/>
      <c r="K1029" s="26"/>
      <c r="L1029" s="26"/>
      <c r="M1029" s="26"/>
      <c r="N1029" s="26"/>
      <c r="O1029" s="26"/>
      <c r="P1029" s="26"/>
      <c r="Q1029" s="66"/>
      <c r="R1029" s="66"/>
      <c r="S1029" s="26"/>
    </row>
    <row r="1030" spans="1:19">
      <c r="A1030" s="24"/>
      <c r="B1030" s="25" t="s">
        <v>164</v>
      </c>
      <c r="C1030" s="26"/>
      <c r="D1030" s="351"/>
      <c r="E1030" s="303"/>
      <c r="F1030" s="351"/>
      <c r="G1030" s="26"/>
      <c r="H1030" s="26"/>
      <c r="I1030" s="26"/>
      <c r="J1030" s="26"/>
      <c r="K1030" s="26"/>
      <c r="L1030" s="26"/>
      <c r="M1030" s="26"/>
      <c r="N1030" s="26"/>
      <c r="O1030" s="26"/>
      <c r="P1030" s="26"/>
      <c r="Q1030" s="66"/>
      <c r="R1030" s="66"/>
      <c r="S1030" s="26"/>
    </row>
    <row r="1031" spans="1:19">
      <c r="A1031" s="24"/>
      <c r="B1031" s="25" t="s">
        <v>179</v>
      </c>
      <c r="C1031" s="26" t="s">
        <v>8</v>
      </c>
      <c r="D1031" s="351">
        <v>2</v>
      </c>
      <c r="E1031" s="303"/>
      <c r="F1031" s="351">
        <v>2</v>
      </c>
      <c r="G1031" s="26"/>
      <c r="H1031" s="26"/>
      <c r="I1031" s="26"/>
      <c r="J1031" s="26"/>
      <c r="K1031" s="26"/>
      <c r="L1031" s="26"/>
      <c r="M1031" s="26"/>
      <c r="N1031" s="26"/>
      <c r="O1031" s="26"/>
      <c r="P1031" s="26"/>
      <c r="Q1031" s="66"/>
      <c r="R1031" s="66"/>
      <c r="S1031" s="26"/>
    </row>
    <row r="1032" spans="1:19">
      <c r="A1032" s="24"/>
      <c r="B1032" s="25" t="s">
        <v>165</v>
      </c>
      <c r="C1032" s="26" t="s">
        <v>8</v>
      </c>
      <c r="D1032" s="351">
        <v>1</v>
      </c>
      <c r="E1032" s="303"/>
      <c r="F1032" s="351">
        <v>1</v>
      </c>
      <c r="G1032" s="26"/>
      <c r="H1032" s="26"/>
      <c r="I1032" s="26"/>
      <c r="J1032" s="26"/>
      <c r="K1032" s="26"/>
      <c r="L1032" s="26"/>
      <c r="M1032" s="26"/>
      <c r="N1032" s="26"/>
      <c r="O1032" s="26"/>
      <c r="P1032" s="26"/>
      <c r="Q1032" s="66"/>
      <c r="R1032" s="66"/>
      <c r="S1032" s="26"/>
    </row>
    <row r="1033" spans="1:19">
      <c r="A1033" s="24"/>
      <c r="B1033" s="25" t="s">
        <v>166</v>
      </c>
      <c r="C1033" s="26" t="s">
        <v>8</v>
      </c>
      <c r="D1033" s="351">
        <v>11</v>
      </c>
      <c r="E1033" s="303"/>
      <c r="F1033" s="351">
        <v>11</v>
      </c>
      <c r="G1033" s="26"/>
      <c r="H1033" s="26"/>
      <c r="I1033" s="26"/>
      <c r="J1033" s="26"/>
      <c r="K1033" s="26"/>
      <c r="L1033" s="26"/>
      <c r="M1033" s="26"/>
      <c r="N1033" s="26"/>
      <c r="O1033" s="26"/>
      <c r="P1033" s="26"/>
      <c r="Q1033" s="66"/>
      <c r="R1033" s="66"/>
      <c r="S1033" s="26"/>
    </row>
    <row r="1034" spans="1:19">
      <c r="A1034" s="24"/>
      <c r="B1034" s="25" t="s">
        <v>167</v>
      </c>
      <c r="C1034" s="26" t="s">
        <v>8</v>
      </c>
      <c r="D1034" s="351">
        <v>12</v>
      </c>
      <c r="E1034" s="303"/>
      <c r="F1034" s="351">
        <v>12</v>
      </c>
      <c r="G1034" s="26"/>
      <c r="H1034" s="26"/>
      <c r="I1034" s="26"/>
      <c r="J1034" s="26"/>
      <c r="K1034" s="26"/>
      <c r="L1034" s="26"/>
      <c r="M1034" s="26"/>
      <c r="N1034" s="26"/>
      <c r="O1034" s="26"/>
      <c r="P1034" s="26"/>
      <c r="Q1034" s="66"/>
      <c r="R1034" s="66"/>
      <c r="S1034" s="26"/>
    </row>
    <row r="1035" spans="1:19">
      <c r="A1035" s="24"/>
      <c r="B1035" s="25" t="s">
        <v>168</v>
      </c>
      <c r="C1035" s="26" t="s">
        <v>8</v>
      </c>
      <c r="D1035" s="351">
        <v>1</v>
      </c>
      <c r="E1035" s="303"/>
      <c r="F1035" s="351">
        <v>1</v>
      </c>
      <c r="G1035" s="26"/>
      <c r="H1035" s="26"/>
      <c r="I1035" s="26"/>
      <c r="J1035" s="26"/>
      <c r="K1035" s="26"/>
      <c r="L1035" s="26"/>
      <c r="M1035" s="26"/>
      <c r="N1035" s="26"/>
      <c r="O1035" s="26"/>
      <c r="P1035" s="26"/>
      <c r="Q1035" s="66"/>
      <c r="R1035" s="66"/>
      <c r="S1035" s="26"/>
    </row>
    <row r="1036" spans="1:19">
      <c r="A1036" s="24"/>
      <c r="B1036" s="25" t="s">
        <v>169</v>
      </c>
      <c r="C1036" s="26"/>
      <c r="D1036" s="351"/>
      <c r="E1036" s="303"/>
      <c r="F1036" s="351"/>
      <c r="G1036" s="26"/>
      <c r="H1036" s="26"/>
      <c r="I1036" s="26"/>
      <c r="J1036" s="26"/>
      <c r="K1036" s="26"/>
      <c r="L1036" s="26"/>
      <c r="M1036" s="26"/>
      <c r="N1036" s="26"/>
      <c r="O1036" s="26"/>
      <c r="P1036" s="26"/>
      <c r="Q1036" s="66"/>
      <c r="R1036" s="66"/>
      <c r="S1036" s="26"/>
    </row>
    <row r="1037" spans="1:19">
      <c r="A1037" s="24"/>
      <c r="B1037" s="25" t="s">
        <v>170</v>
      </c>
      <c r="C1037" s="26" t="s">
        <v>8</v>
      </c>
      <c r="D1037" s="351">
        <v>17</v>
      </c>
      <c r="E1037" s="303"/>
      <c r="F1037" s="351">
        <v>17</v>
      </c>
      <c r="G1037" s="26"/>
      <c r="H1037" s="26"/>
      <c r="I1037" s="26"/>
      <c r="J1037" s="26"/>
      <c r="K1037" s="26"/>
      <c r="L1037" s="26"/>
      <c r="M1037" s="26"/>
      <c r="N1037" s="26"/>
      <c r="O1037" s="26"/>
      <c r="P1037" s="26"/>
      <c r="Q1037" s="66"/>
      <c r="R1037" s="66"/>
      <c r="S1037" s="26"/>
    </row>
    <row r="1038" spans="1:19">
      <c r="A1038" s="24"/>
      <c r="B1038" s="25" t="s">
        <v>171</v>
      </c>
      <c r="C1038" s="26" t="s">
        <v>8</v>
      </c>
      <c r="D1038" s="351">
        <v>1</v>
      </c>
      <c r="E1038" s="303"/>
      <c r="F1038" s="351">
        <v>1</v>
      </c>
      <c r="G1038" s="26"/>
      <c r="H1038" s="26"/>
      <c r="I1038" s="26"/>
      <c r="J1038" s="26"/>
      <c r="K1038" s="26"/>
      <c r="L1038" s="26"/>
      <c r="M1038" s="26"/>
      <c r="N1038" s="26"/>
      <c r="O1038" s="26"/>
      <c r="P1038" s="26"/>
      <c r="Q1038" s="66"/>
      <c r="R1038" s="66"/>
      <c r="S1038" s="26"/>
    </row>
    <row r="1039" spans="1:19">
      <c r="A1039" s="24"/>
      <c r="B1039" s="25" t="s">
        <v>172</v>
      </c>
      <c r="C1039" s="26" t="s">
        <v>78</v>
      </c>
      <c r="D1039" s="351">
        <v>1</v>
      </c>
      <c r="E1039" s="303"/>
      <c r="F1039" s="351">
        <v>1</v>
      </c>
      <c r="G1039" s="26"/>
      <c r="H1039" s="26"/>
      <c r="I1039" s="26"/>
      <c r="J1039" s="26"/>
      <c r="K1039" s="26"/>
      <c r="L1039" s="26"/>
      <c r="M1039" s="26"/>
      <c r="N1039" s="26"/>
      <c r="O1039" s="26"/>
      <c r="P1039" s="26"/>
      <c r="Q1039" s="66"/>
      <c r="R1039" s="66"/>
      <c r="S1039" s="26"/>
    </row>
    <row r="1040" spans="1:19">
      <c r="A1040" s="24"/>
      <c r="B1040" s="25" t="s">
        <v>173</v>
      </c>
      <c r="C1040" s="26" t="s">
        <v>8</v>
      </c>
      <c r="D1040" s="351">
        <v>1</v>
      </c>
      <c r="E1040" s="92"/>
      <c r="F1040" s="351">
        <v>1</v>
      </c>
      <c r="G1040" s="329"/>
      <c r="H1040" s="329"/>
      <c r="I1040" s="329"/>
      <c r="J1040" s="329"/>
      <c r="K1040" s="329"/>
      <c r="L1040" s="329"/>
      <c r="M1040" s="329"/>
      <c r="N1040" s="329"/>
      <c r="O1040" s="329"/>
      <c r="P1040" s="329"/>
      <c r="Q1040" s="65"/>
      <c r="R1040" s="65"/>
      <c r="S1040" s="329"/>
    </row>
    <row r="1041" spans="1:19">
      <c r="A1041" s="24"/>
      <c r="B1041" s="25" t="s">
        <v>327</v>
      </c>
      <c r="C1041" s="26" t="s">
        <v>17</v>
      </c>
      <c r="D1041" s="351">
        <v>1</v>
      </c>
      <c r="E1041" s="63"/>
      <c r="F1041" s="351">
        <v>1</v>
      </c>
      <c r="G1041" s="340"/>
      <c r="H1041" s="340"/>
      <c r="I1041" s="340"/>
      <c r="J1041" s="340"/>
      <c r="K1041" s="340"/>
      <c r="L1041" s="340"/>
      <c r="M1041" s="340"/>
      <c r="N1041" s="340"/>
      <c r="O1041" s="340"/>
      <c r="P1041" s="340"/>
      <c r="Q1041" s="66"/>
      <c r="R1041" s="66"/>
      <c r="S1041" s="340"/>
    </row>
    <row r="1042" spans="1:19">
      <c r="A1042" s="24"/>
      <c r="B1042" s="25" t="s">
        <v>175</v>
      </c>
      <c r="C1042" s="26" t="s">
        <v>17</v>
      </c>
      <c r="D1042" s="351">
        <v>1</v>
      </c>
      <c r="E1042" s="63"/>
      <c r="F1042" s="351">
        <v>1</v>
      </c>
      <c r="G1042" s="340"/>
      <c r="H1042" s="340"/>
      <c r="I1042" s="340"/>
      <c r="J1042" s="340"/>
      <c r="K1042" s="340"/>
      <c r="L1042" s="340"/>
      <c r="M1042" s="340"/>
      <c r="N1042" s="340"/>
      <c r="O1042" s="340"/>
      <c r="P1042" s="340"/>
      <c r="Q1042" s="66"/>
      <c r="R1042" s="66"/>
      <c r="S1042" s="340"/>
    </row>
    <row r="1043" spans="1:19" ht="30">
      <c r="A1043" s="24"/>
      <c r="B1043" s="25" t="s">
        <v>176</v>
      </c>
      <c r="C1043" s="26" t="s">
        <v>78</v>
      </c>
      <c r="D1043" s="351">
        <v>1</v>
      </c>
      <c r="E1043" s="63"/>
      <c r="F1043" s="351">
        <v>1</v>
      </c>
      <c r="G1043" s="340"/>
      <c r="H1043" s="340"/>
      <c r="I1043" s="340"/>
      <c r="J1043" s="340"/>
      <c r="K1043" s="340"/>
      <c r="L1043" s="340"/>
      <c r="M1043" s="340"/>
      <c r="N1043" s="340"/>
      <c r="O1043" s="340"/>
      <c r="P1043" s="340"/>
      <c r="Q1043" s="66"/>
      <c r="R1043" s="66"/>
      <c r="S1043" s="340"/>
    </row>
    <row r="1044" spans="1:19" ht="60">
      <c r="A1044" s="24">
        <v>32</v>
      </c>
      <c r="B1044" s="25" t="s">
        <v>328</v>
      </c>
      <c r="C1044" s="26" t="s">
        <v>7</v>
      </c>
      <c r="D1044" s="351">
        <v>1</v>
      </c>
      <c r="E1044" s="63"/>
      <c r="F1044" s="351">
        <v>1</v>
      </c>
      <c r="G1044" s="26" t="s">
        <v>2326</v>
      </c>
      <c r="H1044" s="26"/>
      <c r="I1044" s="26" t="s">
        <v>2327</v>
      </c>
      <c r="J1044" s="26" t="s">
        <v>2328</v>
      </c>
      <c r="K1044" s="311">
        <v>27579327.929999996</v>
      </c>
      <c r="L1044" s="311">
        <v>0</v>
      </c>
      <c r="M1044" s="311">
        <v>2034000.0000000007</v>
      </c>
      <c r="N1044" s="311">
        <v>2965790.7</v>
      </c>
      <c r="O1044" s="311">
        <v>2076053.4900000002</v>
      </c>
      <c r="P1044" s="68">
        <f>SUM(K1044:O1044)</f>
        <v>34655172.119999997</v>
      </c>
      <c r="Q1044" s="68">
        <f>D1044*P1044</f>
        <v>34655172.119999997</v>
      </c>
      <c r="R1044" s="127">
        <f>F1044*P1044</f>
        <v>34655172.119999997</v>
      </c>
      <c r="S1044" s="340"/>
    </row>
    <row r="1045" spans="1:19" ht="30">
      <c r="A1045" s="24"/>
      <c r="B1045" s="25" t="s">
        <v>326</v>
      </c>
      <c r="C1045" s="26" t="s">
        <v>8</v>
      </c>
      <c r="D1045" s="351">
        <v>1</v>
      </c>
      <c r="E1045" s="63"/>
      <c r="F1045" s="351">
        <v>1</v>
      </c>
      <c r="G1045" s="340"/>
      <c r="H1045" s="340"/>
      <c r="I1045" s="340"/>
      <c r="J1045" s="340"/>
      <c r="K1045" s="340"/>
      <c r="L1045" s="340"/>
      <c r="M1045" s="340"/>
      <c r="N1045" s="340"/>
      <c r="O1045" s="340"/>
      <c r="P1045" s="340"/>
      <c r="Q1045" s="66"/>
      <c r="R1045" s="66"/>
      <c r="S1045" s="340"/>
    </row>
    <row r="1046" spans="1:19">
      <c r="A1046" s="24"/>
      <c r="B1046" s="25" t="s">
        <v>161</v>
      </c>
      <c r="C1046" s="26"/>
      <c r="D1046" s="351"/>
      <c r="E1046" s="63"/>
      <c r="F1046" s="351"/>
      <c r="G1046" s="340"/>
      <c r="H1046" s="340"/>
      <c r="I1046" s="340"/>
      <c r="J1046" s="340"/>
      <c r="K1046" s="340"/>
      <c r="L1046" s="340"/>
      <c r="M1046" s="340"/>
      <c r="N1046" s="340"/>
      <c r="O1046" s="340"/>
      <c r="P1046" s="340"/>
      <c r="Q1046" s="66"/>
      <c r="R1046" s="66"/>
      <c r="S1046" s="340"/>
    </row>
    <row r="1047" spans="1:19">
      <c r="A1047" s="24"/>
      <c r="B1047" s="25" t="s">
        <v>178</v>
      </c>
      <c r="C1047" s="26" t="s">
        <v>8</v>
      </c>
      <c r="D1047" s="351">
        <v>1</v>
      </c>
      <c r="E1047" s="63"/>
      <c r="F1047" s="351">
        <v>1</v>
      </c>
      <c r="G1047" s="340"/>
      <c r="H1047" s="340"/>
      <c r="I1047" s="340"/>
      <c r="J1047" s="340"/>
      <c r="K1047" s="340"/>
      <c r="L1047" s="340"/>
      <c r="M1047" s="340"/>
      <c r="N1047" s="340"/>
      <c r="O1047" s="340"/>
      <c r="P1047" s="340"/>
      <c r="Q1047" s="66"/>
      <c r="R1047" s="66"/>
      <c r="S1047" s="340"/>
    </row>
    <row r="1048" spans="1:19">
      <c r="A1048" s="24"/>
      <c r="B1048" s="25" t="s">
        <v>24</v>
      </c>
      <c r="C1048" s="26" t="s">
        <v>8</v>
      </c>
      <c r="D1048" s="351">
        <v>3</v>
      </c>
      <c r="E1048" s="63"/>
      <c r="F1048" s="351">
        <v>3</v>
      </c>
      <c r="G1048" s="340"/>
      <c r="H1048" s="340"/>
      <c r="I1048" s="340"/>
      <c r="J1048" s="340"/>
      <c r="K1048" s="340"/>
      <c r="L1048" s="340"/>
      <c r="M1048" s="340"/>
      <c r="N1048" s="340"/>
      <c r="O1048" s="340"/>
      <c r="P1048" s="340"/>
      <c r="Q1048" s="66"/>
      <c r="R1048" s="66"/>
      <c r="S1048" s="340"/>
    </row>
    <row r="1049" spans="1:19">
      <c r="A1049" s="24"/>
      <c r="B1049" s="25" t="s">
        <v>163</v>
      </c>
      <c r="C1049" s="26" t="s">
        <v>8</v>
      </c>
      <c r="D1049" s="351">
        <v>3</v>
      </c>
      <c r="E1049" s="63"/>
      <c r="F1049" s="351">
        <v>3</v>
      </c>
      <c r="G1049" s="340"/>
      <c r="H1049" s="340"/>
      <c r="I1049" s="340"/>
      <c r="J1049" s="340"/>
      <c r="K1049" s="340"/>
      <c r="L1049" s="340"/>
      <c r="M1049" s="340"/>
      <c r="N1049" s="340"/>
      <c r="O1049" s="340"/>
      <c r="P1049" s="340"/>
      <c r="Q1049" s="66"/>
      <c r="R1049" s="66"/>
      <c r="S1049" s="340"/>
    </row>
    <row r="1050" spans="1:19">
      <c r="A1050" s="24"/>
      <c r="B1050" s="25" t="s">
        <v>164</v>
      </c>
      <c r="C1050" s="26"/>
      <c r="D1050" s="351"/>
      <c r="E1050" s="63"/>
      <c r="F1050" s="351"/>
      <c r="G1050" s="340"/>
      <c r="H1050" s="340"/>
      <c r="I1050" s="340"/>
      <c r="J1050" s="340"/>
      <c r="K1050" s="340"/>
      <c r="L1050" s="340"/>
      <c r="M1050" s="340"/>
      <c r="N1050" s="340"/>
      <c r="O1050" s="340"/>
      <c r="P1050" s="340"/>
      <c r="Q1050" s="66"/>
      <c r="R1050" s="66"/>
      <c r="S1050" s="340"/>
    </row>
    <row r="1051" spans="1:19">
      <c r="A1051" s="24"/>
      <c r="B1051" s="25" t="s">
        <v>179</v>
      </c>
      <c r="C1051" s="26" t="s">
        <v>8</v>
      </c>
      <c r="D1051" s="351">
        <v>1</v>
      </c>
      <c r="E1051" s="63"/>
      <c r="F1051" s="351">
        <v>1</v>
      </c>
      <c r="G1051" s="340"/>
      <c r="H1051" s="340"/>
      <c r="I1051" s="340"/>
      <c r="J1051" s="340"/>
      <c r="K1051" s="340"/>
      <c r="L1051" s="340"/>
      <c r="M1051" s="340"/>
      <c r="N1051" s="340"/>
      <c r="O1051" s="340"/>
      <c r="P1051" s="340"/>
      <c r="Q1051" s="66"/>
      <c r="R1051" s="66"/>
      <c r="S1051" s="340"/>
    </row>
    <row r="1052" spans="1:19">
      <c r="A1052" s="24"/>
      <c r="B1052" s="25" t="s">
        <v>165</v>
      </c>
      <c r="C1052" s="26" t="s">
        <v>8</v>
      </c>
      <c r="D1052" s="351">
        <v>2</v>
      </c>
      <c r="E1052" s="314"/>
      <c r="F1052" s="351">
        <v>2</v>
      </c>
      <c r="G1052" s="315"/>
      <c r="H1052" s="315"/>
      <c r="I1052" s="315"/>
      <c r="J1052" s="315"/>
      <c r="K1052" s="315"/>
      <c r="L1052" s="315"/>
      <c r="M1052" s="315"/>
      <c r="N1052" s="315"/>
      <c r="O1052" s="315"/>
      <c r="P1052" s="315"/>
      <c r="Q1052" s="66"/>
      <c r="R1052" s="66"/>
      <c r="S1052" s="315"/>
    </row>
    <row r="1053" spans="1:19">
      <c r="A1053" s="24"/>
      <c r="B1053" s="25" t="s">
        <v>166</v>
      </c>
      <c r="C1053" s="26" t="s">
        <v>8</v>
      </c>
      <c r="D1053" s="351">
        <v>12</v>
      </c>
      <c r="E1053" s="314"/>
      <c r="F1053" s="351">
        <v>12</v>
      </c>
      <c r="G1053" s="315"/>
      <c r="H1053" s="315"/>
      <c r="I1053" s="315"/>
      <c r="J1053" s="315"/>
      <c r="K1053" s="315"/>
      <c r="L1053" s="315"/>
      <c r="M1053" s="315"/>
      <c r="N1053" s="315"/>
      <c r="O1053" s="315"/>
      <c r="P1053" s="315"/>
      <c r="Q1053" s="66"/>
      <c r="R1053" s="66"/>
      <c r="S1053" s="315"/>
    </row>
    <row r="1054" spans="1:19">
      <c r="A1054" s="24"/>
      <c r="B1054" s="25" t="s">
        <v>167</v>
      </c>
      <c r="C1054" s="26" t="s">
        <v>8</v>
      </c>
      <c r="D1054" s="351">
        <v>15</v>
      </c>
      <c r="E1054" s="303"/>
      <c r="F1054" s="351">
        <v>15</v>
      </c>
      <c r="G1054" s="26"/>
      <c r="H1054" s="26"/>
      <c r="I1054" s="26"/>
      <c r="J1054" s="26"/>
      <c r="K1054" s="26"/>
      <c r="L1054" s="26"/>
      <c r="M1054" s="26"/>
      <c r="N1054" s="26"/>
      <c r="O1054" s="26"/>
      <c r="P1054" s="26"/>
      <c r="Q1054" s="66"/>
      <c r="R1054" s="66"/>
      <c r="S1054" s="26"/>
    </row>
    <row r="1055" spans="1:19">
      <c r="A1055" s="24"/>
      <c r="B1055" s="25" t="s">
        <v>168</v>
      </c>
      <c r="C1055" s="26" t="s">
        <v>8</v>
      </c>
      <c r="D1055" s="351">
        <v>1</v>
      </c>
      <c r="E1055" s="92"/>
      <c r="F1055" s="351">
        <v>1</v>
      </c>
      <c r="G1055" s="329"/>
      <c r="H1055" s="329"/>
      <c r="I1055" s="329"/>
      <c r="J1055" s="329"/>
      <c r="K1055" s="329"/>
      <c r="L1055" s="329"/>
      <c r="M1055" s="329"/>
      <c r="N1055" s="329"/>
      <c r="O1055" s="329"/>
      <c r="P1055" s="329"/>
      <c r="Q1055" s="65"/>
      <c r="R1055" s="65"/>
      <c r="S1055" s="329"/>
    </row>
    <row r="1056" spans="1:19">
      <c r="A1056" s="24"/>
      <c r="B1056" s="25" t="s">
        <v>169</v>
      </c>
      <c r="C1056" s="26"/>
      <c r="D1056" s="351"/>
      <c r="E1056" s="43"/>
      <c r="F1056" s="351"/>
      <c r="G1056" s="330"/>
      <c r="H1056" s="330"/>
      <c r="I1056" s="330"/>
      <c r="J1056" s="330"/>
      <c r="K1056" s="330"/>
      <c r="L1056" s="330"/>
      <c r="M1056" s="330"/>
      <c r="N1056" s="330"/>
      <c r="O1056" s="330"/>
      <c r="P1056" s="330"/>
      <c r="Q1056" s="66"/>
      <c r="R1056" s="66"/>
      <c r="S1056" s="330"/>
    </row>
    <row r="1057" spans="1:19">
      <c r="A1057" s="24"/>
      <c r="B1057" s="25" t="s">
        <v>170</v>
      </c>
      <c r="C1057" s="26" t="s">
        <v>8</v>
      </c>
      <c r="D1057" s="351">
        <v>23</v>
      </c>
      <c r="E1057" s="44"/>
      <c r="F1057" s="351">
        <v>23</v>
      </c>
      <c r="G1057" s="331"/>
      <c r="H1057" s="331"/>
      <c r="I1057" s="331"/>
      <c r="J1057" s="331"/>
      <c r="K1057" s="331"/>
      <c r="L1057" s="331"/>
      <c r="M1057" s="331"/>
      <c r="N1057" s="331"/>
      <c r="O1057" s="331"/>
      <c r="P1057" s="331"/>
      <c r="Q1057" s="127"/>
      <c r="R1057" s="127"/>
      <c r="S1057" s="331"/>
    </row>
    <row r="1058" spans="1:19">
      <c r="A1058" s="24"/>
      <c r="B1058" s="25" t="s">
        <v>171</v>
      </c>
      <c r="C1058" s="26" t="s">
        <v>8</v>
      </c>
      <c r="D1058" s="351">
        <v>1</v>
      </c>
      <c r="E1058" s="45"/>
      <c r="F1058" s="351">
        <v>1</v>
      </c>
      <c r="G1058" s="333"/>
      <c r="H1058" s="333"/>
      <c r="I1058" s="333"/>
      <c r="J1058" s="333"/>
      <c r="K1058" s="333"/>
      <c r="L1058" s="333"/>
      <c r="M1058" s="333"/>
      <c r="N1058" s="333"/>
      <c r="O1058" s="333"/>
      <c r="P1058" s="333"/>
      <c r="Q1058" s="66"/>
      <c r="R1058" s="66"/>
      <c r="S1058" s="333"/>
    </row>
    <row r="1059" spans="1:19">
      <c r="A1059" s="24"/>
      <c r="B1059" s="25" t="s">
        <v>172</v>
      </c>
      <c r="C1059" s="26" t="s">
        <v>78</v>
      </c>
      <c r="D1059" s="351">
        <v>1</v>
      </c>
      <c r="E1059" s="45"/>
      <c r="F1059" s="351">
        <v>1</v>
      </c>
      <c r="G1059" s="333"/>
      <c r="H1059" s="333"/>
      <c r="I1059" s="333"/>
      <c r="J1059" s="333"/>
      <c r="K1059" s="333"/>
      <c r="L1059" s="333"/>
      <c r="M1059" s="333"/>
      <c r="N1059" s="333"/>
      <c r="O1059" s="333"/>
      <c r="P1059" s="333"/>
      <c r="Q1059" s="66"/>
      <c r="R1059" s="66"/>
      <c r="S1059" s="333"/>
    </row>
    <row r="1060" spans="1:19">
      <c r="A1060" s="24"/>
      <c r="B1060" s="25" t="s">
        <v>173</v>
      </c>
      <c r="C1060" s="26" t="s">
        <v>8</v>
      </c>
      <c r="D1060" s="351">
        <v>1</v>
      </c>
      <c r="E1060" s="45"/>
      <c r="F1060" s="351">
        <v>1</v>
      </c>
      <c r="G1060" s="333"/>
      <c r="H1060" s="333"/>
      <c r="I1060" s="333"/>
      <c r="J1060" s="333"/>
      <c r="K1060" s="333"/>
      <c r="L1060" s="333"/>
      <c r="M1060" s="333"/>
      <c r="N1060" s="333"/>
      <c r="O1060" s="333"/>
      <c r="P1060" s="333"/>
      <c r="Q1060" s="66"/>
      <c r="R1060" s="66"/>
      <c r="S1060" s="333"/>
    </row>
    <row r="1061" spans="1:19">
      <c r="A1061" s="24"/>
      <c r="B1061" s="25" t="s">
        <v>327</v>
      </c>
      <c r="C1061" s="26" t="s">
        <v>17</v>
      </c>
      <c r="D1061" s="351">
        <v>1</v>
      </c>
      <c r="E1061" s="46"/>
      <c r="F1061" s="351">
        <v>1</v>
      </c>
      <c r="G1061" s="334"/>
      <c r="H1061" s="334"/>
      <c r="I1061" s="334"/>
      <c r="J1061" s="334"/>
      <c r="K1061" s="334"/>
      <c r="L1061" s="334"/>
      <c r="M1061" s="334"/>
      <c r="N1061" s="334"/>
      <c r="O1061" s="334"/>
      <c r="P1061" s="334"/>
      <c r="Q1061" s="66"/>
      <c r="R1061" s="66"/>
      <c r="S1061" s="334"/>
    </row>
    <row r="1062" spans="1:19">
      <c r="A1062" s="24"/>
      <c r="B1062" s="25" t="s">
        <v>175</v>
      </c>
      <c r="C1062" s="26" t="s">
        <v>17</v>
      </c>
      <c r="D1062" s="351">
        <v>1</v>
      </c>
      <c r="E1062" s="47"/>
      <c r="F1062" s="351">
        <v>1</v>
      </c>
      <c r="G1062" s="330"/>
      <c r="H1062" s="330"/>
      <c r="I1062" s="330"/>
      <c r="J1062" s="330"/>
      <c r="K1062" s="330"/>
      <c r="L1062" s="330"/>
      <c r="M1062" s="330"/>
      <c r="N1062" s="330"/>
      <c r="O1062" s="330"/>
      <c r="P1062" s="330"/>
      <c r="Q1062" s="66"/>
      <c r="R1062" s="66"/>
      <c r="S1062" s="330"/>
    </row>
    <row r="1063" spans="1:19" ht="30">
      <c r="A1063" s="24"/>
      <c r="B1063" s="25" t="s">
        <v>176</v>
      </c>
      <c r="C1063" s="26" t="s">
        <v>78</v>
      </c>
      <c r="D1063" s="351">
        <v>1</v>
      </c>
      <c r="E1063" s="48"/>
      <c r="F1063" s="351">
        <v>1</v>
      </c>
      <c r="G1063" s="334"/>
      <c r="H1063" s="334"/>
      <c r="I1063" s="334"/>
      <c r="J1063" s="334"/>
      <c r="K1063" s="334"/>
      <c r="L1063" s="334"/>
      <c r="M1063" s="334"/>
      <c r="N1063" s="334"/>
      <c r="O1063" s="334"/>
      <c r="P1063" s="334"/>
      <c r="Q1063" s="66"/>
      <c r="R1063" s="66"/>
      <c r="S1063" s="334"/>
    </row>
    <row r="1064" spans="1:19" ht="60">
      <c r="A1064" s="24">
        <v>33</v>
      </c>
      <c r="B1064" s="25" t="s">
        <v>329</v>
      </c>
      <c r="C1064" s="26" t="s">
        <v>7</v>
      </c>
      <c r="D1064" s="351">
        <v>1</v>
      </c>
      <c r="E1064" s="48"/>
      <c r="F1064" s="351">
        <v>1</v>
      </c>
      <c r="G1064" s="26" t="s">
        <v>2326</v>
      </c>
      <c r="H1064" s="26"/>
      <c r="I1064" s="26" t="s">
        <v>2327</v>
      </c>
      <c r="J1064" s="26" t="s">
        <v>2328</v>
      </c>
      <c r="K1064" s="311">
        <v>42282102.059999995</v>
      </c>
      <c r="L1064" s="311">
        <v>0</v>
      </c>
      <c r="M1064" s="311">
        <v>1582000.0000000002</v>
      </c>
      <c r="N1064" s="311">
        <v>4410919.4000000004</v>
      </c>
      <c r="O1064" s="311">
        <v>3087643.58</v>
      </c>
      <c r="P1064" s="68">
        <f>SUM(K1064:O1064)</f>
        <v>51362665.039999992</v>
      </c>
      <c r="Q1064" s="68">
        <f>D1064*P1064</f>
        <v>51362665.039999992</v>
      </c>
      <c r="R1064" s="127">
        <f>F1064*P1064</f>
        <v>51362665.039999992</v>
      </c>
      <c r="S1064" s="334"/>
    </row>
    <row r="1065" spans="1:19" ht="30">
      <c r="A1065" s="24"/>
      <c r="B1065" s="25" t="s">
        <v>319</v>
      </c>
      <c r="C1065" s="26" t="s">
        <v>8</v>
      </c>
      <c r="D1065" s="351">
        <v>1</v>
      </c>
      <c r="E1065" s="49"/>
      <c r="F1065" s="351">
        <v>1</v>
      </c>
      <c r="G1065" s="35"/>
      <c r="H1065" s="35"/>
      <c r="I1065" s="35"/>
      <c r="J1065" s="35"/>
      <c r="K1065" s="35"/>
      <c r="L1065" s="35"/>
      <c r="M1065" s="35"/>
      <c r="N1065" s="35"/>
      <c r="O1065" s="35"/>
      <c r="P1065" s="35"/>
      <c r="Q1065" s="65"/>
      <c r="R1065" s="65"/>
      <c r="S1065" s="35"/>
    </row>
    <row r="1066" spans="1:19">
      <c r="A1066" s="24"/>
      <c r="B1066" s="25" t="s">
        <v>161</v>
      </c>
      <c r="C1066" s="26"/>
      <c r="D1066" s="351"/>
      <c r="E1066" s="50"/>
      <c r="F1066" s="351"/>
      <c r="G1066" s="335"/>
      <c r="H1066" s="335"/>
      <c r="I1066" s="335"/>
      <c r="J1066" s="335"/>
      <c r="K1066" s="335"/>
      <c r="L1066" s="335"/>
      <c r="M1066" s="335"/>
      <c r="N1066" s="335"/>
      <c r="O1066" s="335"/>
      <c r="P1066" s="335"/>
      <c r="Q1066" s="66"/>
      <c r="R1066" s="66"/>
      <c r="S1066" s="335"/>
    </row>
    <row r="1067" spans="1:19">
      <c r="A1067" s="24"/>
      <c r="B1067" s="25" t="s">
        <v>299</v>
      </c>
      <c r="C1067" s="26" t="s">
        <v>8</v>
      </c>
      <c r="D1067" s="351">
        <v>1</v>
      </c>
      <c r="E1067" s="50"/>
      <c r="F1067" s="351">
        <v>1</v>
      </c>
      <c r="G1067" s="335"/>
      <c r="H1067" s="335"/>
      <c r="I1067" s="335"/>
      <c r="J1067" s="335"/>
      <c r="K1067" s="335"/>
      <c r="L1067" s="335"/>
      <c r="M1067" s="335"/>
      <c r="N1067" s="335"/>
      <c r="O1067" s="335"/>
      <c r="P1067" s="335"/>
      <c r="Q1067" s="66"/>
      <c r="R1067" s="66"/>
      <c r="S1067" s="335"/>
    </row>
    <row r="1068" spans="1:19">
      <c r="A1068" s="24"/>
      <c r="B1068" s="25" t="s">
        <v>24</v>
      </c>
      <c r="C1068" s="26" t="s">
        <v>8</v>
      </c>
      <c r="D1068" s="351">
        <v>3</v>
      </c>
      <c r="E1068" s="50"/>
      <c r="F1068" s="351">
        <v>3</v>
      </c>
      <c r="G1068" s="335"/>
      <c r="H1068" s="335"/>
      <c r="I1068" s="335"/>
      <c r="J1068" s="335"/>
      <c r="K1068" s="335"/>
      <c r="L1068" s="335"/>
      <c r="M1068" s="335"/>
      <c r="N1068" s="335"/>
      <c r="O1068" s="335"/>
      <c r="P1068" s="335"/>
      <c r="Q1068" s="66"/>
      <c r="R1068" s="66"/>
      <c r="S1068" s="335"/>
    </row>
    <row r="1069" spans="1:19">
      <c r="A1069" s="24"/>
      <c r="B1069" s="25" t="s">
        <v>163</v>
      </c>
      <c r="C1069" s="26" t="s">
        <v>8</v>
      </c>
      <c r="D1069" s="351">
        <v>3</v>
      </c>
      <c r="E1069" s="50"/>
      <c r="F1069" s="351">
        <v>3</v>
      </c>
      <c r="G1069" s="335"/>
      <c r="H1069" s="335"/>
      <c r="I1069" s="335"/>
      <c r="J1069" s="335"/>
      <c r="K1069" s="335"/>
      <c r="L1069" s="335"/>
      <c r="M1069" s="335"/>
      <c r="N1069" s="335"/>
      <c r="O1069" s="335"/>
      <c r="P1069" s="335"/>
      <c r="Q1069" s="66"/>
      <c r="R1069" s="66"/>
      <c r="S1069" s="335"/>
    </row>
    <row r="1070" spans="1:19">
      <c r="A1070" s="24"/>
      <c r="B1070" s="25" t="s">
        <v>164</v>
      </c>
      <c r="C1070" s="26"/>
      <c r="D1070" s="351"/>
      <c r="E1070" s="51"/>
      <c r="F1070" s="351"/>
      <c r="G1070" s="14"/>
      <c r="H1070" s="14"/>
      <c r="I1070" s="14"/>
      <c r="J1070" s="14"/>
      <c r="K1070" s="14"/>
      <c r="L1070" s="14"/>
      <c r="M1070" s="14"/>
      <c r="N1070" s="14"/>
      <c r="O1070" s="14"/>
      <c r="P1070" s="14"/>
      <c r="Q1070" s="66"/>
      <c r="R1070" s="66"/>
      <c r="S1070" s="14"/>
    </row>
    <row r="1071" spans="1:19">
      <c r="A1071" s="24"/>
      <c r="B1071" s="25" t="s">
        <v>251</v>
      </c>
      <c r="C1071" s="26" t="s">
        <v>8</v>
      </c>
      <c r="D1071" s="351">
        <v>2</v>
      </c>
      <c r="E1071" s="50"/>
      <c r="F1071" s="351">
        <v>2</v>
      </c>
      <c r="G1071" s="335"/>
      <c r="H1071" s="335"/>
      <c r="I1071" s="335"/>
      <c r="J1071" s="335"/>
      <c r="K1071" s="335"/>
      <c r="L1071" s="335"/>
      <c r="M1071" s="335"/>
      <c r="N1071" s="335"/>
      <c r="O1071" s="335"/>
      <c r="P1071" s="335"/>
      <c r="Q1071" s="66"/>
      <c r="R1071" s="66"/>
      <c r="S1071" s="335"/>
    </row>
    <row r="1072" spans="1:19">
      <c r="A1072" s="24"/>
      <c r="B1072" s="25" t="s">
        <v>330</v>
      </c>
      <c r="C1072" s="26" t="s">
        <v>8</v>
      </c>
      <c r="D1072" s="351">
        <v>1</v>
      </c>
      <c r="E1072" s="50"/>
      <c r="F1072" s="351">
        <v>1</v>
      </c>
      <c r="G1072" s="335"/>
      <c r="H1072" s="335"/>
      <c r="I1072" s="335"/>
      <c r="J1072" s="335"/>
      <c r="K1072" s="335"/>
      <c r="L1072" s="335"/>
      <c r="M1072" s="335"/>
      <c r="N1072" s="335"/>
      <c r="O1072" s="335"/>
      <c r="P1072" s="335"/>
      <c r="Q1072" s="66"/>
      <c r="R1072" s="66"/>
      <c r="S1072" s="335"/>
    </row>
    <row r="1073" spans="1:19">
      <c r="A1073" s="24"/>
      <c r="B1073" s="25" t="s">
        <v>195</v>
      </c>
      <c r="C1073" s="26" t="s">
        <v>8</v>
      </c>
      <c r="D1073" s="351">
        <v>1</v>
      </c>
      <c r="E1073" s="43"/>
      <c r="F1073" s="351">
        <v>1</v>
      </c>
      <c r="G1073" s="330"/>
      <c r="H1073" s="330"/>
      <c r="I1073" s="330"/>
      <c r="J1073" s="330"/>
      <c r="K1073" s="330"/>
      <c r="L1073" s="330"/>
      <c r="M1073" s="330"/>
      <c r="N1073" s="330"/>
      <c r="O1073" s="330"/>
      <c r="P1073" s="330"/>
      <c r="Q1073" s="66"/>
      <c r="R1073" s="66"/>
      <c r="S1073" s="330"/>
    </row>
    <row r="1074" spans="1:19">
      <c r="A1074" s="24"/>
      <c r="B1074" s="25" t="s">
        <v>331</v>
      </c>
      <c r="C1074" s="26" t="s">
        <v>8</v>
      </c>
      <c r="D1074" s="351">
        <v>3</v>
      </c>
      <c r="E1074" s="43"/>
      <c r="F1074" s="351">
        <v>3</v>
      </c>
      <c r="G1074" s="330"/>
      <c r="H1074" s="330"/>
      <c r="I1074" s="330"/>
      <c r="J1074" s="330"/>
      <c r="K1074" s="330"/>
      <c r="L1074" s="330"/>
      <c r="M1074" s="330"/>
      <c r="N1074" s="330"/>
      <c r="O1074" s="330"/>
      <c r="P1074" s="330"/>
      <c r="Q1074" s="66"/>
      <c r="R1074" s="66"/>
      <c r="S1074" s="330"/>
    </row>
    <row r="1075" spans="1:19">
      <c r="A1075" s="24"/>
      <c r="B1075" s="25" t="s">
        <v>332</v>
      </c>
      <c r="C1075" s="26" t="s">
        <v>8</v>
      </c>
      <c r="D1075" s="351">
        <v>1</v>
      </c>
      <c r="E1075" s="43"/>
      <c r="F1075" s="351">
        <v>1</v>
      </c>
      <c r="G1075" s="330"/>
      <c r="H1075" s="330"/>
      <c r="I1075" s="330"/>
      <c r="J1075" s="330"/>
      <c r="K1075" s="330"/>
      <c r="L1075" s="330"/>
      <c r="M1075" s="330"/>
      <c r="N1075" s="330"/>
      <c r="O1075" s="330"/>
      <c r="P1075" s="330"/>
      <c r="Q1075" s="66"/>
      <c r="R1075" s="66"/>
      <c r="S1075" s="330"/>
    </row>
    <row r="1076" spans="1:19">
      <c r="A1076" s="24"/>
      <c r="B1076" s="25" t="s">
        <v>304</v>
      </c>
      <c r="C1076" s="26" t="s">
        <v>17</v>
      </c>
      <c r="D1076" s="351">
        <v>1</v>
      </c>
      <c r="E1076" s="52"/>
      <c r="F1076" s="351">
        <v>1</v>
      </c>
      <c r="G1076" s="12"/>
      <c r="H1076" s="12"/>
      <c r="I1076" s="12"/>
      <c r="J1076" s="12"/>
      <c r="K1076" s="12"/>
      <c r="L1076" s="12"/>
      <c r="M1076" s="12"/>
      <c r="N1076" s="12"/>
      <c r="O1076" s="12"/>
      <c r="P1076" s="12"/>
      <c r="Q1076" s="66"/>
      <c r="R1076" s="66"/>
      <c r="S1076" s="12"/>
    </row>
    <row r="1077" spans="1:19" ht="30">
      <c r="A1077" s="24"/>
      <c r="B1077" s="25" t="s">
        <v>176</v>
      </c>
      <c r="C1077" s="26" t="s">
        <v>78</v>
      </c>
      <c r="D1077" s="351">
        <v>1</v>
      </c>
      <c r="E1077" s="52"/>
      <c r="F1077" s="351">
        <v>1</v>
      </c>
      <c r="G1077" s="12"/>
      <c r="H1077" s="12"/>
      <c r="I1077" s="12"/>
      <c r="J1077" s="12"/>
      <c r="K1077" s="12"/>
      <c r="L1077" s="12"/>
      <c r="M1077" s="12"/>
      <c r="N1077" s="12"/>
      <c r="O1077" s="12"/>
      <c r="P1077" s="12"/>
      <c r="Q1077" s="66"/>
      <c r="R1077" s="66"/>
      <c r="S1077" s="12"/>
    </row>
    <row r="1078" spans="1:19" ht="60">
      <c r="A1078" s="24">
        <v>34</v>
      </c>
      <c r="B1078" s="25" t="s">
        <v>333</v>
      </c>
      <c r="C1078" s="26" t="s">
        <v>7</v>
      </c>
      <c r="D1078" s="351">
        <v>1</v>
      </c>
      <c r="E1078" s="52"/>
      <c r="F1078" s="351">
        <v>1</v>
      </c>
      <c r="G1078" s="26" t="s">
        <v>2326</v>
      </c>
      <c r="H1078" s="26"/>
      <c r="I1078" s="26" t="s">
        <v>2327</v>
      </c>
      <c r="J1078" s="26" t="s">
        <v>2328</v>
      </c>
      <c r="K1078" s="311">
        <v>18294644.609999999</v>
      </c>
      <c r="L1078" s="311">
        <v>0</v>
      </c>
      <c r="M1078" s="311">
        <v>1582000.0000000002</v>
      </c>
      <c r="N1078" s="311">
        <v>1987943.9000000001</v>
      </c>
      <c r="O1078" s="311">
        <v>1391560.7300000002</v>
      </c>
      <c r="P1078" s="68">
        <f>SUM(K1078:O1078)</f>
        <v>23256149.239999998</v>
      </c>
      <c r="Q1078" s="68">
        <f>D1078*P1078</f>
        <v>23256149.239999998</v>
      </c>
      <c r="R1078" s="127">
        <f>F1078*P1078</f>
        <v>23256149.239999998</v>
      </c>
      <c r="S1078" s="12"/>
    </row>
    <row r="1079" spans="1:19" ht="30">
      <c r="A1079" s="24"/>
      <c r="B1079" s="25" t="s">
        <v>192</v>
      </c>
      <c r="C1079" s="26" t="s">
        <v>8</v>
      </c>
      <c r="D1079" s="351">
        <v>1</v>
      </c>
      <c r="E1079" s="306"/>
      <c r="F1079" s="351">
        <v>1</v>
      </c>
      <c r="G1079" s="336"/>
      <c r="H1079" s="336"/>
      <c r="I1079" s="336"/>
      <c r="J1079" s="336"/>
      <c r="K1079" s="336"/>
      <c r="L1079" s="336"/>
      <c r="M1079" s="336"/>
      <c r="N1079" s="336"/>
      <c r="O1079" s="336"/>
      <c r="P1079" s="336"/>
      <c r="Q1079" s="66"/>
      <c r="R1079" s="66"/>
      <c r="S1079" s="336"/>
    </row>
    <row r="1080" spans="1:19">
      <c r="A1080" s="24"/>
      <c r="B1080" s="25" t="s">
        <v>161</v>
      </c>
      <c r="C1080" s="26"/>
      <c r="D1080" s="351"/>
      <c r="E1080" s="50"/>
      <c r="F1080" s="351"/>
      <c r="G1080" s="335"/>
      <c r="H1080" s="335"/>
      <c r="I1080" s="335"/>
      <c r="J1080" s="335"/>
      <c r="K1080" s="335"/>
      <c r="L1080" s="335"/>
      <c r="M1080" s="335"/>
      <c r="N1080" s="335"/>
      <c r="O1080" s="335"/>
      <c r="P1080" s="335"/>
      <c r="Q1080" s="66"/>
      <c r="R1080" s="66"/>
      <c r="S1080" s="335"/>
    </row>
    <row r="1081" spans="1:19">
      <c r="A1081" s="24"/>
      <c r="B1081" s="25" t="s">
        <v>162</v>
      </c>
      <c r="C1081" s="26" t="s">
        <v>8</v>
      </c>
      <c r="D1081" s="351">
        <v>1</v>
      </c>
      <c r="E1081" s="45"/>
      <c r="F1081" s="351">
        <v>1</v>
      </c>
      <c r="G1081" s="333"/>
      <c r="H1081" s="333"/>
      <c r="I1081" s="333"/>
      <c r="J1081" s="333"/>
      <c r="K1081" s="333"/>
      <c r="L1081" s="333"/>
      <c r="M1081" s="333"/>
      <c r="N1081" s="333"/>
      <c r="O1081" s="333"/>
      <c r="P1081" s="333"/>
      <c r="Q1081" s="66"/>
      <c r="R1081" s="66"/>
      <c r="S1081" s="333"/>
    </row>
    <row r="1082" spans="1:19">
      <c r="A1082" s="24"/>
      <c r="B1082" s="25" t="s">
        <v>202</v>
      </c>
      <c r="C1082" s="26" t="s">
        <v>20</v>
      </c>
      <c r="D1082" s="351">
        <v>3</v>
      </c>
      <c r="E1082" s="44"/>
      <c r="F1082" s="351">
        <v>3</v>
      </c>
      <c r="G1082" s="331"/>
      <c r="H1082" s="331"/>
      <c r="I1082" s="331"/>
      <c r="J1082" s="331"/>
      <c r="K1082" s="331"/>
      <c r="L1082" s="331"/>
      <c r="M1082" s="331"/>
      <c r="N1082" s="331"/>
      <c r="O1082" s="331"/>
      <c r="P1082" s="331"/>
      <c r="Q1082" s="127"/>
      <c r="R1082" s="127"/>
      <c r="S1082" s="331"/>
    </row>
    <row r="1083" spans="1:19">
      <c r="A1083" s="24"/>
      <c r="B1083" s="25" t="s">
        <v>21</v>
      </c>
      <c r="C1083" s="26" t="s">
        <v>8</v>
      </c>
      <c r="D1083" s="351">
        <v>1</v>
      </c>
      <c r="E1083" s="45"/>
      <c r="F1083" s="351">
        <v>1</v>
      </c>
      <c r="G1083" s="333"/>
      <c r="H1083" s="333"/>
      <c r="I1083" s="333"/>
      <c r="J1083" s="333"/>
      <c r="K1083" s="333"/>
      <c r="L1083" s="333"/>
      <c r="M1083" s="333"/>
      <c r="N1083" s="333"/>
      <c r="O1083" s="333"/>
      <c r="P1083" s="333"/>
      <c r="Q1083" s="66"/>
      <c r="R1083" s="66"/>
      <c r="S1083" s="333"/>
    </row>
    <row r="1084" spans="1:19">
      <c r="A1084" s="24"/>
      <c r="B1084" s="25" t="s">
        <v>22</v>
      </c>
      <c r="C1084" s="26" t="s">
        <v>8</v>
      </c>
      <c r="D1084" s="351">
        <v>1</v>
      </c>
      <c r="E1084" s="45"/>
      <c r="F1084" s="351">
        <v>1</v>
      </c>
      <c r="G1084" s="333"/>
      <c r="H1084" s="333"/>
      <c r="I1084" s="333"/>
      <c r="J1084" s="333"/>
      <c r="K1084" s="333"/>
      <c r="L1084" s="333"/>
      <c r="M1084" s="333"/>
      <c r="N1084" s="333"/>
      <c r="O1084" s="333"/>
      <c r="P1084" s="333"/>
      <c r="Q1084" s="66"/>
      <c r="R1084" s="66"/>
      <c r="S1084" s="333"/>
    </row>
    <row r="1085" spans="1:19">
      <c r="A1085" s="24"/>
      <c r="B1085" s="25" t="s">
        <v>203</v>
      </c>
      <c r="C1085" s="26" t="s">
        <v>8</v>
      </c>
      <c r="D1085" s="351">
        <v>3</v>
      </c>
      <c r="E1085" s="45"/>
      <c r="F1085" s="351">
        <v>3</v>
      </c>
      <c r="G1085" s="333"/>
      <c r="H1085" s="333"/>
      <c r="I1085" s="333"/>
      <c r="J1085" s="333"/>
      <c r="K1085" s="333"/>
      <c r="L1085" s="333"/>
      <c r="M1085" s="333"/>
      <c r="N1085" s="333"/>
      <c r="O1085" s="333"/>
      <c r="P1085" s="333"/>
      <c r="Q1085" s="66"/>
      <c r="R1085" s="66"/>
      <c r="S1085" s="333"/>
    </row>
    <row r="1086" spans="1:19">
      <c r="A1086" s="24"/>
      <c r="B1086" s="25" t="s">
        <v>24</v>
      </c>
      <c r="C1086" s="26" t="s">
        <v>8</v>
      </c>
      <c r="D1086" s="351">
        <v>3</v>
      </c>
      <c r="E1086" s="45"/>
      <c r="F1086" s="351">
        <v>3</v>
      </c>
      <c r="G1086" s="333"/>
      <c r="H1086" s="333"/>
      <c r="I1086" s="333"/>
      <c r="J1086" s="333"/>
      <c r="K1086" s="333"/>
      <c r="L1086" s="333"/>
      <c r="M1086" s="333"/>
      <c r="N1086" s="333"/>
      <c r="O1086" s="333"/>
      <c r="P1086" s="333"/>
      <c r="Q1086" s="66"/>
      <c r="R1086" s="66"/>
      <c r="S1086" s="333"/>
    </row>
    <row r="1087" spans="1:19">
      <c r="A1087" s="24"/>
      <c r="B1087" s="25" t="s">
        <v>163</v>
      </c>
      <c r="C1087" s="26" t="s">
        <v>8</v>
      </c>
      <c r="D1087" s="351">
        <v>3</v>
      </c>
      <c r="E1087" s="45"/>
      <c r="F1087" s="351">
        <v>3</v>
      </c>
      <c r="G1087" s="333"/>
      <c r="H1087" s="333"/>
      <c r="I1087" s="333"/>
      <c r="J1087" s="333"/>
      <c r="K1087" s="333"/>
      <c r="L1087" s="333"/>
      <c r="M1087" s="333"/>
      <c r="N1087" s="333"/>
      <c r="O1087" s="333"/>
      <c r="P1087" s="333"/>
      <c r="Q1087" s="66"/>
      <c r="R1087" s="66"/>
      <c r="S1087" s="333"/>
    </row>
    <row r="1088" spans="1:19">
      <c r="A1088" s="24"/>
      <c r="B1088" s="25" t="s">
        <v>164</v>
      </c>
      <c r="C1088" s="26"/>
      <c r="D1088" s="351"/>
      <c r="E1088" s="45"/>
      <c r="F1088" s="351"/>
      <c r="G1088" s="333"/>
      <c r="H1088" s="333"/>
      <c r="I1088" s="333"/>
      <c r="J1088" s="333"/>
      <c r="K1088" s="333"/>
      <c r="L1088" s="333"/>
      <c r="M1088" s="333"/>
      <c r="N1088" s="333"/>
      <c r="O1088" s="333"/>
      <c r="P1088" s="333"/>
      <c r="Q1088" s="66"/>
      <c r="R1088" s="66"/>
      <c r="S1088" s="333"/>
    </row>
    <row r="1089" spans="1:19">
      <c r="A1089" s="24"/>
      <c r="B1089" s="25" t="s">
        <v>180</v>
      </c>
      <c r="C1089" s="26" t="s">
        <v>8</v>
      </c>
      <c r="D1089" s="351">
        <v>2</v>
      </c>
      <c r="E1089" s="45"/>
      <c r="F1089" s="351">
        <v>2</v>
      </c>
      <c r="G1089" s="333"/>
      <c r="H1089" s="333"/>
      <c r="I1089" s="333"/>
      <c r="J1089" s="333"/>
      <c r="K1089" s="333"/>
      <c r="L1089" s="333"/>
      <c r="M1089" s="333"/>
      <c r="N1089" s="333"/>
      <c r="O1089" s="333"/>
      <c r="P1089" s="333"/>
      <c r="Q1089" s="66"/>
      <c r="R1089" s="66"/>
      <c r="S1089" s="333"/>
    </row>
    <row r="1090" spans="1:19">
      <c r="A1090" s="24"/>
      <c r="B1090" s="25" t="s">
        <v>166</v>
      </c>
      <c r="C1090" s="26" t="s">
        <v>8</v>
      </c>
      <c r="D1090" s="351">
        <v>15</v>
      </c>
      <c r="E1090" s="45"/>
      <c r="F1090" s="351">
        <v>15</v>
      </c>
      <c r="G1090" s="333"/>
      <c r="H1090" s="333"/>
      <c r="I1090" s="333"/>
      <c r="J1090" s="333"/>
      <c r="K1090" s="333"/>
      <c r="L1090" s="333"/>
      <c r="M1090" s="333"/>
      <c r="N1090" s="333"/>
      <c r="O1090" s="333"/>
      <c r="P1090" s="333"/>
      <c r="Q1090" s="66"/>
      <c r="R1090" s="66"/>
      <c r="S1090" s="333"/>
    </row>
    <row r="1091" spans="1:19">
      <c r="A1091" s="24"/>
      <c r="B1091" s="25" t="s">
        <v>168</v>
      </c>
      <c r="C1091" s="26" t="s">
        <v>8</v>
      </c>
      <c r="D1091" s="351">
        <v>1</v>
      </c>
      <c r="E1091" s="45"/>
      <c r="F1091" s="351">
        <v>1</v>
      </c>
      <c r="G1091" s="333"/>
      <c r="H1091" s="333"/>
      <c r="I1091" s="333"/>
      <c r="J1091" s="333"/>
      <c r="K1091" s="333"/>
      <c r="L1091" s="333"/>
      <c r="M1091" s="333"/>
      <c r="N1091" s="333"/>
      <c r="O1091" s="333"/>
      <c r="P1091" s="333"/>
      <c r="Q1091" s="66"/>
      <c r="R1091" s="66"/>
      <c r="S1091" s="333"/>
    </row>
    <row r="1092" spans="1:19">
      <c r="A1092" s="24"/>
      <c r="B1092" s="25" t="s">
        <v>274</v>
      </c>
      <c r="C1092" s="26" t="s">
        <v>17</v>
      </c>
      <c r="D1092" s="351">
        <v>2</v>
      </c>
      <c r="E1092" s="45"/>
      <c r="F1092" s="351">
        <v>2</v>
      </c>
      <c r="G1092" s="333"/>
      <c r="H1092" s="333"/>
      <c r="I1092" s="333"/>
      <c r="J1092" s="333"/>
      <c r="K1092" s="333"/>
      <c r="L1092" s="333"/>
      <c r="M1092" s="333"/>
      <c r="N1092" s="333"/>
      <c r="O1092" s="333"/>
      <c r="P1092" s="333"/>
      <c r="Q1092" s="66"/>
      <c r="R1092" s="66"/>
      <c r="S1092" s="333"/>
    </row>
    <row r="1093" spans="1:19">
      <c r="A1093" s="24"/>
      <c r="B1093" s="25" t="s">
        <v>182</v>
      </c>
      <c r="C1093" s="26" t="s">
        <v>8</v>
      </c>
      <c r="D1093" s="351">
        <v>2</v>
      </c>
      <c r="E1093" s="43"/>
      <c r="F1093" s="351">
        <v>2</v>
      </c>
      <c r="G1093" s="330"/>
      <c r="H1093" s="330"/>
      <c r="I1093" s="330"/>
      <c r="J1093" s="330"/>
      <c r="K1093" s="330"/>
      <c r="L1093" s="330"/>
      <c r="M1093" s="330"/>
      <c r="N1093" s="330"/>
      <c r="O1093" s="330"/>
      <c r="P1093" s="330"/>
      <c r="Q1093" s="66"/>
      <c r="R1093" s="66"/>
      <c r="S1093" s="330"/>
    </row>
    <row r="1094" spans="1:19">
      <c r="A1094" s="24"/>
      <c r="B1094" s="25" t="s">
        <v>183</v>
      </c>
      <c r="C1094" s="26" t="s">
        <v>8</v>
      </c>
      <c r="D1094" s="351">
        <v>2</v>
      </c>
      <c r="E1094" s="44"/>
      <c r="F1094" s="351">
        <v>2</v>
      </c>
      <c r="G1094" s="331"/>
      <c r="H1094" s="331"/>
      <c r="I1094" s="331"/>
      <c r="J1094" s="331"/>
      <c r="K1094" s="331"/>
      <c r="L1094" s="331"/>
      <c r="M1094" s="331"/>
      <c r="N1094" s="331"/>
      <c r="O1094" s="331"/>
      <c r="P1094" s="331"/>
      <c r="Q1094" s="127"/>
      <c r="R1094" s="127"/>
      <c r="S1094" s="331"/>
    </row>
    <row r="1095" spans="1:19">
      <c r="A1095" s="24"/>
      <c r="B1095" s="25" t="s">
        <v>275</v>
      </c>
      <c r="C1095" s="26" t="s">
        <v>8</v>
      </c>
      <c r="D1095" s="351">
        <v>2</v>
      </c>
      <c r="E1095" s="46"/>
      <c r="F1095" s="351">
        <v>2</v>
      </c>
      <c r="G1095" s="334"/>
      <c r="H1095" s="334"/>
      <c r="I1095" s="334"/>
      <c r="J1095" s="334"/>
      <c r="K1095" s="334"/>
      <c r="L1095" s="334"/>
      <c r="M1095" s="334"/>
      <c r="N1095" s="334"/>
      <c r="O1095" s="334"/>
      <c r="P1095" s="334"/>
      <c r="Q1095" s="66"/>
      <c r="R1095" s="66"/>
      <c r="S1095" s="334"/>
    </row>
    <row r="1096" spans="1:19">
      <c r="A1096" s="24"/>
      <c r="B1096" s="25" t="s">
        <v>185</v>
      </c>
      <c r="C1096" s="26" t="s">
        <v>8</v>
      </c>
      <c r="D1096" s="351">
        <v>2</v>
      </c>
      <c r="E1096" s="50"/>
      <c r="F1096" s="351">
        <v>2</v>
      </c>
      <c r="G1096" s="335"/>
      <c r="H1096" s="335"/>
      <c r="I1096" s="335"/>
      <c r="J1096" s="335"/>
      <c r="K1096" s="335"/>
      <c r="L1096" s="335"/>
      <c r="M1096" s="335"/>
      <c r="N1096" s="335"/>
      <c r="O1096" s="335"/>
      <c r="P1096" s="335"/>
      <c r="Q1096" s="66"/>
      <c r="R1096" s="66"/>
      <c r="S1096" s="335"/>
    </row>
    <row r="1097" spans="1:19">
      <c r="A1097" s="24"/>
      <c r="B1097" s="25" t="s">
        <v>186</v>
      </c>
      <c r="C1097" s="26" t="s">
        <v>8</v>
      </c>
      <c r="D1097" s="351">
        <v>4</v>
      </c>
      <c r="E1097" s="53"/>
      <c r="F1097" s="351">
        <v>4</v>
      </c>
      <c r="G1097" s="15"/>
      <c r="H1097" s="15"/>
      <c r="I1097" s="15"/>
      <c r="J1097" s="15"/>
      <c r="K1097" s="15"/>
      <c r="L1097" s="15"/>
      <c r="M1097" s="15"/>
      <c r="N1097" s="15"/>
      <c r="O1097" s="15"/>
      <c r="P1097" s="15"/>
      <c r="Q1097" s="66"/>
      <c r="R1097" s="66"/>
      <c r="S1097" s="15"/>
    </row>
    <row r="1098" spans="1:19">
      <c r="A1098" s="24"/>
      <c r="B1098" s="25" t="s">
        <v>187</v>
      </c>
      <c r="C1098" s="26" t="s">
        <v>78</v>
      </c>
      <c r="D1098" s="351">
        <v>1</v>
      </c>
      <c r="E1098" s="50"/>
      <c r="F1098" s="351">
        <v>1</v>
      </c>
      <c r="G1098" s="335"/>
      <c r="H1098" s="335"/>
      <c r="I1098" s="335"/>
      <c r="J1098" s="335"/>
      <c r="K1098" s="335"/>
      <c r="L1098" s="335"/>
      <c r="M1098" s="335"/>
      <c r="N1098" s="335"/>
      <c r="O1098" s="335"/>
      <c r="P1098" s="335"/>
      <c r="Q1098" s="66"/>
      <c r="R1098" s="66"/>
      <c r="S1098" s="335"/>
    </row>
    <row r="1099" spans="1:19">
      <c r="A1099" s="24"/>
      <c r="B1099" s="25" t="s">
        <v>173</v>
      </c>
      <c r="C1099" s="26" t="s">
        <v>8</v>
      </c>
      <c r="D1099" s="351">
        <v>1</v>
      </c>
      <c r="E1099" s="46"/>
      <c r="F1099" s="351">
        <v>1</v>
      </c>
      <c r="G1099" s="334"/>
      <c r="H1099" s="334"/>
      <c r="I1099" s="334"/>
      <c r="J1099" s="334"/>
      <c r="K1099" s="334"/>
      <c r="L1099" s="334"/>
      <c r="M1099" s="334"/>
      <c r="N1099" s="334"/>
      <c r="O1099" s="334"/>
      <c r="P1099" s="334"/>
      <c r="Q1099" s="66"/>
      <c r="R1099" s="66"/>
      <c r="S1099" s="334"/>
    </row>
    <row r="1100" spans="1:19">
      <c r="A1100" s="24"/>
      <c r="B1100" s="25" t="s">
        <v>199</v>
      </c>
      <c r="C1100" s="26" t="s">
        <v>17</v>
      </c>
      <c r="D1100" s="351">
        <v>1</v>
      </c>
      <c r="E1100" s="54"/>
      <c r="F1100" s="351">
        <v>1</v>
      </c>
      <c r="G1100" s="17"/>
      <c r="H1100" s="17"/>
      <c r="I1100" s="17"/>
      <c r="J1100" s="17"/>
      <c r="K1100" s="17"/>
      <c r="L1100" s="17"/>
      <c r="M1100" s="17"/>
      <c r="N1100" s="17"/>
      <c r="O1100" s="17"/>
      <c r="P1100" s="17"/>
      <c r="Q1100" s="66"/>
      <c r="R1100" s="66"/>
      <c r="S1100" s="17"/>
    </row>
    <row r="1101" spans="1:19" ht="30">
      <c r="A1101" s="24"/>
      <c r="B1101" s="25" t="s">
        <v>176</v>
      </c>
      <c r="C1101" s="26" t="s">
        <v>78</v>
      </c>
      <c r="D1101" s="351">
        <v>1</v>
      </c>
      <c r="E1101" s="50"/>
      <c r="F1101" s="351">
        <v>1</v>
      </c>
      <c r="G1101" s="335"/>
      <c r="H1101" s="335"/>
      <c r="I1101" s="335"/>
      <c r="J1101" s="335"/>
      <c r="K1101" s="335"/>
      <c r="L1101" s="335"/>
      <c r="M1101" s="335"/>
      <c r="N1101" s="335"/>
      <c r="O1101" s="335"/>
      <c r="P1101" s="335"/>
      <c r="Q1101" s="66"/>
      <c r="R1101" s="66"/>
      <c r="S1101" s="335"/>
    </row>
    <row r="1102" spans="1:19" ht="60">
      <c r="A1102" s="24">
        <v>35</v>
      </c>
      <c r="B1102" s="25" t="s">
        <v>334</v>
      </c>
      <c r="C1102" s="26" t="s">
        <v>7</v>
      </c>
      <c r="D1102" s="351">
        <v>1</v>
      </c>
      <c r="E1102" s="48"/>
      <c r="F1102" s="351">
        <v>1</v>
      </c>
      <c r="G1102" s="26" t="s">
        <v>2326</v>
      </c>
      <c r="H1102" s="26"/>
      <c r="I1102" s="26" t="s">
        <v>2327</v>
      </c>
      <c r="J1102" s="26" t="s">
        <v>2328</v>
      </c>
      <c r="K1102" s="311">
        <v>20378533.229999997</v>
      </c>
      <c r="L1102" s="311">
        <v>0</v>
      </c>
      <c r="M1102" s="311">
        <v>1582000.0000000002</v>
      </c>
      <c r="N1102" s="311">
        <v>2198437.7000000002</v>
      </c>
      <c r="O1102" s="311">
        <v>1538906.3900000001</v>
      </c>
      <c r="P1102" s="68">
        <f>SUM(K1102:O1102)</f>
        <v>25697877.319999997</v>
      </c>
      <c r="Q1102" s="68">
        <f>D1102*P1102</f>
        <v>25697877.319999997</v>
      </c>
      <c r="R1102" s="127">
        <f>F1102*P1102</f>
        <v>25697877.319999997</v>
      </c>
      <c r="S1102" s="334"/>
    </row>
    <row r="1103" spans="1:19" ht="30">
      <c r="A1103" s="24"/>
      <c r="B1103" s="25" t="s">
        <v>192</v>
      </c>
      <c r="C1103" s="26" t="s">
        <v>8</v>
      </c>
      <c r="D1103" s="351">
        <v>1</v>
      </c>
      <c r="E1103" s="44"/>
      <c r="F1103" s="351">
        <v>1</v>
      </c>
      <c r="G1103" s="331"/>
      <c r="H1103" s="331"/>
      <c r="I1103" s="331"/>
      <c r="J1103" s="331"/>
      <c r="K1103" s="331"/>
      <c r="L1103" s="331"/>
      <c r="M1103" s="331"/>
      <c r="N1103" s="331"/>
      <c r="O1103" s="331"/>
      <c r="P1103" s="331"/>
      <c r="Q1103" s="127"/>
      <c r="R1103" s="127"/>
      <c r="S1103" s="331"/>
    </row>
    <row r="1104" spans="1:19">
      <c r="A1104" s="24"/>
      <c r="B1104" s="25" t="s">
        <v>161</v>
      </c>
      <c r="C1104" s="26"/>
      <c r="D1104" s="351"/>
      <c r="E1104" s="50"/>
      <c r="F1104" s="351"/>
      <c r="G1104" s="335"/>
      <c r="H1104" s="335"/>
      <c r="I1104" s="335"/>
      <c r="J1104" s="335"/>
      <c r="K1104" s="335"/>
      <c r="L1104" s="335"/>
      <c r="M1104" s="335"/>
      <c r="N1104" s="335"/>
      <c r="O1104" s="335"/>
      <c r="P1104" s="335"/>
      <c r="Q1104" s="66"/>
      <c r="R1104" s="66"/>
      <c r="S1104" s="335"/>
    </row>
    <row r="1105" spans="1:19">
      <c r="A1105" s="24"/>
      <c r="B1105" s="25" t="s">
        <v>162</v>
      </c>
      <c r="C1105" s="26" t="s">
        <v>8</v>
      </c>
      <c r="D1105" s="351">
        <v>1</v>
      </c>
      <c r="E1105" s="50"/>
      <c r="F1105" s="351">
        <v>1</v>
      </c>
      <c r="G1105" s="335"/>
      <c r="H1105" s="335"/>
      <c r="I1105" s="335"/>
      <c r="J1105" s="335"/>
      <c r="K1105" s="335"/>
      <c r="L1105" s="335"/>
      <c r="M1105" s="335"/>
      <c r="N1105" s="335"/>
      <c r="O1105" s="335"/>
      <c r="P1105" s="335"/>
      <c r="Q1105" s="66"/>
      <c r="R1105" s="66"/>
      <c r="S1105" s="335"/>
    </row>
    <row r="1106" spans="1:19">
      <c r="A1106" s="24"/>
      <c r="B1106" s="25" t="s">
        <v>202</v>
      </c>
      <c r="C1106" s="26" t="s">
        <v>20</v>
      </c>
      <c r="D1106" s="351">
        <v>3</v>
      </c>
      <c r="E1106" s="50"/>
      <c r="F1106" s="351">
        <v>3</v>
      </c>
      <c r="G1106" s="335"/>
      <c r="H1106" s="335"/>
      <c r="I1106" s="335"/>
      <c r="J1106" s="335"/>
      <c r="K1106" s="335"/>
      <c r="L1106" s="335"/>
      <c r="M1106" s="335"/>
      <c r="N1106" s="335"/>
      <c r="O1106" s="335"/>
      <c r="P1106" s="335"/>
      <c r="Q1106" s="66"/>
      <c r="R1106" s="66"/>
      <c r="S1106" s="335"/>
    </row>
    <row r="1107" spans="1:19">
      <c r="A1107" s="24"/>
      <c r="B1107" s="25" t="s">
        <v>21</v>
      </c>
      <c r="C1107" s="26" t="s">
        <v>8</v>
      </c>
      <c r="D1107" s="351">
        <v>1</v>
      </c>
      <c r="E1107" s="50"/>
      <c r="F1107" s="351">
        <v>1</v>
      </c>
      <c r="G1107" s="335"/>
      <c r="H1107" s="335"/>
      <c r="I1107" s="335"/>
      <c r="J1107" s="335"/>
      <c r="K1107" s="335"/>
      <c r="L1107" s="335"/>
      <c r="M1107" s="335"/>
      <c r="N1107" s="335"/>
      <c r="O1107" s="335"/>
      <c r="P1107" s="335"/>
      <c r="Q1107" s="66"/>
      <c r="R1107" s="66"/>
      <c r="S1107" s="335"/>
    </row>
    <row r="1108" spans="1:19">
      <c r="A1108" s="24"/>
      <c r="B1108" s="25" t="s">
        <v>22</v>
      </c>
      <c r="C1108" s="26" t="s">
        <v>8</v>
      </c>
      <c r="D1108" s="351">
        <v>1</v>
      </c>
      <c r="E1108" s="50"/>
      <c r="F1108" s="351">
        <v>1</v>
      </c>
      <c r="G1108" s="335"/>
      <c r="H1108" s="335"/>
      <c r="I1108" s="335"/>
      <c r="J1108" s="335"/>
      <c r="K1108" s="335"/>
      <c r="L1108" s="335"/>
      <c r="M1108" s="335"/>
      <c r="N1108" s="335"/>
      <c r="O1108" s="335"/>
      <c r="P1108" s="335"/>
      <c r="Q1108" s="66"/>
      <c r="R1108" s="66"/>
      <c r="S1108" s="335"/>
    </row>
    <row r="1109" spans="1:19">
      <c r="A1109" s="24"/>
      <c r="B1109" s="25" t="s">
        <v>203</v>
      </c>
      <c r="C1109" s="26" t="s">
        <v>8</v>
      </c>
      <c r="D1109" s="351">
        <v>3</v>
      </c>
      <c r="E1109" s="43"/>
      <c r="F1109" s="351">
        <v>3</v>
      </c>
      <c r="G1109" s="330"/>
      <c r="H1109" s="330"/>
      <c r="I1109" s="330"/>
      <c r="J1109" s="330"/>
      <c r="K1109" s="330"/>
      <c r="L1109" s="330"/>
      <c r="M1109" s="330"/>
      <c r="N1109" s="330"/>
      <c r="O1109" s="330"/>
      <c r="P1109" s="330"/>
      <c r="Q1109" s="66"/>
      <c r="R1109" s="66"/>
      <c r="S1109" s="330"/>
    </row>
    <row r="1110" spans="1:19">
      <c r="A1110" s="24"/>
      <c r="B1110" s="25" t="s">
        <v>24</v>
      </c>
      <c r="C1110" s="26" t="s">
        <v>8</v>
      </c>
      <c r="D1110" s="351">
        <v>3</v>
      </c>
      <c r="E1110" s="43"/>
      <c r="F1110" s="351">
        <v>3</v>
      </c>
      <c r="G1110" s="330"/>
      <c r="H1110" s="330"/>
      <c r="I1110" s="330"/>
      <c r="J1110" s="330"/>
      <c r="K1110" s="330"/>
      <c r="L1110" s="330"/>
      <c r="M1110" s="330"/>
      <c r="N1110" s="330"/>
      <c r="O1110" s="330"/>
      <c r="P1110" s="330"/>
      <c r="Q1110" s="66"/>
      <c r="R1110" s="66"/>
      <c r="S1110" s="330"/>
    </row>
    <row r="1111" spans="1:19">
      <c r="A1111" s="24"/>
      <c r="B1111" s="25" t="s">
        <v>163</v>
      </c>
      <c r="C1111" s="26" t="s">
        <v>8</v>
      </c>
      <c r="D1111" s="351">
        <v>3</v>
      </c>
      <c r="E1111" s="43"/>
      <c r="F1111" s="351">
        <v>3</v>
      </c>
      <c r="G1111" s="330"/>
      <c r="H1111" s="330"/>
      <c r="I1111" s="330"/>
      <c r="J1111" s="330"/>
      <c r="K1111" s="330"/>
      <c r="L1111" s="330"/>
      <c r="M1111" s="330"/>
      <c r="N1111" s="330"/>
      <c r="O1111" s="330"/>
      <c r="P1111" s="330"/>
      <c r="Q1111" s="66"/>
      <c r="R1111" s="66"/>
      <c r="S1111" s="330"/>
    </row>
    <row r="1112" spans="1:19">
      <c r="A1112" s="24"/>
      <c r="B1112" s="25" t="s">
        <v>164</v>
      </c>
      <c r="C1112" s="26"/>
      <c r="D1112" s="351"/>
      <c r="E1112" s="43"/>
      <c r="F1112" s="351"/>
      <c r="G1112" s="330"/>
      <c r="H1112" s="330"/>
      <c r="I1112" s="330"/>
      <c r="J1112" s="330"/>
      <c r="K1112" s="330"/>
      <c r="L1112" s="330"/>
      <c r="M1112" s="330"/>
      <c r="N1112" s="330"/>
      <c r="O1112" s="330"/>
      <c r="P1112" s="330"/>
      <c r="Q1112" s="66"/>
      <c r="R1112" s="66"/>
      <c r="S1112" s="330"/>
    </row>
    <row r="1113" spans="1:19">
      <c r="A1113" s="24"/>
      <c r="B1113" s="25" t="s">
        <v>180</v>
      </c>
      <c r="C1113" s="26" t="s">
        <v>8</v>
      </c>
      <c r="D1113" s="351">
        <v>3</v>
      </c>
      <c r="E1113" s="50"/>
      <c r="F1113" s="351">
        <v>3</v>
      </c>
      <c r="G1113" s="335"/>
      <c r="H1113" s="335"/>
      <c r="I1113" s="335"/>
      <c r="J1113" s="335"/>
      <c r="K1113" s="335"/>
      <c r="L1113" s="335"/>
      <c r="M1113" s="335"/>
      <c r="N1113" s="335"/>
      <c r="O1113" s="335"/>
      <c r="P1113" s="335"/>
      <c r="Q1113" s="66"/>
      <c r="R1113" s="66"/>
      <c r="S1113" s="335"/>
    </row>
    <row r="1114" spans="1:19">
      <c r="A1114" s="24"/>
      <c r="B1114" s="25" t="s">
        <v>166</v>
      </c>
      <c r="C1114" s="26" t="s">
        <v>8</v>
      </c>
      <c r="D1114" s="351">
        <v>14</v>
      </c>
      <c r="E1114" s="50"/>
      <c r="F1114" s="351">
        <v>14</v>
      </c>
      <c r="G1114" s="335"/>
      <c r="H1114" s="335"/>
      <c r="I1114" s="335"/>
      <c r="J1114" s="335"/>
      <c r="K1114" s="335"/>
      <c r="L1114" s="335"/>
      <c r="M1114" s="335"/>
      <c r="N1114" s="335"/>
      <c r="O1114" s="335"/>
      <c r="P1114" s="335"/>
      <c r="Q1114" s="66"/>
      <c r="R1114" s="66"/>
      <c r="S1114" s="335"/>
    </row>
    <row r="1115" spans="1:19">
      <c r="A1115" s="24"/>
      <c r="B1115" s="25" t="s">
        <v>168</v>
      </c>
      <c r="C1115" s="26" t="s">
        <v>8</v>
      </c>
      <c r="D1115" s="351">
        <v>1</v>
      </c>
      <c r="E1115" s="44"/>
      <c r="F1115" s="351">
        <v>1</v>
      </c>
      <c r="G1115" s="331"/>
      <c r="H1115" s="331"/>
      <c r="I1115" s="331"/>
      <c r="J1115" s="331"/>
      <c r="K1115" s="331"/>
      <c r="L1115" s="331"/>
      <c r="M1115" s="331"/>
      <c r="N1115" s="331"/>
      <c r="O1115" s="331"/>
      <c r="P1115" s="331"/>
      <c r="Q1115" s="127"/>
      <c r="R1115" s="127"/>
      <c r="S1115" s="331"/>
    </row>
    <row r="1116" spans="1:19">
      <c r="A1116" s="24"/>
      <c r="B1116" s="25" t="s">
        <v>274</v>
      </c>
      <c r="C1116" s="26" t="s">
        <v>17</v>
      </c>
      <c r="D1116" s="351">
        <v>3</v>
      </c>
      <c r="E1116" s="46"/>
      <c r="F1116" s="351">
        <v>3</v>
      </c>
      <c r="G1116" s="334"/>
      <c r="H1116" s="334"/>
      <c r="I1116" s="334"/>
      <c r="J1116" s="334"/>
      <c r="K1116" s="334"/>
      <c r="L1116" s="334"/>
      <c r="M1116" s="334"/>
      <c r="N1116" s="334"/>
      <c r="O1116" s="334"/>
      <c r="P1116" s="334"/>
      <c r="Q1116" s="66"/>
      <c r="R1116" s="66"/>
      <c r="S1116" s="334"/>
    </row>
    <row r="1117" spans="1:19">
      <c r="A1117" s="24"/>
      <c r="B1117" s="25" t="s">
        <v>182</v>
      </c>
      <c r="C1117" s="26" t="s">
        <v>8</v>
      </c>
      <c r="D1117" s="351">
        <v>3</v>
      </c>
      <c r="E1117" s="47"/>
      <c r="F1117" s="351">
        <v>3</v>
      </c>
      <c r="G1117" s="330"/>
      <c r="H1117" s="330"/>
      <c r="I1117" s="330"/>
      <c r="J1117" s="330"/>
      <c r="K1117" s="330"/>
      <c r="L1117" s="330"/>
      <c r="M1117" s="330"/>
      <c r="N1117" s="330"/>
      <c r="O1117" s="330"/>
      <c r="P1117" s="330"/>
      <c r="Q1117" s="66"/>
      <c r="R1117" s="66"/>
      <c r="S1117" s="330"/>
    </row>
    <row r="1118" spans="1:19">
      <c r="A1118" s="24"/>
      <c r="B1118" s="25" t="s">
        <v>183</v>
      </c>
      <c r="C1118" s="26" t="s">
        <v>8</v>
      </c>
      <c r="D1118" s="351">
        <v>3</v>
      </c>
      <c r="E1118" s="53"/>
      <c r="F1118" s="351">
        <v>3</v>
      </c>
      <c r="G1118" s="15"/>
      <c r="H1118" s="15"/>
      <c r="I1118" s="15"/>
      <c r="J1118" s="15"/>
      <c r="K1118" s="15"/>
      <c r="L1118" s="15"/>
      <c r="M1118" s="15"/>
      <c r="N1118" s="15"/>
      <c r="O1118" s="15"/>
      <c r="P1118" s="15"/>
      <c r="Q1118" s="66"/>
      <c r="R1118" s="66"/>
      <c r="S1118" s="15"/>
    </row>
    <row r="1119" spans="1:19">
      <c r="A1119" s="24"/>
      <c r="B1119" s="25" t="s">
        <v>275</v>
      </c>
      <c r="C1119" s="26" t="s">
        <v>8</v>
      </c>
      <c r="D1119" s="351">
        <v>3</v>
      </c>
      <c r="E1119" s="50"/>
      <c r="F1119" s="351">
        <v>3</v>
      </c>
      <c r="G1119" s="335"/>
      <c r="H1119" s="335"/>
      <c r="I1119" s="335"/>
      <c r="J1119" s="335"/>
      <c r="K1119" s="335"/>
      <c r="L1119" s="335"/>
      <c r="M1119" s="335"/>
      <c r="N1119" s="335"/>
      <c r="O1119" s="335"/>
      <c r="P1119" s="335"/>
      <c r="Q1119" s="66"/>
      <c r="R1119" s="66"/>
      <c r="S1119" s="335"/>
    </row>
    <row r="1120" spans="1:19">
      <c r="A1120" s="24"/>
      <c r="B1120" s="25" t="s">
        <v>185</v>
      </c>
      <c r="C1120" s="26" t="s">
        <v>8</v>
      </c>
      <c r="D1120" s="351">
        <v>3</v>
      </c>
      <c r="E1120" s="43"/>
      <c r="F1120" s="351">
        <v>3</v>
      </c>
      <c r="G1120" s="330"/>
      <c r="H1120" s="330"/>
      <c r="I1120" s="330"/>
      <c r="J1120" s="330"/>
      <c r="K1120" s="330"/>
      <c r="L1120" s="330"/>
      <c r="M1120" s="330"/>
      <c r="N1120" s="330"/>
      <c r="O1120" s="330"/>
      <c r="P1120" s="330"/>
      <c r="Q1120" s="66"/>
      <c r="R1120" s="66"/>
      <c r="S1120" s="330"/>
    </row>
    <row r="1121" spans="1:19">
      <c r="A1121" s="24"/>
      <c r="B1121" s="25" t="s">
        <v>186</v>
      </c>
      <c r="C1121" s="26" t="s">
        <v>8</v>
      </c>
      <c r="D1121" s="351">
        <v>6</v>
      </c>
      <c r="E1121" s="55"/>
      <c r="F1121" s="351">
        <v>6</v>
      </c>
      <c r="G1121" s="337"/>
      <c r="H1121" s="337"/>
      <c r="I1121" s="337"/>
      <c r="J1121" s="337"/>
      <c r="K1121" s="337"/>
      <c r="L1121" s="337"/>
      <c r="M1121" s="337"/>
      <c r="N1121" s="337"/>
      <c r="O1121" s="337"/>
      <c r="P1121" s="337"/>
      <c r="Q1121" s="66"/>
      <c r="R1121" s="66"/>
      <c r="S1121" s="337"/>
    </row>
    <row r="1122" spans="1:19">
      <c r="A1122" s="24"/>
      <c r="B1122" s="25" t="s">
        <v>187</v>
      </c>
      <c r="C1122" s="26" t="s">
        <v>78</v>
      </c>
      <c r="D1122" s="351">
        <v>1</v>
      </c>
      <c r="E1122" s="53"/>
      <c r="F1122" s="351">
        <v>1</v>
      </c>
      <c r="G1122" s="15"/>
      <c r="H1122" s="15"/>
      <c r="I1122" s="15"/>
      <c r="J1122" s="15"/>
      <c r="K1122" s="15"/>
      <c r="L1122" s="15"/>
      <c r="M1122" s="15"/>
      <c r="N1122" s="15"/>
      <c r="O1122" s="15"/>
      <c r="P1122" s="15"/>
      <c r="Q1122" s="66"/>
      <c r="R1122" s="66"/>
      <c r="S1122" s="15"/>
    </row>
    <row r="1123" spans="1:19">
      <c r="A1123" s="24"/>
      <c r="B1123" s="25" t="s">
        <v>173</v>
      </c>
      <c r="C1123" s="26" t="s">
        <v>8</v>
      </c>
      <c r="D1123" s="351">
        <v>1</v>
      </c>
      <c r="E1123" s="43"/>
      <c r="F1123" s="351">
        <v>1</v>
      </c>
      <c r="G1123" s="330"/>
      <c r="H1123" s="330"/>
      <c r="I1123" s="330"/>
      <c r="J1123" s="330"/>
      <c r="K1123" s="330"/>
      <c r="L1123" s="330"/>
      <c r="M1123" s="330"/>
      <c r="N1123" s="330"/>
      <c r="O1123" s="330"/>
      <c r="P1123" s="330"/>
      <c r="Q1123" s="66"/>
      <c r="R1123" s="66"/>
      <c r="S1123" s="330"/>
    </row>
    <row r="1124" spans="1:19">
      <c r="A1124" s="24"/>
      <c r="B1124" s="25" t="s">
        <v>199</v>
      </c>
      <c r="C1124" s="26" t="s">
        <v>17</v>
      </c>
      <c r="D1124" s="351">
        <v>1</v>
      </c>
      <c r="E1124" s="43"/>
      <c r="F1124" s="351">
        <v>1</v>
      </c>
      <c r="G1124" s="330"/>
      <c r="H1124" s="330"/>
      <c r="I1124" s="330"/>
      <c r="J1124" s="330"/>
      <c r="K1124" s="330"/>
      <c r="L1124" s="330"/>
      <c r="M1124" s="330"/>
      <c r="N1124" s="330"/>
      <c r="O1124" s="330"/>
      <c r="P1124" s="330"/>
      <c r="Q1124" s="66"/>
      <c r="R1124" s="66"/>
      <c r="S1124" s="330"/>
    </row>
    <row r="1125" spans="1:19" ht="30">
      <c r="A1125" s="24"/>
      <c r="B1125" s="25" t="s">
        <v>176</v>
      </c>
      <c r="C1125" s="26" t="s">
        <v>78</v>
      </c>
      <c r="D1125" s="351">
        <v>1</v>
      </c>
      <c r="E1125" s="55"/>
      <c r="F1125" s="351">
        <v>1</v>
      </c>
      <c r="G1125" s="337"/>
      <c r="H1125" s="337"/>
      <c r="I1125" s="337"/>
      <c r="J1125" s="337"/>
      <c r="K1125" s="337"/>
      <c r="L1125" s="337"/>
      <c r="M1125" s="337"/>
      <c r="N1125" s="337"/>
      <c r="O1125" s="337"/>
      <c r="P1125" s="337"/>
      <c r="Q1125" s="66"/>
      <c r="R1125" s="66"/>
      <c r="S1125" s="337"/>
    </row>
    <row r="1126" spans="1:19" ht="60">
      <c r="A1126" s="24">
        <v>36</v>
      </c>
      <c r="B1126" s="25" t="s">
        <v>335</v>
      </c>
      <c r="C1126" s="26" t="s">
        <v>7</v>
      </c>
      <c r="D1126" s="351">
        <v>1</v>
      </c>
      <c r="E1126" s="50"/>
      <c r="F1126" s="351">
        <v>1</v>
      </c>
      <c r="G1126" s="26" t="s">
        <v>2326</v>
      </c>
      <c r="H1126" s="26"/>
      <c r="I1126" s="26" t="s">
        <v>2327</v>
      </c>
      <c r="J1126" s="26" t="s">
        <v>2328</v>
      </c>
      <c r="K1126" s="311">
        <v>14380615.259999998</v>
      </c>
      <c r="L1126" s="311">
        <v>0</v>
      </c>
      <c r="M1126" s="311">
        <v>1318333.3333333335</v>
      </c>
      <c r="N1126" s="311">
        <v>1569254.0666666667</v>
      </c>
      <c r="O1126" s="311">
        <v>1098477.8466666667</v>
      </c>
      <c r="P1126" s="68">
        <f>SUM(K1126:O1126)</f>
        <v>18366680.506666668</v>
      </c>
      <c r="Q1126" s="68">
        <f>D1126*P1126</f>
        <v>18366680.506666668</v>
      </c>
      <c r="R1126" s="127">
        <f>F1126*P1126</f>
        <v>18366680.506666668</v>
      </c>
      <c r="S1126" s="335"/>
    </row>
    <row r="1127" spans="1:19" ht="30">
      <c r="A1127" s="24"/>
      <c r="B1127" s="25" t="s">
        <v>235</v>
      </c>
      <c r="C1127" s="26" t="s">
        <v>8</v>
      </c>
      <c r="D1127" s="351">
        <v>1</v>
      </c>
      <c r="E1127" s="50"/>
      <c r="F1127" s="351">
        <v>1</v>
      </c>
      <c r="G1127" s="335"/>
      <c r="H1127" s="335"/>
      <c r="I1127" s="335"/>
      <c r="J1127" s="335"/>
      <c r="K1127" s="335"/>
      <c r="L1127" s="335"/>
      <c r="M1127" s="335"/>
      <c r="N1127" s="335"/>
      <c r="O1127" s="335"/>
      <c r="P1127" s="335"/>
      <c r="Q1127" s="66"/>
      <c r="R1127" s="66"/>
      <c r="S1127" s="335"/>
    </row>
    <row r="1128" spans="1:19">
      <c r="A1128" s="24"/>
      <c r="B1128" s="25" t="s">
        <v>161</v>
      </c>
      <c r="C1128" s="26"/>
      <c r="D1128" s="351"/>
      <c r="E1128" s="53"/>
      <c r="F1128" s="351"/>
      <c r="G1128" s="15"/>
      <c r="H1128" s="15"/>
      <c r="I1128" s="15"/>
      <c r="J1128" s="15"/>
      <c r="K1128" s="15"/>
      <c r="L1128" s="15"/>
      <c r="M1128" s="15"/>
      <c r="N1128" s="15"/>
      <c r="O1128" s="15"/>
      <c r="P1128" s="15"/>
      <c r="Q1128" s="66"/>
      <c r="R1128" s="66"/>
      <c r="S1128" s="15"/>
    </row>
    <row r="1129" spans="1:19">
      <c r="A1129" s="24"/>
      <c r="B1129" s="25" t="s">
        <v>336</v>
      </c>
      <c r="C1129" s="26" t="s">
        <v>8</v>
      </c>
      <c r="D1129" s="351">
        <v>1</v>
      </c>
      <c r="E1129" s="45"/>
      <c r="F1129" s="351">
        <v>1</v>
      </c>
      <c r="G1129" s="333"/>
      <c r="H1129" s="333"/>
      <c r="I1129" s="333"/>
      <c r="J1129" s="333"/>
      <c r="K1129" s="333"/>
      <c r="L1129" s="333"/>
      <c r="M1129" s="333"/>
      <c r="N1129" s="333"/>
      <c r="O1129" s="333"/>
      <c r="P1129" s="333"/>
      <c r="Q1129" s="66"/>
      <c r="R1129" s="66"/>
      <c r="S1129" s="333"/>
    </row>
    <row r="1130" spans="1:19">
      <c r="A1130" s="24"/>
      <c r="B1130" s="25" t="s">
        <v>24</v>
      </c>
      <c r="C1130" s="26" t="s">
        <v>8</v>
      </c>
      <c r="D1130" s="351">
        <v>3</v>
      </c>
      <c r="E1130" s="306"/>
      <c r="F1130" s="351">
        <v>3</v>
      </c>
      <c r="G1130" s="336"/>
      <c r="H1130" s="336"/>
      <c r="I1130" s="336"/>
      <c r="J1130" s="336"/>
      <c r="K1130" s="336"/>
      <c r="L1130" s="336"/>
      <c r="M1130" s="336"/>
      <c r="N1130" s="336"/>
      <c r="O1130" s="336"/>
      <c r="P1130" s="336"/>
      <c r="Q1130" s="66"/>
      <c r="R1130" s="66"/>
      <c r="S1130" s="336"/>
    </row>
    <row r="1131" spans="1:19">
      <c r="A1131" s="24"/>
      <c r="B1131" s="25" t="s">
        <v>163</v>
      </c>
      <c r="C1131" s="26" t="s">
        <v>8</v>
      </c>
      <c r="D1131" s="351">
        <v>3</v>
      </c>
      <c r="E1131" s="50"/>
      <c r="F1131" s="351">
        <v>3</v>
      </c>
      <c r="G1131" s="335"/>
      <c r="H1131" s="335"/>
      <c r="I1131" s="335"/>
      <c r="J1131" s="335"/>
      <c r="K1131" s="335"/>
      <c r="L1131" s="335"/>
      <c r="M1131" s="335"/>
      <c r="N1131" s="335"/>
      <c r="O1131" s="335"/>
      <c r="P1131" s="335"/>
      <c r="Q1131" s="66"/>
      <c r="R1131" s="66"/>
      <c r="S1131" s="335"/>
    </row>
    <row r="1132" spans="1:19">
      <c r="A1132" s="24"/>
      <c r="B1132" s="25" t="s">
        <v>164</v>
      </c>
      <c r="C1132" s="26"/>
      <c r="D1132" s="351"/>
      <c r="E1132" s="44"/>
      <c r="F1132" s="351"/>
      <c r="G1132" s="331"/>
      <c r="H1132" s="331"/>
      <c r="I1132" s="331"/>
      <c r="J1132" s="331"/>
      <c r="K1132" s="331"/>
      <c r="L1132" s="331"/>
      <c r="M1132" s="331"/>
      <c r="N1132" s="331"/>
      <c r="O1132" s="331"/>
      <c r="P1132" s="331"/>
      <c r="Q1132" s="127"/>
      <c r="R1132" s="127"/>
      <c r="S1132" s="331"/>
    </row>
    <row r="1133" spans="1:19">
      <c r="A1133" s="24"/>
      <c r="B1133" s="25" t="s">
        <v>337</v>
      </c>
      <c r="C1133" s="26" t="s">
        <v>8</v>
      </c>
      <c r="D1133" s="351">
        <v>2</v>
      </c>
      <c r="E1133" s="46"/>
      <c r="F1133" s="351">
        <v>2</v>
      </c>
      <c r="G1133" s="334"/>
      <c r="H1133" s="334"/>
      <c r="I1133" s="334"/>
      <c r="J1133" s="334"/>
      <c r="K1133" s="334"/>
      <c r="L1133" s="334"/>
      <c r="M1133" s="334"/>
      <c r="N1133" s="334"/>
      <c r="O1133" s="334"/>
      <c r="P1133" s="334"/>
      <c r="Q1133" s="66"/>
      <c r="R1133" s="66"/>
      <c r="S1133" s="334"/>
    </row>
    <row r="1134" spans="1:19">
      <c r="A1134" s="24"/>
      <c r="B1134" s="25" t="s">
        <v>216</v>
      </c>
      <c r="C1134" s="26" t="s">
        <v>17</v>
      </c>
      <c r="D1134" s="351">
        <v>1</v>
      </c>
      <c r="E1134" s="47"/>
      <c r="F1134" s="351">
        <v>1</v>
      </c>
      <c r="G1134" s="330"/>
      <c r="H1134" s="330"/>
      <c r="I1134" s="330"/>
      <c r="J1134" s="330"/>
      <c r="K1134" s="330"/>
      <c r="L1134" s="330"/>
      <c r="M1134" s="330"/>
      <c r="N1134" s="330"/>
      <c r="O1134" s="330"/>
      <c r="P1134" s="330"/>
      <c r="Q1134" s="66"/>
      <c r="R1134" s="66"/>
      <c r="S1134" s="330"/>
    </row>
    <row r="1135" spans="1:19">
      <c r="A1135" s="24"/>
      <c r="B1135" s="25" t="s">
        <v>217</v>
      </c>
      <c r="C1135" s="26" t="s">
        <v>17</v>
      </c>
      <c r="D1135" s="351">
        <v>1</v>
      </c>
      <c r="E1135" s="50"/>
      <c r="F1135" s="351">
        <v>1</v>
      </c>
      <c r="G1135" s="335"/>
      <c r="H1135" s="335"/>
      <c r="I1135" s="335"/>
      <c r="J1135" s="335"/>
      <c r="K1135" s="335"/>
      <c r="L1135" s="335"/>
      <c r="M1135" s="335"/>
      <c r="N1135" s="335"/>
      <c r="O1135" s="335"/>
      <c r="P1135" s="335"/>
      <c r="Q1135" s="66"/>
      <c r="R1135" s="66"/>
      <c r="S1135" s="335"/>
    </row>
    <row r="1136" spans="1:19" ht="30">
      <c r="A1136" s="24"/>
      <c r="B1136" s="25" t="s">
        <v>176</v>
      </c>
      <c r="C1136" s="26" t="s">
        <v>78</v>
      </c>
      <c r="D1136" s="351">
        <v>1</v>
      </c>
      <c r="E1136" s="43"/>
      <c r="F1136" s="351">
        <v>1</v>
      </c>
      <c r="G1136" s="330"/>
      <c r="H1136" s="330"/>
      <c r="I1136" s="330"/>
      <c r="J1136" s="330"/>
      <c r="K1136" s="330"/>
      <c r="L1136" s="330"/>
      <c r="M1136" s="330"/>
      <c r="N1136" s="330"/>
      <c r="O1136" s="330"/>
      <c r="P1136" s="330"/>
      <c r="Q1136" s="66"/>
      <c r="R1136" s="66"/>
      <c r="S1136" s="330"/>
    </row>
    <row r="1137" spans="1:19" ht="60">
      <c r="A1137" s="24">
        <v>37</v>
      </c>
      <c r="B1137" s="25" t="s">
        <v>338</v>
      </c>
      <c r="C1137" s="26" t="s">
        <v>7</v>
      </c>
      <c r="D1137" s="351">
        <v>1</v>
      </c>
      <c r="E1137" s="55"/>
      <c r="F1137" s="351">
        <v>1</v>
      </c>
      <c r="G1137" s="26" t="s">
        <v>2326</v>
      </c>
      <c r="H1137" s="26"/>
      <c r="I1137" s="26" t="s">
        <v>2327</v>
      </c>
      <c r="J1137" s="26" t="s">
        <v>2328</v>
      </c>
      <c r="K1137" s="311">
        <v>100635099.83999999</v>
      </c>
      <c r="L1137" s="311">
        <v>0</v>
      </c>
      <c r="M1137" s="311">
        <v>2034000.0000000007</v>
      </c>
      <c r="N1137" s="311">
        <v>10345161.600000001</v>
      </c>
      <c r="O1137" s="311">
        <v>7241613.120000001</v>
      </c>
      <c r="P1137" s="68">
        <f>SUM(K1137:O1137)</f>
        <v>120255874.56</v>
      </c>
      <c r="Q1137" s="68">
        <f>D1137*P1137</f>
        <v>120255874.56</v>
      </c>
      <c r="R1137" s="127">
        <f>F1137*P1137</f>
        <v>120255874.56</v>
      </c>
      <c r="S1137" s="337"/>
    </row>
    <row r="1138" spans="1:19" ht="30">
      <c r="A1138" s="24"/>
      <c r="B1138" s="25" t="s">
        <v>339</v>
      </c>
      <c r="C1138" s="26" t="s">
        <v>8</v>
      </c>
      <c r="D1138" s="351">
        <v>1</v>
      </c>
      <c r="E1138" s="50"/>
      <c r="F1138" s="351">
        <v>1</v>
      </c>
      <c r="G1138" s="335"/>
      <c r="H1138" s="335"/>
      <c r="I1138" s="335"/>
      <c r="J1138" s="335"/>
      <c r="K1138" s="335"/>
      <c r="L1138" s="335"/>
      <c r="M1138" s="335"/>
      <c r="N1138" s="335"/>
      <c r="O1138" s="335"/>
      <c r="P1138" s="335"/>
      <c r="Q1138" s="66"/>
      <c r="R1138" s="66"/>
      <c r="S1138" s="335"/>
    </row>
    <row r="1139" spans="1:19">
      <c r="A1139" s="24"/>
      <c r="B1139" s="25" t="s">
        <v>161</v>
      </c>
      <c r="C1139" s="26"/>
      <c r="D1139" s="351"/>
      <c r="E1139" s="50"/>
      <c r="F1139" s="351"/>
      <c r="G1139" s="335"/>
      <c r="H1139" s="335"/>
      <c r="I1139" s="335"/>
      <c r="J1139" s="335"/>
      <c r="K1139" s="335"/>
      <c r="L1139" s="335"/>
      <c r="M1139" s="335"/>
      <c r="N1139" s="335"/>
      <c r="O1139" s="335"/>
      <c r="P1139" s="335"/>
      <c r="Q1139" s="66"/>
      <c r="R1139" s="66"/>
      <c r="S1139" s="335"/>
    </row>
    <row r="1140" spans="1:19">
      <c r="A1140" s="24"/>
      <c r="B1140" s="25" t="s">
        <v>340</v>
      </c>
      <c r="C1140" s="26" t="s">
        <v>8</v>
      </c>
      <c r="D1140" s="351">
        <v>1</v>
      </c>
      <c r="E1140" s="50"/>
      <c r="F1140" s="351">
        <v>1</v>
      </c>
      <c r="G1140" s="335"/>
      <c r="H1140" s="335"/>
      <c r="I1140" s="335"/>
      <c r="J1140" s="335"/>
      <c r="K1140" s="335"/>
      <c r="L1140" s="335"/>
      <c r="M1140" s="335"/>
      <c r="N1140" s="335"/>
      <c r="O1140" s="335"/>
      <c r="P1140" s="335"/>
      <c r="Q1140" s="66"/>
      <c r="R1140" s="66"/>
      <c r="S1140" s="335"/>
    </row>
    <row r="1141" spans="1:19">
      <c r="A1141" s="24"/>
      <c r="B1141" s="25" t="s">
        <v>45</v>
      </c>
      <c r="C1141" s="26" t="s">
        <v>20</v>
      </c>
      <c r="D1141" s="351">
        <v>6</v>
      </c>
      <c r="E1141" s="50"/>
      <c r="F1141" s="351">
        <v>6</v>
      </c>
      <c r="G1141" s="335"/>
      <c r="H1141" s="335"/>
      <c r="I1141" s="335"/>
      <c r="J1141" s="335"/>
      <c r="K1141" s="335"/>
      <c r="L1141" s="335"/>
      <c r="M1141" s="335"/>
      <c r="N1141" s="335"/>
      <c r="O1141" s="335"/>
      <c r="P1141" s="335"/>
      <c r="Q1141" s="66"/>
      <c r="R1141" s="66"/>
      <c r="S1141" s="335"/>
    </row>
    <row r="1142" spans="1:19">
      <c r="A1142" s="24"/>
      <c r="B1142" s="25" t="s">
        <v>341</v>
      </c>
      <c r="C1142" s="26" t="s">
        <v>8</v>
      </c>
      <c r="D1142" s="351">
        <v>1</v>
      </c>
      <c r="E1142" s="50"/>
      <c r="F1142" s="351">
        <v>1</v>
      </c>
      <c r="G1142" s="335"/>
      <c r="H1142" s="335"/>
      <c r="I1142" s="335"/>
      <c r="J1142" s="335"/>
      <c r="K1142" s="335"/>
      <c r="L1142" s="335"/>
      <c r="M1142" s="335"/>
      <c r="N1142" s="335"/>
      <c r="O1142" s="335"/>
      <c r="P1142" s="335"/>
      <c r="Q1142" s="66"/>
      <c r="R1142" s="66"/>
      <c r="S1142" s="335"/>
    </row>
    <row r="1143" spans="1:19">
      <c r="A1143" s="24"/>
      <c r="B1143" s="25" t="s">
        <v>342</v>
      </c>
      <c r="C1143" s="26" t="s">
        <v>8</v>
      </c>
      <c r="D1143" s="351">
        <v>2</v>
      </c>
      <c r="E1143" s="45"/>
      <c r="F1143" s="351">
        <v>2</v>
      </c>
      <c r="G1143" s="333"/>
      <c r="H1143" s="333"/>
      <c r="I1143" s="333"/>
      <c r="J1143" s="333"/>
      <c r="K1143" s="333"/>
      <c r="L1143" s="333"/>
      <c r="M1143" s="333"/>
      <c r="N1143" s="333"/>
      <c r="O1143" s="333"/>
      <c r="P1143" s="333"/>
      <c r="Q1143" s="66"/>
      <c r="R1143" s="66"/>
      <c r="S1143" s="333"/>
    </row>
    <row r="1144" spans="1:19">
      <c r="A1144" s="24"/>
      <c r="B1144" s="25" t="s">
        <v>24</v>
      </c>
      <c r="C1144" s="26" t="s">
        <v>8</v>
      </c>
      <c r="D1144" s="351">
        <v>6</v>
      </c>
      <c r="E1144" s="306"/>
      <c r="F1144" s="351">
        <v>6</v>
      </c>
      <c r="G1144" s="336"/>
      <c r="H1144" s="336"/>
      <c r="I1144" s="336"/>
      <c r="J1144" s="336"/>
      <c r="K1144" s="336"/>
      <c r="L1144" s="336"/>
      <c r="M1144" s="336"/>
      <c r="N1144" s="336"/>
      <c r="O1144" s="336"/>
      <c r="P1144" s="336"/>
      <c r="Q1144" s="66"/>
      <c r="R1144" s="66"/>
      <c r="S1144" s="336"/>
    </row>
    <row r="1145" spans="1:19">
      <c r="A1145" s="24"/>
      <c r="B1145" s="25" t="s">
        <v>163</v>
      </c>
      <c r="C1145" s="26" t="s">
        <v>8</v>
      </c>
      <c r="D1145" s="351">
        <v>6</v>
      </c>
      <c r="E1145" s="92"/>
      <c r="F1145" s="351">
        <v>6</v>
      </c>
      <c r="G1145" s="329"/>
      <c r="H1145" s="329"/>
      <c r="I1145" s="329"/>
      <c r="J1145" s="329"/>
      <c r="K1145" s="329"/>
      <c r="L1145" s="329"/>
      <c r="M1145" s="329"/>
      <c r="N1145" s="329"/>
      <c r="O1145" s="329"/>
      <c r="P1145" s="329"/>
      <c r="Q1145" s="65"/>
      <c r="R1145" s="65"/>
      <c r="S1145" s="329"/>
    </row>
    <row r="1146" spans="1:19">
      <c r="A1146" s="24"/>
      <c r="B1146" s="25" t="s">
        <v>164</v>
      </c>
      <c r="C1146" s="26"/>
      <c r="D1146" s="351"/>
      <c r="E1146" s="303"/>
      <c r="F1146" s="351"/>
      <c r="G1146" s="26"/>
      <c r="H1146" s="26"/>
      <c r="I1146" s="26"/>
      <c r="J1146" s="26"/>
      <c r="K1146" s="26"/>
      <c r="L1146" s="26"/>
      <c r="M1146" s="26"/>
      <c r="N1146" s="26"/>
      <c r="O1146" s="26"/>
      <c r="P1146" s="26"/>
      <c r="Q1146" s="66"/>
      <c r="R1146" s="66"/>
      <c r="S1146" s="26"/>
    </row>
    <row r="1147" spans="1:19">
      <c r="A1147" s="24"/>
      <c r="B1147" s="25" t="s">
        <v>239</v>
      </c>
      <c r="C1147" s="26" t="s">
        <v>8</v>
      </c>
      <c r="D1147" s="351">
        <v>1</v>
      </c>
      <c r="E1147" s="303"/>
      <c r="F1147" s="351">
        <v>1</v>
      </c>
      <c r="G1147" s="26"/>
      <c r="H1147" s="26"/>
      <c r="I1147" s="26"/>
      <c r="J1147" s="26"/>
      <c r="K1147" s="26"/>
      <c r="L1147" s="26"/>
      <c r="M1147" s="26"/>
      <c r="N1147" s="26"/>
      <c r="O1147" s="26"/>
      <c r="P1147" s="26"/>
      <c r="Q1147" s="66"/>
      <c r="R1147" s="66"/>
      <c r="S1147" s="26"/>
    </row>
    <row r="1148" spans="1:19">
      <c r="A1148" s="24"/>
      <c r="B1148" s="25" t="s">
        <v>320</v>
      </c>
      <c r="C1148" s="26" t="s">
        <v>8</v>
      </c>
      <c r="D1148" s="351">
        <v>1</v>
      </c>
      <c r="E1148" s="303"/>
      <c r="F1148" s="351">
        <v>1</v>
      </c>
      <c r="G1148" s="26"/>
      <c r="H1148" s="26"/>
      <c r="I1148" s="26"/>
      <c r="J1148" s="26"/>
      <c r="K1148" s="26"/>
      <c r="L1148" s="26"/>
      <c r="M1148" s="26"/>
      <c r="N1148" s="26"/>
      <c r="O1148" s="26"/>
      <c r="P1148" s="26"/>
      <c r="Q1148" s="66"/>
      <c r="R1148" s="66"/>
      <c r="S1148" s="26"/>
    </row>
    <row r="1149" spans="1:19">
      <c r="A1149" s="24"/>
      <c r="B1149" s="25" t="s">
        <v>195</v>
      </c>
      <c r="C1149" s="26" t="s">
        <v>8</v>
      </c>
      <c r="D1149" s="351">
        <v>1</v>
      </c>
      <c r="E1149" s="303"/>
      <c r="F1149" s="351">
        <v>1</v>
      </c>
      <c r="G1149" s="26"/>
      <c r="H1149" s="26"/>
      <c r="I1149" s="26"/>
      <c r="J1149" s="26"/>
      <c r="K1149" s="26"/>
      <c r="L1149" s="26"/>
      <c r="M1149" s="26"/>
      <c r="N1149" s="26"/>
      <c r="O1149" s="26"/>
      <c r="P1149" s="26"/>
      <c r="Q1149" s="66"/>
      <c r="R1149" s="66"/>
      <c r="S1149" s="26"/>
    </row>
    <row r="1150" spans="1:19">
      <c r="A1150" s="24"/>
      <c r="B1150" s="25" t="s">
        <v>315</v>
      </c>
      <c r="C1150" s="26" t="s">
        <v>8</v>
      </c>
      <c r="D1150" s="351">
        <v>1</v>
      </c>
      <c r="E1150" s="303"/>
      <c r="F1150" s="351">
        <v>1</v>
      </c>
      <c r="G1150" s="26"/>
      <c r="H1150" s="26"/>
      <c r="I1150" s="26"/>
      <c r="J1150" s="26"/>
      <c r="K1150" s="26"/>
      <c r="L1150" s="26"/>
      <c r="M1150" s="26"/>
      <c r="N1150" s="26"/>
      <c r="O1150" s="26"/>
      <c r="P1150" s="26"/>
      <c r="Q1150" s="66"/>
      <c r="R1150" s="66"/>
      <c r="S1150" s="26"/>
    </row>
    <row r="1151" spans="1:19">
      <c r="A1151" s="24"/>
      <c r="B1151" s="25" t="s">
        <v>343</v>
      </c>
      <c r="C1151" s="26" t="s">
        <v>17</v>
      </c>
      <c r="D1151" s="351">
        <v>1</v>
      </c>
      <c r="E1151" s="303"/>
      <c r="F1151" s="351">
        <v>1</v>
      </c>
      <c r="G1151" s="26"/>
      <c r="H1151" s="26"/>
      <c r="I1151" s="26"/>
      <c r="J1151" s="26"/>
      <c r="K1151" s="26"/>
      <c r="L1151" s="26"/>
      <c r="M1151" s="26"/>
      <c r="N1151" s="26"/>
      <c r="O1151" s="26"/>
      <c r="P1151" s="26"/>
      <c r="Q1151" s="66"/>
      <c r="R1151" s="66"/>
      <c r="S1151" s="26"/>
    </row>
    <row r="1152" spans="1:19">
      <c r="A1152" s="24"/>
      <c r="B1152" s="25" t="s">
        <v>217</v>
      </c>
      <c r="C1152" s="26" t="s">
        <v>17</v>
      </c>
      <c r="D1152" s="351">
        <v>1</v>
      </c>
      <c r="E1152" s="303"/>
      <c r="F1152" s="351">
        <v>1</v>
      </c>
      <c r="G1152" s="26"/>
      <c r="H1152" s="26"/>
      <c r="I1152" s="26"/>
      <c r="J1152" s="26"/>
      <c r="K1152" s="26"/>
      <c r="L1152" s="26"/>
      <c r="M1152" s="26"/>
      <c r="N1152" s="26"/>
      <c r="O1152" s="26"/>
      <c r="P1152" s="26"/>
      <c r="Q1152" s="66"/>
      <c r="R1152" s="66"/>
      <c r="S1152" s="26"/>
    </row>
    <row r="1153" spans="1:19" ht="30">
      <c r="A1153" s="24"/>
      <c r="B1153" s="25" t="s">
        <v>176</v>
      </c>
      <c r="C1153" s="26" t="s">
        <v>78</v>
      </c>
      <c r="D1153" s="351">
        <v>1</v>
      </c>
      <c r="E1153" s="303"/>
      <c r="F1153" s="351">
        <v>1</v>
      </c>
      <c r="G1153" s="26"/>
      <c r="H1153" s="26"/>
      <c r="I1153" s="26"/>
      <c r="J1153" s="26"/>
      <c r="K1153" s="26"/>
      <c r="L1153" s="26"/>
      <c r="M1153" s="26"/>
      <c r="N1153" s="26"/>
      <c r="O1153" s="26"/>
      <c r="P1153" s="26"/>
      <c r="Q1153" s="66"/>
      <c r="R1153" s="66"/>
      <c r="S1153" s="26"/>
    </row>
    <row r="1154" spans="1:19" ht="60">
      <c r="A1154" s="24">
        <v>38</v>
      </c>
      <c r="B1154" s="25" t="s">
        <v>344</v>
      </c>
      <c r="C1154" s="26" t="s">
        <v>7</v>
      </c>
      <c r="D1154" s="351">
        <v>1</v>
      </c>
      <c r="E1154" s="303"/>
      <c r="F1154" s="351">
        <v>1</v>
      </c>
      <c r="G1154" s="26" t="s">
        <v>2326</v>
      </c>
      <c r="H1154" s="26"/>
      <c r="I1154" s="26" t="s">
        <v>2327</v>
      </c>
      <c r="J1154" s="26" t="s">
        <v>2328</v>
      </c>
      <c r="K1154" s="311">
        <v>30985469.459999997</v>
      </c>
      <c r="L1154" s="311">
        <v>0</v>
      </c>
      <c r="M1154" s="311">
        <v>1356000.0000000002</v>
      </c>
      <c r="N1154" s="311">
        <v>3249845.4000000004</v>
      </c>
      <c r="O1154" s="311">
        <v>2274891.7800000003</v>
      </c>
      <c r="P1154" s="68">
        <f>SUM(K1154:O1154)</f>
        <v>37866206.640000001</v>
      </c>
      <c r="Q1154" s="68">
        <f>D1154*P1154</f>
        <v>37866206.640000001</v>
      </c>
      <c r="R1154" s="127">
        <f>F1154*P1154</f>
        <v>37866206.640000001</v>
      </c>
      <c r="S1154" s="26"/>
    </row>
    <row r="1155" spans="1:19" ht="30">
      <c r="A1155" s="24"/>
      <c r="B1155" s="25" t="s">
        <v>345</v>
      </c>
      <c r="C1155" s="26" t="s">
        <v>8</v>
      </c>
      <c r="D1155" s="351">
        <v>1</v>
      </c>
      <c r="E1155" s="303"/>
      <c r="F1155" s="351">
        <v>1</v>
      </c>
      <c r="G1155" s="26"/>
      <c r="H1155" s="26"/>
      <c r="I1155" s="26"/>
      <c r="J1155" s="26"/>
      <c r="K1155" s="26"/>
      <c r="L1155" s="26"/>
      <c r="M1155" s="26"/>
      <c r="N1155" s="26"/>
      <c r="O1155" s="26"/>
      <c r="P1155" s="26"/>
      <c r="Q1155" s="66"/>
      <c r="R1155" s="66"/>
      <c r="S1155" s="26"/>
    </row>
    <row r="1156" spans="1:19">
      <c r="A1156" s="24"/>
      <c r="B1156" s="25" t="s">
        <v>161</v>
      </c>
      <c r="C1156" s="26"/>
      <c r="D1156" s="351"/>
      <c r="E1156" s="303"/>
      <c r="F1156" s="351"/>
      <c r="G1156" s="26"/>
      <c r="H1156" s="26"/>
      <c r="I1156" s="26"/>
      <c r="J1156" s="26"/>
      <c r="K1156" s="26"/>
      <c r="L1156" s="26"/>
      <c r="M1156" s="26"/>
      <c r="N1156" s="26"/>
      <c r="O1156" s="26"/>
      <c r="P1156" s="26"/>
      <c r="Q1156" s="66"/>
      <c r="R1156" s="66"/>
      <c r="S1156" s="26"/>
    </row>
    <row r="1157" spans="1:19">
      <c r="A1157" s="24"/>
      <c r="B1157" s="25" t="s">
        <v>346</v>
      </c>
      <c r="C1157" s="26" t="s">
        <v>8</v>
      </c>
      <c r="D1157" s="351">
        <v>1</v>
      </c>
      <c r="E1157" s="303"/>
      <c r="F1157" s="351">
        <v>1</v>
      </c>
      <c r="G1157" s="26"/>
      <c r="H1157" s="26"/>
      <c r="I1157" s="26"/>
      <c r="J1157" s="26"/>
      <c r="K1157" s="26"/>
      <c r="L1157" s="26"/>
      <c r="M1157" s="26"/>
      <c r="N1157" s="26"/>
      <c r="O1157" s="26"/>
      <c r="P1157" s="26"/>
      <c r="Q1157" s="66"/>
      <c r="R1157" s="66"/>
      <c r="S1157" s="26"/>
    </row>
    <row r="1158" spans="1:19">
      <c r="A1158" s="24"/>
      <c r="B1158" s="25" t="s">
        <v>54</v>
      </c>
      <c r="C1158" s="26" t="s">
        <v>20</v>
      </c>
      <c r="D1158" s="351">
        <v>3</v>
      </c>
      <c r="E1158" s="303"/>
      <c r="F1158" s="351">
        <v>3</v>
      </c>
      <c r="G1158" s="26"/>
      <c r="H1158" s="26"/>
      <c r="I1158" s="26"/>
      <c r="J1158" s="26"/>
      <c r="K1158" s="26"/>
      <c r="L1158" s="26"/>
      <c r="M1158" s="26"/>
      <c r="N1158" s="26"/>
      <c r="O1158" s="26"/>
      <c r="P1158" s="26"/>
      <c r="Q1158" s="66"/>
      <c r="R1158" s="66"/>
      <c r="S1158" s="26"/>
    </row>
    <row r="1159" spans="1:19">
      <c r="A1159" s="24"/>
      <c r="B1159" s="25" t="s">
        <v>21</v>
      </c>
      <c r="C1159" s="26" t="s">
        <v>8</v>
      </c>
      <c r="D1159" s="351">
        <v>1</v>
      </c>
      <c r="E1159" s="303"/>
      <c r="F1159" s="351">
        <v>1</v>
      </c>
      <c r="G1159" s="26"/>
      <c r="H1159" s="26"/>
      <c r="I1159" s="26"/>
      <c r="J1159" s="26"/>
      <c r="K1159" s="26"/>
      <c r="L1159" s="26"/>
      <c r="M1159" s="26"/>
      <c r="N1159" s="26"/>
      <c r="O1159" s="26"/>
      <c r="P1159" s="26"/>
      <c r="Q1159" s="66"/>
      <c r="R1159" s="66"/>
      <c r="S1159" s="26"/>
    </row>
    <row r="1160" spans="1:19">
      <c r="A1160" s="24"/>
      <c r="B1160" s="25" t="s">
        <v>22</v>
      </c>
      <c r="C1160" s="26" t="s">
        <v>8</v>
      </c>
      <c r="D1160" s="351">
        <v>1</v>
      </c>
      <c r="E1160" s="303"/>
      <c r="F1160" s="351">
        <v>1</v>
      </c>
      <c r="G1160" s="26"/>
      <c r="H1160" s="26"/>
      <c r="I1160" s="26"/>
      <c r="J1160" s="26"/>
      <c r="K1160" s="26"/>
      <c r="L1160" s="26"/>
      <c r="M1160" s="26"/>
      <c r="N1160" s="26"/>
      <c r="O1160" s="26"/>
      <c r="P1160" s="26"/>
      <c r="Q1160" s="66"/>
      <c r="R1160" s="66"/>
      <c r="S1160" s="26"/>
    </row>
    <row r="1161" spans="1:19">
      <c r="A1161" s="24"/>
      <c r="B1161" s="25" t="s">
        <v>194</v>
      </c>
      <c r="C1161" s="26" t="s">
        <v>8</v>
      </c>
      <c r="D1161" s="351">
        <v>3</v>
      </c>
      <c r="E1161" s="303"/>
      <c r="F1161" s="351">
        <v>3</v>
      </c>
      <c r="G1161" s="26"/>
      <c r="H1161" s="26"/>
      <c r="I1161" s="26"/>
      <c r="J1161" s="26"/>
      <c r="K1161" s="26"/>
      <c r="L1161" s="26"/>
      <c r="M1161" s="26"/>
      <c r="N1161" s="26"/>
      <c r="O1161" s="26"/>
      <c r="P1161" s="26"/>
      <c r="Q1161" s="66"/>
      <c r="R1161" s="66"/>
      <c r="S1161" s="26"/>
    </row>
    <row r="1162" spans="1:19">
      <c r="A1162" s="24"/>
      <c r="B1162" s="25" t="s">
        <v>24</v>
      </c>
      <c r="C1162" s="26" t="s">
        <v>8</v>
      </c>
      <c r="D1162" s="351">
        <v>3</v>
      </c>
      <c r="E1162" s="303"/>
      <c r="F1162" s="351">
        <v>3</v>
      </c>
      <c r="G1162" s="26"/>
      <c r="H1162" s="26"/>
      <c r="I1162" s="26"/>
      <c r="J1162" s="26"/>
      <c r="K1162" s="26"/>
      <c r="L1162" s="26"/>
      <c r="M1162" s="26"/>
      <c r="N1162" s="26"/>
      <c r="O1162" s="26"/>
      <c r="P1162" s="26"/>
      <c r="Q1162" s="66"/>
      <c r="R1162" s="66"/>
      <c r="S1162" s="26"/>
    </row>
    <row r="1163" spans="1:19">
      <c r="A1163" s="24"/>
      <c r="B1163" s="25" t="s">
        <v>163</v>
      </c>
      <c r="C1163" s="26" t="s">
        <v>8</v>
      </c>
      <c r="D1163" s="351">
        <v>3</v>
      </c>
      <c r="E1163" s="303"/>
      <c r="F1163" s="351">
        <v>3</v>
      </c>
      <c r="G1163" s="26"/>
      <c r="H1163" s="26"/>
      <c r="I1163" s="26"/>
      <c r="J1163" s="26"/>
      <c r="K1163" s="26"/>
      <c r="L1163" s="26"/>
      <c r="M1163" s="26"/>
      <c r="N1163" s="26"/>
      <c r="O1163" s="26"/>
      <c r="P1163" s="26"/>
      <c r="Q1163" s="66"/>
      <c r="R1163" s="66"/>
      <c r="S1163" s="26"/>
    </row>
    <row r="1164" spans="1:19">
      <c r="A1164" s="24"/>
      <c r="B1164" s="25" t="s">
        <v>164</v>
      </c>
      <c r="C1164" s="26"/>
      <c r="D1164" s="351"/>
      <c r="E1164" s="303"/>
      <c r="F1164" s="351"/>
      <c r="G1164" s="26"/>
      <c r="H1164" s="26"/>
      <c r="I1164" s="26"/>
      <c r="J1164" s="26"/>
      <c r="K1164" s="26"/>
      <c r="L1164" s="26"/>
      <c r="M1164" s="26"/>
      <c r="N1164" s="26"/>
      <c r="O1164" s="26"/>
      <c r="P1164" s="26"/>
      <c r="Q1164" s="66"/>
      <c r="R1164" s="66"/>
      <c r="S1164" s="26"/>
    </row>
    <row r="1165" spans="1:19">
      <c r="A1165" s="24"/>
      <c r="B1165" s="25" t="s">
        <v>180</v>
      </c>
      <c r="C1165" s="26" t="s">
        <v>8</v>
      </c>
      <c r="D1165" s="351">
        <v>7</v>
      </c>
      <c r="E1165" s="303"/>
      <c r="F1165" s="351">
        <v>7</v>
      </c>
      <c r="G1165" s="26"/>
      <c r="H1165" s="26"/>
      <c r="I1165" s="26"/>
      <c r="J1165" s="26"/>
      <c r="K1165" s="26"/>
      <c r="L1165" s="26"/>
      <c r="M1165" s="26"/>
      <c r="N1165" s="26"/>
      <c r="O1165" s="26"/>
      <c r="P1165" s="26"/>
      <c r="Q1165" s="66"/>
      <c r="R1165" s="66"/>
      <c r="S1165" s="26"/>
    </row>
    <row r="1166" spans="1:19">
      <c r="A1166" s="24"/>
      <c r="B1166" s="25" t="s">
        <v>166</v>
      </c>
      <c r="C1166" s="26" t="s">
        <v>8</v>
      </c>
      <c r="D1166" s="351">
        <v>28</v>
      </c>
      <c r="E1166" s="303"/>
      <c r="F1166" s="351">
        <v>28</v>
      </c>
      <c r="G1166" s="26"/>
      <c r="H1166" s="26"/>
      <c r="I1166" s="26"/>
      <c r="J1166" s="26"/>
      <c r="K1166" s="26"/>
      <c r="L1166" s="26"/>
      <c r="M1166" s="26"/>
      <c r="N1166" s="26"/>
      <c r="O1166" s="26"/>
      <c r="P1166" s="26"/>
      <c r="Q1166" s="66"/>
      <c r="R1166" s="66"/>
      <c r="S1166" s="26"/>
    </row>
    <row r="1167" spans="1:19">
      <c r="A1167" s="24"/>
      <c r="B1167" s="25" t="s">
        <v>168</v>
      </c>
      <c r="C1167" s="26" t="s">
        <v>8</v>
      </c>
      <c r="D1167" s="351">
        <v>1</v>
      </c>
      <c r="E1167" s="92"/>
      <c r="F1167" s="351">
        <v>1</v>
      </c>
      <c r="G1167" s="329"/>
      <c r="H1167" s="329"/>
      <c r="I1167" s="329"/>
      <c r="J1167" s="329"/>
      <c r="K1167" s="329"/>
      <c r="L1167" s="329"/>
      <c r="M1167" s="329"/>
      <c r="N1167" s="329"/>
      <c r="O1167" s="329"/>
      <c r="P1167" s="329"/>
      <c r="Q1167" s="65"/>
      <c r="R1167" s="65"/>
      <c r="S1167" s="329"/>
    </row>
    <row r="1168" spans="1:19">
      <c r="A1168" s="24"/>
      <c r="B1168" s="25" t="s">
        <v>274</v>
      </c>
      <c r="C1168" s="26" t="s">
        <v>17</v>
      </c>
      <c r="D1168" s="351">
        <v>4</v>
      </c>
      <c r="E1168" s="57"/>
      <c r="F1168" s="351">
        <v>4</v>
      </c>
      <c r="G1168" s="36"/>
      <c r="H1168" s="36"/>
      <c r="I1168" s="36"/>
      <c r="J1168" s="36"/>
      <c r="K1168" s="36"/>
      <c r="L1168" s="36"/>
      <c r="M1168" s="36"/>
      <c r="N1168" s="36"/>
      <c r="O1168" s="36"/>
      <c r="P1168" s="36"/>
      <c r="Q1168" s="65"/>
      <c r="R1168" s="65"/>
      <c r="S1168" s="36"/>
    </row>
    <row r="1169" spans="1:19">
      <c r="A1169" s="24"/>
      <c r="B1169" s="25" t="s">
        <v>182</v>
      </c>
      <c r="C1169" s="26" t="s">
        <v>8</v>
      </c>
      <c r="D1169" s="351">
        <v>4</v>
      </c>
      <c r="E1169" s="53"/>
      <c r="F1169" s="351">
        <v>4</v>
      </c>
      <c r="G1169" s="15"/>
      <c r="H1169" s="15"/>
      <c r="I1169" s="15"/>
      <c r="J1169" s="15"/>
      <c r="K1169" s="15"/>
      <c r="L1169" s="15"/>
      <c r="M1169" s="15"/>
      <c r="N1169" s="15"/>
      <c r="O1169" s="15"/>
      <c r="P1169" s="15"/>
      <c r="Q1169" s="66"/>
      <c r="R1169" s="66"/>
      <c r="S1169" s="15"/>
    </row>
    <row r="1170" spans="1:19">
      <c r="A1170" s="24"/>
      <c r="B1170" s="25" t="s">
        <v>183</v>
      </c>
      <c r="C1170" s="26" t="s">
        <v>8</v>
      </c>
      <c r="D1170" s="351">
        <v>4</v>
      </c>
      <c r="E1170" s="58"/>
      <c r="F1170" s="351">
        <v>4</v>
      </c>
      <c r="G1170" s="18"/>
      <c r="H1170" s="18"/>
      <c r="I1170" s="18"/>
      <c r="J1170" s="18"/>
      <c r="K1170" s="18"/>
      <c r="L1170" s="18"/>
      <c r="M1170" s="18"/>
      <c r="N1170" s="18"/>
      <c r="O1170" s="18"/>
      <c r="P1170" s="18"/>
      <c r="Q1170" s="65"/>
      <c r="R1170" s="65"/>
      <c r="S1170" s="18"/>
    </row>
    <row r="1171" spans="1:19">
      <c r="A1171" s="24"/>
      <c r="B1171" s="25" t="s">
        <v>275</v>
      </c>
      <c r="C1171" s="26" t="s">
        <v>8</v>
      </c>
      <c r="D1171" s="351">
        <v>4</v>
      </c>
      <c r="E1171" s="53"/>
      <c r="F1171" s="351">
        <v>4</v>
      </c>
      <c r="G1171" s="15"/>
      <c r="H1171" s="15"/>
      <c r="I1171" s="15"/>
      <c r="J1171" s="15"/>
      <c r="K1171" s="15"/>
      <c r="L1171" s="15"/>
      <c r="M1171" s="15"/>
      <c r="N1171" s="15"/>
      <c r="O1171" s="15"/>
      <c r="P1171" s="15"/>
      <c r="Q1171" s="66"/>
      <c r="R1171" s="66"/>
      <c r="S1171" s="15"/>
    </row>
    <row r="1172" spans="1:19">
      <c r="A1172" s="24"/>
      <c r="B1172" s="25" t="s">
        <v>185</v>
      </c>
      <c r="C1172" s="26" t="s">
        <v>8</v>
      </c>
      <c r="D1172" s="351">
        <v>4</v>
      </c>
      <c r="E1172" s="53"/>
      <c r="F1172" s="351">
        <v>4</v>
      </c>
      <c r="G1172" s="15"/>
      <c r="H1172" s="15"/>
      <c r="I1172" s="15"/>
      <c r="J1172" s="15"/>
      <c r="K1172" s="15"/>
      <c r="L1172" s="15"/>
      <c r="M1172" s="15"/>
      <c r="N1172" s="15"/>
      <c r="O1172" s="15"/>
      <c r="P1172" s="15"/>
      <c r="Q1172" s="66"/>
      <c r="R1172" s="66"/>
      <c r="S1172" s="15"/>
    </row>
    <row r="1173" spans="1:19">
      <c r="A1173" s="24"/>
      <c r="B1173" s="25" t="s">
        <v>186</v>
      </c>
      <c r="C1173" s="26" t="s">
        <v>8</v>
      </c>
      <c r="D1173" s="351">
        <v>8</v>
      </c>
      <c r="E1173" s="53"/>
      <c r="F1173" s="351">
        <v>8</v>
      </c>
      <c r="G1173" s="15"/>
      <c r="H1173" s="15"/>
      <c r="I1173" s="15"/>
      <c r="J1173" s="15"/>
      <c r="K1173" s="15"/>
      <c r="L1173" s="15"/>
      <c r="M1173" s="15"/>
      <c r="N1173" s="15"/>
      <c r="O1173" s="15"/>
      <c r="P1173" s="15"/>
      <c r="Q1173" s="66"/>
      <c r="R1173" s="66"/>
      <c r="S1173" s="15"/>
    </row>
    <row r="1174" spans="1:19">
      <c r="A1174" s="24"/>
      <c r="B1174" s="25" t="s">
        <v>187</v>
      </c>
      <c r="C1174" s="26" t="s">
        <v>78</v>
      </c>
      <c r="D1174" s="351">
        <v>1</v>
      </c>
      <c r="E1174" s="53"/>
      <c r="F1174" s="351">
        <v>1</v>
      </c>
      <c r="G1174" s="15"/>
      <c r="H1174" s="15"/>
      <c r="I1174" s="15"/>
      <c r="J1174" s="15"/>
      <c r="K1174" s="15"/>
      <c r="L1174" s="15"/>
      <c r="M1174" s="15"/>
      <c r="N1174" s="15"/>
      <c r="O1174" s="15"/>
      <c r="P1174" s="15"/>
      <c r="Q1174" s="66"/>
      <c r="R1174" s="66"/>
      <c r="S1174" s="15"/>
    </row>
    <row r="1175" spans="1:19">
      <c r="A1175" s="24"/>
      <c r="B1175" s="25" t="s">
        <v>226</v>
      </c>
      <c r="C1175" s="26" t="s">
        <v>17</v>
      </c>
      <c r="D1175" s="351">
        <v>3</v>
      </c>
      <c r="E1175" s="59"/>
      <c r="F1175" s="351">
        <v>3</v>
      </c>
      <c r="G1175" s="37"/>
      <c r="H1175" s="37"/>
      <c r="I1175" s="37"/>
      <c r="J1175" s="37"/>
      <c r="K1175" s="37"/>
      <c r="L1175" s="37"/>
      <c r="M1175" s="37"/>
      <c r="N1175" s="37"/>
      <c r="O1175" s="37"/>
      <c r="P1175" s="37"/>
      <c r="Q1175" s="66"/>
      <c r="R1175" s="66"/>
      <c r="S1175" s="37"/>
    </row>
    <row r="1176" spans="1:19">
      <c r="A1176" s="24"/>
      <c r="B1176" s="25" t="s">
        <v>182</v>
      </c>
      <c r="C1176" s="26" t="s">
        <v>8</v>
      </c>
      <c r="D1176" s="351">
        <v>3</v>
      </c>
      <c r="E1176" s="59"/>
      <c r="F1176" s="351">
        <v>3</v>
      </c>
      <c r="G1176" s="37"/>
      <c r="H1176" s="37"/>
      <c r="I1176" s="37"/>
      <c r="J1176" s="37"/>
      <c r="K1176" s="37"/>
      <c r="L1176" s="37"/>
      <c r="M1176" s="37"/>
      <c r="N1176" s="37"/>
      <c r="O1176" s="37"/>
      <c r="P1176" s="37"/>
      <c r="Q1176" s="66"/>
      <c r="R1176" s="66"/>
      <c r="S1176" s="37"/>
    </row>
    <row r="1177" spans="1:19">
      <c r="A1177" s="24"/>
      <c r="B1177" s="25" t="s">
        <v>183</v>
      </c>
      <c r="C1177" s="26" t="s">
        <v>8</v>
      </c>
      <c r="D1177" s="351">
        <v>3</v>
      </c>
      <c r="E1177" s="59"/>
      <c r="F1177" s="351">
        <v>3</v>
      </c>
      <c r="G1177" s="37"/>
      <c r="H1177" s="37"/>
      <c r="I1177" s="37"/>
      <c r="J1177" s="37"/>
      <c r="K1177" s="37"/>
      <c r="L1177" s="37"/>
      <c r="M1177" s="37"/>
      <c r="N1177" s="37"/>
      <c r="O1177" s="37"/>
      <c r="P1177" s="37"/>
      <c r="Q1177" s="66"/>
      <c r="R1177" s="66"/>
      <c r="S1177" s="37"/>
    </row>
    <row r="1178" spans="1:19">
      <c r="A1178" s="24"/>
      <c r="B1178" s="25" t="s">
        <v>190</v>
      </c>
      <c r="C1178" s="26" t="s">
        <v>8</v>
      </c>
      <c r="D1178" s="351">
        <v>3</v>
      </c>
      <c r="E1178" s="59"/>
      <c r="F1178" s="351">
        <v>3</v>
      </c>
      <c r="G1178" s="37"/>
      <c r="H1178" s="37"/>
      <c r="I1178" s="37"/>
      <c r="J1178" s="37"/>
      <c r="K1178" s="37"/>
      <c r="L1178" s="37"/>
      <c r="M1178" s="37"/>
      <c r="N1178" s="37"/>
      <c r="O1178" s="37"/>
      <c r="P1178" s="37"/>
      <c r="Q1178" s="66"/>
      <c r="R1178" s="66"/>
      <c r="S1178" s="37"/>
    </row>
    <row r="1179" spans="1:19">
      <c r="A1179" s="24"/>
      <c r="B1179" s="25" t="s">
        <v>185</v>
      </c>
      <c r="C1179" s="26" t="s">
        <v>8</v>
      </c>
      <c r="D1179" s="351">
        <v>3</v>
      </c>
      <c r="E1179" s="59"/>
      <c r="F1179" s="351">
        <v>3</v>
      </c>
      <c r="G1179" s="37"/>
      <c r="H1179" s="37"/>
      <c r="I1179" s="37"/>
      <c r="J1179" s="37"/>
      <c r="K1179" s="37"/>
      <c r="L1179" s="37"/>
      <c r="M1179" s="37"/>
      <c r="N1179" s="37"/>
      <c r="O1179" s="37"/>
      <c r="P1179" s="37"/>
      <c r="Q1179" s="66"/>
      <c r="R1179" s="66"/>
      <c r="S1179" s="37"/>
    </row>
    <row r="1180" spans="1:19">
      <c r="A1180" s="24"/>
      <c r="B1180" s="25" t="s">
        <v>186</v>
      </c>
      <c r="C1180" s="26" t="s">
        <v>8</v>
      </c>
      <c r="D1180" s="351">
        <v>6</v>
      </c>
      <c r="E1180" s="59"/>
      <c r="F1180" s="351">
        <v>6</v>
      </c>
      <c r="G1180" s="37"/>
      <c r="H1180" s="37"/>
      <c r="I1180" s="37"/>
      <c r="J1180" s="37"/>
      <c r="K1180" s="37"/>
      <c r="L1180" s="37"/>
      <c r="M1180" s="37"/>
      <c r="N1180" s="37"/>
      <c r="O1180" s="37"/>
      <c r="P1180" s="37"/>
      <c r="Q1180" s="66"/>
      <c r="R1180" s="66"/>
      <c r="S1180" s="37"/>
    </row>
    <row r="1181" spans="1:19">
      <c r="A1181" s="24"/>
      <c r="B1181" s="25" t="s">
        <v>187</v>
      </c>
      <c r="C1181" s="26" t="s">
        <v>78</v>
      </c>
      <c r="D1181" s="351">
        <v>1</v>
      </c>
      <c r="E1181" s="57"/>
      <c r="F1181" s="351">
        <v>1</v>
      </c>
      <c r="G1181" s="36"/>
      <c r="H1181" s="36"/>
      <c r="I1181" s="36"/>
      <c r="J1181" s="36"/>
      <c r="K1181" s="36"/>
      <c r="L1181" s="36"/>
      <c r="M1181" s="36"/>
      <c r="N1181" s="36"/>
      <c r="O1181" s="36"/>
      <c r="P1181" s="36"/>
      <c r="Q1181" s="65"/>
      <c r="R1181" s="65"/>
      <c r="S1181" s="36"/>
    </row>
    <row r="1182" spans="1:19">
      <c r="A1182" s="24"/>
      <c r="B1182" s="25" t="s">
        <v>173</v>
      </c>
      <c r="C1182" s="26" t="s">
        <v>8</v>
      </c>
      <c r="D1182" s="351">
        <v>1</v>
      </c>
      <c r="E1182" s="59"/>
      <c r="F1182" s="351">
        <v>1</v>
      </c>
      <c r="G1182" s="37"/>
      <c r="H1182" s="37"/>
      <c r="I1182" s="37"/>
      <c r="J1182" s="37"/>
      <c r="K1182" s="37"/>
      <c r="L1182" s="37"/>
      <c r="M1182" s="37"/>
      <c r="N1182" s="37"/>
      <c r="O1182" s="37"/>
      <c r="P1182" s="37"/>
      <c r="Q1182" s="66"/>
      <c r="R1182" s="66"/>
      <c r="S1182" s="37"/>
    </row>
    <row r="1183" spans="1:19">
      <c r="A1183" s="24"/>
      <c r="B1183" s="25" t="s">
        <v>347</v>
      </c>
      <c r="C1183" s="26" t="s">
        <v>17</v>
      </c>
      <c r="D1183" s="351">
        <v>1</v>
      </c>
      <c r="E1183" s="59"/>
      <c r="F1183" s="351">
        <v>1</v>
      </c>
      <c r="G1183" s="37"/>
      <c r="H1183" s="37"/>
      <c r="I1183" s="37"/>
      <c r="J1183" s="37"/>
      <c r="K1183" s="37"/>
      <c r="L1183" s="37"/>
      <c r="M1183" s="37"/>
      <c r="N1183" s="37"/>
      <c r="O1183" s="37"/>
      <c r="P1183" s="37"/>
      <c r="Q1183" s="66"/>
      <c r="R1183" s="66"/>
      <c r="S1183" s="37"/>
    </row>
    <row r="1184" spans="1:19">
      <c r="A1184" s="24"/>
      <c r="B1184" s="25" t="s">
        <v>217</v>
      </c>
      <c r="C1184" s="26" t="s">
        <v>17</v>
      </c>
      <c r="D1184" s="351">
        <v>1</v>
      </c>
      <c r="E1184" s="59"/>
      <c r="F1184" s="351">
        <v>1</v>
      </c>
      <c r="G1184" s="37"/>
      <c r="H1184" s="37"/>
      <c r="I1184" s="37"/>
      <c r="J1184" s="37"/>
      <c r="K1184" s="37"/>
      <c r="L1184" s="37"/>
      <c r="M1184" s="37"/>
      <c r="N1184" s="37"/>
      <c r="O1184" s="37"/>
      <c r="P1184" s="37"/>
      <c r="Q1184" s="66"/>
      <c r="R1184" s="66"/>
      <c r="S1184" s="37"/>
    </row>
    <row r="1185" spans="1:19" ht="30">
      <c r="A1185" s="24"/>
      <c r="B1185" s="25" t="s">
        <v>176</v>
      </c>
      <c r="C1185" s="26" t="s">
        <v>78</v>
      </c>
      <c r="D1185" s="351">
        <v>1</v>
      </c>
      <c r="E1185" s="59"/>
      <c r="F1185" s="351">
        <v>1</v>
      </c>
      <c r="G1185" s="37"/>
      <c r="H1185" s="37"/>
      <c r="I1185" s="37"/>
      <c r="J1185" s="37"/>
      <c r="K1185" s="37"/>
      <c r="L1185" s="37"/>
      <c r="M1185" s="37"/>
      <c r="N1185" s="37"/>
      <c r="O1185" s="37"/>
      <c r="P1185" s="37"/>
      <c r="Q1185" s="66"/>
      <c r="R1185" s="66"/>
      <c r="S1185" s="37"/>
    </row>
    <row r="1186" spans="1:19" ht="60">
      <c r="A1186" s="24">
        <v>39</v>
      </c>
      <c r="B1186" s="25" t="s">
        <v>348</v>
      </c>
      <c r="C1186" s="26" t="s">
        <v>7</v>
      </c>
      <c r="D1186" s="351">
        <v>1</v>
      </c>
      <c r="E1186" s="60"/>
      <c r="F1186" s="351">
        <v>1</v>
      </c>
      <c r="G1186" s="26" t="s">
        <v>2326</v>
      </c>
      <c r="H1186" s="26"/>
      <c r="I1186" s="26" t="s">
        <v>2327</v>
      </c>
      <c r="J1186" s="26" t="s">
        <v>2328</v>
      </c>
      <c r="K1186" s="311">
        <v>67300428.689999998</v>
      </c>
      <c r="L1186" s="311">
        <v>0</v>
      </c>
      <c r="M1186" s="311">
        <v>2486000.0000000009</v>
      </c>
      <c r="N1186" s="311">
        <v>7018023.1000000006</v>
      </c>
      <c r="O1186" s="311">
        <v>4912616.1700000009</v>
      </c>
      <c r="P1186" s="68">
        <f>SUM(K1186:O1186)</f>
        <v>81717067.959999993</v>
      </c>
      <c r="Q1186" s="68">
        <f>D1186*P1186</f>
        <v>81717067.959999993</v>
      </c>
      <c r="R1186" s="127">
        <f>F1186*P1186</f>
        <v>81717067.959999993</v>
      </c>
      <c r="S1186" s="38"/>
    </row>
    <row r="1187" spans="1:19" ht="30">
      <c r="A1187" s="24"/>
      <c r="B1187" s="25" t="s">
        <v>319</v>
      </c>
      <c r="C1187" s="26" t="s">
        <v>8</v>
      </c>
      <c r="D1187" s="351">
        <v>1</v>
      </c>
      <c r="E1187" s="57"/>
      <c r="F1187" s="351">
        <v>1</v>
      </c>
      <c r="G1187" s="36"/>
      <c r="H1187" s="36"/>
      <c r="I1187" s="36"/>
      <c r="J1187" s="36"/>
      <c r="K1187" s="36"/>
      <c r="L1187" s="36"/>
      <c r="M1187" s="36"/>
      <c r="N1187" s="36"/>
      <c r="O1187" s="36"/>
      <c r="P1187" s="36"/>
      <c r="Q1187" s="65"/>
      <c r="R1187" s="65"/>
      <c r="S1187" s="36"/>
    </row>
    <row r="1188" spans="1:19">
      <c r="A1188" s="24"/>
      <c r="B1188" s="25" t="s">
        <v>161</v>
      </c>
      <c r="C1188" s="26"/>
      <c r="D1188" s="351"/>
      <c r="E1188" s="53"/>
      <c r="F1188" s="351"/>
      <c r="G1188" s="15"/>
      <c r="H1188" s="15"/>
      <c r="I1188" s="15"/>
      <c r="J1188" s="15"/>
      <c r="K1188" s="15"/>
      <c r="L1188" s="15"/>
      <c r="M1188" s="15"/>
      <c r="N1188" s="15"/>
      <c r="O1188" s="15"/>
      <c r="P1188" s="15"/>
      <c r="Q1188" s="66"/>
      <c r="R1188" s="66"/>
      <c r="S1188" s="15"/>
    </row>
    <row r="1189" spans="1:19">
      <c r="A1189" s="24"/>
      <c r="B1189" s="25" t="s">
        <v>349</v>
      </c>
      <c r="C1189" s="26" t="s">
        <v>8</v>
      </c>
      <c r="D1189" s="351">
        <v>1</v>
      </c>
      <c r="E1189" s="58"/>
      <c r="F1189" s="351">
        <v>1</v>
      </c>
      <c r="G1189" s="18"/>
      <c r="H1189" s="18"/>
      <c r="I1189" s="18"/>
      <c r="J1189" s="18"/>
      <c r="K1189" s="18"/>
      <c r="L1189" s="18"/>
      <c r="M1189" s="18"/>
      <c r="N1189" s="18"/>
      <c r="O1189" s="18"/>
      <c r="P1189" s="18"/>
      <c r="Q1189" s="65"/>
      <c r="R1189" s="65"/>
      <c r="S1189" s="18"/>
    </row>
    <row r="1190" spans="1:19">
      <c r="A1190" s="24"/>
      <c r="B1190" s="25" t="s">
        <v>24</v>
      </c>
      <c r="C1190" s="26" t="s">
        <v>8</v>
      </c>
      <c r="D1190" s="351">
        <v>3</v>
      </c>
      <c r="E1190" s="53"/>
      <c r="F1190" s="351">
        <v>3</v>
      </c>
      <c r="G1190" s="15"/>
      <c r="H1190" s="15"/>
      <c r="I1190" s="15"/>
      <c r="J1190" s="15"/>
      <c r="K1190" s="15"/>
      <c r="L1190" s="15"/>
      <c r="M1190" s="15"/>
      <c r="N1190" s="15"/>
      <c r="O1190" s="15"/>
      <c r="P1190" s="15"/>
      <c r="Q1190" s="66"/>
      <c r="R1190" s="66"/>
      <c r="S1190" s="15"/>
    </row>
    <row r="1191" spans="1:19">
      <c r="A1191" s="24"/>
      <c r="B1191" s="25" t="s">
        <v>163</v>
      </c>
      <c r="C1191" s="26" t="s">
        <v>8</v>
      </c>
      <c r="D1191" s="351">
        <v>3</v>
      </c>
      <c r="E1191" s="53"/>
      <c r="F1191" s="351">
        <v>3</v>
      </c>
      <c r="G1191" s="15"/>
      <c r="H1191" s="15"/>
      <c r="I1191" s="15"/>
      <c r="J1191" s="15"/>
      <c r="K1191" s="15"/>
      <c r="L1191" s="15"/>
      <c r="M1191" s="15"/>
      <c r="N1191" s="15"/>
      <c r="O1191" s="15"/>
      <c r="P1191" s="15"/>
      <c r="Q1191" s="66"/>
      <c r="R1191" s="66"/>
      <c r="S1191" s="15"/>
    </row>
    <row r="1192" spans="1:19">
      <c r="A1192" s="24"/>
      <c r="B1192" s="25" t="s">
        <v>164</v>
      </c>
      <c r="C1192" s="26"/>
      <c r="D1192" s="351"/>
      <c r="E1192" s="53"/>
      <c r="F1192" s="351"/>
      <c r="G1192" s="15"/>
      <c r="H1192" s="15"/>
      <c r="I1192" s="15"/>
      <c r="J1192" s="15"/>
      <c r="K1192" s="15"/>
      <c r="L1192" s="15"/>
      <c r="M1192" s="15"/>
      <c r="N1192" s="15"/>
      <c r="O1192" s="15"/>
      <c r="P1192" s="15"/>
      <c r="Q1192" s="66"/>
      <c r="R1192" s="66"/>
      <c r="S1192" s="15"/>
    </row>
    <row r="1193" spans="1:19">
      <c r="A1193" s="24"/>
      <c r="B1193" s="25" t="s">
        <v>320</v>
      </c>
      <c r="C1193" s="26" t="s">
        <v>8</v>
      </c>
      <c r="D1193" s="351">
        <v>4</v>
      </c>
      <c r="E1193" s="53"/>
      <c r="F1193" s="351">
        <v>4</v>
      </c>
      <c r="G1193" s="15"/>
      <c r="H1193" s="15"/>
      <c r="I1193" s="15"/>
      <c r="J1193" s="15"/>
      <c r="K1193" s="15"/>
      <c r="L1193" s="15"/>
      <c r="M1193" s="15"/>
      <c r="N1193" s="15"/>
      <c r="O1193" s="15"/>
      <c r="P1193" s="15"/>
      <c r="Q1193" s="66"/>
      <c r="R1193" s="66"/>
      <c r="S1193" s="15"/>
    </row>
    <row r="1194" spans="1:19">
      <c r="A1194" s="24"/>
      <c r="B1194" s="25" t="s">
        <v>321</v>
      </c>
      <c r="C1194" s="26" t="s">
        <v>8</v>
      </c>
      <c r="D1194" s="351">
        <v>12</v>
      </c>
      <c r="E1194" s="59"/>
      <c r="F1194" s="351">
        <v>12</v>
      </c>
      <c r="G1194" s="37"/>
      <c r="H1194" s="37"/>
      <c r="I1194" s="37"/>
      <c r="J1194" s="37"/>
      <c r="K1194" s="37"/>
      <c r="L1194" s="37"/>
      <c r="M1194" s="37"/>
      <c r="N1194" s="37"/>
      <c r="O1194" s="37"/>
      <c r="P1194" s="37"/>
      <c r="Q1194" s="66"/>
      <c r="R1194" s="66"/>
      <c r="S1194" s="37"/>
    </row>
    <row r="1195" spans="1:19">
      <c r="A1195" s="24"/>
      <c r="B1195" s="25" t="s">
        <v>330</v>
      </c>
      <c r="C1195" s="26" t="s">
        <v>8</v>
      </c>
      <c r="D1195" s="351">
        <v>1</v>
      </c>
      <c r="E1195" s="60"/>
      <c r="F1195" s="351">
        <v>1</v>
      </c>
      <c r="G1195" s="38"/>
      <c r="H1195" s="38"/>
      <c r="I1195" s="38"/>
      <c r="J1195" s="38"/>
      <c r="K1195" s="38"/>
      <c r="L1195" s="38"/>
      <c r="M1195" s="38"/>
      <c r="N1195" s="38"/>
      <c r="O1195" s="38"/>
      <c r="P1195" s="38"/>
      <c r="Q1195" s="65"/>
      <c r="R1195" s="65"/>
      <c r="S1195" s="38"/>
    </row>
    <row r="1196" spans="1:19">
      <c r="A1196" s="24"/>
      <c r="B1196" s="25" t="s">
        <v>268</v>
      </c>
      <c r="C1196" s="26" t="s">
        <v>8</v>
      </c>
      <c r="D1196" s="351">
        <v>1</v>
      </c>
      <c r="E1196" s="57"/>
      <c r="F1196" s="351">
        <v>1</v>
      </c>
      <c r="G1196" s="36"/>
      <c r="H1196" s="36"/>
      <c r="I1196" s="36"/>
      <c r="J1196" s="36"/>
      <c r="K1196" s="36"/>
      <c r="L1196" s="36"/>
      <c r="M1196" s="36"/>
      <c r="N1196" s="36"/>
      <c r="O1196" s="36"/>
      <c r="P1196" s="36"/>
      <c r="Q1196" s="65"/>
      <c r="R1196" s="65"/>
      <c r="S1196" s="36"/>
    </row>
    <row r="1197" spans="1:19">
      <c r="A1197" s="24"/>
      <c r="B1197" s="25" t="s">
        <v>331</v>
      </c>
      <c r="C1197" s="26" t="s">
        <v>8</v>
      </c>
      <c r="D1197" s="351">
        <v>1</v>
      </c>
      <c r="E1197" s="53"/>
      <c r="F1197" s="351">
        <v>1</v>
      </c>
      <c r="G1197" s="15"/>
      <c r="H1197" s="15"/>
      <c r="I1197" s="15"/>
      <c r="J1197" s="15"/>
      <c r="K1197" s="15"/>
      <c r="L1197" s="15"/>
      <c r="M1197" s="15"/>
      <c r="N1197" s="15"/>
      <c r="O1197" s="15"/>
      <c r="P1197" s="15"/>
      <c r="Q1197" s="66"/>
      <c r="R1197" s="66"/>
      <c r="S1197" s="15"/>
    </row>
    <row r="1198" spans="1:19">
      <c r="A1198" s="24"/>
      <c r="B1198" s="25" t="s">
        <v>322</v>
      </c>
      <c r="C1198" s="26" t="s">
        <v>8</v>
      </c>
      <c r="D1198" s="351">
        <v>1</v>
      </c>
      <c r="E1198" s="58"/>
      <c r="F1198" s="351">
        <v>1</v>
      </c>
      <c r="G1198" s="18"/>
      <c r="H1198" s="18"/>
      <c r="I1198" s="18"/>
      <c r="J1198" s="18"/>
      <c r="K1198" s="18"/>
      <c r="L1198" s="18"/>
      <c r="M1198" s="18"/>
      <c r="N1198" s="18"/>
      <c r="O1198" s="18"/>
      <c r="P1198" s="18"/>
      <c r="Q1198" s="65"/>
      <c r="R1198" s="65"/>
      <c r="S1198" s="18"/>
    </row>
    <row r="1199" spans="1:19">
      <c r="A1199" s="24"/>
      <c r="B1199" s="25" t="s">
        <v>350</v>
      </c>
      <c r="C1199" s="26" t="s">
        <v>8</v>
      </c>
      <c r="D1199" s="351">
        <v>4</v>
      </c>
      <c r="E1199" s="53"/>
      <c r="F1199" s="351">
        <v>4</v>
      </c>
      <c r="G1199" s="15"/>
      <c r="H1199" s="15"/>
      <c r="I1199" s="15"/>
      <c r="J1199" s="15"/>
      <c r="K1199" s="15"/>
      <c r="L1199" s="15"/>
      <c r="M1199" s="15"/>
      <c r="N1199" s="15"/>
      <c r="O1199" s="15"/>
      <c r="P1199" s="15"/>
      <c r="Q1199" s="66"/>
      <c r="R1199" s="66"/>
      <c r="S1199" s="15"/>
    </row>
    <row r="1200" spans="1:19">
      <c r="A1200" s="24"/>
      <c r="B1200" s="25" t="s">
        <v>351</v>
      </c>
      <c r="C1200" s="26" t="s">
        <v>17</v>
      </c>
      <c r="D1200" s="351">
        <v>1</v>
      </c>
      <c r="E1200" s="53"/>
      <c r="F1200" s="351">
        <v>1</v>
      </c>
      <c r="G1200" s="15"/>
      <c r="H1200" s="15"/>
      <c r="I1200" s="15"/>
      <c r="J1200" s="15"/>
      <c r="K1200" s="15"/>
      <c r="L1200" s="15"/>
      <c r="M1200" s="15"/>
      <c r="N1200" s="15"/>
      <c r="O1200" s="15"/>
      <c r="P1200" s="15"/>
      <c r="Q1200" s="66"/>
      <c r="R1200" s="66"/>
      <c r="S1200" s="15"/>
    </row>
    <row r="1201" spans="1:19">
      <c r="A1201" s="24"/>
      <c r="B1201" s="25" t="s">
        <v>352</v>
      </c>
      <c r="C1201" s="26" t="s">
        <v>17</v>
      </c>
      <c r="D1201" s="351">
        <v>1</v>
      </c>
      <c r="E1201" s="53"/>
      <c r="F1201" s="351">
        <v>1</v>
      </c>
      <c r="G1201" s="15"/>
      <c r="H1201" s="15"/>
      <c r="I1201" s="15"/>
      <c r="J1201" s="15"/>
      <c r="K1201" s="15"/>
      <c r="L1201" s="15"/>
      <c r="M1201" s="15"/>
      <c r="N1201" s="15"/>
      <c r="O1201" s="15"/>
      <c r="P1201" s="15"/>
      <c r="Q1201" s="66"/>
      <c r="R1201" s="66"/>
      <c r="S1201" s="15"/>
    </row>
    <row r="1202" spans="1:19" ht="30">
      <c r="A1202" s="24"/>
      <c r="B1202" s="25" t="s">
        <v>176</v>
      </c>
      <c r="C1202" s="26" t="s">
        <v>78</v>
      </c>
      <c r="D1202" s="351">
        <v>1</v>
      </c>
      <c r="E1202" s="53"/>
      <c r="F1202" s="351">
        <v>1</v>
      </c>
      <c r="G1202" s="15"/>
      <c r="H1202" s="15"/>
      <c r="I1202" s="15"/>
      <c r="J1202" s="15"/>
      <c r="K1202" s="15"/>
      <c r="L1202" s="15"/>
      <c r="M1202" s="15"/>
      <c r="N1202" s="15"/>
      <c r="O1202" s="15"/>
      <c r="P1202" s="15"/>
      <c r="Q1202" s="66"/>
      <c r="R1202" s="66"/>
      <c r="S1202" s="15"/>
    </row>
    <row r="1203" spans="1:19" ht="60">
      <c r="A1203" s="24">
        <v>40</v>
      </c>
      <c r="B1203" s="25" t="s">
        <v>353</v>
      </c>
      <c r="C1203" s="26" t="s">
        <v>7</v>
      </c>
      <c r="D1203" s="351">
        <v>1</v>
      </c>
      <c r="E1203" s="59"/>
      <c r="F1203" s="351">
        <v>1</v>
      </c>
      <c r="G1203" s="26" t="s">
        <v>2326</v>
      </c>
      <c r="H1203" s="26"/>
      <c r="I1203" s="26" t="s">
        <v>2327</v>
      </c>
      <c r="J1203" s="26" t="s">
        <v>2328</v>
      </c>
      <c r="K1203" s="311">
        <v>57253913.639999993</v>
      </c>
      <c r="L1203" s="311">
        <v>0</v>
      </c>
      <c r="M1203" s="311">
        <v>2486000.0000000009</v>
      </c>
      <c r="N1203" s="311">
        <v>6003223.6000000006</v>
      </c>
      <c r="O1203" s="311">
        <v>4202256.5200000005</v>
      </c>
      <c r="P1203" s="68">
        <f>SUM(K1203:O1203)</f>
        <v>69945393.75999999</v>
      </c>
      <c r="Q1203" s="68">
        <f>D1203*P1203</f>
        <v>69945393.75999999</v>
      </c>
      <c r="R1203" s="127">
        <f>F1203*P1203</f>
        <v>69945393.75999999</v>
      </c>
      <c r="S1203" s="37"/>
    </row>
    <row r="1204" spans="1:19" ht="30">
      <c r="A1204" s="24"/>
      <c r="B1204" s="25" t="s">
        <v>319</v>
      </c>
      <c r="C1204" s="26" t="s">
        <v>8</v>
      </c>
      <c r="D1204" s="351">
        <v>1</v>
      </c>
      <c r="E1204" s="59"/>
      <c r="F1204" s="351">
        <v>1</v>
      </c>
      <c r="G1204" s="37"/>
      <c r="H1204" s="37"/>
      <c r="I1204" s="37"/>
      <c r="J1204" s="37"/>
      <c r="K1204" s="37"/>
      <c r="L1204" s="37"/>
      <c r="M1204" s="37"/>
      <c r="N1204" s="37"/>
      <c r="O1204" s="37"/>
      <c r="P1204" s="37"/>
      <c r="Q1204" s="66"/>
      <c r="R1204" s="66"/>
      <c r="S1204" s="37"/>
    </row>
    <row r="1205" spans="1:19">
      <c r="A1205" s="24"/>
      <c r="B1205" s="25" t="s">
        <v>161</v>
      </c>
      <c r="C1205" s="26"/>
      <c r="D1205" s="351"/>
      <c r="E1205" s="59"/>
      <c r="F1205" s="351"/>
      <c r="G1205" s="37"/>
      <c r="H1205" s="37"/>
      <c r="I1205" s="37"/>
      <c r="J1205" s="37"/>
      <c r="K1205" s="37"/>
      <c r="L1205" s="37"/>
      <c r="M1205" s="37"/>
      <c r="N1205" s="37"/>
      <c r="O1205" s="37"/>
      <c r="P1205" s="37"/>
      <c r="Q1205" s="66"/>
      <c r="R1205" s="66"/>
      <c r="S1205" s="37"/>
    </row>
    <row r="1206" spans="1:19">
      <c r="A1206" s="24"/>
      <c r="B1206" s="25" t="s">
        <v>354</v>
      </c>
      <c r="C1206" s="26" t="s">
        <v>8</v>
      </c>
      <c r="D1206" s="351">
        <v>1</v>
      </c>
      <c r="E1206" s="59"/>
      <c r="F1206" s="351">
        <v>1</v>
      </c>
      <c r="G1206" s="37"/>
      <c r="H1206" s="37"/>
      <c r="I1206" s="37"/>
      <c r="J1206" s="37"/>
      <c r="K1206" s="37"/>
      <c r="L1206" s="37"/>
      <c r="M1206" s="37"/>
      <c r="N1206" s="37"/>
      <c r="O1206" s="37"/>
      <c r="P1206" s="37"/>
      <c r="Q1206" s="66"/>
      <c r="R1206" s="66"/>
      <c r="S1206" s="37"/>
    </row>
    <row r="1207" spans="1:19">
      <c r="A1207" s="24"/>
      <c r="B1207" s="25" t="s">
        <v>24</v>
      </c>
      <c r="C1207" s="26" t="s">
        <v>8</v>
      </c>
      <c r="D1207" s="351">
        <v>3</v>
      </c>
      <c r="E1207" s="53"/>
      <c r="F1207" s="351">
        <v>3</v>
      </c>
      <c r="G1207" s="15"/>
      <c r="H1207" s="15"/>
      <c r="I1207" s="15"/>
      <c r="J1207" s="15"/>
      <c r="K1207" s="15"/>
      <c r="L1207" s="15"/>
      <c r="M1207" s="15"/>
      <c r="N1207" s="15"/>
      <c r="O1207" s="15"/>
      <c r="P1207" s="15"/>
      <c r="Q1207" s="66"/>
      <c r="R1207" s="66"/>
      <c r="S1207" s="15"/>
    </row>
    <row r="1208" spans="1:19">
      <c r="A1208" s="24"/>
      <c r="B1208" s="25" t="s">
        <v>163</v>
      </c>
      <c r="C1208" s="26" t="s">
        <v>8</v>
      </c>
      <c r="D1208" s="351">
        <v>3</v>
      </c>
      <c r="E1208" s="307"/>
      <c r="F1208" s="351">
        <v>3</v>
      </c>
      <c r="G1208" s="308"/>
      <c r="H1208" s="308"/>
      <c r="I1208" s="308"/>
      <c r="J1208" s="308"/>
      <c r="K1208" s="308"/>
      <c r="L1208" s="308"/>
      <c r="M1208" s="308"/>
      <c r="N1208" s="308"/>
      <c r="O1208" s="308"/>
      <c r="P1208" s="308"/>
      <c r="Q1208" s="66"/>
      <c r="R1208" s="66"/>
      <c r="S1208" s="308"/>
    </row>
    <row r="1209" spans="1:19">
      <c r="A1209" s="24"/>
      <c r="B1209" s="25" t="s">
        <v>164</v>
      </c>
      <c r="C1209" s="26"/>
      <c r="D1209" s="351"/>
      <c r="E1209" s="60"/>
      <c r="F1209" s="351"/>
      <c r="G1209" s="38"/>
      <c r="H1209" s="38"/>
      <c r="I1209" s="38"/>
      <c r="J1209" s="38"/>
      <c r="K1209" s="38"/>
      <c r="L1209" s="38"/>
      <c r="M1209" s="38"/>
      <c r="N1209" s="38"/>
      <c r="O1209" s="38"/>
      <c r="P1209" s="38"/>
      <c r="Q1209" s="65"/>
      <c r="R1209" s="65"/>
      <c r="S1209" s="38"/>
    </row>
    <row r="1210" spans="1:19">
      <c r="A1210" s="24"/>
      <c r="B1210" s="25" t="s">
        <v>330</v>
      </c>
      <c r="C1210" s="26" t="s">
        <v>8</v>
      </c>
      <c r="D1210" s="351">
        <v>4</v>
      </c>
      <c r="E1210" s="57"/>
      <c r="F1210" s="351">
        <v>4</v>
      </c>
      <c r="G1210" s="36"/>
      <c r="H1210" s="36"/>
      <c r="I1210" s="36"/>
      <c r="J1210" s="36"/>
      <c r="K1210" s="36"/>
      <c r="L1210" s="36"/>
      <c r="M1210" s="36"/>
      <c r="N1210" s="36"/>
      <c r="O1210" s="36"/>
      <c r="P1210" s="36"/>
      <c r="Q1210" s="65"/>
      <c r="R1210" s="65"/>
      <c r="S1210" s="36"/>
    </row>
    <row r="1211" spans="1:19">
      <c r="A1211" s="24"/>
      <c r="B1211" s="25" t="s">
        <v>268</v>
      </c>
      <c r="C1211" s="26" t="s">
        <v>8</v>
      </c>
      <c r="D1211" s="351">
        <v>1</v>
      </c>
      <c r="E1211" s="53"/>
      <c r="F1211" s="351">
        <v>1</v>
      </c>
      <c r="G1211" s="15"/>
      <c r="H1211" s="15"/>
      <c r="I1211" s="15"/>
      <c r="J1211" s="15"/>
      <c r="K1211" s="15"/>
      <c r="L1211" s="15"/>
      <c r="M1211" s="15"/>
      <c r="N1211" s="15"/>
      <c r="O1211" s="15"/>
      <c r="P1211" s="15"/>
      <c r="Q1211" s="66"/>
      <c r="R1211" s="66"/>
      <c r="S1211" s="15"/>
    </row>
    <row r="1212" spans="1:19">
      <c r="A1212" s="24"/>
      <c r="B1212" s="25" t="s">
        <v>209</v>
      </c>
      <c r="C1212" s="26" t="s">
        <v>8</v>
      </c>
      <c r="D1212" s="351">
        <v>1</v>
      </c>
      <c r="E1212" s="58"/>
      <c r="F1212" s="351">
        <v>1</v>
      </c>
      <c r="G1212" s="18"/>
      <c r="H1212" s="18"/>
      <c r="I1212" s="18"/>
      <c r="J1212" s="18"/>
      <c r="K1212" s="18"/>
      <c r="L1212" s="18"/>
      <c r="M1212" s="18"/>
      <c r="N1212" s="18"/>
      <c r="O1212" s="18"/>
      <c r="P1212" s="18"/>
      <c r="Q1212" s="65"/>
      <c r="R1212" s="65"/>
      <c r="S1212" s="18"/>
    </row>
    <row r="1213" spans="1:19">
      <c r="A1213" s="24"/>
      <c r="B1213" s="25" t="s">
        <v>322</v>
      </c>
      <c r="C1213" s="26" t="s">
        <v>8</v>
      </c>
      <c r="D1213" s="351">
        <v>2</v>
      </c>
      <c r="E1213" s="53"/>
      <c r="F1213" s="351">
        <v>2</v>
      </c>
      <c r="G1213" s="15"/>
      <c r="H1213" s="15"/>
      <c r="I1213" s="15"/>
      <c r="J1213" s="15"/>
      <c r="K1213" s="15"/>
      <c r="L1213" s="15"/>
      <c r="M1213" s="15"/>
      <c r="N1213" s="15"/>
      <c r="O1213" s="15"/>
      <c r="P1213" s="15"/>
      <c r="Q1213" s="66"/>
      <c r="R1213" s="66"/>
      <c r="S1213" s="15"/>
    </row>
    <row r="1214" spans="1:19">
      <c r="A1214" s="24"/>
      <c r="B1214" s="25" t="s">
        <v>331</v>
      </c>
      <c r="C1214" s="26" t="s">
        <v>8</v>
      </c>
      <c r="D1214" s="351">
        <v>4</v>
      </c>
      <c r="E1214" s="53"/>
      <c r="F1214" s="351">
        <v>4</v>
      </c>
      <c r="G1214" s="15"/>
      <c r="H1214" s="15"/>
      <c r="I1214" s="15"/>
      <c r="J1214" s="15"/>
      <c r="K1214" s="15"/>
      <c r="L1214" s="15"/>
      <c r="M1214" s="15"/>
      <c r="N1214" s="15"/>
      <c r="O1214" s="15"/>
      <c r="P1214" s="15"/>
      <c r="Q1214" s="66"/>
      <c r="R1214" s="66"/>
      <c r="S1214" s="15"/>
    </row>
    <row r="1215" spans="1:19">
      <c r="A1215" s="24"/>
      <c r="B1215" s="25" t="s">
        <v>351</v>
      </c>
      <c r="C1215" s="26" t="s">
        <v>17</v>
      </c>
      <c r="D1215" s="351">
        <v>1</v>
      </c>
      <c r="E1215" s="53"/>
      <c r="F1215" s="351">
        <v>1</v>
      </c>
      <c r="G1215" s="15"/>
      <c r="H1215" s="15"/>
      <c r="I1215" s="15"/>
      <c r="J1215" s="15"/>
      <c r="K1215" s="15"/>
      <c r="L1215" s="15"/>
      <c r="M1215" s="15"/>
      <c r="N1215" s="15"/>
      <c r="O1215" s="15"/>
      <c r="P1215" s="15"/>
      <c r="Q1215" s="66"/>
      <c r="R1215" s="66"/>
      <c r="S1215" s="15"/>
    </row>
    <row r="1216" spans="1:19">
      <c r="A1216" s="24"/>
      <c r="B1216" s="25" t="s">
        <v>352</v>
      </c>
      <c r="C1216" s="26" t="s">
        <v>17</v>
      </c>
      <c r="D1216" s="351">
        <v>1</v>
      </c>
      <c r="E1216" s="53"/>
      <c r="F1216" s="351">
        <v>1</v>
      </c>
      <c r="G1216" s="15"/>
      <c r="H1216" s="15"/>
      <c r="I1216" s="15"/>
      <c r="J1216" s="15"/>
      <c r="K1216" s="15"/>
      <c r="L1216" s="15"/>
      <c r="M1216" s="15"/>
      <c r="N1216" s="15"/>
      <c r="O1216" s="15"/>
      <c r="P1216" s="15"/>
      <c r="Q1216" s="66"/>
      <c r="R1216" s="66"/>
      <c r="S1216" s="15"/>
    </row>
    <row r="1217" spans="1:19" ht="30">
      <c r="A1217" s="24"/>
      <c r="B1217" s="25" t="s">
        <v>176</v>
      </c>
      <c r="C1217" s="26" t="s">
        <v>78</v>
      </c>
      <c r="D1217" s="351">
        <v>1</v>
      </c>
      <c r="E1217" s="59"/>
      <c r="F1217" s="351">
        <v>1</v>
      </c>
      <c r="G1217" s="37"/>
      <c r="H1217" s="37"/>
      <c r="I1217" s="37"/>
      <c r="J1217" s="37"/>
      <c r="K1217" s="37"/>
      <c r="L1217" s="37"/>
      <c r="M1217" s="37"/>
      <c r="N1217" s="37"/>
      <c r="O1217" s="37"/>
      <c r="P1217" s="37"/>
      <c r="Q1217" s="66"/>
      <c r="R1217" s="66"/>
      <c r="S1217" s="37"/>
    </row>
    <row r="1218" spans="1:19" ht="60">
      <c r="A1218" s="24">
        <v>41</v>
      </c>
      <c r="B1218" s="25" t="s">
        <v>355</v>
      </c>
      <c r="C1218" s="26" t="s">
        <v>7</v>
      </c>
      <c r="D1218" s="351">
        <v>1</v>
      </c>
      <c r="E1218" s="59"/>
      <c r="F1218" s="351">
        <v>1</v>
      </c>
      <c r="G1218" s="26" t="s">
        <v>2326</v>
      </c>
      <c r="H1218" s="26"/>
      <c r="I1218" s="26" t="s">
        <v>2327</v>
      </c>
      <c r="J1218" s="26" t="s">
        <v>2328</v>
      </c>
      <c r="K1218" s="311">
        <v>19317770.999999996</v>
      </c>
      <c r="L1218" s="311">
        <v>0</v>
      </c>
      <c r="M1218" s="311">
        <v>1582000.0000000002</v>
      </c>
      <c r="N1218" s="311">
        <v>2091290</v>
      </c>
      <c r="O1218" s="311">
        <v>1463903.0000000002</v>
      </c>
      <c r="P1218" s="68">
        <f>SUM(K1218:O1218)</f>
        <v>24454963.999999996</v>
      </c>
      <c r="Q1218" s="68">
        <f>D1218*P1218</f>
        <v>24454963.999999996</v>
      </c>
      <c r="R1218" s="127">
        <f>F1218*P1218</f>
        <v>24454963.999999996</v>
      </c>
      <c r="S1218" s="37"/>
    </row>
    <row r="1219" spans="1:19" ht="30">
      <c r="A1219" s="24"/>
      <c r="B1219" s="25" t="s">
        <v>229</v>
      </c>
      <c r="C1219" s="26" t="s">
        <v>8</v>
      </c>
      <c r="D1219" s="351">
        <v>1</v>
      </c>
      <c r="E1219" s="59"/>
      <c r="F1219" s="351">
        <v>1</v>
      </c>
      <c r="G1219" s="37"/>
      <c r="H1219" s="37"/>
      <c r="I1219" s="37"/>
      <c r="J1219" s="37"/>
      <c r="K1219" s="37"/>
      <c r="L1219" s="37"/>
      <c r="M1219" s="37"/>
      <c r="N1219" s="37"/>
      <c r="O1219" s="37"/>
      <c r="P1219" s="37"/>
      <c r="Q1219" s="66"/>
      <c r="R1219" s="66"/>
      <c r="S1219" s="37"/>
    </row>
    <row r="1220" spans="1:19">
      <c r="A1220" s="24"/>
      <c r="B1220" s="25" t="s">
        <v>161</v>
      </c>
      <c r="C1220" s="26"/>
      <c r="D1220" s="351"/>
      <c r="E1220" s="59"/>
      <c r="F1220" s="351"/>
      <c r="G1220" s="37"/>
      <c r="H1220" s="37"/>
      <c r="I1220" s="37"/>
      <c r="J1220" s="37"/>
      <c r="K1220" s="37"/>
      <c r="L1220" s="37"/>
      <c r="M1220" s="37"/>
      <c r="N1220" s="37"/>
      <c r="O1220" s="37"/>
      <c r="P1220" s="37"/>
      <c r="Q1220" s="66"/>
      <c r="R1220" s="66"/>
      <c r="S1220" s="37"/>
    </row>
    <row r="1221" spans="1:19">
      <c r="A1221" s="24"/>
      <c r="B1221" s="25" t="s">
        <v>356</v>
      </c>
      <c r="C1221" s="26" t="s">
        <v>8</v>
      </c>
      <c r="D1221" s="351">
        <v>1</v>
      </c>
      <c r="E1221" s="59"/>
      <c r="F1221" s="351">
        <v>1</v>
      </c>
      <c r="G1221" s="37"/>
      <c r="H1221" s="37"/>
      <c r="I1221" s="37"/>
      <c r="J1221" s="37"/>
      <c r="K1221" s="37"/>
      <c r="L1221" s="37"/>
      <c r="M1221" s="37"/>
      <c r="N1221" s="37"/>
      <c r="O1221" s="37"/>
      <c r="P1221" s="37"/>
      <c r="Q1221" s="66"/>
      <c r="R1221" s="66"/>
      <c r="S1221" s="37"/>
    </row>
    <row r="1222" spans="1:19">
      <c r="A1222" s="24"/>
      <c r="B1222" s="25" t="s">
        <v>24</v>
      </c>
      <c r="C1222" s="26" t="s">
        <v>8</v>
      </c>
      <c r="D1222" s="351">
        <v>3</v>
      </c>
      <c r="E1222" s="57"/>
      <c r="F1222" s="351">
        <v>3</v>
      </c>
      <c r="G1222" s="36"/>
      <c r="H1222" s="36"/>
      <c r="I1222" s="36"/>
      <c r="J1222" s="36"/>
      <c r="K1222" s="36"/>
      <c r="L1222" s="36"/>
      <c r="M1222" s="36"/>
      <c r="N1222" s="36"/>
      <c r="O1222" s="36"/>
      <c r="P1222" s="36"/>
      <c r="Q1222" s="65"/>
      <c r="R1222" s="65"/>
      <c r="S1222" s="36"/>
    </row>
    <row r="1223" spans="1:19">
      <c r="A1223" s="24"/>
      <c r="B1223" s="25" t="s">
        <v>163</v>
      </c>
      <c r="C1223" s="26" t="s">
        <v>8</v>
      </c>
      <c r="D1223" s="351">
        <v>3</v>
      </c>
      <c r="E1223" s="59"/>
      <c r="F1223" s="351">
        <v>3</v>
      </c>
      <c r="G1223" s="37"/>
      <c r="H1223" s="37"/>
      <c r="I1223" s="37"/>
      <c r="J1223" s="37"/>
      <c r="K1223" s="37"/>
      <c r="L1223" s="37"/>
      <c r="M1223" s="37"/>
      <c r="N1223" s="37"/>
      <c r="O1223" s="37"/>
      <c r="P1223" s="37"/>
      <c r="Q1223" s="66"/>
      <c r="R1223" s="66"/>
      <c r="S1223" s="37"/>
    </row>
    <row r="1224" spans="1:19">
      <c r="A1224" s="24"/>
      <c r="B1224" s="25" t="s">
        <v>164</v>
      </c>
      <c r="C1224" s="26"/>
      <c r="D1224" s="351"/>
      <c r="E1224" s="59"/>
      <c r="F1224" s="351"/>
      <c r="G1224" s="37"/>
      <c r="H1224" s="37"/>
      <c r="I1224" s="37"/>
      <c r="J1224" s="37"/>
      <c r="K1224" s="37"/>
      <c r="L1224" s="37"/>
      <c r="M1224" s="37"/>
      <c r="N1224" s="37"/>
      <c r="O1224" s="37"/>
      <c r="P1224" s="37"/>
      <c r="Q1224" s="66"/>
      <c r="R1224" s="66"/>
      <c r="S1224" s="37"/>
    </row>
    <row r="1225" spans="1:19">
      <c r="A1225" s="24"/>
      <c r="B1225" s="25" t="s">
        <v>179</v>
      </c>
      <c r="C1225" s="26" t="s">
        <v>8</v>
      </c>
      <c r="D1225" s="351">
        <v>2</v>
      </c>
      <c r="E1225" s="59"/>
      <c r="F1225" s="351">
        <v>2</v>
      </c>
      <c r="G1225" s="37"/>
      <c r="H1225" s="37"/>
      <c r="I1225" s="37"/>
      <c r="J1225" s="37"/>
      <c r="K1225" s="37"/>
      <c r="L1225" s="37"/>
      <c r="M1225" s="37"/>
      <c r="N1225" s="37"/>
      <c r="O1225" s="37"/>
      <c r="P1225" s="37"/>
      <c r="Q1225" s="66"/>
      <c r="R1225" s="66"/>
      <c r="S1225" s="37"/>
    </row>
    <row r="1226" spans="1:19">
      <c r="A1226" s="24"/>
      <c r="B1226" s="25" t="s">
        <v>330</v>
      </c>
      <c r="C1226" s="26" t="s">
        <v>8</v>
      </c>
      <c r="D1226" s="351">
        <v>1</v>
      </c>
      <c r="E1226" s="59"/>
      <c r="F1226" s="351">
        <v>1</v>
      </c>
      <c r="G1226" s="37"/>
      <c r="H1226" s="37"/>
      <c r="I1226" s="37"/>
      <c r="J1226" s="37"/>
      <c r="K1226" s="37"/>
      <c r="L1226" s="37"/>
      <c r="M1226" s="37"/>
      <c r="N1226" s="37"/>
      <c r="O1226" s="37"/>
      <c r="P1226" s="37"/>
      <c r="Q1226" s="66"/>
      <c r="R1226" s="66"/>
      <c r="S1226" s="37"/>
    </row>
    <row r="1227" spans="1:19">
      <c r="A1227" s="24"/>
      <c r="B1227" s="25" t="s">
        <v>180</v>
      </c>
      <c r="C1227" s="26" t="s">
        <v>8</v>
      </c>
      <c r="D1227" s="351">
        <v>1</v>
      </c>
      <c r="E1227" s="59"/>
      <c r="F1227" s="351">
        <v>1</v>
      </c>
      <c r="G1227" s="37"/>
      <c r="H1227" s="37"/>
      <c r="I1227" s="37"/>
      <c r="J1227" s="37"/>
      <c r="K1227" s="37"/>
      <c r="L1227" s="37"/>
      <c r="M1227" s="37"/>
      <c r="N1227" s="37"/>
      <c r="O1227" s="37"/>
      <c r="P1227" s="37"/>
      <c r="Q1227" s="66"/>
      <c r="R1227" s="66"/>
      <c r="S1227" s="37"/>
    </row>
    <row r="1228" spans="1:19">
      <c r="A1228" s="24"/>
      <c r="B1228" s="25" t="s">
        <v>166</v>
      </c>
      <c r="C1228" s="26" t="s">
        <v>8</v>
      </c>
      <c r="D1228" s="351">
        <v>11</v>
      </c>
      <c r="E1228" s="59"/>
      <c r="F1228" s="351">
        <v>11</v>
      </c>
      <c r="G1228" s="37"/>
      <c r="H1228" s="37"/>
      <c r="I1228" s="37"/>
      <c r="J1228" s="37"/>
      <c r="K1228" s="37"/>
      <c r="L1228" s="37"/>
      <c r="M1228" s="37"/>
      <c r="N1228" s="37"/>
      <c r="O1228" s="37"/>
      <c r="P1228" s="37"/>
      <c r="Q1228" s="66"/>
      <c r="R1228" s="66"/>
      <c r="S1228" s="37"/>
    </row>
    <row r="1229" spans="1:19">
      <c r="A1229" s="24"/>
      <c r="B1229" s="25" t="s">
        <v>167</v>
      </c>
      <c r="C1229" s="26" t="s">
        <v>8</v>
      </c>
      <c r="D1229" s="351">
        <v>5</v>
      </c>
      <c r="E1229" s="59"/>
      <c r="F1229" s="351">
        <v>5</v>
      </c>
      <c r="G1229" s="37"/>
      <c r="H1229" s="37"/>
      <c r="I1229" s="37"/>
      <c r="J1229" s="37"/>
      <c r="K1229" s="37"/>
      <c r="L1229" s="37"/>
      <c r="M1229" s="37"/>
      <c r="N1229" s="37"/>
      <c r="O1229" s="37"/>
      <c r="P1229" s="37"/>
      <c r="Q1229" s="66"/>
      <c r="R1229" s="66"/>
      <c r="S1229" s="37"/>
    </row>
    <row r="1230" spans="1:19">
      <c r="A1230" s="24"/>
      <c r="B1230" s="25" t="s">
        <v>168</v>
      </c>
      <c r="C1230" s="26" t="s">
        <v>8</v>
      </c>
      <c r="D1230" s="351">
        <v>1</v>
      </c>
      <c r="E1230" s="59"/>
      <c r="F1230" s="351">
        <v>1</v>
      </c>
      <c r="G1230" s="37"/>
      <c r="H1230" s="37"/>
      <c r="I1230" s="37"/>
      <c r="J1230" s="37"/>
      <c r="K1230" s="37"/>
      <c r="L1230" s="37"/>
      <c r="M1230" s="37"/>
      <c r="N1230" s="37"/>
      <c r="O1230" s="37"/>
      <c r="P1230" s="37"/>
      <c r="Q1230" s="66"/>
      <c r="R1230" s="66"/>
      <c r="S1230" s="37"/>
    </row>
    <row r="1231" spans="1:19">
      <c r="A1231" s="24"/>
      <c r="B1231" s="25" t="s">
        <v>226</v>
      </c>
      <c r="C1231" s="26" t="s">
        <v>17</v>
      </c>
      <c r="D1231" s="351">
        <v>1</v>
      </c>
      <c r="E1231" s="59"/>
      <c r="F1231" s="351">
        <v>1</v>
      </c>
      <c r="G1231" s="37"/>
      <c r="H1231" s="37"/>
      <c r="I1231" s="37"/>
      <c r="J1231" s="37"/>
      <c r="K1231" s="37"/>
      <c r="L1231" s="37"/>
      <c r="M1231" s="37"/>
      <c r="N1231" s="37"/>
      <c r="O1231" s="37"/>
      <c r="P1231" s="37"/>
      <c r="Q1231" s="66"/>
      <c r="R1231" s="66"/>
      <c r="S1231" s="37"/>
    </row>
    <row r="1232" spans="1:19">
      <c r="A1232" s="24"/>
      <c r="B1232" s="25" t="s">
        <v>182</v>
      </c>
      <c r="C1232" s="26" t="s">
        <v>8</v>
      </c>
      <c r="D1232" s="351">
        <v>1</v>
      </c>
      <c r="E1232" s="59"/>
      <c r="F1232" s="351">
        <v>1</v>
      </c>
      <c r="G1232" s="37"/>
      <c r="H1232" s="37"/>
      <c r="I1232" s="37"/>
      <c r="J1232" s="37"/>
      <c r="K1232" s="37"/>
      <c r="L1232" s="37"/>
      <c r="M1232" s="37"/>
      <c r="N1232" s="37"/>
      <c r="O1232" s="37"/>
      <c r="P1232" s="37"/>
      <c r="Q1232" s="66"/>
      <c r="R1232" s="66"/>
      <c r="S1232" s="37"/>
    </row>
    <row r="1233" spans="1:19">
      <c r="A1233" s="24"/>
      <c r="B1233" s="25" t="s">
        <v>183</v>
      </c>
      <c r="C1233" s="26" t="s">
        <v>8</v>
      </c>
      <c r="D1233" s="351">
        <v>1</v>
      </c>
      <c r="E1233" s="59"/>
      <c r="F1233" s="351">
        <v>1</v>
      </c>
      <c r="G1233" s="37"/>
      <c r="H1233" s="37"/>
      <c r="I1233" s="37"/>
      <c r="J1233" s="37"/>
      <c r="K1233" s="37"/>
      <c r="L1233" s="37"/>
      <c r="M1233" s="37"/>
      <c r="N1233" s="37"/>
      <c r="O1233" s="37"/>
      <c r="P1233" s="37"/>
      <c r="Q1233" s="66"/>
      <c r="R1233" s="66"/>
      <c r="S1233" s="37"/>
    </row>
    <row r="1234" spans="1:19">
      <c r="A1234" s="24"/>
      <c r="B1234" s="25" t="s">
        <v>190</v>
      </c>
      <c r="C1234" s="26" t="s">
        <v>8</v>
      </c>
      <c r="D1234" s="351">
        <v>1</v>
      </c>
      <c r="E1234" s="60"/>
      <c r="F1234" s="351">
        <v>1</v>
      </c>
      <c r="G1234" s="38"/>
      <c r="H1234" s="38"/>
      <c r="I1234" s="38"/>
      <c r="J1234" s="38"/>
      <c r="K1234" s="38"/>
      <c r="L1234" s="38"/>
      <c r="M1234" s="38"/>
      <c r="N1234" s="38"/>
      <c r="O1234" s="38"/>
      <c r="P1234" s="38"/>
      <c r="Q1234" s="65"/>
      <c r="R1234" s="65"/>
      <c r="S1234" s="38"/>
    </row>
    <row r="1235" spans="1:19">
      <c r="A1235" s="24"/>
      <c r="B1235" s="25" t="s">
        <v>185</v>
      </c>
      <c r="C1235" s="26" t="s">
        <v>8</v>
      </c>
      <c r="D1235" s="351">
        <v>1</v>
      </c>
      <c r="E1235" s="57"/>
      <c r="F1235" s="351">
        <v>1</v>
      </c>
      <c r="G1235" s="36"/>
      <c r="H1235" s="36"/>
      <c r="I1235" s="36"/>
      <c r="J1235" s="36"/>
      <c r="K1235" s="36"/>
      <c r="L1235" s="36"/>
      <c r="M1235" s="36"/>
      <c r="N1235" s="36"/>
      <c r="O1235" s="36"/>
      <c r="P1235" s="36"/>
      <c r="Q1235" s="65"/>
      <c r="R1235" s="65"/>
      <c r="S1235" s="36"/>
    </row>
    <row r="1236" spans="1:19">
      <c r="A1236" s="24"/>
      <c r="B1236" s="25" t="s">
        <v>186</v>
      </c>
      <c r="C1236" s="26" t="s">
        <v>8</v>
      </c>
      <c r="D1236" s="351">
        <v>2</v>
      </c>
      <c r="E1236" s="53"/>
      <c r="F1236" s="351">
        <v>2</v>
      </c>
      <c r="G1236" s="15"/>
      <c r="H1236" s="15"/>
      <c r="I1236" s="15"/>
      <c r="J1236" s="15"/>
      <c r="K1236" s="15"/>
      <c r="L1236" s="15"/>
      <c r="M1236" s="15"/>
      <c r="N1236" s="15"/>
      <c r="O1236" s="15"/>
      <c r="P1236" s="15"/>
      <c r="Q1236" s="66"/>
      <c r="R1236" s="66"/>
      <c r="S1236" s="15"/>
    </row>
    <row r="1237" spans="1:19">
      <c r="A1237" s="24"/>
      <c r="B1237" s="25" t="s">
        <v>187</v>
      </c>
      <c r="C1237" s="26" t="s">
        <v>78</v>
      </c>
      <c r="D1237" s="351">
        <v>1</v>
      </c>
      <c r="E1237" s="58"/>
      <c r="F1237" s="351">
        <v>1</v>
      </c>
      <c r="G1237" s="18"/>
      <c r="H1237" s="18"/>
      <c r="I1237" s="18"/>
      <c r="J1237" s="18"/>
      <c r="K1237" s="18"/>
      <c r="L1237" s="18"/>
      <c r="M1237" s="18"/>
      <c r="N1237" s="18"/>
      <c r="O1237" s="18"/>
      <c r="P1237" s="18"/>
      <c r="Q1237" s="65"/>
      <c r="R1237" s="65"/>
      <c r="S1237" s="18"/>
    </row>
    <row r="1238" spans="1:19">
      <c r="A1238" s="24"/>
      <c r="B1238" s="25" t="s">
        <v>173</v>
      </c>
      <c r="C1238" s="26" t="s">
        <v>8</v>
      </c>
      <c r="D1238" s="351">
        <v>1</v>
      </c>
      <c r="E1238" s="53"/>
      <c r="F1238" s="351">
        <v>1</v>
      </c>
      <c r="G1238" s="15"/>
      <c r="H1238" s="15"/>
      <c r="I1238" s="15"/>
      <c r="J1238" s="15"/>
      <c r="K1238" s="15"/>
      <c r="L1238" s="15"/>
      <c r="M1238" s="15"/>
      <c r="N1238" s="15"/>
      <c r="O1238" s="15"/>
      <c r="P1238" s="15"/>
      <c r="Q1238" s="66"/>
      <c r="R1238" s="66"/>
      <c r="S1238" s="15"/>
    </row>
    <row r="1239" spans="1:19">
      <c r="A1239" s="24"/>
      <c r="B1239" s="25" t="s">
        <v>216</v>
      </c>
      <c r="C1239" s="26" t="s">
        <v>17</v>
      </c>
      <c r="D1239" s="351">
        <v>1</v>
      </c>
      <c r="E1239" s="53"/>
      <c r="F1239" s="351">
        <v>1</v>
      </c>
      <c r="G1239" s="15"/>
      <c r="H1239" s="15"/>
      <c r="I1239" s="15"/>
      <c r="J1239" s="15"/>
      <c r="K1239" s="15"/>
      <c r="L1239" s="15"/>
      <c r="M1239" s="15"/>
      <c r="N1239" s="15"/>
      <c r="O1239" s="15"/>
      <c r="P1239" s="15"/>
      <c r="Q1239" s="66"/>
      <c r="R1239" s="66"/>
      <c r="S1239" s="15"/>
    </row>
    <row r="1240" spans="1:19">
      <c r="A1240" s="24"/>
      <c r="B1240" s="25" t="s">
        <v>175</v>
      </c>
      <c r="C1240" s="26" t="s">
        <v>17</v>
      </c>
      <c r="D1240" s="351">
        <v>1</v>
      </c>
      <c r="E1240" s="53"/>
      <c r="F1240" s="351">
        <v>1</v>
      </c>
      <c r="G1240" s="15"/>
      <c r="H1240" s="15"/>
      <c r="I1240" s="15"/>
      <c r="J1240" s="15"/>
      <c r="K1240" s="15"/>
      <c r="L1240" s="15"/>
      <c r="M1240" s="15"/>
      <c r="N1240" s="15"/>
      <c r="O1240" s="15"/>
      <c r="P1240" s="15"/>
      <c r="Q1240" s="66"/>
      <c r="R1240" s="66"/>
      <c r="S1240" s="15"/>
    </row>
    <row r="1241" spans="1:19" ht="30">
      <c r="A1241" s="24"/>
      <c r="B1241" s="25" t="s">
        <v>176</v>
      </c>
      <c r="C1241" s="26" t="s">
        <v>78</v>
      </c>
      <c r="D1241" s="351">
        <v>1</v>
      </c>
      <c r="E1241" s="53"/>
      <c r="F1241" s="351">
        <v>1</v>
      </c>
      <c r="G1241" s="15"/>
      <c r="H1241" s="15"/>
      <c r="I1241" s="15"/>
      <c r="J1241" s="15"/>
      <c r="K1241" s="15"/>
      <c r="L1241" s="15"/>
      <c r="M1241" s="15"/>
      <c r="N1241" s="15"/>
      <c r="O1241" s="15"/>
      <c r="P1241" s="15"/>
      <c r="Q1241" s="66"/>
      <c r="R1241" s="66"/>
      <c r="S1241" s="15"/>
    </row>
    <row r="1242" spans="1:19" ht="60">
      <c r="A1242" s="24">
        <v>42</v>
      </c>
      <c r="B1242" s="25" t="s">
        <v>357</v>
      </c>
      <c r="C1242" s="26" t="s">
        <v>7</v>
      </c>
      <c r="D1242" s="351">
        <v>1</v>
      </c>
      <c r="E1242" s="59"/>
      <c r="F1242" s="351">
        <v>1</v>
      </c>
      <c r="G1242" s="26" t="s">
        <v>2326</v>
      </c>
      <c r="H1242" s="26"/>
      <c r="I1242" s="26" t="s">
        <v>2327</v>
      </c>
      <c r="J1242" s="26" t="s">
        <v>2328</v>
      </c>
      <c r="K1242" s="311">
        <v>21562886.069999997</v>
      </c>
      <c r="L1242" s="311">
        <v>0</v>
      </c>
      <c r="M1242" s="311">
        <v>1582000.0000000002</v>
      </c>
      <c r="N1242" s="311">
        <v>2318069.3000000003</v>
      </c>
      <c r="O1242" s="311">
        <v>1622648.5100000002</v>
      </c>
      <c r="P1242" s="68">
        <f>SUM(K1242:O1242)</f>
        <v>27085603.879999999</v>
      </c>
      <c r="Q1242" s="68">
        <f>D1242*P1242</f>
        <v>27085603.879999999</v>
      </c>
      <c r="R1242" s="127">
        <f>F1242*P1242</f>
        <v>27085603.879999999</v>
      </c>
      <c r="S1242" s="37"/>
    </row>
    <row r="1243" spans="1:19" ht="30">
      <c r="A1243" s="24"/>
      <c r="B1243" s="25" t="s">
        <v>358</v>
      </c>
      <c r="C1243" s="26" t="s">
        <v>8</v>
      </c>
      <c r="D1243" s="351">
        <v>1</v>
      </c>
      <c r="E1243" s="59"/>
      <c r="F1243" s="351">
        <v>1</v>
      </c>
      <c r="G1243" s="37"/>
      <c r="H1243" s="37"/>
      <c r="I1243" s="37"/>
      <c r="J1243" s="37"/>
      <c r="K1243" s="37"/>
      <c r="L1243" s="37"/>
      <c r="M1243" s="37"/>
      <c r="N1243" s="37"/>
      <c r="O1243" s="37"/>
      <c r="P1243" s="37"/>
      <c r="Q1243" s="66"/>
      <c r="R1243" s="66"/>
      <c r="S1243" s="37"/>
    </row>
    <row r="1244" spans="1:19">
      <c r="A1244" s="24"/>
      <c r="B1244" s="25" t="s">
        <v>161</v>
      </c>
      <c r="C1244" s="26"/>
      <c r="D1244" s="351"/>
      <c r="E1244" s="59"/>
      <c r="F1244" s="351"/>
      <c r="G1244" s="37"/>
      <c r="H1244" s="37"/>
      <c r="I1244" s="37"/>
      <c r="J1244" s="37"/>
      <c r="K1244" s="37"/>
      <c r="L1244" s="37"/>
      <c r="M1244" s="37"/>
      <c r="N1244" s="37"/>
      <c r="O1244" s="37"/>
      <c r="P1244" s="37"/>
      <c r="Q1244" s="66"/>
      <c r="R1244" s="66"/>
      <c r="S1244" s="37"/>
    </row>
    <row r="1245" spans="1:19">
      <c r="A1245" s="24"/>
      <c r="B1245" s="25" t="s">
        <v>178</v>
      </c>
      <c r="C1245" s="26" t="s">
        <v>8</v>
      </c>
      <c r="D1245" s="351">
        <v>1</v>
      </c>
      <c r="E1245" s="59"/>
      <c r="F1245" s="351">
        <v>1</v>
      </c>
      <c r="G1245" s="37"/>
      <c r="H1245" s="37"/>
      <c r="I1245" s="37"/>
      <c r="J1245" s="37"/>
      <c r="K1245" s="37"/>
      <c r="L1245" s="37"/>
      <c r="M1245" s="37"/>
      <c r="N1245" s="37"/>
      <c r="O1245" s="37"/>
      <c r="P1245" s="37"/>
      <c r="Q1245" s="66"/>
      <c r="R1245" s="66"/>
      <c r="S1245" s="37"/>
    </row>
    <row r="1246" spans="1:19">
      <c r="A1246" s="24"/>
      <c r="B1246" s="25" t="s">
        <v>202</v>
      </c>
      <c r="C1246" s="26" t="s">
        <v>20</v>
      </c>
      <c r="D1246" s="351">
        <v>3</v>
      </c>
      <c r="E1246" s="59"/>
      <c r="F1246" s="351">
        <v>3</v>
      </c>
      <c r="G1246" s="37"/>
      <c r="H1246" s="37"/>
      <c r="I1246" s="37"/>
      <c r="J1246" s="37"/>
      <c r="K1246" s="37"/>
      <c r="L1246" s="37"/>
      <c r="M1246" s="37"/>
      <c r="N1246" s="37"/>
      <c r="O1246" s="37"/>
      <c r="P1246" s="37"/>
      <c r="Q1246" s="66"/>
      <c r="R1246" s="66"/>
      <c r="S1246" s="37"/>
    </row>
    <row r="1247" spans="1:19">
      <c r="A1247" s="24"/>
      <c r="B1247" s="25" t="s">
        <v>21</v>
      </c>
      <c r="C1247" s="26" t="s">
        <v>8</v>
      </c>
      <c r="D1247" s="351">
        <v>1</v>
      </c>
      <c r="E1247" s="59"/>
      <c r="F1247" s="351">
        <v>1</v>
      </c>
      <c r="G1247" s="37"/>
      <c r="H1247" s="37"/>
      <c r="I1247" s="37"/>
      <c r="J1247" s="37"/>
      <c r="K1247" s="37"/>
      <c r="L1247" s="37"/>
      <c r="M1247" s="37"/>
      <c r="N1247" s="37"/>
      <c r="O1247" s="37"/>
      <c r="P1247" s="37"/>
      <c r="Q1247" s="66"/>
      <c r="R1247" s="66"/>
      <c r="S1247" s="37"/>
    </row>
    <row r="1248" spans="1:19">
      <c r="A1248" s="24"/>
      <c r="B1248" s="25" t="s">
        <v>22</v>
      </c>
      <c r="C1248" s="26" t="s">
        <v>8</v>
      </c>
      <c r="D1248" s="351">
        <v>1</v>
      </c>
      <c r="E1248" s="57"/>
      <c r="F1248" s="351">
        <v>1</v>
      </c>
      <c r="G1248" s="36"/>
      <c r="H1248" s="36"/>
      <c r="I1248" s="36"/>
      <c r="J1248" s="36"/>
      <c r="K1248" s="36"/>
      <c r="L1248" s="36"/>
      <c r="M1248" s="36"/>
      <c r="N1248" s="36"/>
      <c r="O1248" s="36"/>
      <c r="P1248" s="36"/>
      <c r="Q1248" s="65"/>
      <c r="R1248" s="65"/>
      <c r="S1248" s="36"/>
    </row>
    <row r="1249" spans="1:19">
      <c r="A1249" s="24"/>
      <c r="B1249" s="25" t="s">
        <v>203</v>
      </c>
      <c r="C1249" s="26" t="s">
        <v>8</v>
      </c>
      <c r="D1249" s="351">
        <v>3</v>
      </c>
      <c r="E1249" s="59"/>
      <c r="F1249" s="351">
        <v>3</v>
      </c>
      <c r="G1249" s="37"/>
      <c r="H1249" s="37"/>
      <c r="I1249" s="37"/>
      <c r="J1249" s="37"/>
      <c r="K1249" s="37"/>
      <c r="L1249" s="37"/>
      <c r="M1249" s="37"/>
      <c r="N1249" s="37"/>
      <c r="O1249" s="37"/>
      <c r="P1249" s="37"/>
      <c r="Q1249" s="66"/>
      <c r="R1249" s="66"/>
      <c r="S1249" s="37"/>
    </row>
    <row r="1250" spans="1:19">
      <c r="A1250" s="24"/>
      <c r="B1250" s="25" t="s">
        <v>24</v>
      </c>
      <c r="C1250" s="26" t="s">
        <v>8</v>
      </c>
      <c r="D1250" s="351">
        <v>3</v>
      </c>
      <c r="E1250" s="59"/>
      <c r="F1250" s="351">
        <v>3</v>
      </c>
      <c r="G1250" s="37"/>
      <c r="H1250" s="37"/>
      <c r="I1250" s="37"/>
      <c r="J1250" s="37"/>
      <c r="K1250" s="37"/>
      <c r="L1250" s="37"/>
      <c r="M1250" s="37"/>
      <c r="N1250" s="37"/>
      <c r="O1250" s="37"/>
      <c r="P1250" s="37"/>
      <c r="Q1250" s="66"/>
      <c r="R1250" s="66"/>
      <c r="S1250" s="37"/>
    </row>
    <row r="1251" spans="1:19">
      <c r="A1251" s="24"/>
      <c r="B1251" s="25" t="s">
        <v>163</v>
      </c>
      <c r="C1251" s="26" t="s">
        <v>8</v>
      </c>
      <c r="D1251" s="351">
        <v>3</v>
      </c>
      <c r="E1251" s="59"/>
      <c r="F1251" s="351">
        <v>3</v>
      </c>
      <c r="G1251" s="37"/>
      <c r="H1251" s="37"/>
      <c r="I1251" s="37"/>
      <c r="J1251" s="37"/>
      <c r="K1251" s="37"/>
      <c r="L1251" s="37"/>
      <c r="M1251" s="37"/>
      <c r="N1251" s="37"/>
      <c r="O1251" s="37"/>
      <c r="P1251" s="37"/>
      <c r="Q1251" s="66"/>
      <c r="R1251" s="66"/>
      <c r="S1251" s="37"/>
    </row>
    <row r="1252" spans="1:19">
      <c r="A1252" s="24"/>
      <c r="B1252" s="25" t="s">
        <v>164</v>
      </c>
      <c r="C1252" s="26"/>
      <c r="D1252" s="351"/>
      <c r="E1252" s="59"/>
      <c r="F1252" s="351"/>
      <c r="G1252" s="37"/>
      <c r="H1252" s="37"/>
      <c r="I1252" s="37"/>
      <c r="J1252" s="37"/>
      <c r="K1252" s="37"/>
      <c r="L1252" s="37"/>
      <c r="M1252" s="37"/>
      <c r="N1252" s="37"/>
      <c r="O1252" s="37"/>
      <c r="P1252" s="37"/>
      <c r="Q1252" s="66"/>
      <c r="R1252" s="66"/>
      <c r="S1252" s="37"/>
    </row>
    <row r="1253" spans="1:19">
      <c r="A1253" s="24"/>
      <c r="B1253" s="25" t="s">
        <v>180</v>
      </c>
      <c r="C1253" s="26" t="s">
        <v>8</v>
      </c>
      <c r="D1253" s="351">
        <v>3</v>
      </c>
      <c r="E1253" s="60"/>
      <c r="F1253" s="351">
        <v>3</v>
      </c>
      <c r="G1253" s="38"/>
      <c r="H1253" s="38"/>
      <c r="I1253" s="38"/>
      <c r="J1253" s="38"/>
      <c r="K1253" s="38"/>
      <c r="L1253" s="38"/>
      <c r="M1253" s="38"/>
      <c r="N1253" s="38"/>
      <c r="O1253" s="38"/>
      <c r="P1253" s="38"/>
      <c r="Q1253" s="65"/>
      <c r="R1253" s="65"/>
      <c r="S1253" s="38"/>
    </row>
    <row r="1254" spans="1:19">
      <c r="A1254" s="24"/>
      <c r="B1254" s="25" t="s">
        <v>166</v>
      </c>
      <c r="C1254" s="26" t="s">
        <v>8</v>
      </c>
      <c r="D1254" s="351">
        <v>24</v>
      </c>
      <c r="E1254" s="57"/>
      <c r="F1254" s="351">
        <v>24</v>
      </c>
      <c r="G1254" s="36"/>
      <c r="H1254" s="36"/>
      <c r="I1254" s="36"/>
      <c r="J1254" s="36"/>
      <c r="K1254" s="36"/>
      <c r="L1254" s="36"/>
      <c r="M1254" s="36"/>
      <c r="N1254" s="36"/>
      <c r="O1254" s="36"/>
      <c r="P1254" s="36"/>
      <c r="Q1254" s="65"/>
      <c r="R1254" s="65"/>
      <c r="S1254" s="36"/>
    </row>
    <row r="1255" spans="1:19">
      <c r="A1255" s="24"/>
      <c r="B1255" s="25" t="s">
        <v>168</v>
      </c>
      <c r="C1255" s="26" t="s">
        <v>8</v>
      </c>
      <c r="D1255" s="351">
        <v>1</v>
      </c>
      <c r="E1255" s="53"/>
      <c r="F1255" s="351">
        <v>1</v>
      </c>
      <c r="G1255" s="15"/>
      <c r="H1255" s="15"/>
      <c r="I1255" s="15"/>
      <c r="J1255" s="15"/>
      <c r="K1255" s="15"/>
      <c r="L1255" s="15"/>
      <c r="M1255" s="15"/>
      <c r="N1255" s="15"/>
      <c r="O1255" s="15"/>
      <c r="P1255" s="15"/>
      <c r="Q1255" s="66"/>
      <c r="R1255" s="66"/>
      <c r="S1255" s="15"/>
    </row>
    <row r="1256" spans="1:19">
      <c r="A1256" s="24"/>
      <c r="B1256" s="25" t="s">
        <v>274</v>
      </c>
      <c r="C1256" s="26" t="s">
        <v>17</v>
      </c>
      <c r="D1256" s="351">
        <v>3</v>
      </c>
      <c r="E1256" s="58"/>
      <c r="F1256" s="351">
        <v>3</v>
      </c>
      <c r="G1256" s="18"/>
      <c r="H1256" s="18"/>
      <c r="I1256" s="18"/>
      <c r="J1256" s="18"/>
      <c r="K1256" s="18"/>
      <c r="L1256" s="18"/>
      <c r="M1256" s="18"/>
      <c r="N1256" s="18"/>
      <c r="O1256" s="18"/>
      <c r="P1256" s="18"/>
      <c r="Q1256" s="65"/>
      <c r="R1256" s="65"/>
      <c r="S1256" s="18"/>
    </row>
    <row r="1257" spans="1:19">
      <c r="A1257" s="24"/>
      <c r="B1257" s="25" t="s">
        <v>182</v>
      </c>
      <c r="C1257" s="26" t="s">
        <v>8</v>
      </c>
      <c r="D1257" s="351">
        <v>3</v>
      </c>
      <c r="E1257" s="53"/>
      <c r="F1257" s="351">
        <v>3</v>
      </c>
      <c r="G1257" s="15"/>
      <c r="H1257" s="15"/>
      <c r="I1257" s="15"/>
      <c r="J1257" s="15"/>
      <c r="K1257" s="15"/>
      <c r="L1257" s="15"/>
      <c r="M1257" s="15"/>
      <c r="N1257" s="15"/>
      <c r="O1257" s="15"/>
      <c r="P1257" s="15"/>
      <c r="Q1257" s="66"/>
      <c r="R1257" s="66"/>
      <c r="S1257" s="15"/>
    </row>
    <row r="1258" spans="1:19">
      <c r="A1258" s="24"/>
      <c r="B1258" s="25" t="s">
        <v>183</v>
      </c>
      <c r="C1258" s="26" t="s">
        <v>8</v>
      </c>
      <c r="D1258" s="351">
        <v>3</v>
      </c>
      <c r="E1258" s="53"/>
      <c r="F1258" s="351">
        <v>3</v>
      </c>
      <c r="G1258" s="15"/>
      <c r="H1258" s="15"/>
      <c r="I1258" s="15"/>
      <c r="J1258" s="15"/>
      <c r="K1258" s="15"/>
      <c r="L1258" s="15"/>
      <c r="M1258" s="15"/>
      <c r="N1258" s="15"/>
      <c r="O1258" s="15"/>
      <c r="P1258" s="15"/>
      <c r="Q1258" s="66"/>
      <c r="R1258" s="66"/>
      <c r="S1258" s="15"/>
    </row>
    <row r="1259" spans="1:19">
      <c r="A1259" s="24"/>
      <c r="B1259" s="25" t="s">
        <v>275</v>
      </c>
      <c r="C1259" s="26" t="s">
        <v>8</v>
      </c>
      <c r="D1259" s="351">
        <v>3</v>
      </c>
      <c r="E1259" s="53"/>
      <c r="F1259" s="351">
        <v>3</v>
      </c>
      <c r="G1259" s="15"/>
      <c r="H1259" s="15"/>
      <c r="I1259" s="15"/>
      <c r="J1259" s="15"/>
      <c r="K1259" s="15"/>
      <c r="L1259" s="15"/>
      <c r="M1259" s="15"/>
      <c r="N1259" s="15"/>
      <c r="O1259" s="15"/>
      <c r="P1259" s="15"/>
      <c r="Q1259" s="66"/>
      <c r="R1259" s="66"/>
      <c r="S1259" s="15"/>
    </row>
    <row r="1260" spans="1:19">
      <c r="A1260" s="24"/>
      <c r="B1260" s="25" t="s">
        <v>185</v>
      </c>
      <c r="C1260" s="26" t="s">
        <v>8</v>
      </c>
      <c r="D1260" s="351">
        <v>3</v>
      </c>
      <c r="E1260" s="53"/>
      <c r="F1260" s="351">
        <v>3</v>
      </c>
      <c r="G1260" s="15"/>
      <c r="H1260" s="15"/>
      <c r="I1260" s="15"/>
      <c r="J1260" s="15"/>
      <c r="K1260" s="15"/>
      <c r="L1260" s="15"/>
      <c r="M1260" s="15"/>
      <c r="N1260" s="15"/>
      <c r="O1260" s="15"/>
      <c r="P1260" s="15"/>
      <c r="Q1260" s="66"/>
      <c r="R1260" s="66"/>
      <c r="S1260" s="15"/>
    </row>
    <row r="1261" spans="1:19">
      <c r="A1261" s="24"/>
      <c r="B1261" s="25" t="s">
        <v>186</v>
      </c>
      <c r="C1261" s="26" t="s">
        <v>8</v>
      </c>
      <c r="D1261" s="351">
        <v>6</v>
      </c>
      <c r="E1261" s="59"/>
      <c r="F1261" s="351">
        <v>6</v>
      </c>
      <c r="G1261" s="37"/>
      <c r="H1261" s="37"/>
      <c r="I1261" s="37"/>
      <c r="J1261" s="37"/>
      <c r="K1261" s="37"/>
      <c r="L1261" s="37"/>
      <c r="M1261" s="37"/>
      <c r="N1261" s="37"/>
      <c r="O1261" s="37"/>
      <c r="P1261" s="37"/>
      <c r="Q1261" s="66"/>
      <c r="R1261" s="66"/>
      <c r="S1261" s="37"/>
    </row>
    <row r="1262" spans="1:19">
      <c r="A1262" s="24"/>
      <c r="B1262" s="25" t="s">
        <v>187</v>
      </c>
      <c r="C1262" s="26" t="s">
        <v>78</v>
      </c>
      <c r="D1262" s="351">
        <v>1</v>
      </c>
      <c r="E1262" s="59"/>
      <c r="F1262" s="351">
        <v>1</v>
      </c>
      <c r="G1262" s="37"/>
      <c r="H1262" s="37"/>
      <c r="I1262" s="37"/>
      <c r="J1262" s="37"/>
      <c r="K1262" s="37"/>
      <c r="L1262" s="37"/>
      <c r="M1262" s="37"/>
      <c r="N1262" s="37"/>
      <c r="O1262" s="37"/>
      <c r="P1262" s="37"/>
      <c r="Q1262" s="66"/>
      <c r="R1262" s="66"/>
      <c r="S1262" s="37"/>
    </row>
    <row r="1263" spans="1:19">
      <c r="A1263" s="24"/>
      <c r="B1263" s="25" t="s">
        <v>173</v>
      </c>
      <c r="C1263" s="26" t="s">
        <v>8</v>
      </c>
      <c r="D1263" s="351">
        <v>1</v>
      </c>
      <c r="E1263" s="59"/>
      <c r="F1263" s="351">
        <v>1</v>
      </c>
      <c r="G1263" s="37"/>
      <c r="H1263" s="37"/>
      <c r="I1263" s="37"/>
      <c r="J1263" s="37"/>
      <c r="K1263" s="37"/>
      <c r="L1263" s="37"/>
      <c r="M1263" s="37"/>
      <c r="N1263" s="37"/>
      <c r="O1263" s="37"/>
      <c r="P1263" s="37"/>
      <c r="Q1263" s="66"/>
      <c r="R1263" s="66"/>
      <c r="S1263" s="37"/>
    </row>
    <row r="1264" spans="1:19">
      <c r="A1264" s="24"/>
      <c r="B1264" s="25" t="s">
        <v>199</v>
      </c>
      <c r="C1264" s="26" t="s">
        <v>17</v>
      </c>
      <c r="D1264" s="351">
        <v>1</v>
      </c>
      <c r="E1264" s="59"/>
      <c r="F1264" s="351">
        <v>1</v>
      </c>
      <c r="G1264" s="37"/>
      <c r="H1264" s="37"/>
      <c r="I1264" s="37"/>
      <c r="J1264" s="37"/>
      <c r="K1264" s="37"/>
      <c r="L1264" s="37"/>
      <c r="M1264" s="37"/>
      <c r="N1264" s="37"/>
      <c r="O1264" s="37"/>
      <c r="P1264" s="37"/>
      <c r="Q1264" s="66"/>
      <c r="R1264" s="66"/>
      <c r="S1264" s="37"/>
    </row>
    <row r="1265" spans="1:19" ht="30">
      <c r="A1265" s="24"/>
      <c r="B1265" s="25" t="s">
        <v>176</v>
      </c>
      <c r="C1265" s="26" t="s">
        <v>78</v>
      </c>
      <c r="D1265" s="351">
        <v>1</v>
      </c>
      <c r="E1265" s="53"/>
      <c r="F1265" s="351">
        <v>1</v>
      </c>
      <c r="G1265" s="15"/>
      <c r="H1265" s="15"/>
      <c r="I1265" s="15"/>
      <c r="J1265" s="15"/>
      <c r="K1265" s="15"/>
      <c r="L1265" s="15"/>
      <c r="M1265" s="15"/>
      <c r="N1265" s="15"/>
      <c r="O1265" s="15"/>
      <c r="P1265" s="15"/>
      <c r="Q1265" s="66"/>
      <c r="R1265" s="66"/>
      <c r="S1265" s="15"/>
    </row>
    <row r="1266" spans="1:19" ht="60">
      <c r="A1266" s="24">
        <v>43</v>
      </c>
      <c r="B1266" s="25" t="s">
        <v>359</v>
      </c>
      <c r="C1266" s="26" t="s">
        <v>7</v>
      </c>
      <c r="D1266" s="351">
        <v>1</v>
      </c>
      <c r="E1266" s="307"/>
      <c r="F1266" s="351">
        <v>1</v>
      </c>
      <c r="G1266" s="26" t="s">
        <v>2326</v>
      </c>
      <c r="H1266" s="26"/>
      <c r="I1266" s="26" t="s">
        <v>2327</v>
      </c>
      <c r="J1266" s="26" t="s">
        <v>2328</v>
      </c>
      <c r="K1266" s="311">
        <v>26688613.049999997</v>
      </c>
      <c r="L1266" s="311">
        <v>0</v>
      </c>
      <c r="M1266" s="311">
        <v>1356000.0000000002</v>
      </c>
      <c r="N1266" s="311">
        <v>2815819.5</v>
      </c>
      <c r="O1266" s="311">
        <v>1971073.6500000001</v>
      </c>
      <c r="P1266" s="68">
        <f>SUM(K1266:O1266)</f>
        <v>32831506.199999996</v>
      </c>
      <c r="Q1266" s="68">
        <f>D1266*P1266</f>
        <v>32831506.199999996</v>
      </c>
      <c r="R1266" s="127">
        <f>F1266*P1266</f>
        <v>32831506.199999996</v>
      </c>
      <c r="S1266" s="308"/>
    </row>
    <row r="1267" spans="1:19" ht="30">
      <c r="A1267" s="24"/>
      <c r="B1267" s="25" t="s">
        <v>192</v>
      </c>
      <c r="C1267" s="26" t="s">
        <v>8</v>
      </c>
      <c r="D1267" s="351">
        <v>1</v>
      </c>
      <c r="E1267" s="60"/>
      <c r="F1267" s="351">
        <v>1</v>
      </c>
      <c r="G1267" s="38"/>
      <c r="H1267" s="38"/>
      <c r="I1267" s="38"/>
      <c r="J1267" s="38"/>
      <c r="K1267" s="38"/>
      <c r="L1267" s="38"/>
      <c r="M1267" s="38"/>
      <c r="N1267" s="38"/>
      <c r="O1267" s="38"/>
      <c r="P1267" s="38"/>
      <c r="Q1267" s="65"/>
      <c r="R1267" s="65"/>
      <c r="S1267" s="38"/>
    </row>
    <row r="1268" spans="1:19">
      <c r="A1268" s="24"/>
      <c r="B1268" s="25" t="s">
        <v>161</v>
      </c>
      <c r="C1268" s="26"/>
      <c r="D1268" s="351"/>
      <c r="E1268" s="57"/>
      <c r="F1268" s="351"/>
      <c r="G1268" s="36"/>
      <c r="H1268" s="36"/>
      <c r="I1268" s="36"/>
      <c r="J1268" s="36"/>
      <c r="K1268" s="36"/>
      <c r="L1268" s="36"/>
      <c r="M1268" s="36"/>
      <c r="N1268" s="36"/>
      <c r="O1268" s="36"/>
      <c r="P1268" s="36"/>
      <c r="Q1268" s="65"/>
      <c r="R1268" s="65"/>
      <c r="S1268" s="36"/>
    </row>
    <row r="1269" spans="1:19">
      <c r="A1269" s="24"/>
      <c r="B1269" s="25" t="s">
        <v>248</v>
      </c>
      <c r="C1269" s="26" t="s">
        <v>8</v>
      </c>
      <c r="D1269" s="351">
        <v>1</v>
      </c>
      <c r="E1269" s="53"/>
      <c r="F1269" s="351">
        <v>1</v>
      </c>
      <c r="G1269" s="15"/>
      <c r="H1269" s="15"/>
      <c r="I1269" s="15"/>
      <c r="J1269" s="15"/>
      <c r="K1269" s="15"/>
      <c r="L1269" s="15"/>
      <c r="M1269" s="15"/>
      <c r="N1269" s="15"/>
      <c r="O1269" s="15"/>
      <c r="P1269" s="15"/>
      <c r="Q1269" s="66"/>
      <c r="R1269" s="66"/>
      <c r="S1269" s="15"/>
    </row>
    <row r="1270" spans="1:19">
      <c r="A1270" s="24"/>
      <c r="B1270" s="25" t="s">
        <v>249</v>
      </c>
      <c r="C1270" s="26" t="s">
        <v>20</v>
      </c>
      <c r="D1270" s="351">
        <v>3</v>
      </c>
      <c r="E1270" s="58"/>
      <c r="F1270" s="351">
        <v>3</v>
      </c>
      <c r="G1270" s="18"/>
      <c r="H1270" s="18"/>
      <c r="I1270" s="18"/>
      <c r="J1270" s="18"/>
      <c r="K1270" s="18"/>
      <c r="L1270" s="18"/>
      <c r="M1270" s="18"/>
      <c r="N1270" s="18"/>
      <c r="O1270" s="18"/>
      <c r="P1270" s="18"/>
      <c r="Q1270" s="65"/>
      <c r="R1270" s="65"/>
      <c r="S1270" s="18"/>
    </row>
    <row r="1271" spans="1:19">
      <c r="A1271" s="24"/>
      <c r="B1271" s="25" t="s">
        <v>21</v>
      </c>
      <c r="C1271" s="26" t="s">
        <v>8</v>
      </c>
      <c r="D1271" s="351">
        <v>1</v>
      </c>
      <c r="E1271" s="53"/>
      <c r="F1271" s="351">
        <v>1</v>
      </c>
      <c r="G1271" s="15"/>
      <c r="H1271" s="15"/>
      <c r="I1271" s="15"/>
      <c r="J1271" s="15"/>
      <c r="K1271" s="15"/>
      <c r="L1271" s="15"/>
      <c r="M1271" s="15"/>
      <c r="N1271" s="15"/>
      <c r="O1271" s="15"/>
      <c r="P1271" s="15"/>
      <c r="Q1271" s="66"/>
      <c r="R1271" s="66"/>
      <c r="S1271" s="15"/>
    </row>
    <row r="1272" spans="1:19">
      <c r="A1272" s="24"/>
      <c r="B1272" s="25" t="s">
        <v>22</v>
      </c>
      <c r="C1272" s="26" t="s">
        <v>8</v>
      </c>
      <c r="D1272" s="351">
        <v>1</v>
      </c>
      <c r="E1272" s="53"/>
      <c r="F1272" s="351">
        <v>1</v>
      </c>
      <c r="G1272" s="15"/>
      <c r="H1272" s="15"/>
      <c r="I1272" s="15"/>
      <c r="J1272" s="15"/>
      <c r="K1272" s="15"/>
      <c r="L1272" s="15"/>
      <c r="M1272" s="15"/>
      <c r="N1272" s="15"/>
      <c r="O1272" s="15"/>
      <c r="P1272" s="15"/>
      <c r="Q1272" s="66"/>
      <c r="R1272" s="66"/>
      <c r="S1272" s="15"/>
    </row>
    <row r="1273" spans="1:19">
      <c r="A1273" s="24"/>
      <c r="B1273" s="25" t="s">
        <v>250</v>
      </c>
      <c r="C1273" s="26" t="s">
        <v>8</v>
      </c>
      <c r="D1273" s="351">
        <v>3</v>
      </c>
      <c r="E1273" s="53"/>
      <c r="F1273" s="351">
        <v>3</v>
      </c>
      <c r="G1273" s="15"/>
      <c r="H1273" s="15"/>
      <c r="I1273" s="15"/>
      <c r="J1273" s="15"/>
      <c r="K1273" s="15"/>
      <c r="L1273" s="15"/>
      <c r="M1273" s="15"/>
      <c r="N1273" s="15"/>
      <c r="O1273" s="15"/>
      <c r="P1273" s="15"/>
      <c r="Q1273" s="66"/>
      <c r="R1273" s="66"/>
      <c r="S1273" s="15"/>
    </row>
    <row r="1274" spans="1:19">
      <c r="A1274" s="24"/>
      <c r="B1274" s="25" t="s">
        <v>24</v>
      </c>
      <c r="C1274" s="26" t="s">
        <v>8</v>
      </c>
      <c r="D1274" s="351">
        <v>3</v>
      </c>
      <c r="E1274" s="53"/>
      <c r="F1274" s="351">
        <v>3</v>
      </c>
      <c r="G1274" s="15"/>
      <c r="H1274" s="15"/>
      <c r="I1274" s="15"/>
      <c r="J1274" s="15"/>
      <c r="K1274" s="15"/>
      <c r="L1274" s="15"/>
      <c r="M1274" s="15"/>
      <c r="N1274" s="15"/>
      <c r="O1274" s="15"/>
      <c r="P1274" s="15"/>
      <c r="Q1274" s="66"/>
      <c r="R1274" s="66"/>
      <c r="S1274" s="15"/>
    </row>
    <row r="1275" spans="1:19">
      <c r="A1275" s="24"/>
      <c r="B1275" s="25" t="s">
        <v>163</v>
      </c>
      <c r="C1275" s="26" t="s">
        <v>8</v>
      </c>
      <c r="D1275" s="351">
        <v>3</v>
      </c>
      <c r="E1275" s="59"/>
      <c r="F1275" s="351">
        <v>3</v>
      </c>
      <c r="G1275" s="37"/>
      <c r="H1275" s="37"/>
      <c r="I1275" s="37"/>
      <c r="J1275" s="37"/>
      <c r="K1275" s="37"/>
      <c r="L1275" s="37"/>
      <c r="M1275" s="37"/>
      <c r="N1275" s="37"/>
      <c r="O1275" s="37"/>
      <c r="P1275" s="37"/>
      <c r="Q1275" s="66"/>
      <c r="R1275" s="66"/>
      <c r="S1275" s="37"/>
    </row>
    <row r="1276" spans="1:19">
      <c r="A1276" s="24"/>
      <c r="B1276" s="25" t="s">
        <v>164</v>
      </c>
      <c r="C1276" s="26"/>
      <c r="D1276" s="351"/>
      <c r="E1276" s="59"/>
      <c r="F1276" s="351"/>
      <c r="G1276" s="37"/>
      <c r="H1276" s="37"/>
      <c r="I1276" s="37"/>
      <c r="J1276" s="37"/>
      <c r="K1276" s="37"/>
      <c r="L1276" s="37"/>
      <c r="M1276" s="37"/>
      <c r="N1276" s="37"/>
      <c r="O1276" s="37"/>
      <c r="P1276" s="37"/>
      <c r="Q1276" s="66"/>
      <c r="R1276" s="66"/>
      <c r="S1276" s="37"/>
    </row>
    <row r="1277" spans="1:19">
      <c r="A1277" s="24"/>
      <c r="B1277" s="25" t="s">
        <v>251</v>
      </c>
      <c r="C1277" s="26" t="s">
        <v>8</v>
      </c>
      <c r="D1277" s="351">
        <v>1</v>
      </c>
      <c r="E1277" s="59"/>
      <c r="F1277" s="351">
        <v>1</v>
      </c>
      <c r="G1277" s="37"/>
      <c r="H1277" s="37"/>
      <c r="I1277" s="37"/>
      <c r="J1277" s="37"/>
      <c r="K1277" s="37"/>
      <c r="L1277" s="37"/>
      <c r="M1277" s="37"/>
      <c r="N1277" s="37"/>
      <c r="O1277" s="37"/>
      <c r="P1277" s="37"/>
      <c r="Q1277" s="66"/>
      <c r="R1277" s="66"/>
      <c r="S1277" s="37"/>
    </row>
    <row r="1278" spans="1:19">
      <c r="A1278" s="24"/>
      <c r="B1278" s="25" t="s">
        <v>209</v>
      </c>
      <c r="C1278" s="26" t="s">
        <v>8</v>
      </c>
      <c r="D1278" s="351">
        <v>1</v>
      </c>
      <c r="E1278" s="59"/>
      <c r="F1278" s="351">
        <v>1</v>
      </c>
      <c r="G1278" s="37"/>
      <c r="H1278" s="37"/>
      <c r="I1278" s="37"/>
      <c r="J1278" s="37"/>
      <c r="K1278" s="37"/>
      <c r="L1278" s="37"/>
      <c r="M1278" s="37"/>
      <c r="N1278" s="37"/>
      <c r="O1278" s="37"/>
      <c r="P1278" s="37"/>
      <c r="Q1278" s="66"/>
      <c r="R1278" s="66"/>
      <c r="S1278" s="37"/>
    </row>
    <row r="1279" spans="1:19">
      <c r="A1279" s="24"/>
      <c r="B1279" s="25" t="s">
        <v>168</v>
      </c>
      <c r="C1279" s="26" t="s">
        <v>8</v>
      </c>
      <c r="D1279" s="351">
        <v>1</v>
      </c>
      <c r="E1279" s="59"/>
      <c r="F1279" s="351">
        <v>1</v>
      </c>
      <c r="G1279" s="37"/>
      <c r="H1279" s="37"/>
      <c r="I1279" s="37"/>
      <c r="J1279" s="37"/>
      <c r="K1279" s="37"/>
      <c r="L1279" s="37"/>
      <c r="M1279" s="37"/>
      <c r="N1279" s="37"/>
      <c r="O1279" s="37"/>
      <c r="P1279" s="37"/>
      <c r="Q1279" s="66"/>
      <c r="R1279" s="66"/>
      <c r="S1279" s="37"/>
    </row>
    <row r="1280" spans="1:19">
      <c r="A1280" s="24"/>
      <c r="B1280" s="25" t="s">
        <v>210</v>
      </c>
      <c r="C1280" s="26" t="s">
        <v>17</v>
      </c>
      <c r="D1280" s="351">
        <v>1</v>
      </c>
      <c r="E1280" s="57"/>
      <c r="F1280" s="351">
        <v>1</v>
      </c>
      <c r="G1280" s="36"/>
      <c r="H1280" s="36"/>
      <c r="I1280" s="36"/>
      <c r="J1280" s="36"/>
      <c r="K1280" s="36"/>
      <c r="L1280" s="36"/>
      <c r="M1280" s="36"/>
      <c r="N1280" s="36"/>
      <c r="O1280" s="36"/>
      <c r="P1280" s="36"/>
      <c r="Q1280" s="65"/>
      <c r="R1280" s="65"/>
      <c r="S1280" s="36"/>
    </row>
    <row r="1281" spans="1:19">
      <c r="A1281" s="24"/>
      <c r="B1281" s="25" t="s">
        <v>197</v>
      </c>
      <c r="C1281" s="26" t="s">
        <v>8</v>
      </c>
      <c r="D1281" s="351">
        <v>2</v>
      </c>
      <c r="E1281" s="59"/>
      <c r="F1281" s="351">
        <v>2</v>
      </c>
      <c r="G1281" s="37"/>
      <c r="H1281" s="37"/>
      <c r="I1281" s="37"/>
      <c r="J1281" s="37"/>
      <c r="K1281" s="37"/>
      <c r="L1281" s="37"/>
      <c r="M1281" s="37"/>
      <c r="N1281" s="37"/>
      <c r="O1281" s="37"/>
      <c r="P1281" s="37"/>
      <c r="Q1281" s="66"/>
      <c r="R1281" s="66"/>
      <c r="S1281" s="37"/>
    </row>
    <row r="1282" spans="1:19">
      <c r="A1282" s="24"/>
      <c r="B1282" s="25" t="s">
        <v>206</v>
      </c>
      <c r="C1282" s="26" t="s">
        <v>8</v>
      </c>
      <c r="D1282" s="351">
        <v>1</v>
      </c>
      <c r="E1282" s="59"/>
      <c r="F1282" s="351">
        <v>1</v>
      </c>
      <c r="G1282" s="37"/>
      <c r="H1282" s="37"/>
      <c r="I1282" s="37"/>
      <c r="J1282" s="37"/>
      <c r="K1282" s="37"/>
      <c r="L1282" s="37"/>
      <c r="M1282" s="37"/>
      <c r="N1282" s="37"/>
      <c r="O1282" s="37"/>
      <c r="P1282" s="37"/>
      <c r="Q1282" s="66"/>
      <c r="R1282" s="66"/>
      <c r="S1282" s="37"/>
    </row>
    <row r="1283" spans="1:19">
      <c r="A1283" s="24"/>
      <c r="B1283" s="25" t="s">
        <v>211</v>
      </c>
      <c r="C1283" s="26" t="s">
        <v>8</v>
      </c>
      <c r="D1283" s="351">
        <v>1</v>
      </c>
      <c r="E1283" s="59"/>
      <c r="F1283" s="351">
        <v>1</v>
      </c>
      <c r="G1283" s="37"/>
      <c r="H1283" s="37"/>
      <c r="I1283" s="37"/>
      <c r="J1283" s="37"/>
      <c r="K1283" s="37"/>
      <c r="L1283" s="37"/>
      <c r="M1283" s="37"/>
      <c r="N1283" s="37"/>
      <c r="O1283" s="37"/>
      <c r="P1283" s="37"/>
      <c r="Q1283" s="66"/>
      <c r="R1283" s="66"/>
      <c r="S1283" s="37"/>
    </row>
    <row r="1284" spans="1:19">
      <c r="A1284" s="24"/>
      <c r="B1284" s="25" t="s">
        <v>198</v>
      </c>
      <c r="C1284" s="26" t="s">
        <v>8</v>
      </c>
      <c r="D1284" s="351">
        <v>1</v>
      </c>
      <c r="E1284" s="59"/>
      <c r="F1284" s="351">
        <v>1</v>
      </c>
      <c r="G1284" s="37"/>
      <c r="H1284" s="37"/>
      <c r="I1284" s="37"/>
      <c r="J1284" s="37"/>
      <c r="K1284" s="37"/>
      <c r="L1284" s="37"/>
      <c r="M1284" s="37"/>
      <c r="N1284" s="37"/>
      <c r="O1284" s="37"/>
      <c r="P1284" s="37"/>
      <c r="Q1284" s="66"/>
      <c r="R1284" s="66"/>
      <c r="S1284" s="37"/>
    </row>
    <row r="1285" spans="1:19">
      <c r="A1285" s="24"/>
      <c r="B1285" s="25" t="s">
        <v>185</v>
      </c>
      <c r="C1285" s="26" t="s">
        <v>8</v>
      </c>
      <c r="D1285" s="351">
        <v>1</v>
      </c>
      <c r="E1285" s="60"/>
      <c r="F1285" s="351">
        <v>1</v>
      </c>
      <c r="G1285" s="38"/>
      <c r="H1285" s="38"/>
      <c r="I1285" s="38"/>
      <c r="J1285" s="38"/>
      <c r="K1285" s="38"/>
      <c r="L1285" s="38"/>
      <c r="M1285" s="38"/>
      <c r="N1285" s="38"/>
      <c r="O1285" s="38"/>
      <c r="P1285" s="38"/>
      <c r="Q1285" s="65"/>
      <c r="R1285" s="65"/>
      <c r="S1285" s="38"/>
    </row>
    <row r="1286" spans="1:19">
      <c r="A1286" s="24"/>
      <c r="B1286" s="25" t="s">
        <v>212</v>
      </c>
      <c r="C1286" s="26" t="s">
        <v>8</v>
      </c>
      <c r="D1286" s="351">
        <v>1</v>
      </c>
      <c r="E1286" s="57"/>
      <c r="F1286" s="351">
        <v>1</v>
      </c>
      <c r="G1286" s="36"/>
      <c r="H1286" s="36"/>
      <c r="I1286" s="36"/>
      <c r="J1286" s="36"/>
      <c r="K1286" s="36"/>
      <c r="L1286" s="36"/>
      <c r="M1286" s="36"/>
      <c r="N1286" s="36"/>
      <c r="O1286" s="36"/>
      <c r="P1286" s="36"/>
      <c r="Q1286" s="65"/>
      <c r="R1286" s="65"/>
      <c r="S1286" s="36"/>
    </row>
    <row r="1287" spans="1:19">
      <c r="A1287" s="24"/>
      <c r="B1287" s="25" t="s">
        <v>186</v>
      </c>
      <c r="C1287" s="26" t="s">
        <v>8</v>
      </c>
      <c r="D1287" s="351">
        <v>2</v>
      </c>
      <c r="E1287" s="53"/>
      <c r="F1287" s="351">
        <v>2</v>
      </c>
      <c r="G1287" s="15"/>
      <c r="H1287" s="15"/>
      <c r="I1287" s="15"/>
      <c r="J1287" s="15"/>
      <c r="K1287" s="15"/>
      <c r="L1287" s="15"/>
      <c r="M1287" s="15"/>
      <c r="N1287" s="15"/>
      <c r="O1287" s="15"/>
      <c r="P1287" s="15"/>
      <c r="Q1287" s="66"/>
      <c r="R1287" s="66"/>
      <c r="S1287" s="15"/>
    </row>
    <row r="1288" spans="1:19">
      <c r="A1288" s="24"/>
      <c r="B1288" s="25" t="s">
        <v>171</v>
      </c>
      <c r="C1288" s="26" t="s">
        <v>8</v>
      </c>
      <c r="D1288" s="351">
        <v>1</v>
      </c>
      <c r="E1288" s="58"/>
      <c r="F1288" s="351">
        <v>1</v>
      </c>
      <c r="G1288" s="18"/>
      <c r="H1288" s="18"/>
      <c r="I1288" s="18"/>
      <c r="J1288" s="18"/>
      <c r="K1288" s="18"/>
      <c r="L1288" s="18"/>
      <c r="M1288" s="18"/>
      <c r="N1288" s="18"/>
      <c r="O1288" s="18"/>
      <c r="P1288" s="18"/>
      <c r="Q1288" s="65"/>
      <c r="R1288" s="65"/>
      <c r="S1288" s="18"/>
    </row>
    <row r="1289" spans="1:19">
      <c r="A1289" s="24"/>
      <c r="B1289" s="25" t="s">
        <v>187</v>
      </c>
      <c r="C1289" s="26" t="s">
        <v>78</v>
      </c>
      <c r="D1289" s="351">
        <v>1</v>
      </c>
      <c r="E1289" s="53"/>
      <c r="F1289" s="351">
        <v>1</v>
      </c>
      <c r="G1289" s="15"/>
      <c r="H1289" s="15"/>
      <c r="I1289" s="15"/>
      <c r="J1289" s="15"/>
      <c r="K1289" s="15"/>
      <c r="L1289" s="15"/>
      <c r="M1289" s="15"/>
      <c r="N1289" s="15"/>
      <c r="O1289" s="15"/>
      <c r="P1289" s="15"/>
      <c r="Q1289" s="66"/>
      <c r="R1289" s="66"/>
      <c r="S1289" s="15"/>
    </row>
    <row r="1290" spans="1:19">
      <c r="A1290" s="24"/>
      <c r="B1290" s="25" t="s">
        <v>360</v>
      </c>
      <c r="C1290" s="26" t="s">
        <v>17</v>
      </c>
      <c r="D1290" s="351">
        <v>1</v>
      </c>
      <c r="E1290" s="53"/>
      <c r="F1290" s="351">
        <v>1</v>
      </c>
      <c r="G1290" s="15"/>
      <c r="H1290" s="15"/>
      <c r="I1290" s="15"/>
      <c r="J1290" s="15"/>
      <c r="K1290" s="15"/>
      <c r="L1290" s="15"/>
      <c r="M1290" s="15"/>
      <c r="N1290" s="15"/>
      <c r="O1290" s="15"/>
      <c r="P1290" s="15"/>
      <c r="Q1290" s="66"/>
      <c r="R1290" s="66"/>
      <c r="S1290" s="15"/>
    </row>
    <row r="1291" spans="1:19">
      <c r="A1291" s="24"/>
      <c r="B1291" s="25" t="s">
        <v>254</v>
      </c>
      <c r="C1291" s="26" t="s">
        <v>8</v>
      </c>
      <c r="D1291" s="351">
        <v>2</v>
      </c>
      <c r="E1291" s="53"/>
      <c r="F1291" s="351">
        <v>2</v>
      </c>
      <c r="G1291" s="15"/>
      <c r="H1291" s="15"/>
      <c r="I1291" s="15"/>
      <c r="J1291" s="15"/>
      <c r="K1291" s="15"/>
      <c r="L1291" s="15"/>
      <c r="M1291" s="15"/>
      <c r="N1291" s="15"/>
      <c r="O1291" s="15"/>
      <c r="P1291" s="15"/>
      <c r="Q1291" s="66"/>
      <c r="R1291" s="66"/>
      <c r="S1291" s="15"/>
    </row>
    <row r="1292" spans="1:19">
      <c r="A1292" s="24"/>
      <c r="B1292" s="25" t="s">
        <v>255</v>
      </c>
      <c r="C1292" s="26" t="s">
        <v>8</v>
      </c>
      <c r="D1292" s="351">
        <v>1</v>
      </c>
      <c r="E1292" s="53"/>
      <c r="F1292" s="351">
        <v>1</v>
      </c>
      <c r="G1292" s="15"/>
      <c r="H1292" s="15"/>
      <c r="I1292" s="15"/>
      <c r="J1292" s="15"/>
      <c r="K1292" s="15"/>
      <c r="L1292" s="15"/>
      <c r="M1292" s="15"/>
      <c r="N1292" s="15"/>
      <c r="O1292" s="15"/>
      <c r="P1292" s="15"/>
      <c r="Q1292" s="66"/>
      <c r="R1292" s="66"/>
      <c r="S1292" s="15"/>
    </row>
    <row r="1293" spans="1:19">
      <c r="A1293" s="24"/>
      <c r="B1293" s="25" t="s">
        <v>183</v>
      </c>
      <c r="C1293" s="26" t="s">
        <v>8</v>
      </c>
      <c r="D1293" s="351">
        <v>5</v>
      </c>
      <c r="E1293" s="53"/>
      <c r="F1293" s="351">
        <v>5</v>
      </c>
      <c r="G1293" s="15"/>
      <c r="H1293" s="15"/>
      <c r="I1293" s="15"/>
      <c r="J1293" s="15"/>
      <c r="K1293" s="15"/>
      <c r="L1293" s="15"/>
      <c r="M1293" s="15"/>
      <c r="N1293" s="15"/>
      <c r="O1293" s="15"/>
      <c r="P1293" s="15"/>
      <c r="Q1293" s="66"/>
      <c r="R1293" s="66"/>
      <c r="S1293" s="15"/>
    </row>
    <row r="1294" spans="1:19">
      <c r="A1294" s="24"/>
      <c r="B1294" s="25" t="s">
        <v>211</v>
      </c>
      <c r="C1294" s="26" t="s">
        <v>8</v>
      </c>
      <c r="D1294" s="351">
        <v>1</v>
      </c>
      <c r="E1294" s="59"/>
      <c r="F1294" s="351">
        <v>1</v>
      </c>
      <c r="G1294" s="37"/>
      <c r="H1294" s="37"/>
      <c r="I1294" s="37"/>
      <c r="J1294" s="37"/>
      <c r="K1294" s="37"/>
      <c r="L1294" s="37"/>
      <c r="M1294" s="37"/>
      <c r="N1294" s="37"/>
      <c r="O1294" s="37"/>
      <c r="P1294" s="37"/>
      <c r="Q1294" s="66"/>
      <c r="R1294" s="66"/>
      <c r="S1294" s="37"/>
    </row>
    <row r="1295" spans="1:19">
      <c r="A1295" s="24"/>
      <c r="B1295" s="25" t="s">
        <v>361</v>
      </c>
      <c r="C1295" s="26" t="s">
        <v>8</v>
      </c>
      <c r="D1295" s="351">
        <v>1</v>
      </c>
      <c r="E1295" s="59"/>
      <c r="F1295" s="351">
        <v>1</v>
      </c>
      <c r="G1295" s="37"/>
      <c r="H1295" s="37"/>
      <c r="I1295" s="37"/>
      <c r="J1295" s="37"/>
      <c r="K1295" s="37"/>
      <c r="L1295" s="37"/>
      <c r="M1295" s="37"/>
      <c r="N1295" s="37"/>
      <c r="O1295" s="37"/>
      <c r="P1295" s="37"/>
      <c r="Q1295" s="66"/>
      <c r="R1295" s="66"/>
      <c r="S1295" s="37"/>
    </row>
    <row r="1296" spans="1:19">
      <c r="A1296" s="24"/>
      <c r="B1296" s="25" t="s">
        <v>185</v>
      </c>
      <c r="C1296" s="26" t="s">
        <v>8</v>
      </c>
      <c r="D1296" s="351">
        <v>1</v>
      </c>
      <c r="E1296" s="59"/>
      <c r="F1296" s="351">
        <v>1</v>
      </c>
      <c r="G1296" s="37"/>
      <c r="H1296" s="37"/>
      <c r="I1296" s="37"/>
      <c r="J1296" s="37"/>
      <c r="K1296" s="37"/>
      <c r="L1296" s="37"/>
      <c r="M1296" s="37"/>
      <c r="N1296" s="37"/>
      <c r="O1296" s="37"/>
      <c r="P1296" s="37"/>
      <c r="Q1296" s="66"/>
      <c r="R1296" s="66"/>
      <c r="S1296" s="37"/>
    </row>
    <row r="1297" spans="1:19">
      <c r="A1297" s="24"/>
      <c r="B1297" s="25" t="s">
        <v>212</v>
      </c>
      <c r="C1297" s="26" t="s">
        <v>8</v>
      </c>
      <c r="D1297" s="351">
        <v>1</v>
      </c>
      <c r="E1297" s="59"/>
      <c r="F1297" s="351">
        <v>1</v>
      </c>
      <c r="G1297" s="37"/>
      <c r="H1297" s="37"/>
      <c r="I1297" s="37"/>
      <c r="J1297" s="37"/>
      <c r="K1297" s="37"/>
      <c r="L1297" s="37"/>
      <c r="M1297" s="37"/>
      <c r="N1297" s="37"/>
      <c r="O1297" s="37"/>
      <c r="P1297" s="37"/>
      <c r="Q1297" s="66"/>
      <c r="R1297" s="66"/>
      <c r="S1297" s="37"/>
    </row>
    <row r="1298" spans="1:19">
      <c r="A1298" s="24"/>
      <c r="B1298" s="25" t="s">
        <v>186</v>
      </c>
      <c r="C1298" s="26" t="s">
        <v>8</v>
      </c>
      <c r="D1298" s="351">
        <v>2</v>
      </c>
      <c r="E1298" s="59"/>
      <c r="F1298" s="351">
        <v>2</v>
      </c>
      <c r="G1298" s="37"/>
      <c r="H1298" s="37"/>
      <c r="I1298" s="37"/>
      <c r="J1298" s="37"/>
      <c r="K1298" s="37"/>
      <c r="L1298" s="37"/>
      <c r="M1298" s="37"/>
      <c r="N1298" s="37"/>
      <c r="O1298" s="37"/>
      <c r="P1298" s="37"/>
      <c r="Q1298" s="66"/>
      <c r="R1298" s="66"/>
      <c r="S1298" s="37"/>
    </row>
    <row r="1299" spans="1:19">
      <c r="A1299" s="24"/>
      <c r="B1299" s="25" t="s">
        <v>171</v>
      </c>
      <c r="C1299" s="26" t="s">
        <v>8</v>
      </c>
      <c r="D1299" s="351">
        <v>1</v>
      </c>
      <c r="E1299" s="59"/>
      <c r="F1299" s="351">
        <v>1</v>
      </c>
      <c r="G1299" s="37"/>
      <c r="H1299" s="37"/>
      <c r="I1299" s="37"/>
      <c r="J1299" s="37"/>
      <c r="K1299" s="37"/>
      <c r="L1299" s="37"/>
      <c r="M1299" s="37"/>
      <c r="N1299" s="37"/>
      <c r="O1299" s="37"/>
      <c r="P1299" s="37"/>
      <c r="Q1299" s="66"/>
      <c r="R1299" s="66"/>
      <c r="S1299" s="37"/>
    </row>
    <row r="1300" spans="1:19">
      <c r="A1300" s="24"/>
      <c r="B1300" s="25" t="s">
        <v>187</v>
      </c>
      <c r="C1300" s="26" t="s">
        <v>78</v>
      </c>
      <c r="D1300" s="351">
        <v>1</v>
      </c>
      <c r="E1300" s="59"/>
      <c r="F1300" s="351">
        <v>1</v>
      </c>
      <c r="G1300" s="37"/>
      <c r="H1300" s="37"/>
      <c r="I1300" s="37"/>
      <c r="J1300" s="37"/>
      <c r="K1300" s="37"/>
      <c r="L1300" s="37"/>
      <c r="M1300" s="37"/>
      <c r="N1300" s="37"/>
      <c r="O1300" s="37"/>
      <c r="P1300" s="37"/>
      <c r="Q1300" s="66"/>
      <c r="R1300" s="66"/>
      <c r="S1300" s="37"/>
    </row>
    <row r="1301" spans="1:19">
      <c r="A1301" s="24"/>
      <c r="B1301" s="25" t="s">
        <v>173</v>
      </c>
      <c r="C1301" s="26" t="s">
        <v>8</v>
      </c>
      <c r="D1301" s="351">
        <v>1</v>
      </c>
      <c r="E1301" s="59"/>
      <c r="F1301" s="351">
        <v>1</v>
      </c>
      <c r="G1301" s="37"/>
      <c r="H1301" s="37"/>
      <c r="I1301" s="37"/>
      <c r="J1301" s="37"/>
      <c r="K1301" s="37"/>
      <c r="L1301" s="37"/>
      <c r="M1301" s="37"/>
      <c r="N1301" s="37"/>
      <c r="O1301" s="37"/>
      <c r="P1301" s="37"/>
      <c r="Q1301" s="66"/>
      <c r="R1301" s="66"/>
      <c r="S1301" s="37"/>
    </row>
    <row r="1302" spans="1:19">
      <c r="A1302" s="24"/>
      <c r="B1302" s="25" t="s">
        <v>199</v>
      </c>
      <c r="C1302" s="26" t="s">
        <v>17</v>
      </c>
      <c r="D1302" s="351">
        <v>1</v>
      </c>
      <c r="E1302" s="59"/>
      <c r="F1302" s="351">
        <v>1</v>
      </c>
      <c r="G1302" s="37"/>
      <c r="H1302" s="37"/>
      <c r="I1302" s="37"/>
      <c r="J1302" s="37"/>
      <c r="K1302" s="37"/>
      <c r="L1302" s="37"/>
      <c r="M1302" s="37"/>
      <c r="N1302" s="37"/>
      <c r="O1302" s="37"/>
      <c r="P1302" s="37"/>
      <c r="Q1302" s="66"/>
      <c r="R1302" s="66"/>
      <c r="S1302" s="37"/>
    </row>
    <row r="1303" spans="1:19" ht="30">
      <c r="A1303" s="24"/>
      <c r="B1303" s="25" t="s">
        <v>176</v>
      </c>
      <c r="C1303" s="26" t="s">
        <v>78</v>
      </c>
      <c r="D1303" s="351">
        <v>1</v>
      </c>
      <c r="E1303" s="59"/>
      <c r="F1303" s="351">
        <v>1</v>
      </c>
      <c r="G1303" s="37"/>
      <c r="H1303" s="37"/>
      <c r="I1303" s="37"/>
      <c r="J1303" s="37"/>
      <c r="K1303" s="37"/>
      <c r="L1303" s="37"/>
      <c r="M1303" s="37"/>
      <c r="N1303" s="37"/>
      <c r="O1303" s="37"/>
      <c r="P1303" s="37"/>
      <c r="Q1303" s="66"/>
      <c r="R1303" s="66"/>
      <c r="S1303" s="37"/>
    </row>
    <row r="1304" spans="1:19" ht="60">
      <c r="A1304" s="24">
        <v>43</v>
      </c>
      <c r="B1304" s="25" t="s">
        <v>362</v>
      </c>
      <c r="C1304" s="26" t="s">
        <v>7</v>
      </c>
      <c r="D1304" s="351">
        <v>1</v>
      </c>
      <c r="E1304" s="59"/>
      <c r="F1304" s="351">
        <v>1</v>
      </c>
      <c r="G1304" s="26" t="s">
        <v>2326</v>
      </c>
      <c r="H1304" s="26"/>
      <c r="I1304" s="26" t="s">
        <v>2327</v>
      </c>
      <c r="J1304" s="26" t="s">
        <v>2328</v>
      </c>
      <c r="K1304" s="311">
        <v>22495549.229999997</v>
      </c>
      <c r="L1304" s="311">
        <v>0</v>
      </c>
      <c r="M1304" s="311">
        <v>1582000.0000000002</v>
      </c>
      <c r="N1304" s="311">
        <v>2412277.7000000002</v>
      </c>
      <c r="O1304" s="311">
        <v>1688594.3900000001</v>
      </c>
      <c r="P1304" s="68">
        <f>SUM(K1304:O1304)</f>
        <v>28178421.319999997</v>
      </c>
      <c r="Q1304" s="68">
        <f>D1304*P1304</f>
        <v>28178421.319999997</v>
      </c>
      <c r="R1304" s="127">
        <f>F1304*P1304</f>
        <v>28178421.319999997</v>
      </c>
      <c r="S1304" s="37"/>
    </row>
    <row r="1305" spans="1:19" ht="30">
      <c r="A1305" s="24"/>
      <c r="B1305" s="25" t="s">
        <v>160</v>
      </c>
      <c r="C1305" s="26" t="s">
        <v>8</v>
      </c>
      <c r="D1305" s="351">
        <v>1</v>
      </c>
      <c r="E1305" s="59"/>
      <c r="F1305" s="351">
        <v>1</v>
      </c>
      <c r="G1305" s="37"/>
      <c r="H1305" s="37"/>
      <c r="I1305" s="37"/>
      <c r="J1305" s="37"/>
      <c r="K1305" s="37"/>
      <c r="L1305" s="37"/>
      <c r="M1305" s="37"/>
      <c r="N1305" s="37"/>
      <c r="O1305" s="37"/>
      <c r="P1305" s="37"/>
      <c r="Q1305" s="66"/>
      <c r="R1305" s="66"/>
      <c r="S1305" s="37"/>
    </row>
    <row r="1306" spans="1:19">
      <c r="A1306" s="24"/>
      <c r="B1306" s="25" t="s">
        <v>161</v>
      </c>
      <c r="C1306" s="26"/>
      <c r="D1306" s="351"/>
      <c r="E1306" s="59"/>
      <c r="F1306" s="351"/>
      <c r="G1306" s="37"/>
      <c r="H1306" s="37"/>
      <c r="I1306" s="37"/>
      <c r="J1306" s="37"/>
      <c r="K1306" s="37"/>
      <c r="L1306" s="37"/>
      <c r="M1306" s="37"/>
      <c r="N1306" s="37"/>
      <c r="O1306" s="37"/>
      <c r="P1306" s="37"/>
      <c r="Q1306" s="66"/>
      <c r="R1306" s="66"/>
      <c r="S1306" s="37"/>
    </row>
    <row r="1307" spans="1:19">
      <c r="A1307" s="24"/>
      <c r="B1307" s="25" t="s">
        <v>284</v>
      </c>
      <c r="C1307" s="26" t="s">
        <v>8</v>
      </c>
      <c r="D1307" s="351">
        <v>1</v>
      </c>
      <c r="E1307" s="59"/>
      <c r="F1307" s="351">
        <v>1</v>
      </c>
      <c r="G1307" s="37"/>
      <c r="H1307" s="37"/>
      <c r="I1307" s="37"/>
      <c r="J1307" s="37"/>
      <c r="K1307" s="37"/>
      <c r="L1307" s="37"/>
      <c r="M1307" s="37"/>
      <c r="N1307" s="37"/>
      <c r="O1307" s="37"/>
      <c r="P1307" s="37"/>
      <c r="Q1307" s="66"/>
      <c r="R1307" s="66"/>
      <c r="S1307" s="37"/>
    </row>
    <row r="1308" spans="1:19">
      <c r="A1308" s="24"/>
      <c r="B1308" s="25" t="s">
        <v>363</v>
      </c>
      <c r="C1308" s="26" t="s">
        <v>20</v>
      </c>
      <c r="D1308" s="351">
        <v>3</v>
      </c>
      <c r="E1308" s="59"/>
      <c r="F1308" s="351">
        <v>3</v>
      </c>
      <c r="G1308" s="37"/>
      <c r="H1308" s="37"/>
      <c r="I1308" s="37"/>
      <c r="J1308" s="37"/>
      <c r="K1308" s="37"/>
      <c r="L1308" s="37"/>
      <c r="M1308" s="37"/>
      <c r="N1308" s="37"/>
      <c r="O1308" s="37"/>
      <c r="P1308" s="37"/>
      <c r="Q1308" s="66"/>
      <c r="R1308" s="66"/>
      <c r="S1308" s="37"/>
    </row>
    <row r="1309" spans="1:19">
      <c r="A1309" s="24"/>
      <c r="B1309" s="25" t="s">
        <v>21</v>
      </c>
      <c r="C1309" s="26" t="s">
        <v>8</v>
      </c>
      <c r="D1309" s="351">
        <v>1</v>
      </c>
      <c r="E1309" s="59"/>
      <c r="F1309" s="351">
        <v>1</v>
      </c>
      <c r="G1309" s="37"/>
      <c r="H1309" s="37"/>
      <c r="I1309" s="37"/>
      <c r="J1309" s="37"/>
      <c r="K1309" s="37"/>
      <c r="L1309" s="37"/>
      <c r="M1309" s="37"/>
      <c r="N1309" s="37"/>
      <c r="O1309" s="37"/>
      <c r="P1309" s="37"/>
      <c r="Q1309" s="66"/>
      <c r="R1309" s="66"/>
      <c r="S1309" s="37"/>
    </row>
    <row r="1310" spans="1:19">
      <c r="A1310" s="24"/>
      <c r="B1310" s="25" t="s">
        <v>22</v>
      </c>
      <c r="C1310" s="26" t="s">
        <v>8</v>
      </c>
      <c r="D1310" s="351">
        <v>1</v>
      </c>
      <c r="E1310" s="59"/>
      <c r="F1310" s="351">
        <v>1</v>
      </c>
      <c r="G1310" s="37"/>
      <c r="H1310" s="37"/>
      <c r="I1310" s="37"/>
      <c r="J1310" s="37"/>
      <c r="K1310" s="37"/>
      <c r="L1310" s="37"/>
      <c r="M1310" s="37"/>
      <c r="N1310" s="37"/>
      <c r="O1310" s="37"/>
      <c r="P1310" s="37"/>
      <c r="Q1310" s="66"/>
      <c r="R1310" s="66"/>
      <c r="S1310" s="37"/>
    </row>
    <row r="1311" spans="1:19">
      <c r="A1311" s="24"/>
      <c r="B1311" s="25" t="s">
        <v>364</v>
      </c>
      <c r="C1311" s="26" t="s">
        <v>8</v>
      </c>
      <c r="D1311" s="351">
        <v>3</v>
      </c>
      <c r="E1311" s="59"/>
      <c r="F1311" s="351">
        <v>3</v>
      </c>
      <c r="G1311" s="37"/>
      <c r="H1311" s="37"/>
      <c r="I1311" s="37"/>
      <c r="J1311" s="37"/>
      <c r="K1311" s="37"/>
      <c r="L1311" s="37"/>
      <c r="M1311" s="37"/>
      <c r="N1311" s="37"/>
      <c r="O1311" s="37"/>
      <c r="P1311" s="37"/>
      <c r="Q1311" s="66"/>
      <c r="R1311" s="66"/>
      <c r="S1311" s="37"/>
    </row>
    <row r="1312" spans="1:19">
      <c r="A1312" s="24"/>
      <c r="B1312" s="25" t="s">
        <v>24</v>
      </c>
      <c r="C1312" s="26" t="s">
        <v>8</v>
      </c>
      <c r="D1312" s="351">
        <v>3</v>
      </c>
      <c r="E1312" s="59"/>
      <c r="F1312" s="351">
        <v>3</v>
      </c>
      <c r="G1312" s="37"/>
      <c r="H1312" s="37"/>
      <c r="I1312" s="37"/>
      <c r="J1312" s="37"/>
      <c r="K1312" s="37"/>
      <c r="L1312" s="37"/>
      <c r="M1312" s="37"/>
      <c r="N1312" s="37"/>
      <c r="O1312" s="37"/>
      <c r="P1312" s="37"/>
      <c r="Q1312" s="66"/>
      <c r="R1312" s="66"/>
      <c r="S1312" s="37"/>
    </row>
    <row r="1313" spans="1:19">
      <c r="A1313" s="24"/>
      <c r="B1313" s="25" t="s">
        <v>163</v>
      </c>
      <c r="C1313" s="26" t="s">
        <v>8</v>
      </c>
      <c r="D1313" s="351">
        <v>3</v>
      </c>
      <c r="E1313" s="59"/>
      <c r="F1313" s="351">
        <v>3</v>
      </c>
      <c r="G1313" s="37"/>
      <c r="H1313" s="37"/>
      <c r="I1313" s="37"/>
      <c r="J1313" s="37"/>
      <c r="K1313" s="37"/>
      <c r="L1313" s="37"/>
      <c r="M1313" s="37"/>
      <c r="N1313" s="37"/>
      <c r="O1313" s="37"/>
      <c r="P1313" s="37"/>
      <c r="Q1313" s="66"/>
      <c r="R1313" s="66"/>
      <c r="S1313" s="37"/>
    </row>
    <row r="1314" spans="1:19">
      <c r="A1314" s="24"/>
      <c r="B1314" s="25" t="s">
        <v>164</v>
      </c>
      <c r="C1314" s="26"/>
      <c r="D1314" s="351"/>
      <c r="E1314" s="59"/>
      <c r="F1314" s="351"/>
      <c r="G1314" s="37"/>
      <c r="H1314" s="37"/>
      <c r="I1314" s="37"/>
      <c r="J1314" s="37"/>
      <c r="K1314" s="37"/>
      <c r="L1314" s="37"/>
      <c r="M1314" s="37"/>
      <c r="N1314" s="37"/>
      <c r="O1314" s="37"/>
      <c r="P1314" s="37"/>
      <c r="Q1314" s="66"/>
      <c r="R1314" s="66"/>
      <c r="S1314" s="37"/>
    </row>
    <row r="1315" spans="1:19">
      <c r="A1315" s="24"/>
      <c r="B1315" s="25" t="s">
        <v>251</v>
      </c>
      <c r="C1315" s="26" t="s">
        <v>8</v>
      </c>
      <c r="D1315" s="351">
        <v>1</v>
      </c>
      <c r="E1315" s="59"/>
      <c r="F1315" s="351">
        <v>1</v>
      </c>
      <c r="G1315" s="37"/>
      <c r="H1315" s="37"/>
      <c r="I1315" s="37"/>
      <c r="J1315" s="37"/>
      <c r="K1315" s="37"/>
      <c r="L1315" s="37"/>
      <c r="M1315" s="37"/>
      <c r="N1315" s="37"/>
      <c r="O1315" s="37"/>
      <c r="P1315" s="37"/>
      <c r="Q1315" s="66"/>
      <c r="R1315" s="66"/>
      <c r="S1315" s="37"/>
    </row>
    <row r="1316" spans="1:19">
      <c r="A1316" s="24"/>
      <c r="B1316" s="25" t="s">
        <v>330</v>
      </c>
      <c r="C1316" s="26" t="s">
        <v>8</v>
      </c>
      <c r="D1316" s="351">
        <v>1</v>
      </c>
      <c r="E1316" s="59"/>
      <c r="F1316" s="351">
        <v>1</v>
      </c>
      <c r="G1316" s="37"/>
      <c r="H1316" s="37"/>
      <c r="I1316" s="37"/>
      <c r="J1316" s="37"/>
      <c r="K1316" s="37"/>
      <c r="L1316" s="37"/>
      <c r="M1316" s="37"/>
      <c r="N1316" s="37"/>
      <c r="O1316" s="37"/>
      <c r="P1316" s="37"/>
      <c r="Q1316" s="66"/>
      <c r="R1316" s="66"/>
      <c r="S1316" s="37"/>
    </row>
    <row r="1317" spans="1:19">
      <c r="A1317" s="24"/>
      <c r="B1317" s="25" t="s">
        <v>260</v>
      </c>
      <c r="C1317" s="26" t="s">
        <v>8</v>
      </c>
      <c r="D1317" s="351">
        <v>1</v>
      </c>
      <c r="E1317" s="59"/>
      <c r="F1317" s="351">
        <v>1</v>
      </c>
      <c r="G1317" s="37"/>
      <c r="H1317" s="37"/>
      <c r="I1317" s="37"/>
      <c r="J1317" s="37"/>
      <c r="K1317" s="37"/>
      <c r="L1317" s="37"/>
      <c r="M1317" s="37"/>
      <c r="N1317" s="37"/>
      <c r="O1317" s="37"/>
      <c r="P1317" s="37"/>
      <c r="Q1317" s="66"/>
      <c r="R1317" s="66"/>
      <c r="S1317" s="37"/>
    </row>
    <row r="1318" spans="1:19">
      <c r="A1318" s="24"/>
      <c r="B1318" s="25" t="s">
        <v>165</v>
      </c>
      <c r="C1318" s="26" t="s">
        <v>8</v>
      </c>
      <c r="D1318" s="351">
        <v>1</v>
      </c>
      <c r="E1318" s="59"/>
      <c r="F1318" s="351">
        <v>1</v>
      </c>
      <c r="G1318" s="37"/>
      <c r="H1318" s="37"/>
      <c r="I1318" s="37"/>
      <c r="J1318" s="37"/>
      <c r="K1318" s="37"/>
      <c r="L1318" s="37"/>
      <c r="M1318" s="37"/>
      <c r="N1318" s="37"/>
      <c r="O1318" s="37"/>
      <c r="P1318" s="37"/>
      <c r="Q1318" s="66"/>
      <c r="R1318" s="66"/>
      <c r="S1318" s="37"/>
    </row>
    <row r="1319" spans="1:19">
      <c r="A1319" s="24"/>
      <c r="B1319" s="25" t="s">
        <v>286</v>
      </c>
      <c r="C1319" s="26" t="s">
        <v>8</v>
      </c>
      <c r="D1319" s="351">
        <v>1</v>
      </c>
      <c r="E1319" s="59"/>
      <c r="F1319" s="351">
        <v>1</v>
      </c>
      <c r="G1319" s="37"/>
      <c r="H1319" s="37"/>
      <c r="I1319" s="37"/>
      <c r="J1319" s="37"/>
      <c r="K1319" s="37"/>
      <c r="L1319" s="37"/>
      <c r="M1319" s="37"/>
      <c r="N1319" s="37"/>
      <c r="O1319" s="37"/>
      <c r="P1319" s="37"/>
      <c r="Q1319" s="66"/>
      <c r="R1319" s="66"/>
      <c r="S1319" s="37"/>
    </row>
    <row r="1320" spans="1:19">
      <c r="A1320" s="24"/>
      <c r="B1320" s="25" t="s">
        <v>166</v>
      </c>
      <c r="C1320" s="26" t="s">
        <v>8</v>
      </c>
      <c r="D1320" s="351">
        <v>7</v>
      </c>
      <c r="E1320" s="59"/>
      <c r="F1320" s="351">
        <v>7</v>
      </c>
      <c r="G1320" s="37"/>
      <c r="H1320" s="37"/>
      <c r="I1320" s="37"/>
      <c r="J1320" s="37"/>
      <c r="K1320" s="37"/>
      <c r="L1320" s="37"/>
      <c r="M1320" s="37"/>
      <c r="N1320" s="37"/>
      <c r="O1320" s="37"/>
      <c r="P1320" s="37"/>
      <c r="Q1320" s="66"/>
      <c r="R1320" s="66"/>
      <c r="S1320" s="37"/>
    </row>
    <row r="1321" spans="1:19">
      <c r="A1321" s="24"/>
      <c r="B1321" s="25" t="s">
        <v>167</v>
      </c>
      <c r="C1321" s="26" t="s">
        <v>8</v>
      </c>
      <c r="D1321" s="351">
        <v>3</v>
      </c>
      <c r="E1321" s="59"/>
      <c r="F1321" s="351">
        <v>3</v>
      </c>
      <c r="G1321" s="37"/>
      <c r="H1321" s="37"/>
      <c r="I1321" s="37"/>
      <c r="J1321" s="37"/>
      <c r="K1321" s="37"/>
      <c r="L1321" s="37"/>
      <c r="M1321" s="37"/>
      <c r="N1321" s="37"/>
      <c r="O1321" s="37"/>
      <c r="P1321" s="37"/>
      <c r="Q1321" s="66"/>
      <c r="R1321" s="66"/>
      <c r="S1321" s="37"/>
    </row>
    <row r="1322" spans="1:19">
      <c r="A1322" s="24"/>
      <c r="B1322" s="25" t="s">
        <v>365</v>
      </c>
      <c r="C1322" s="26" t="s">
        <v>8</v>
      </c>
      <c r="D1322" s="351">
        <v>1</v>
      </c>
      <c r="E1322" s="59"/>
      <c r="F1322" s="351">
        <v>1</v>
      </c>
      <c r="G1322" s="37"/>
      <c r="H1322" s="37"/>
      <c r="I1322" s="37"/>
      <c r="J1322" s="37"/>
      <c r="K1322" s="37"/>
      <c r="L1322" s="37"/>
      <c r="M1322" s="37"/>
      <c r="N1322" s="37"/>
      <c r="O1322" s="37"/>
      <c r="P1322" s="37"/>
      <c r="Q1322" s="66"/>
      <c r="R1322" s="66"/>
      <c r="S1322" s="37"/>
    </row>
    <row r="1323" spans="1:19">
      <c r="A1323" s="24"/>
      <c r="B1323" s="25" t="s">
        <v>274</v>
      </c>
      <c r="C1323" s="26" t="s">
        <v>17</v>
      </c>
      <c r="D1323" s="351">
        <v>1</v>
      </c>
      <c r="E1323" s="59"/>
      <c r="F1323" s="351">
        <v>1</v>
      </c>
      <c r="G1323" s="37"/>
      <c r="H1323" s="37"/>
      <c r="I1323" s="37"/>
      <c r="J1323" s="37"/>
      <c r="K1323" s="37"/>
      <c r="L1323" s="37"/>
      <c r="M1323" s="37"/>
      <c r="N1323" s="37"/>
      <c r="O1323" s="37"/>
      <c r="P1323" s="37"/>
      <c r="Q1323" s="66"/>
      <c r="R1323" s="66"/>
      <c r="S1323" s="37"/>
    </row>
    <row r="1324" spans="1:19">
      <c r="A1324" s="24"/>
      <c r="B1324" s="25" t="s">
        <v>182</v>
      </c>
      <c r="C1324" s="26" t="s">
        <v>8</v>
      </c>
      <c r="D1324" s="351">
        <v>1</v>
      </c>
      <c r="E1324" s="59"/>
      <c r="F1324" s="351">
        <v>1</v>
      </c>
      <c r="G1324" s="37"/>
      <c r="H1324" s="37"/>
      <c r="I1324" s="37"/>
      <c r="J1324" s="37"/>
      <c r="K1324" s="37"/>
      <c r="L1324" s="37"/>
      <c r="M1324" s="37"/>
      <c r="N1324" s="37"/>
      <c r="O1324" s="37"/>
      <c r="P1324" s="37"/>
      <c r="Q1324" s="66"/>
      <c r="R1324" s="66"/>
      <c r="S1324" s="37"/>
    </row>
    <row r="1325" spans="1:19">
      <c r="A1325" s="24"/>
      <c r="B1325" s="25" t="s">
        <v>183</v>
      </c>
      <c r="C1325" s="26" t="s">
        <v>8</v>
      </c>
      <c r="D1325" s="351">
        <v>1</v>
      </c>
      <c r="E1325" s="60"/>
      <c r="F1325" s="351">
        <v>1</v>
      </c>
      <c r="G1325" s="38"/>
      <c r="H1325" s="38"/>
      <c r="I1325" s="38"/>
      <c r="J1325" s="38"/>
      <c r="K1325" s="38"/>
      <c r="L1325" s="38"/>
      <c r="M1325" s="38"/>
      <c r="N1325" s="38"/>
      <c r="O1325" s="38"/>
      <c r="P1325" s="38"/>
      <c r="Q1325" s="65"/>
      <c r="R1325" s="65"/>
      <c r="S1325" s="38"/>
    </row>
    <row r="1326" spans="1:19">
      <c r="A1326" s="24"/>
      <c r="B1326" s="25" t="s">
        <v>275</v>
      </c>
      <c r="C1326" s="26" t="s">
        <v>8</v>
      </c>
      <c r="D1326" s="351">
        <v>1</v>
      </c>
      <c r="E1326" s="57"/>
      <c r="F1326" s="351">
        <v>1</v>
      </c>
      <c r="G1326" s="36"/>
      <c r="H1326" s="36"/>
      <c r="I1326" s="36"/>
      <c r="J1326" s="36"/>
      <c r="K1326" s="36"/>
      <c r="L1326" s="36"/>
      <c r="M1326" s="36"/>
      <c r="N1326" s="36"/>
      <c r="O1326" s="36"/>
      <c r="P1326" s="36"/>
      <c r="Q1326" s="65"/>
      <c r="R1326" s="65"/>
      <c r="S1326" s="36"/>
    </row>
    <row r="1327" spans="1:19">
      <c r="A1327" s="24"/>
      <c r="B1327" s="25" t="s">
        <v>185</v>
      </c>
      <c r="C1327" s="26" t="s">
        <v>8</v>
      </c>
      <c r="D1327" s="351">
        <v>1</v>
      </c>
      <c r="E1327" s="53"/>
      <c r="F1327" s="351">
        <v>1</v>
      </c>
      <c r="G1327" s="15"/>
      <c r="H1327" s="15"/>
      <c r="I1327" s="15"/>
      <c r="J1327" s="15"/>
      <c r="K1327" s="15"/>
      <c r="L1327" s="15"/>
      <c r="M1327" s="15"/>
      <c r="N1327" s="15"/>
      <c r="O1327" s="15"/>
      <c r="P1327" s="15"/>
      <c r="Q1327" s="66"/>
      <c r="R1327" s="66"/>
      <c r="S1327" s="15"/>
    </row>
    <row r="1328" spans="1:19">
      <c r="A1328" s="24"/>
      <c r="B1328" s="25" t="s">
        <v>186</v>
      </c>
      <c r="C1328" s="26" t="s">
        <v>8</v>
      </c>
      <c r="D1328" s="351">
        <v>2</v>
      </c>
      <c r="E1328" s="58"/>
      <c r="F1328" s="351">
        <v>2</v>
      </c>
      <c r="G1328" s="18"/>
      <c r="H1328" s="18"/>
      <c r="I1328" s="18"/>
      <c r="J1328" s="18"/>
      <c r="K1328" s="18"/>
      <c r="L1328" s="18"/>
      <c r="M1328" s="18"/>
      <c r="N1328" s="18"/>
      <c r="O1328" s="18"/>
      <c r="P1328" s="18"/>
      <c r="Q1328" s="65"/>
      <c r="R1328" s="65"/>
      <c r="S1328" s="18"/>
    </row>
    <row r="1329" spans="1:19">
      <c r="A1329" s="24"/>
      <c r="B1329" s="25" t="s">
        <v>187</v>
      </c>
      <c r="C1329" s="26" t="s">
        <v>78</v>
      </c>
      <c r="D1329" s="351">
        <v>1</v>
      </c>
      <c r="E1329" s="53"/>
      <c r="F1329" s="351">
        <v>1</v>
      </c>
      <c r="G1329" s="15"/>
      <c r="H1329" s="15"/>
      <c r="I1329" s="15"/>
      <c r="J1329" s="15"/>
      <c r="K1329" s="15"/>
      <c r="L1329" s="15"/>
      <c r="M1329" s="15"/>
      <c r="N1329" s="15"/>
      <c r="O1329" s="15"/>
      <c r="P1329" s="15"/>
      <c r="Q1329" s="66"/>
      <c r="R1329" s="66"/>
      <c r="S1329" s="15"/>
    </row>
    <row r="1330" spans="1:19">
      <c r="A1330" s="24"/>
      <c r="B1330" s="25" t="s">
        <v>173</v>
      </c>
      <c r="C1330" s="26" t="s">
        <v>8</v>
      </c>
      <c r="D1330" s="351">
        <v>1</v>
      </c>
      <c r="E1330" s="53"/>
      <c r="F1330" s="351">
        <v>1</v>
      </c>
      <c r="G1330" s="15"/>
      <c r="H1330" s="15"/>
      <c r="I1330" s="15"/>
      <c r="J1330" s="15"/>
      <c r="K1330" s="15"/>
      <c r="L1330" s="15"/>
      <c r="M1330" s="15"/>
      <c r="N1330" s="15"/>
      <c r="O1330" s="15"/>
      <c r="P1330" s="15"/>
      <c r="Q1330" s="66"/>
      <c r="R1330" s="66"/>
      <c r="S1330" s="15"/>
    </row>
    <row r="1331" spans="1:19">
      <c r="A1331" s="24"/>
      <c r="B1331" s="25" t="s">
        <v>366</v>
      </c>
      <c r="C1331" s="26" t="s">
        <v>17</v>
      </c>
      <c r="D1331" s="351">
        <v>1</v>
      </c>
      <c r="E1331" s="53"/>
      <c r="F1331" s="351">
        <v>1</v>
      </c>
      <c r="G1331" s="15"/>
      <c r="H1331" s="15"/>
      <c r="I1331" s="15"/>
      <c r="J1331" s="15"/>
      <c r="K1331" s="15"/>
      <c r="L1331" s="15"/>
      <c r="M1331" s="15"/>
      <c r="N1331" s="15"/>
      <c r="O1331" s="15"/>
      <c r="P1331" s="15"/>
      <c r="Q1331" s="66"/>
      <c r="R1331" s="66"/>
      <c r="S1331" s="15"/>
    </row>
    <row r="1332" spans="1:19">
      <c r="A1332" s="24"/>
      <c r="B1332" s="25" t="s">
        <v>217</v>
      </c>
      <c r="C1332" s="26" t="s">
        <v>17</v>
      </c>
      <c r="D1332" s="351">
        <v>1</v>
      </c>
      <c r="E1332" s="53"/>
      <c r="F1332" s="351">
        <v>1</v>
      </c>
      <c r="G1332" s="15"/>
      <c r="H1332" s="15"/>
      <c r="I1332" s="15"/>
      <c r="J1332" s="15"/>
      <c r="K1332" s="15"/>
      <c r="L1332" s="15"/>
      <c r="M1332" s="15"/>
      <c r="N1332" s="15"/>
      <c r="O1332" s="15"/>
      <c r="P1332" s="15"/>
      <c r="Q1332" s="66"/>
      <c r="R1332" s="66"/>
      <c r="S1332" s="15"/>
    </row>
    <row r="1333" spans="1:19" ht="30">
      <c r="A1333" s="24"/>
      <c r="B1333" s="25" t="s">
        <v>176</v>
      </c>
      <c r="C1333" s="26" t="s">
        <v>78</v>
      </c>
      <c r="D1333" s="351">
        <v>1</v>
      </c>
      <c r="E1333" s="59"/>
      <c r="F1333" s="351">
        <v>1</v>
      </c>
      <c r="G1333" s="37"/>
      <c r="H1333" s="37"/>
      <c r="I1333" s="37"/>
      <c r="J1333" s="37"/>
      <c r="K1333" s="37"/>
      <c r="L1333" s="37"/>
      <c r="M1333" s="37"/>
      <c r="N1333" s="37"/>
      <c r="O1333" s="37"/>
      <c r="P1333" s="37"/>
      <c r="Q1333" s="66"/>
      <c r="R1333" s="66"/>
      <c r="S1333" s="37"/>
    </row>
    <row r="1334" spans="1:19">
      <c r="A1334" s="24">
        <v>45</v>
      </c>
      <c r="B1334" s="25" t="s">
        <v>367</v>
      </c>
      <c r="C1334" s="26" t="s">
        <v>7</v>
      </c>
      <c r="D1334" s="351">
        <v>1</v>
      </c>
      <c r="E1334" s="59"/>
      <c r="F1334" s="351">
        <v>1</v>
      </c>
      <c r="G1334" s="368"/>
      <c r="H1334" s="368"/>
      <c r="I1334" s="369" t="s">
        <v>2369</v>
      </c>
      <c r="J1334" s="368"/>
      <c r="K1334" s="311">
        <v>1450755</v>
      </c>
      <c r="L1334" s="311">
        <v>0</v>
      </c>
      <c r="M1334" s="311">
        <v>389304.7089384615</v>
      </c>
      <c r="N1334" s="311">
        <v>175301.74415384617</v>
      </c>
      <c r="O1334" s="311">
        <v>122711.22090769232</v>
      </c>
      <c r="P1334" s="68">
        <f>SUM(K1334:O1334)</f>
        <v>2138072.6740000001</v>
      </c>
      <c r="Q1334" s="68">
        <f>D1334*P1334</f>
        <v>2138072.6740000001</v>
      </c>
      <c r="R1334" s="127">
        <f>F1334*P1334</f>
        <v>2138072.6740000001</v>
      </c>
      <c r="S1334" s="37"/>
    </row>
    <row r="1335" spans="1:19" ht="30">
      <c r="A1335" s="24"/>
      <c r="B1335" s="25" t="s">
        <v>368</v>
      </c>
      <c r="C1335" s="26" t="s">
        <v>8</v>
      </c>
      <c r="D1335" s="351">
        <v>1</v>
      </c>
      <c r="E1335" s="61"/>
      <c r="F1335" s="351">
        <v>1</v>
      </c>
      <c r="G1335" s="369" t="s">
        <v>2370</v>
      </c>
      <c r="H1335" s="369">
        <v>135151</v>
      </c>
      <c r="I1335" s="369" t="s">
        <v>2369</v>
      </c>
      <c r="J1335" s="369" t="s">
        <v>2371</v>
      </c>
      <c r="K1335" s="311"/>
      <c r="L1335" s="311"/>
      <c r="M1335" s="311"/>
      <c r="N1335" s="311"/>
      <c r="O1335" s="311"/>
      <c r="P1335" s="68"/>
      <c r="Q1335" s="68"/>
      <c r="R1335" s="127"/>
      <c r="S1335" s="39"/>
    </row>
    <row r="1336" spans="1:19">
      <c r="A1336" s="24"/>
      <c r="B1336" s="25" t="s">
        <v>161</v>
      </c>
      <c r="C1336" s="26"/>
      <c r="D1336" s="351"/>
      <c r="E1336" s="57"/>
      <c r="F1336" s="351"/>
      <c r="G1336" s="18"/>
      <c r="H1336" s="18"/>
      <c r="I1336" s="18"/>
      <c r="J1336" s="18"/>
      <c r="K1336" s="36"/>
      <c r="L1336" s="36"/>
      <c r="M1336" s="36"/>
      <c r="N1336" s="36"/>
      <c r="O1336" s="36"/>
      <c r="P1336" s="36"/>
      <c r="Q1336" s="65"/>
      <c r="R1336" s="65"/>
      <c r="S1336" s="36"/>
    </row>
    <row r="1337" spans="1:19">
      <c r="A1337" s="24"/>
      <c r="B1337" s="25" t="s">
        <v>369</v>
      </c>
      <c r="C1337" s="26" t="s">
        <v>8</v>
      </c>
      <c r="D1337" s="351">
        <v>1</v>
      </c>
      <c r="E1337" s="53"/>
      <c r="F1337" s="351">
        <v>1</v>
      </c>
      <c r="G1337" s="369" t="s">
        <v>2372</v>
      </c>
      <c r="H1337" s="369" t="s">
        <v>2373</v>
      </c>
      <c r="I1337" s="369" t="s">
        <v>2369</v>
      </c>
      <c r="J1337" s="369" t="s">
        <v>2374</v>
      </c>
      <c r="K1337" s="311"/>
      <c r="L1337" s="311"/>
      <c r="M1337" s="311"/>
      <c r="N1337" s="311"/>
      <c r="O1337" s="311"/>
      <c r="P1337" s="68"/>
      <c r="Q1337" s="68"/>
      <c r="R1337" s="127"/>
      <c r="S1337" s="15"/>
    </row>
    <row r="1338" spans="1:19">
      <c r="A1338" s="24"/>
      <c r="B1338" s="25" t="s">
        <v>164</v>
      </c>
      <c r="C1338" s="26"/>
      <c r="D1338" s="351"/>
      <c r="E1338" s="58"/>
      <c r="F1338" s="351"/>
      <c r="G1338" s="15"/>
      <c r="H1338" s="15"/>
      <c r="I1338" s="15"/>
      <c r="J1338" s="15"/>
      <c r="K1338" s="18"/>
      <c r="L1338" s="18"/>
      <c r="M1338" s="18"/>
      <c r="N1338" s="18"/>
      <c r="O1338" s="18"/>
      <c r="P1338" s="18"/>
      <c r="Q1338" s="65"/>
      <c r="R1338" s="65"/>
      <c r="S1338" s="18"/>
    </row>
    <row r="1339" spans="1:19" ht="30">
      <c r="A1339" s="24"/>
      <c r="B1339" s="25" t="s">
        <v>370</v>
      </c>
      <c r="C1339" s="26" t="s">
        <v>8</v>
      </c>
      <c r="D1339" s="351">
        <v>1</v>
      </c>
      <c r="E1339" s="53"/>
      <c r="F1339" s="351">
        <v>1</v>
      </c>
      <c r="G1339" s="369" t="s">
        <v>2375</v>
      </c>
      <c r="H1339" s="369" t="s">
        <v>2376</v>
      </c>
      <c r="I1339" s="369" t="s">
        <v>2369</v>
      </c>
      <c r="J1339" s="369" t="s">
        <v>2374</v>
      </c>
      <c r="K1339" s="311"/>
      <c r="L1339" s="311"/>
      <c r="M1339" s="311"/>
      <c r="N1339" s="311"/>
      <c r="O1339" s="311"/>
      <c r="P1339" s="68"/>
      <c r="Q1339" s="68"/>
      <c r="R1339" s="127"/>
      <c r="S1339" s="15"/>
    </row>
    <row r="1340" spans="1:19">
      <c r="A1340" s="24"/>
      <c r="B1340" s="25" t="s">
        <v>166</v>
      </c>
      <c r="C1340" s="26" t="s">
        <v>8</v>
      </c>
      <c r="D1340" s="351">
        <v>6</v>
      </c>
      <c r="E1340" s="53"/>
      <c r="F1340" s="351">
        <v>6</v>
      </c>
      <c r="G1340" s="369" t="s">
        <v>2377</v>
      </c>
      <c r="H1340" s="369" t="s">
        <v>2378</v>
      </c>
      <c r="I1340" s="369" t="s">
        <v>2369</v>
      </c>
      <c r="J1340" s="369" t="s">
        <v>2374</v>
      </c>
      <c r="K1340" s="311"/>
      <c r="L1340" s="311"/>
      <c r="M1340" s="311"/>
      <c r="N1340" s="311"/>
      <c r="O1340" s="311"/>
      <c r="P1340" s="68"/>
      <c r="Q1340" s="68"/>
      <c r="R1340" s="127"/>
      <c r="S1340" s="15"/>
    </row>
    <row r="1341" spans="1:19">
      <c r="A1341" s="24"/>
      <c r="B1341" s="25" t="s">
        <v>167</v>
      </c>
      <c r="C1341" s="26" t="s">
        <v>8</v>
      </c>
      <c r="D1341" s="351">
        <v>2</v>
      </c>
      <c r="E1341" s="53"/>
      <c r="F1341" s="351">
        <v>2</v>
      </c>
      <c r="G1341" s="369" t="s">
        <v>2379</v>
      </c>
      <c r="H1341" s="369" t="s">
        <v>2380</v>
      </c>
      <c r="I1341" s="369" t="s">
        <v>2369</v>
      </c>
      <c r="J1341" s="369" t="s">
        <v>2374</v>
      </c>
      <c r="K1341" s="311"/>
      <c r="L1341" s="311"/>
      <c r="M1341" s="311"/>
      <c r="N1341" s="311"/>
      <c r="O1341" s="311"/>
      <c r="P1341" s="68"/>
      <c r="Q1341" s="68"/>
      <c r="R1341" s="127"/>
      <c r="S1341" s="15"/>
    </row>
    <row r="1342" spans="1:19">
      <c r="A1342" s="24"/>
      <c r="B1342" s="25" t="s">
        <v>371</v>
      </c>
      <c r="C1342" s="26" t="s">
        <v>17</v>
      </c>
      <c r="D1342" s="351">
        <v>1</v>
      </c>
      <c r="E1342" s="53"/>
      <c r="F1342" s="351">
        <v>1</v>
      </c>
      <c r="G1342" s="15"/>
      <c r="H1342" s="15"/>
      <c r="I1342" s="15"/>
      <c r="J1342" s="369" t="s">
        <v>2381</v>
      </c>
      <c r="K1342" s="311"/>
      <c r="L1342" s="311"/>
      <c r="M1342" s="311"/>
      <c r="N1342" s="311"/>
      <c r="O1342" s="311"/>
      <c r="P1342" s="68"/>
      <c r="Q1342" s="68"/>
      <c r="R1342" s="127"/>
      <c r="S1342" s="15"/>
    </row>
    <row r="1343" spans="1:19" ht="60">
      <c r="A1343" s="24">
        <v>46</v>
      </c>
      <c r="B1343" s="25" t="s">
        <v>372</v>
      </c>
      <c r="C1343" s="26" t="s">
        <v>7</v>
      </c>
      <c r="D1343" s="351">
        <v>1</v>
      </c>
      <c r="E1343" s="59"/>
      <c r="F1343" s="351">
        <v>1</v>
      </c>
      <c r="G1343" s="26" t="s">
        <v>2326</v>
      </c>
      <c r="H1343" s="26"/>
      <c r="I1343" s="26" t="s">
        <v>2327</v>
      </c>
      <c r="J1343" s="26" t="s">
        <v>2328</v>
      </c>
      <c r="K1343" s="311">
        <v>34118065.079999998</v>
      </c>
      <c r="L1343" s="311">
        <v>0</v>
      </c>
      <c r="M1343" s="311">
        <v>1808000.0000000007</v>
      </c>
      <c r="N1343" s="311">
        <v>3606269.2</v>
      </c>
      <c r="O1343" s="311">
        <v>2524388.4400000004</v>
      </c>
      <c r="P1343" s="68">
        <f>SUM(K1343:O1343)</f>
        <v>42056722.719999999</v>
      </c>
      <c r="Q1343" s="68">
        <f>D1343*P1343</f>
        <v>42056722.719999999</v>
      </c>
      <c r="R1343" s="127">
        <f>F1343*P1343</f>
        <v>42056722.719999999</v>
      </c>
      <c r="S1343" s="37"/>
    </row>
    <row r="1344" spans="1:19" ht="30">
      <c r="A1344" s="24"/>
      <c r="B1344" s="25" t="s">
        <v>373</v>
      </c>
      <c r="C1344" s="26" t="s">
        <v>8</v>
      </c>
      <c r="D1344" s="351">
        <v>1</v>
      </c>
      <c r="E1344" s="61"/>
      <c r="F1344" s="351">
        <v>1</v>
      </c>
      <c r="G1344" s="39"/>
      <c r="H1344" s="39"/>
      <c r="I1344" s="39"/>
      <c r="J1344" s="39"/>
      <c r="K1344" s="39"/>
      <c r="L1344" s="39"/>
      <c r="M1344" s="39"/>
      <c r="N1344" s="39"/>
      <c r="O1344" s="39"/>
      <c r="P1344" s="39"/>
      <c r="Q1344" s="65"/>
      <c r="R1344" s="65"/>
      <c r="S1344" s="39"/>
    </row>
    <row r="1345" spans="1:19">
      <c r="A1345" s="24"/>
      <c r="B1345" s="25" t="s">
        <v>161</v>
      </c>
      <c r="C1345" s="26"/>
      <c r="D1345" s="351"/>
      <c r="E1345" s="57"/>
      <c r="F1345" s="351"/>
      <c r="G1345" s="36"/>
      <c r="H1345" s="36"/>
      <c r="I1345" s="36"/>
      <c r="J1345" s="36"/>
      <c r="K1345" s="36"/>
      <c r="L1345" s="36"/>
      <c r="M1345" s="36"/>
      <c r="N1345" s="36"/>
      <c r="O1345" s="36"/>
      <c r="P1345" s="36"/>
      <c r="Q1345" s="65"/>
      <c r="R1345" s="65"/>
      <c r="S1345" s="36"/>
    </row>
    <row r="1346" spans="1:19">
      <c r="A1346" s="24"/>
      <c r="B1346" s="25" t="s">
        <v>284</v>
      </c>
      <c r="C1346" s="26" t="s">
        <v>8</v>
      </c>
      <c r="D1346" s="351">
        <v>1</v>
      </c>
      <c r="E1346" s="53"/>
      <c r="F1346" s="351">
        <v>1</v>
      </c>
      <c r="G1346" s="15"/>
      <c r="H1346" s="15"/>
      <c r="I1346" s="15"/>
      <c r="J1346" s="15"/>
      <c r="K1346" s="15"/>
      <c r="L1346" s="15"/>
      <c r="M1346" s="15"/>
      <c r="N1346" s="15"/>
      <c r="O1346" s="15"/>
      <c r="P1346" s="15"/>
      <c r="Q1346" s="66"/>
      <c r="R1346" s="66"/>
      <c r="S1346" s="15"/>
    </row>
    <row r="1347" spans="1:19">
      <c r="A1347" s="24"/>
      <c r="B1347" s="25" t="s">
        <v>363</v>
      </c>
      <c r="C1347" s="26" t="s">
        <v>20</v>
      </c>
      <c r="D1347" s="351">
        <v>3</v>
      </c>
      <c r="E1347" s="58"/>
      <c r="F1347" s="351">
        <v>3</v>
      </c>
      <c r="G1347" s="18"/>
      <c r="H1347" s="18"/>
      <c r="I1347" s="18"/>
      <c r="J1347" s="18"/>
      <c r="K1347" s="18"/>
      <c r="L1347" s="18"/>
      <c r="M1347" s="18"/>
      <c r="N1347" s="18"/>
      <c r="O1347" s="18"/>
      <c r="P1347" s="18"/>
      <c r="Q1347" s="65"/>
      <c r="R1347" s="65"/>
      <c r="S1347" s="18"/>
    </row>
    <row r="1348" spans="1:19">
      <c r="A1348" s="24"/>
      <c r="B1348" s="25" t="s">
        <v>21</v>
      </c>
      <c r="C1348" s="26" t="s">
        <v>8</v>
      </c>
      <c r="D1348" s="351">
        <v>1</v>
      </c>
      <c r="E1348" s="53"/>
      <c r="F1348" s="351">
        <v>1</v>
      </c>
      <c r="G1348" s="15"/>
      <c r="H1348" s="15"/>
      <c r="I1348" s="15"/>
      <c r="J1348" s="15"/>
      <c r="K1348" s="15"/>
      <c r="L1348" s="15"/>
      <c r="M1348" s="15"/>
      <c r="N1348" s="15"/>
      <c r="O1348" s="15"/>
      <c r="P1348" s="15"/>
      <c r="Q1348" s="66"/>
      <c r="R1348" s="66"/>
      <c r="S1348" s="15"/>
    </row>
    <row r="1349" spans="1:19">
      <c r="A1349" s="24"/>
      <c r="B1349" s="25" t="s">
        <v>22</v>
      </c>
      <c r="C1349" s="26" t="s">
        <v>8</v>
      </c>
      <c r="D1349" s="351">
        <v>1</v>
      </c>
      <c r="E1349" s="53"/>
      <c r="F1349" s="351">
        <v>1</v>
      </c>
      <c r="G1349" s="15"/>
      <c r="H1349" s="15"/>
      <c r="I1349" s="15"/>
      <c r="J1349" s="15"/>
      <c r="K1349" s="15"/>
      <c r="L1349" s="15"/>
      <c r="M1349" s="15"/>
      <c r="N1349" s="15"/>
      <c r="O1349" s="15"/>
      <c r="P1349" s="15"/>
      <c r="Q1349" s="66"/>
      <c r="R1349" s="66"/>
      <c r="S1349" s="15"/>
    </row>
    <row r="1350" spans="1:19">
      <c r="A1350" s="24"/>
      <c r="B1350" s="25" t="s">
        <v>364</v>
      </c>
      <c r="C1350" s="26" t="s">
        <v>8</v>
      </c>
      <c r="D1350" s="351">
        <v>3</v>
      </c>
      <c r="E1350" s="53"/>
      <c r="F1350" s="351">
        <v>3</v>
      </c>
      <c r="G1350" s="15"/>
      <c r="H1350" s="15"/>
      <c r="I1350" s="15"/>
      <c r="J1350" s="15"/>
      <c r="K1350" s="15"/>
      <c r="L1350" s="15"/>
      <c r="M1350" s="15"/>
      <c r="N1350" s="15"/>
      <c r="O1350" s="15"/>
      <c r="P1350" s="15"/>
      <c r="Q1350" s="66"/>
      <c r="R1350" s="66"/>
      <c r="S1350" s="15"/>
    </row>
    <row r="1351" spans="1:19">
      <c r="A1351" s="24"/>
      <c r="B1351" s="25" t="s">
        <v>24</v>
      </c>
      <c r="C1351" s="26" t="s">
        <v>8</v>
      </c>
      <c r="D1351" s="351">
        <v>3</v>
      </c>
      <c r="E1351" s="312"/>
      <c r="F1351" s="351">
        <v>3</v>
      </c>
      <c r="G1351" s="26"/>
      <c r="H1351" s="26"/>
      <c r="I1351" s="26"/>
      <c r="J1351" s="26"/>
      <c r="K1351" s="26"/>
      <c r="L1351" s="26"/>
      <c r="M1351" s="26"/>
      <c r="N1351" s="26"/>
      <c r="O1351" s="26"/>
      <c r="P1351" s="26"/>
      <c r="Q1351" s="66"/>
      <c r="R1351" s="66"/>
      <c r="S1351" s="26"/>
    </row>
    <row r="1352" spans="1:19">
      <c r="A1352" s="24"/>
      <c r="B1352" s="25" t="s">
        <v>163</v>
      </c>
      <c r="C1352" s="26" t="s">
        <v>8</v>
      </c>
      <c r="D1352" s="351">
        <v>3</v>
      </c>
      <c r="E1352" s="62"/>
      <c r="F1352" s="351">
        <v>3</v>
      </c>
      <c r="G1352" s="40"/>
      <c r="H1352" s="40"/>
      <c r="I1352" s="40"/>
      <c r="J1352" s="40"/>
      <c r="K1352" s="40"/>
      <c r="L1352" s="40"/>
      <c r="M1352" s="40"/>
      <c r="N1352" s="40"/>
      <c r="O1352" s="40"/>
      <c r="P1352" s="40"/>
      <c r="Q1352" s="66"/>
      <c r="R1352" s="66"/>
      <c r="S1352" s="40"/>
    </row>
    <row r="1353" spans="1:19">
      <c r="A1353" s="24"/>
      <c r="B1353" s="25" t="s">
        <v>164</v>
      </c>
      <c r="C1353" s="26"/>
      <c r="D1353" s="351"/>
      <c r="E1353" s="62"/>
      <c r="F1353" s="351"/>
      <c r="G1353" s="40"/>
      <c r="H1353" s="40"/>
      <c r="I1353" s="40"/>
      <c r="J1353" s="40"/>
      <c r="K1353" s="40"/>
      <c r="L1353" s="40"/>
      <c r="M1353" s="40"/>
      <c r="N1353" s="40"/>
      <c r="O1353" s="40"/>
      <c r="P1353" s="40"/>
      <c r="Q1353" s="66"/>
      <c r="R1353" s="66"/>
      <c r="S1353" s="40"/>
    </row>
    <row r="1354" spans="1:19">
      <c r="A1354" s="24"/>
      <c r="B1354" s="25" t="s">
        <v>195</v>
      </c>
      <c r="C1354" s="26" t="s">
        <v>8</v>
      </c>
      <c r="D1354" s="351">
        <v>4</v>
      </c>
      <c r="E1354" s="53"/>
      <c r="F1354" s="351">
        <v>4</v>
      </c>
      <c r="G1354" s="15"/>
      <c r="H1354" s="15"/>
      <c r="I1354" s="15"/>
      <c r="J1354" s="15"/>
      <c r="K1354" s="15"/>
      <c r="L1354" s="15"/>
      <c r="M1354" s="15"/>
      <c r="N1354" s="15"/>
      <c r="O1354" s="15"/>
      <c r="P1354" s="15"/>
      <c r="Q1354" s="66"/>
      <c r="R1354" s="66"/>
      <c r="S1354" s="15"/>
    </row>
    <row r="1355" spans="1:19">
      <c r="A1355" s="24"/>
      <c r="B1355" s="25" t="s">
        <v>252</v>
      </c>
      <c r="C1355" s="26" t="s">
        <v>8</v>
      </c>
      <c r="D1355" s="351">
        <v>1</v>
      </c>
      <c r="E1355" s="59"/>
      <c r="F1355" s="351">
        <v>1</v>
      </c>
      <c r="G1355" s="37"/>
      <c r="H1355" s="37"/>
      <c r="I1355" s="37"/>
      <c r="J1355" s="37"/>
      <c r="K1355" s="37"/>
      <c r="L1355" s="37"/>
      <c r="M1355" s="37"/>
      <c r="N1355" s="37"/>
      <c r="O1355" s="37"/>
      <c r="P1355" s="37"/>
      <c r="Q1355" s="66"/>
      <c r="R1355" s="66"/>
      <c r="S1355" s="37"/>
    </row>
    <row r="1356" spans="1:19">
      <c r="A1356" s="24"/>
      <c r="B1356" s="25" t="s">
        <v>260</v>
      </c>
      <c r="C1356" s="26" t="s">
        <v>8</v>
      </c>
      <c r="D1356" s="351">
        <v>1</v>
      </c>
      <c r="E1356" s="59"/>
      <c r="F1356" s="351">
        <v>1</v>
      </c>
      <c r="G1356" s="37"/>
      <c r="H1356" s="37"/>
      <c r="I1356" s="37"/>
      <c r="J1356" s="37"/>
      <c r="K1356" s="37"/>
      <c r="L1356" s="37"/>
      <c r="M1356" s="37"/>
      <c r="N1356" s="37"/>
      <c r="O1356" s="37"/>
      <c r="P1356" s="37"/>
      <c r="Q1356" s="66"/>
      <c r="R1356" s="66"/>
      <c r="S1356" s="37"/>
    </row>
    <row r="1357" spans="1:19">
      <c r="A1357" s="24"/>
      <c r="B1357" s="25" t="s">
        <v>168</v>
      </c>
      <c r="C1357" s="26" t="s">
        <v>8</v>
      </c>
      <c r="D1357" s="351">
        <v>1</v>
      </c>
      <c r="E1357" s="59"/>
      <c r="F1357" s="351">
        <v>1</v>
      </c>
      <c r="G1357" s="37"/>
      <c r="H1357" s="37"/>
      <c r="I1357" s="37"/>
      <c r="J1357" s="37"/>
      <c r="K1357" s="37"/>
      <c r="L1357" s="37"/>
      <c r="M1357" s="37"/>
      <c r="N1357" s="37"/>
      <c r="O1357" s="37"/>
      <c r="P1357" s="37"/>
      <c r="Q1357" s="66"/>
      <c r="R1357" s="66"/>
      <c r="S1357" s="37"/>
    </row>
    <row r="1358" spans="1:19">
      <c r="A1358" s="24"/>
      <c r="B1358" s="25" t="s">
        <v>196</v>
      </c>
      <c r="C1358" s="26" t="s">
        <v>17</v>
      </c>
      <c r="D1358" s="351">
        <v>4</v>
      </c>
      <c r="E1358" s="59"/>
      <c r="F1358" s="351">
        <v>4</v>
      </c>
      <c r="G1358" s="37"/>
      <c r="H1358" s="37"/>
      <c r="I1358" s="37"/>
      <c r="J1358" s="37"/>
      <c r="K1358" s="37"/>
      <c r="L1358" s="37"/>
      <c r="M1358" s="37"/>
      <c r="N1358" s="37"/>
      <c r="O1358" s="37"/>
      <c r="P1358" s="37"/>
      <c r="Q1358" s="66"/>
      <c r="R1358" s="66"/>
      <c r="S1358" s="37"/>
    </row>
    <row r="1359" spans="1:19">
      <c r="A1359" s="24"/>
      <c r="B1359" s="25" t="s">
        <v>197</v>
      </c>
      <c r="C1359" s="26" t="s">
        <v>8</v>
      </c>
      <c r="D1359" s="351">
        <v>4</v>
      </c>
      <c r="E1359" s="59"/>
      <c r="F1359" s="351">
        <v>4</v>
      </c>
      <c r="G1359" s="37"/>
      <c r="H1359" s="37"/>
      <c r="I1359" s="37"/>
      <c r="J1359" s="37"/>
      <c r="K1359" s="37"/>
      <c r="L1359" s="37"/>
      <c r="M1359" s="37"/>
      <c r="N1359" s="37"/>
      <c r="O1359" s="37"/>
      <c r="P1359" s="37"/>
      <c r="Q1359" s="66"/>
      <c r="R1359" s="66"/>
      <c r="S1359" s="37"/>
    </row>
    <row r="1360" spans="1:19">
      <c r="A1360" s="24"/>
      <c r="B1360" s="25" t="s">
        <v>183</v>
      </c>
      <c r="C1360" s="26" t="s">
        <v>8</v>
      </c>
      <c r="D1360" s="351">
        <v>4</v>
      </c>
      <c r="E1360" s="59"/>
      <c r="F1360" s="351">
        <v>4</v>
      </c>
      <c r="G1360" s="37"/>
      <c r="H1360" s="37"/>
      <c r="I1360" s="37"/>
      <c r="J1360" s="37"/>
      <c r="K1360" s="37"/>
      <c r="L1360" s="37"/>
      <c r="M1360" s="37"/>
      <c r="N1360" s="37"/>
      <c r="O1360" s="37"/>
      <c r="P1360" s="37"/>
      <c r="Q1360" s="66"/>
      <c r="R1360" s="66"/>
      <c r="S1360" s="37"/>
    </row>
    <row r="1361" spans="1:19">
      <c r="A1361" s="24"/>
      <c r="B1361" s="25" t="s">
        <v>198</v>
      </c>
      <c r="C1361" s="26" t="s">
        <v>8</v>
      </c>
      <c r="D1361" s="351">
        <v>4</v>
      </c>
      <c r="E1361" s="59"/>
      <c r="F1361" s="351">
        <v>4</v>
      </c>
      <c r="G1361" s="37"/>
      <c r="H1361" s="37"/>
      <c r="I1361" s="37"/>
      <c r="J1361" s="37"/>
      <c r="K1361" s="37"/>
      <c r="L1361" s="37"/>
      <c r="M1361" s="37"/>
      <c r="N1361" s="37"/>
      <c r="O1361" s="37"/>
      <c r="P1361" s="37"/>
      <c r="Q1361" s="66"/>
      <c r="R1361" s="66"/>
      <c r="S1361" s="37"/>
    </row>
    <row r="1362" spans="1:19">
      <c r="A1362" s="24"/>
      <c r="B1362" s="25" t="s">
        <v>185</v>
      </c>
      <c r="C1362" s="26" t="s">
        <v>8</v>
      </c>
      <c r="D1362" s="351">
        <v>4</v>
      </c>
      <c r="E1362" s="59"/>
      <c r="F1362" s="351">
        <v>4</v>
      </c>
      <c r="G1362" s="37"/>
      <c r="H1362" s="37"/>
      <c r="I1362" s="37"/>
      <c r="J1362" s="37"/>
      <c r="K1362" s="37"/>
      <c r="L1362" s="37"/>
      <c r="M1362" s="37"/>
      <c r="N1362" s="37"/>
      <c r="O1362" s="37"/>
      <c r="P1362" s="37"/>
      <c r="Q1362" s="66"/>
      <c r="R1362" s="66"/>
      <c r="S1362" s="37"/>
    </row>
    <row r="1363" spans="1:19">
      <c r="A1363" s="24"/>
      <c r="B1363" s="25" t="s">
        <v>186</v>
      </c>
      <c r="C1363" s="26" t="s">
        <v>8</v>
      </c>
      <c r="D1363" s="351">
        <v>8</v>
      </c>
      <c r="E1363" s="59"/>
      <c r="F1363" s="351">
        <v>8</v>
      </c>
      <c r="G1363" s="37"/>
      <c r="H1363" s="37"/>
      <c r="I1363" s="37"/>
      <c r="J1363" s="37"/>
      <c r="K1363" s="37"/>
      <c r="L1363" s="37"/>
      <c r="M1363" s="37"/>
      <c r="N1363" s="37"/>
      <c r="O1363" s="37"/>
      <c r="P1363" s="37"/>
      <c r="Q1363" s="66"/>
      <c r="R1363" s="66"/>
      <c r="S1363" s="37"/>
    </row>
    <row r="1364" spans="1:19">
      <c r="A1364" s="24"/>
      <c r="B1364" s="25" t="s">
        <v>187</v>
      </c>
      <c r="C1364" s="26" t="s">
        <v>78</v>
      </c>
      <c r="D1364" s="351">
        <v>1</v>
      </c>
      <c r="E1364" s="59"/>
      <c r="F1364" s="351">
        <v>1</v>
      </c>
      <c r="G1364" s="37"/>
      <c r="H1364" s="37"/>
      <c r="I1364" s="37"/>
      <c r="J1364" s="37"/>
      <c r="K1364" s="37"/>
      <c r="L1364" s="37"/>
      <c r="M1364" s="37"/>
      <c r="N1364" s="37"/>
      <c r="O1364" s="37"/>
      <c r="P1364" s="37"/>
      <c r="Q1364" s="66"/>
      <c r="R1364" s="66"/>
      <c r="S1364" s="37"/>
    </row>
    <row r="1365" spans="1:19">
      <c r="A1365" s="24"/>
      <c r="B1365" s="25" t="s">
        <v>374</v>
      </c>
      <c r="C1365" s="26" t="s">
        <v>17</v>
      </c>
      <c r="D1365" s="351">
        <v>1</v>
      </c>
      <c r="E1365" s="59"/>
      <c r="F1365" s="351">
        <v>1</v>
      </c>
      <c r="G1365" s="37"/>
      <c r="H1365" s="37"/>
      <c r="I1365" s="37"/>
      <c r="J1365" s="37"/>
      <c r="K1365" s="37"/>
      <c r="L1365" s="37"/>
      <c r="M1365" s="37"/>
      <c r="N1365" s="37"/>
      <c r="O1365" s="37"/>
      <c r="P1365" s="37"/>
      <c r="Q1365" s="66"/>
      <c r="R1365" s="66"/>
      <c r="S1365" s="37"/>
    </row>
    <row r="1366" spans="1:19">
      <c r="A1366" s="24"/>
      <c r="B1366" s="25" t="s">
        <v>206</v>
      </c>
      <c r="C1366" s="26" t="s">
        <v>8</v>
      </c>
      <c r="D1366" s="351">
        <v>1</v>
      </c>
      <c r="E1366" s="59"/>
      <c r="F1366" s="351">
        <v>1</v>
      </c>
      <c r="G1366" s="37"/>
      <c r="H1366" s="37"/>
      <c r="I1366" s="37"/>
      <c r="J1366" s="37"/>
      <c r="K1366" s="37"/>
      <c r="L1366" s="37"/>
      <c r="M1366" s="37"/>
      <c r="N1366" s="37"/>
      <c r="O1366" s="37"/>
      <c r="P1366" s="37"/>
      <c r="Q1366" s="66"/>
      <c r="R1366" s="66"/>
      <c r="S1366" s="37"/>
    </row>
    <row r="1367" spans="1:19">
      <c r="A1367" s="24"/>
      <c r="B1367" s="25" t="s">
        <v>183</v>
      </c>
      <c r="C1367" s="26" t="s">
        <v>8</v>
      </c>
      <c r="D1367" s="351">
        <v>1</v>
      </c>
      <c r="E1367" s="61"/>
      <c r="F1367" s="351">
        <v>1</v>
      </c>
      <c r="G1367" s="39"/>
      <c r="H1367" s="39"/>
      <c r="I1367" s="39"/>
      <c r="J1367" s="39"/>
      <c r="K1367" s="39"/>
      <c r="L1367" s="39"/>
      <c r="M1367" s="39"/>
      <c r="N1367" s="39"/>
      <c r="O1367" s="39"/>
      <c r="P1367" s="39"/>
      <c r="Q1367" s="65"/>
      <c r="R1367" s="65"/>
      <c r="S1367" s="39"/>
    </row>
    <row r="1368" spans="1:19">
      <c r="A1368" s="24"/>
      <c r="B1368" s="25" t="s">
        <v>257</v>
      </c>
      <c r="C1368" s="26" t="s">
        <v>8</v>
      </c>
      <c r="D1368" s="351">
        <v>1</v>
      </c>
      <c r="E1368" s="57"/>
      <c r="F1368" s="351">
        <v>1</v>
      </c>
      <c r="G1368" s="36"/>
      <c r="H1368" s="36"/>
      <c r="I1368" s="36"/>
      <c r="J1368" s="36"/>
      <c r="K1368" s="36"/>
      <c r="L1368" s="36"/>
      <c r="M1368" s="36"/>
      <c r="N1368" s="36"/>
      <c r="O1368" s="36"/>
      <c r="P1368" s="36"/>
      <c r="Q1368" s="65"/>
      <c r="R1368" s="65"/>
      <c r="S1368" s="36"/>
    </row>
    <row r="1369" spans="1:19">
      <c r="A1369" s="24"/>
      <c r="B1369" s="25" t="s">
        <v>185</v>
      </c>
      <c r="C1369" s="26" t="s">
        <v>8</v>
      </c>
      <c r="D1369" s="351">
        <v>1</v>
      </c>
      <c r="E1369" s="53"/>
      <c r="F1369" s="351">
        <v>1</v>
      </c>
      <c r="G1369" s="15"/>
      <c r="H1369" s="15"/>
      <c r="I1369" s="15"/>
      <c r="J1369" s="15"/>
      <c r="K1369" s="15"/>
      <c r="L1369" s="15"/>
      <c r="M1369" s="15"/>
      <c r="N1369" s="15"/>
      <c r="O1369" s="15"/>
      <c r="P1369" s="15"/>
      <c r="Q1369" s="66"/>
      <c r="R1369" s="66"/>
      <c r="S1369" s="15"/>
    </row>
    <row r="1370" spans="1:19">
      <c r="A1370" s="24"/>
      <c r="B1370" s="25" t="s">
        <v>186</v>
      </c>
      <c r="C1370" s="26" t="s">
        <v>8</v>
      </c>
      <c r="D1370" s="351">
        <v>2</v>
      </c>
      <c r="E1370" s="58"/>
      <c r="F1370" s="351">
        <v>2</v>
      </c>
      <c r="G1370" s="18"/>
      <c r="H1370" s="18"/>
      <c r="I1370" s="18"/>
      <c r="J1370" s="18"/>
      <c r="K1370" s="18"/>
      <c r="L1370" s="18"/>
      <c r="M1370" s="18"/>
      <c r="N1370" s="18"/>
      <c r="O1370" s="18"/>
      <c r="P1370" s="18"/>
      <c r="Q1370" s="65"/>
      <c r="R1370" s="65"/>
      <c r="S1370" s="18"/>
    </row>
    <row r="1371" spans="1:19">
      <c r="A1371" s="24"/>
      <c r="B1371" s="25" t="s">
        <v>187</v>
      </c>
      <c r="C1371" s="26" t="s">
        <v>78</v>
      </c>
      <c r="D1371" s="351">
        <v>1</v>
      </c>
      <c r="E1371" s="53"/>
      <c r="F1371" s="351">
        <v>1</v>
      </c>
      <c r="G1371" s="15"/>
      <c r="H1371" s="15"/>
      <c r="I1371" s="15"/>
      <c r="J1371" s="15"/>
      <c r="K1371" s="15"/>
      <c r="L1371" s="15"/>
      <c r="M1371" s="15"/>
      <c r="N1371" s="15"/>
      <c r="O1371" s="15"/>
      <c r="P1371" s="15"/>
      <c r="Q1371" s="66"/>
      <c r="R1371" s="66"/>
      <c r="S1371" s="15"/>
    </row>
    <row r="1372" spans="1:19">
      <c r="A1372" s="24"/>
      <c r="B1372" s="25" t="s">
        <v>375</v>
      </c>
      <c r="C1372" s="26" t="s">
        <v>17</v>
      </c>
      <c r="D1372" s="351">
        <v>1</v>
      </c>
      <c r="E1372" s="53"/>
      <c r="F1372" s="351">
        <v>1</v>
      </c>
      <c r="G1372" s="15"/>
      <c r="H1372" s="15"/>
      <c r="I1372" s="15"/>
      <c r="J1372" s="15"/>
      <c r="K1372" s="15"/>
      <c r="L1372" s="15"/>
      <c r="M1372" s="15"/>
      <c r="N1372" s="15"/>
      <c r="O1372" s="15"/>
      <c r="P1372" s="15"/>
      <c r="Q1372" s="66"/>
      <c r="R1372" s="66"/>
      <c r="S1372" s="15"/>
    </row>
    <row r="1373" spans="1:19">
      <c r="A1373" s="24"/>
      <c r="B1373" s="25" t="s">
        <v>182</v>
      </c>
      <c r="C1373" s="26" t="s">
        <v>8</v>
      </c>
      <c r="D1373" s="351">
        <v>1</v>
      </c>
      <c r="E1373" s="53"/>
      <c r="F1373" s="351">
        <v>1</v>
      </c>
      <c r="G1373" s="15"/>
      <c r="H1373" s="15"/>
      <c r="I1373" s="15"/>
      <c r="J1373" s="15"/>
      <c r="K1373" s="15"/>
      <c r="L1373" s="15"/>
      <c r="M1373" s="15"/>
      <c r="N1373" s="15"/>
      <c r="O1373" s="15"/>
      <c r="P1373" s="15"/>
      <c r="Q1373" s="66"/>
      <c r="R1373" s="66"/>
      <c r="S1373" s="15"/>
    </row>
    <row r="1374" spans="1:19">
      <c r="A1374" s="24"/>
      <c r="B1374" s="25" t="s">
        <v>183</v>
      </c>
      <c r="C1374" s="26" t="s">
        <v>8</v>
      </c>
      <c r="D1374" s="351">
        <v>1</v>
      </c>
      <c r="E1374" s="312"/>
      <c r="F1374" s="351">
        <v>1</v>
      </c>
      <c r="G1374" s="26"/>
      <c r="H1374" s="26"/>
      <c r="I1374" s="26"/>
      <c r="J1374" s="26"/>
      <c r="K1374" s="26"/>
      <c r="L1374" s="26"/>
      <c r="M1374" s="26"/>
      <c r="N1374" s="26"/>
      <c r="O1374" s="26"/>
      <c r="P1374" s="26"/>
      <c r="Q1374" s="66"/>
      <c r="R1374" s="66"/>
      <c r="S1374" s="26"/>
    </row>
    <row r="1375" spans="1:19">
      <c r="A1375" s="24"/>
      <c r="B1375" s="25" t="s">
        <v>376</v>
      </c>
      <c r="C1375" s="26" t="s">
        <v>8</v>
      </c>
      <c r="D1375" s="351">
        <v>1</v>
      </c>
      <c r="E1375" s="62"/>
      <c r="F1375" s="351">
        <v>1</v>
      </c>
      <c r="G1375" s="40"/>
      <c r="H1375" s="40"/>
      <c r="I1375" s="40"/>
      <c r="J1375" s="40"/>
      <c r="K1375" s="40"/>
      <c r="L1375" s="40"/>
      <c r="M1375" s="40"/>
      <c r="N1375" s="40"/>
      <c r="O1375" s="40"/>
      <c r="P1375" s="40"/>
      <c r="Q1375" s="66"/>
      <c r="R1375" s="66"/>
      <c r="S1375" s="40"/>
    </row>
    <row r="1376" spans="1:19">
      <c r="A1376" s="24"/>
      <c r="B1376" s="25" t="s">
        <v>185</v>
      </c>
      <c r="C1376" s="26" t="s">
        <v>8</v>
      </c>
      <c r="D1376" s="351">
        <v>1</v>
      </c>
      <c r="E1376" s="62"/>
      <c r="F1376" s="351">
        <v>1</v>
      </c>
      <c r="G1376" s="40"/>
      <c r="H1376" s="40"/>
      <c r="I1376" s="40"/>
      <c r="J1376" s="40"/>
      <c r="K1376" s="40"/>
      <c r="L1376" s="40"/>
      <c r="M1376" s="40"/>
      <c r="N1376" s="40"/>
      <c r="O1376" s="40"/>
      <c r="P1376" s="40"/>
      <c r="Q1376" s="66"/>
      <c r="R1376" s="66"/>
      <c r="S1376" s="40"/>
    </row>
    <row r="1377" spans="1:19">
      <c r="A1377" s="24"/>
      <c r="B1377" s="25" t="s">
        <v>186</v>
      </c>
      <c r="C1377" s="26" t="s">
        <v>8</v>
      </c>
      <c r="D1377" s="351">
        <v>2</v>
      </c>
      <c r="E1377" s="53"/>
      <c r="F1377" s="351">
        <v>2</v>
      </c>
      <c r="G1377" s="15"/>
      <c r="H1377" s="15"/>
      <c r="I1377" s="15"/>
      <c r="J1377" s="15"/>
      <c r="K1377" s="15"/>
      <c r="L1377" s="15"/>
      <c r="M1377" s="15"/>
      <c r="N1377" s="15"/>
      <c r="O1377" s="15"/>
      <c r="P1377" s="15"/>
      <c r="Q1377" s="66"/>
      <c r="R1377" s="66"/>
      <c r="S1377" s="15"/>
    </row>
    <row r="1378" spans="1:19">
      <c r="A1378" s="24"/>
      <c r="B1378" s="25" t="s">
        <v>187</v>
      </c>
      <c r="C1378" s="26" t="s">
        <v>78</v>
      </c>
      <c r="D1378" s="351">
        <v>1</v>
      </c>
      <c r="E1378" s="59"/>
      <c r="F1378" s="351">
        <v>1</v>
      </c>
      <c r="G1378" s="37"/>
      <c r="H1378" s="37"/>
      <c r="I1378" s="37"/>
      <c r="J1378" s="37"/>
      <c r="K1378" s="37"/>
      <c r="L1378" s="37"/>
      <c r="M1378" s="37"/>
      <c r="N1378" s="37"/>
      <c r="O1378" s="37"/>
      <c r="P1378" s="37"/>
      <c r="Q1378" s="66"/>
      <c r="R1378" s="66"/>
      <c r="S1378" s="37"/>
    </row>
    <row r="1379" spans="1:19">
      <c r="A1379" s="24"/>
      <c r="B1379" s="25" t="s">
        <v>173</v>
      </c>
      <c r="C1379" s="26" t="s">
        <v>8</v>
      </c>
      <c r="D1379" s="351">
        <v>1</v>
      </c>
      <c r="E1379" s="59"/>
      <c r="F1379" s="351">
        <v>1</v>
      </c>
      <c r="G1379" s="37"/>
      <c r="H1379" s="37"/>
      <c r="I1379" s="37"/>
      <c r="J1379" s="37"/>
      <c r="K1379" s="37"/>
      <c r="L1379" s="37"/>
      <c r="M1379" s="37"/>
      <c r="N1379" s="37"/>
      <c r="O1379" s="37"/>
      <c r="P1379" s="37"/>
      <c r="Q1379" s="66"/>
      <c r="R1379" s="66"/>
      <c r="S1379" s="37"/>
    </row>
    <row r="1380" spans="1:19">
      <c r="A1380" s="24"/>
      <c r="B1380" s="25" t="s">
        <v>366</v>
      </c>
      <c r="C1380" s="26" t="s">
        <v>17</v>
      </c>
      <c r="D1380" s="351">
        <v>1</v>
      </c>
      <c r="E1380" s="59"/>
      <c r="F1380" s="351">
        <v>1</v>
      </c>
      <c r="G1380" s="37"/>
      <c r="H1380" s="37"/>
      <c r="I1380" s="37"/>
      <c r="J1380" s="37"/>
      <c r="K1380" s="37"/>
      <c r="L1380" s="37"/>
      <c r="M1380" s="37"/>
      <c r="N1380" s="37"/>
      <c r="O1380" s="37"/>
      <c r="P1380" s="37"/>
      <c r="Q1380" s="66"/>
      <c r="R1380" s="66"/>
      <c r="S1380" s="37"/>
    </row>
    <row r="1381" spans="1:19">
      <c r="A1381" s="24"/>
      <c r="B1381" s="25" t="s">
        <v>217</v>
      </c>
      <c r="C1381" s="26" t="s">
        <v>17</v>
      </c>
      <c r="D1381" s="351">
        <v>1</v>
      </c>
      <c r="E1381" s="59"/>
      <c r="F1381" s="351">
        <v>1</v>
      </c>
      <c r="G1381" s="37"/>
      <c r="H1381" s="37"/>
      <c r="I1381" s="37"/>
      <c r="J1381" s="37"/>
      <c r="K1381" s="37"/>
      <c r="L1381" s="37"/>
      <c r="M1381" s="37"/>
      <c r="N1381" s="37"/>
      <c r="O1381" s="37"/>
      <c r="P1381" s="37"/>
      <c r="Q1381" s="66"/>
      <c r="R1381" s="66"/>
      <c r="S1381" s="37"/>
    </row>
    <row r="1382" spans="1:19" ht="30">
      <c r="A1382" s="24"/>
      <c r="B1382" s="25" t="s">
        <v>176</v>
      </c>
      <c r="C1382" s="26" t="s">
        <v>78</v>
      </c>
      <c r="D1382" s="351">
        <v>1</v>
      </c>
      <c r="E1382" s="61"/>
      <c r="F1382" s="351">
        <v>1</v>
      </c>
      <c r="G1382" s="39"/>
      <c r="H1382" s="39"/>
      <c r="I1382" s="39"/>
      <c r="J1382" s="39"/>
      <c r="K1382" s="39"/>
      <c r="L1382" s="39"/>
      <c r="M1382" s="39"/>
      <c r="N1382" s="39"/>
      <c r="O1382" s="39"/>
      <c r="P1382" s="39"/>
      <c r="Q1382" s="65"/>
      <c r="R1382" s="65"/>
      <c r="S1382" s="39"/>
    </row>
    <row r="1383" spans="1:19" ht="60">
      <c r="A1383" s="24">
        <v>47</v>
      </c>
      <c r="B1383" s="25" t="s">
        <v>377</v>
      </c>
      <c r="C1383" s="26" t="s">
        <v>7</v>
      </c>
      <c r="D1383" s="351">
        <v>1</v>
      </c>
      <c r="E1383" s="92"/>
      <c r="F1383" s="351">
        <v>1</v>
      </c>
      <c r="G1383" s="26" t="s">
        <v>2326</v>
      </c>
      <c r="H1383" s="26"/>
      <c r="I1383" s="26" t="s">
        <v>2327</v>
      </c>
      <c r="J1383" s="26" t="s">
        <v>2328</v>
      </c>
      <c r="K1383" s="311">
        <v>119987860.40999998</v>
      </c>
      <c r="L1383" s="311">
        <v>0</v>
      </c>
      <c r="M1383" s="311">
        <v>2486000.0000000009</v>
      </c>
      <c r="N1383" s="311">
        <v>12339985.9</v>
      </c>
      <c r="O1383" s="311">
        <v>8637990.1300000008</v>
      </c>
      <c r="P1383" s="68">
        <f>SUM(K1383:O1383)</f>
        <v>143451836.43999997</v>
      </c>
      <c r="Q1383" s="68">
        <f>D1383*P1383</f>
        <v>143451836.43999997</v>
      </c>
      <c r="R1383" s="127">
        <f>F1383*P1383</f>
        <v>143451836.43999997</v>
      </c>
      <c r="S1383" s="329"/>
    </row>
    <row r="1384" spans="1:19" ht="30">
      <c r="A1384" s="24"/>
      <c r="B1384" s="25" t="s">
        <v>339</v>
      </c>
      <c r="C1384" s="26" t="s">
        <v>8</v>
      </c>
      <c r="D1384" s="351">
        <v>1</v>
      </c>
      <c r="E1384" s="303"/>
      <c r="F1384" s="351">
        <v>1</v>
      </c>
      <c r="G1384" s="26"/>
      <c r="H1384" s="26"/>
      <c r="I1384" s="26"/>
      <c r="J1384" s="26"/>
      <c r="K1384" s="26"/>
      <c r="L1384" s="26"/>
      <c r="M1384" s="26"/>
      <c r="N1384" s="26"/>
      <c r="O1384" s="26"/>
      <c r="P1384" s="26"/>
      <c r="Q1384" s="66"/>
      <c r="R1384" s="66"/>
      <c r="S1384" s="26"/>
    </row>
    <row r="1385" spans="1:19">
      <c r="A1385" s="24"/>
      <c r="B1385" s="25" t="s">
        <v>161</v>
      </c>
      <c r="C1385" s="26"/>
      <c r="D1385" s="351"/>
      <c r="E1385" s="303"/>
      <c r="F1385" s="351"/>
      <c r="G1385" s="26"/>
      <c r="H1385" s="26"/>
      <c r="I1385" s="26"/>
      <c r="J1385" s="26"/>
      <c r="K1385" s="26"/>
      <c r="L1385" s="26"/>
      <c r="M1385" s="26"/>
      <c r="N1385" s="26"/>
      <c r="O1385" s="26"/>
      <c r="P1385" s="26"/>
      <c r="Q1385" s="66"/>
      <c r="R1385" s="66"/>
      <c r="S1385" s="26"/>
    </row>
    <row r="1386" spans="1:19">
      <c r="A1386" s="24"/>
      <c r="B1386" s="25" t="s">
        <v>378</v>
      </c>
      <c r="C1386" s="26" t="s">
        <v>8</v>
      </c>
      <c r="D1386" s="351">
        <v>1</v>
      </c>
      <c r="E1386" s="303"/>
      <c r="F1386" s="351">
        <v>1</v>
      </c>
      <c r="G1386" s="26"/>
      <c r="H1386" s="26"/>
      <c r="I1386" s="26"/>
      <c r="J1386" s="26"/>
      <c r="K1386" s="26"/>
      <c r="L1386" s="26"/>
      <c r="M1386" s="26"/>
      <c r="N1386" s="26"/>
      <c r="O1386" s="26"/>
      <c r="P1386" s="26"/>
      <c r="Q1386" s="66"/>
      <c r="R1386" s="66"/>
      <c r="S1386" s="26"/>
    </row>
    <row r="1387" spans="1:19">
      <c r="A1387" s="24"/>
      <c r="B1387" s="25" t="s">
        <v>379</v>
      </c>
      <c r="C1387" s="26" t="s">
        <v>20</v>
      </c>
      <c r="D1387" s="351">
        <v>6</v>
      </c>
      <c r="E1387" s="303"/>
      <c r="F1387" s="351">
        <v>6</v>
      </c>
      <c r="G1387" s="26"/>
      <c r="H1387" s="26"/>
      <c r="I1387" s="26"/>
      <c r="J1387" s="26"/>
      <c r="K1387" s="26"/>
      <c r="L1387" s="26"/>
      <c r="M1387" s="26"/>
      <c r="N1387" s="26"/>
      <c r="O1387" s="26"/>
      <c r="P1387" s="26"/>
      <c r="Q1387" s="66"/>
      <c r="R1387" s="66"/>
      <c r="S1387" s="26"/>
    </row>
    <row r="1388" spans="1:19">
      <c r="A1388" s="24"/>
      <c r="B1388" s="25" t="s">
        <v>349</v>
      </c>
      <c r="C1388" s="26" t="s">
        <v>8</v>
      </c>
      <c r="D1388" s="351">
        <v>1</v>
      </c>
      <c r="E1388" s="303"/>
      <c r="F1388" s="351">
        <v>1</v>
      </c>
      <c r="G1388" s="26"/>
      <c r="H1388" s="26"/>
      <c r="I1388" s="26"/>
      <c r="J1388" s="26"/>
      <c r="K1388" s="26"/>
      <c r="L1388" s="26"/>
      <c r="M1388" s="26"/>
      <c r="N1388" s="26"/>
      <c r="O1388" s="26"/>
      <c r="P1388" s="26"/>
      <c r="Q1388" s="66"/>
      <c r="R1388" s="66"/>
      <c r="S1388" s="26"/>
    </row>
    <row r="1389" spans="1:19">
      <c r="A1389" s="24"/>
      <c r="B1389" s="25" t="s">
        <v>380</v>
      </c>
      <c r="C1389" s="26" t="s">
        <v>8</v>
      </c>
      <c r="D1389" s="351">
        <v>2</v>
      </c>
      <c r="E1389" s="303"/>
      <c r="F1389" s="351">
        <v>2</v>
      </c>
      <c r="G1389" s="26"/>
      <c r="H1389" s="26"/>
      <c r="I1389" s="26"/>
      <c r="J1389" s="26"/>
      <c r="K1389" s="26"/>
      <c r="L1389" s="26"/>
      <c r="M1389" s="26"/>
      <c r="N1389" s="26"/>
      <c r="O1389" s="26"/>
      <c r="P1389" s="26"/>
      <c r="Q1389" s="66"/>
      <c r="R1389" s="66"/>
      <c r="S1389" s="26"/>
    </row>
    <row r="1390" spans="1:19">
      <c r="A1390" s="24"/>
      <c r="B1390" s="25" t="s">
        <v>24</v>
      </c>
      <c r="C1390" s="26" t="s">
        <v>8</v>
      </c>
      <c r="D1390" s="351">
        <v>6</v>
      </c>
      <c r="E1390" s="303"/>
      <c r="F1390" s="351">
        <v>6</v>
      </c>
      <c r="G1390" s="26"/>
      <c r="H1390" s="26"/>
      <c r="I1390" s="26"/>
      <c r="J1390" s="26"/>
      <c r="K1390" s="26"/>
      <c r="L1390" s="26"/>
      <c r="M1390" s="26"/>
      <c r="N1390" s="26"/>
      <c r="O1390" s="26"/>
      <c r="P1390" s="26"/>
      <c r="Q1390" s="66"/>
      <c r="R1390" s="66"/>
      <c r="S1390" s="26"/>
    </row>
    <row r="1391" spans="1:19">
      <c r="A1391" s="24"/>
      <c r="B1391" s="25" t="s">
        <v>163</v>
      </c>
      <c r="C1391" s="26" t="s">
        <v>8</v>
      </c>
      <c r="D1391" s="351">
        <v>6</v>
      </c>
      <c r="E1391" s="303"/>
      <c r="F1391" s="351">
        <v>6</v>
      </c>
      <c r="G1391" s="26"/>
      <c r="H1391" s="26"/>
      <c r="I1391" s="26"/>
      <c r="J1391" s="26"/>
      <c r="K1391" s="26"/>
      <c r="L1391" s="26"/>
      <c r="M1391" s="26"/>
      <c r="N1391" s="26"/>
      <c r="O1391" s="26"/>
      <c r="P1391" s="26"/>
      <c r="Q1391" s="66"/>
      <c r="R1391" s="66"/>
      <c r="S1391" s="26"/>
    </row>
    <row r="1392" spans="1:19">
      <c r="A1392" s="24"/>
      <c r="B1392" s="25" t="s">
        <v>164</v>
      </c>
      <c r="C1392" s="26"/>
      <c r="D1392" s="351"/>
      <c r="E1392" s="303"/>
      <c r="F1392" s="351"/>
      <c r="G1392" s="26"/>
      <c r="H1392" s="26"/>
      <c r="I1392" s="26"/>
      <c r="J1392" s="26"/>
      <c r="K1392" s="26"/>
      <c r="L1392" s="26"/>
      <c r="M1392" s="26"/>
      <c r="N1392" s="26"/>
      <c r="O1392" s="26"/>
      <c r="P1392" s="26"/>
      <c r="Q1392" s="66"/>
      <c r="R1392" s="66"/>
      <c r="S1392" s="26"/>
    </row>
    <row r="1393" spans="1:19">
      <c r="A1393" s="24"/>
      <c r="B1393" s="25" t="s">
        <v>381</v>
      </c>
      <c r="C1393" s="26" t="s">
        <v>8</v>
      </c>
      <c r="D1393" s="351">
        <v>1</v>
      </c>
      <c r="E1393" s="303"/>
      <c r="F1393" s="351">
        <v>1</v>
      </c>
      <c r="G1393" s="26"/>
      <c r="H1393" s="26"/>
      <c r="I1393" s="26"/>
      <c r="J1393" s="26"/>
      <c r="K1393" s="26"/>
      <c r="L1393" s="26"/>
      <c r="M1393" s="26"/>
      <c r="N1393" s="26"/>
      <c r="O1393" s="26"/>
      <c r="P1393" s="26"/>
      <c r="Q1393" s="66"/>
      <c r="R1393" s="66"/>
      <c r="S1393" s="26"/>
    </row>
    <row r="1394" spans="1:19">
      <c r="A1394" s="24"/>
      <c r="B1394" s="25" t="s">
        <v>382</v>
      </c>
      <c r="C1394" s="26" t="s">
        <v>8</v>
      </c>
      <c r="D1394" s="351">
        <v>1</v>
      </c>
      <c r="E1394" s="303"/>
      <c r="F1394" s="351">
        <v>1</v>
      </c>
      <c r="G1394" s="26"/>
      <c r="H1394" s="26"/>
      <c r="I1394" s="26"/>
      <c r="J1394" s="26"/>
      <c r="K1394" s="26"/>
      <c r="L1394" s="26"/>
      <c r="M1394" s="26"/>
      <c r="N1394" s="26"/>
      <c r="O1394" s="26"/>
      <c r="P1394" s="26"/>
      <c r="Q1394" s="66"/>
      <c r="R1394" s="66"/>
      <c r="S1394" s="26"/>
    </row>
    <row r="1395" spans="1:19">
      <c r="A1395" s="24"/>
      <c r="B1395" s="25" t="s">
        <v>320</v>
      </c>
      <c r="C1395" s="26" t="s">
        <v>8</v>
      </c>
      <c r="D1395" s="351">
        <v>1</v>
      </c>
      <c r="E1395" s="303"/>
      <c r="F1395" s="351">
        <v>1</v>
      </c>
      <c r="G1395" s="26"/>
      <c r="H1395" s="26"/>
      <c r="I1395" s="26"/>
      <c r="J1395" s="26"/>
      <c r="K1395" s="26"/>
      <c r="L1395" s="26"/>
      <c r="M1395" s="26"/>
      <c r="N1395" s="26"/>
      <c r="O1395" s="26"/>
      <c r="P1395" s="26"/>
      <c r="Q1395" s="66"/>
      <c r="R1395" s="66"/>
      <c r="S1395" s="26"/>
    </row>
    <row r="1396" spans="1:19">
      <c r="A1396" s="24"/>
      <c r="B1396" s="25" t="s">
        <v>251</v>
      </c>
      <c r="C1396" s="26" t="s">
        <v>8</v>
      </c>
      <c r="D1396" s="351">
        <v>1</v>
      </c>
      <c r="E1396" s="303"/>
      <c r="F1396" s="351">
        <v>1</v>
      </c>
      <c r="G1396" s="26"/>
      <c r="H1396" s="26"/>
      <c r="I1396" s="26"/>
      <c r="J1396" s="26"/>
      <c r="K1396" s="26"/>
      <c r="L1396" s="26"/>
      <c r="M1396" s="26"/>
      <c r="N1396" s="26"/>
      <c r="O1396" s="26"/>
      <c r="P1396" s="26"/>
      <c r="Q1396" s="66"/>
      <c r="R1396" s="66"/>
      <c r="S1396" s="26"/>
    </row>
    <row r="1397" spans="1:19">
      <c r="A1397" s="24"/>
      <c r="B1397" s="25" t="s">
        <v>383</v>
      </c>
      <c r="C1397" s="26" t="s">
        <v>17</v>
      </c>
      <c r="D1397" s="351">
        <v>1</v>
      </c>
      <c r="E1397" s="303"/>
      <c r="F1397" s="351">
        <v>1</v>
      </c>
      <c r="G1397" s="26"/>
      <c r="H1397" s="26"/>
      <c r="I1397" s="26"/>
      <c r="J1397" s="26"/>
      <c r="K1397" s="26"/>
      <c r="L1397" s="26"/>
      <c r="M1397" s="26"/>
      <c r="N1397" s="26"/>
      <c r="O1397" s="26"/>
      <c r="P1397" s="26"/>
      <c r="Q1397" s="66"/>
      <c r="R1397" s="66"/>
      <c r="S1397" s="26"/>
    </row>
    <row r="1398" spans="1:19">
      <c r="A1398" s="24"/>
      <c r="B1398" s="25" t="s">
        <v>217</v>
      </c>
      <c r="C1398" s="26" t="s">
        <v>17</v>
      </c>
      <c r="D1398" s="351">
        <v>1</v>
      </c>
      <c r="E1398" s="303"/>
      <c r="F1398" s="351">
        <v>1</v>
      </c>
      <c r="G1398" s="26"/>
      <c r="H1398" s="26"/>
      <c r="I1398" s="26"/>
      <c r="J1398" s="26"/>
      <c r="K1398" s="26"/>
      <c r="L1398" s="26"/>
      <c r="M1398" s="26"/>
      <c r="N1398" s="26"/>
      <c r="O1398" s="26"/>
      <c r="P1398" s="26"/>
      <c r="Q1398" s="66"/>
      <c r="R1398" s="66"/>
      <c r="S1398" s="26"/>
    </row>
    <row r="1399" spans="1:19" ht="30">
      <c r="A1399" s="24"/>
      <c r="B1399" s="25" t="s">
        <v>176</v>
      </c>
      <c r="C1399" s="26" t="s">
        <v>78</v>
      </c>
      <c r="D1399" s="351">
        <v>1</v>
      </c>
      <c r="E1399" s="303"/>
      <c r="F1399" s="351">
        <v>1</v>
      </c>
      <c r="G1399" s="26"/>
      <c r="H1399" s="26"/>
      <c r="I1399" s="26"/>
      <c r="J1399" s="26"/>
      <c r="K1399" s="26"/>
      <c r="L1399" s="26"/>
      <c r="M1399" s="26"/>
      <c r="N1399" s="26"/>
      <c r="O1399" s="26"/>
      <c r="P1399" s="26"/>
      <c r="Q1399" s="66"/>
      <c r="R1399" s="66"/>
      <c r="S1399" s="26"/>
    </row>
    <row r="1400" spans="1:19" ht="60">
      <c r="A1400" s="24">
        <v>48</v>
      </c>
      <c r="B1400" s="25" t="s">
        <v>384</v>
      </c>
      <c r="C1400" s="26" t="s">
        <v>7</v>
      </c>
      <c r="D1400" s="351">
        <v>1</v>
      </c>
      <c r="E1400" s="303"/>
      <c r="F1400" s="351">
        <v>1</v>
      </c>
      <c r="G1400" s="26" t="s">
        <v>2326</v>
      </c>
      <c r="H1400" s="26"/>
      <c r="I1400" s="26" t="s">
        <v>2327</v>
      </c>
      <c r="J1400" s="26" t="s">
        <v>2328</v>
      </c>
      <c r="K1400" s="311">
        <v>12154808.159999998</v>
      </c>
      <c r="L1400" s="311">
        <v>0</v>
      </c>
      <c r="M1400" s="311">
        <v>1130000</v>
      </c>
      <c r="N1400" s="311">
        <v>1327758.4000000001</v>
      </c>
      <c r="O1400" s="311">
        <v>929430.88000000012</v>
      </c>
      <c r="P1400" s="68">
        <f>SUM(K1400:O1400)</f>
        <v>15541997.439999999</v>
      </c>
      <c r="Q1400" s="68">
        <f>D1400*P1400</f>
        <v>15541997.439999999</v>
      </c>
      <c r="R1400" s="127">
        <f>F1400*P1400</f>
        <v>15541997.439999999</v>
      </c>
      <c r="S1400" s="26"/>
    </row>
    <row r="1401" spans="1:19" ht="30">
      <c r="A1401" s="24"/>
      <c r="B1401" s="25" t="s">
        <v>235</v>
      </c>
      <c r="C1401" s="26" t="s">
        <v>8</v>
      </c>
      <c r="D1401" s="351">
        <v>1</v>
      </c>
      <c r="E1401" s="303"/>
      <c r="F1401" s="351">
        <v>1</v>
      </c>
      <c r="G1401" s="26"/>
      <c r="H1401" s="26"/>
      <c r="I1401" s="26"/>
      <c r="J1401" s="26"/>
      <c r="K1401" s="26"/>
      <c r="L1401" s="26"/>
      <c r="M1401" s="26"/>
      <c r="N1401" s="26"/>
      <c r="O1401" s="26"/>
      <c r="P1401" s="26"/>
      <c r="Q1401" s="66"/>
      <c r="R1401" s="66"/>
      <c r="S1401" s="26"/>
    </row>
    <row r="1402" spans="1:19">
      <c r="A1402" s="24"/>
      <c r="B1402" s="25" t="s">
        <v>161</v>
      </c>
      <c r="C1402" s="26"/>
      <c r="D1402" s="351"/>
      <c r="E1402" s="303"/>
      <c r="F1402" s="351"/>
      <c r="G1402" s="26"/>
      <c r="H1402" s="26"/>
      <c r="I1402" s="26"/>
      <c r="J1402" s="26"/>
      <c r="K1402" s="26"/>
      <c r="L1402" s="26"/>
      <c r="M1402" s="26"/>
      <c r="N1402" s="26"/>
      <c r="O1402" s="26"/>
      <c r="P1402" s="26"/>
      <c r="Q1402" s="66"/>
      <c r="R1402" s="66"/>
      <c r="S1402" s="26"/>
    </row>
    <row r="1403" spans="1:19">
      <c r="A1403" s="24"/>
      <c r="B1403" s="25" t="s">
        <v>385</v>
      </c>
      <c r="C1403" s="26" t="s">
        <v>8</v>
      </c>
      <c r="D1403" s="351">
        <v>1</v>
      </c>
      <c r="E1403" s="303"/>
      <c r="F1403" s="351">
        <v>1</v>
      </c>
      <c r="G1403" s="26"/>
      <c r="H1403" s="26"/>
      <c r="I1403" s="26"/>
      <c r="J1403" s="26"/>
      <c r="K1403" s="26"/>
      <c r="L1403" s="26"/>
      <c r="M1403" s="26"/>
      <c r="N1403" s="26"/>
      <c r="O1403" s="26"/>
      <c r="P1403" s="26"/>
      <c r="Q1403" s="66"/>
      <c r="R1403" s="66"/>
      <c r="S1403" s="26"/>
    </row>
    <row r="1404" spans="1:19">
      <c r="A1404" s="24"/>
      <c r="B1404" s="25" t="s">
        <v>24</v>
      </c>
      <c r="C1404" s="26" t="s">
        <v>8</v>
      </c>
      <c r="D1404" s="351">
        <v>3</v>
      </c>
      <c r="E1404" s="303"/>
      <c r="F1404" s="351">
        <v>3</v>
      </c>
      <c r="G1404" s="26"/>
      <c r="H1404" s="26"/>
      <c r="I1404" s="26"/>
      <c r="J1404" s="26"/>
      <c r="K1404" s="26"/>
      <c r="L1404" s="26"/>
      <c r="M1404" s="26"/>
      <c r="N1404" s="26"/>
      <c r="O1404" s="26"/>
      <c r="P1404" s="26"/>
      <c r="Q1404" s="66"/>
      <c r="R1404" s="66"/>
      <c r="S1404" s="26"/>
    </row>
    <row r="1405" spans="1:19">
      <c r="A1405" s="24"/>
      <c r="B1405" s="25" t="s">
        <v>163</v>
      </c>
      <c r="C1405" s="26" t="s">
        <v>8</v>
      </c>
      <c r="D1405" s="351">
        <v>3</v>
      </c>
      <c r="E1405" s="303"/>
      <c r="F1405" s="351">
        <v>3</v>
      </c>
      <c r="G1405" s="26"/>
      <c r="H1405" s="26"/>
      <c r="I1405" s="26"/>
      <c r="J1405" s="26"/>
      <c r="K1405" s="26"/>
      <c r="L1405" s="26"/>
      <c r="M1405" s="26"/>
      <c r="N1405" s="26"/>
      <c r="O1405" s="26"/>
      <c r="P1405" s="26"/>
      <c r="Q1405" s="66"/>
      <c r="R1405" s="66"/>
      <c r="S1405" s="26"/>
    </row>
    <row r="1406" spans="1:19">
      <c r="A1406" s="24"/>
      <c r="B1406" s="25" t="s">
        <v>164</v>
      </c>
      <c r="C1406" s="26"/>
      <c r="D1406" s="351"/>
      <c r="E1406" s="303"/>
      <c r="F1406" s="351"/>
      <c r="G1406" s="26"/>
      <c r="H1406" s="26"/>
      <c r="I1406" s="26"/>
      <c r="J1406" s="26"/>
      <c r="K1406" s="26"/>
      <c r="L1406" s="26"/>
      <c r="M1406" s="26"/>
      <c r="N1406" s="26"/>
      <c r="O1406" s="26"/>
      <c r="P1406" s="26"/>
      <c r="Q1406" s="66"/>
      <c r="R1406" s="66"/>
      <c r="S1406" s="26"/>
    </row>
    <row r="1407" spans="1:19">
      <c r="A1407" s="24"/>
      <c r="B1407" s="25" t="s">
        <v>386</v>
      </c>
      <c r="C1407" s="26" t="s">
        <v>8</v>
      </c>
      <c r="D1407" s="351">
        <v>1</v>
      </c>
      <c r="E1407" s="303"/>
      <c r="F1407" s="351">
        <v>1</v>
      </c>
      <c r="G1407" s="26"/>
      <c r="H1407" s="26"/>
      <c r="I1407" s="26"/>
      <c r="J1407" s="26"/>
      <c r="K1407" s="26"/>
      <c r="L1407" s="26"/>
      <c r="M1407" s="26"/>
      <c r="N1407" s="26"/>
      <c r="O1407" s="26"/>
      <c r="P1407" s="26"/>
      <c r="Q1407" s="66"/>
      <c r="R1407" s="66"/>
      <c r="S1407" s="26"/>
    </row>
    <row r="1408" spans="1:19">
      <c r="A1408" s="24"/>
      <c r="B1408" s="25" t="s">
        <v>387</v>
      </c>
      <c r="C1408" s="26" t="s">
        <v>8</v>
      </c>
      <c r="D1408" s="351">
        <v>1</v>
      </c>
      <c r="E1408" s="303"/>
      <c r="F1408" s="351">
        <v>1</v>
      </c>
      <c r="G1408" s="26"/>
      <c r="H1408" s="26"/>
      <c r="I1408" s="26"/>
      <c r="J1408" s="26"/>
      <c r="K1408" s="26"/>
      <c r="L1408" s="26"/>
      <c r="M1408" s="26"/>
      <c r="N1408" s="26"/>
      <c r="O1408" s="26"/>
      <c r="P1408" s="26"/>
      <c r="Q1408" s="66"/>
      <c r="R1408" s="66"/>
      <c r="S1408" s="26"/>
    </row>
    <row r="1409" spans="1:19">
      <c r="A1409" s="24"/>
      <c r="B1409" s="25" t="s">
        <v>366</v>
      </c>
      <c r="C1409" s="26" t="s">
        <v>17</v>
      </c>
      <c r="D1409" s="351">
        <v>1</v>
      </c>
      <c r="E1409" s="303"/>
      <c r="F1409" s="351">
        <v>1</v>
      </c>
      <c r="G1409" s="26"/>
      <c r="H1409" s="26"/>
      <c r="I1409" s="26"/>
      <c r="J1409" s="26"/>
      <c r="K1409" s="26"/>
      <c r="L1409" s="26"/>
      <c r="M1409" s="26"/>
      <c r="N1409" s="26"/>
      <c r="O1409" s="26"/>
      <c r="P1409" s="26"/>
      <c r="Q1409" s="66"/>
      <c r="R1409" s="66"/>
      <c r="S1409" s="26"/>
    </row>
    <row r="1410" spans="1:19">
      <c r="A1410" s="24"/>
      <c r="B1410" s="25" t="s">
        <v>217</v>
      </c>
      <c r="C1410" s="26" t="s">
        <v>17</v>
      </c>
      <c r="D1410" s="351">
        <v>1</v>
      </c>
      <c r="E1410" s="303"/>
      <c r="F1410" s="351">
        <v>1</v>
      </c>
      <c r="G1410" s="26"/>
      <c r="H1410" s="26"/>
      <c r="I1410" s="26"/>
      <c r="J1410" s="26"/>
      <c r="K1410" s="26"/>
      <c r="L1410" s="26"/>
      <c r="M1410" s="26"/>
      <c r="N1410" s="26"/>
      <c r="O1410" s="26"/>
      <c r="P1410" s="26"/>
      <c r="Q1410" s="66"/>
      <c r="R1410" s="66"/>
      <c r="S1410" s="26"/>
    </row>
    <row r="1411" spans="1:19" ht="30">
      <c r="A1411" s="24"/>
      <c r="B1411" s="25" t="s">
        <v>176</v>
      </c>
      <c r="C1411" s="26" t="s">
        <v>78</v>
      </c>
      <c r="D1411" s="351">
        <v>1</v>
      </c>
      <c r="E1411" s="303"/>
      <c r="F1411" s="351">
        <v>1</v>
      </c>
      <c r="G1411" s="26"/>
      <c r="H1411" s="26"/>
      <c r="I1411" s="26"/>
      <c r="J1411" s="26"/>
      <c r="K1411" s="26"/>
      <c r="L1411" s="26"/>
      <c r="M1411" s="26"/>
      <c r="N1411" s="26"/>
      <c r="O1411" s="26"/>
      <c r="P1411" s="26"/>
      <c r="Q1411" s="66"/>
      <c r="R1411" s="66"/>
      <c r="S1411" s="26"/>
    </row>
    <row r="1412" spans="1:19" ht="60">
      <c r="A1412" s="24">
        <v>49</v>
      </c>
      <c r="B1412" s="25" t="s">
        <v>388</v>
      </c>
      <c r="C1412" s="26" t="s">
        <v>7</v>
      </c>
      <c r="D1412" s="351">
        <v>1</v>
      </c>
      <c r="E1412" s="303"/>
      <c r="F1412" s="351">
        <v>1</v>
      </c>
      <c r="G1412" s="26" t="s">
        <v>2326</v>
      </c>
      <c r="H1412" s="26"/>
      <c r="I1412" s="26" t="s">
        <v>2327</v>
      </c>
      <c r="J1412" s="26" t="s">
        <v>2328</v>
      </c>
      <c r="K1412" s="311">
        <v>41108922.359999992</v>
      </c>
      <c r="L1412" s="311">
        <v>0</v>
      </c>
      <c r="M1412" s="311">
        <v>2486000.0000000009</v>
      </c>
      <c r="N1412" s="311">
        <v>4372416.4000000004</v>
      </c>
      <c r="O1412" s="311">
        <v>3060691.4800000004</v>
      </c>
      <c r="P1412" s="68">
        <f>SUM(K1412:O1412)</f>
        <v>51028030.239999995</v>
      </c>
      <c r="Q1412" s="68">
        <f>D1412*P1412</f>
        <v>51028030.239999995</v>
      </c>
      <c r="R1412" s="127">
        <f>F1412*P1412</f>
        <v>51028030.239999995</v>
      </c>
      <c r="S1412" s="26"/>
    </row>
    <row r="1413" spans="1:19" ht="30">
      <c r="A1413" s="24"/>
      <c r="B1413" s="25" t="s">
        <v>345</v>
      </c>
      <c r="C1413" s="26" t="s">
        <v>8</v>
      </c>
      <c r="D1413" s="351">
        <v>1</v>
      </c>
      <c r="E1413" s="303"/>
      <c r="F1413" s="351">
        <v>1</v>
      </c>
      <c r="G1413" s="26"/>
      <c r="H1413" s="26"/>
      <c r="I1413" s="26"/>
      <c r="J1413" s="26"/>
      <c r="K1413" s="26"/>
      <c r="L1413" s="26"/>
      <c r="M1413" s="26"/>
      <c r="N1413" s="26"/>
      <c r="O1413" s="26"/>
      <c r="P1413" s="26"/>
      <c r="Q1413" s="66"/>
      <c r="R1413" s="66"/>
      <c r="S1413" s="26"/>
    </row>
    <row r="1414" spans="1:19">
      <c r="A1414" s="24"/>
      <c r="B1414" s="25" t="s">
        <v>161</v>
      </c>
      <c r="C1414" s="26"/>
      <c r="D1414" s="351"/>
      <c r="E1414" s="92"/>
      <c r="F1414" s="351"/>
      <c r="G1414" s="329"/>
      <c r="H1414" s="329"/>
      <c r="I1414" s="329"/>
      <c r="J1414" s="329"/>
      <c r="K1414" s="329"/>
      <c r="L1414" s="329"/>
      <c r="M1414" s="329"/>
      <c r="N1414" s="329"/>
      <c r="O1414" s="329"/>
      <c r="P1414" s="329"/>
      <c r="Q1414" s="65"/>
      <c r="R1414" s="65"/>
      <c r="S1414" s="329"/>
    </row>
    <row r="1415" spans="1:19">
      <c r="A1415" s="24"/>
      <c r="B1415" s="25" t="s">
        <v>389</v>
      </c>
      <c r="C1415" s="26" t="s">
        <v>8</v>
      </c>
      <c r="D1415" s="351">
        <v>1</v>
      </c>
      <c r="E1415" s="303"/>
      <c r="F1415" s="351">
        <v>1</v>
      </c>
      <c r="G1415" s="26"/>
      <c r="H1415" s="26"/>
      <c r="I1415" s="26"/>
      <c r="J1415" s="26"/>
      <c r="K1415" s="26"/>
      <c r="L1415" s="26"/>
      <c r="M1415" s="26"/>
      <c r="N1415" s="26"/>
      <c r="O1415" s="26"/>
      <c r="P1415" s="26"/>
      <c r="Q1415" s="66"/>
      <c r="R1415" s="66"/>
      <c r="S1415" s="26"/>
    </row>
    <row r="1416" spans="1:19">
      <c r="A1416" s="24"/>
      <c r="B1416" s="25" t="s">
        <v>390</v>
      </c>
      <c r="C1416" s="26" t="s">
        <v>20</v>
      </c>
      <c r="D1416" s="351">
        <v>3</v>
      </c>
      <c r="E1416" s="303"/>
      <c r="F1416" s="351">
        <v>3</v>
      </c>
      <c r="G1416" s="26"/>
      <c r="H1416" s="26"/>
      <c r="I1416" s="26"/>
      <c r="J1416" s="26"/>
      <c r="K1416" s="26"/>
      <c r="L1416" s="26"/>
      <c r="M1416" s="26"/>
      <c r="N1416" s="26"/>
      <c r="O1416" s="26"/>
      <c r="P1416" s="26"/>
      <c r="Q1416" s="66"/>
      <c r="R1416" s="66"/>
      <c r="S1416" s="26"/>
    </row>
    <row r="1417" spans="1:19">
      <c r="A1417" s="24"/>
      <c r="B1417" s="25" t="s">
        <v>21</v>
      </c>
      <c r="C1417" s="26" t="s">
        <v>8</v>
      </c>
      <c r="D1417" s="351">
        <v>1</v>
      </c>
      <c r="E1417" s="303"/>
      <c r="F1417" s="351">
        <v>1</v>
      </c>
      <c r="G1417" s="26"/>
      <c r="H1417" s="26"/>
      <c r="I1417" s="26"/>
      <c r="J1417" s="26"/>
      <c r="K1417" s="26"/>
      <c r="L1417" s="26"/>
      <c r="M1417" s="26"/>
      <c r="N1417" s="26"/>
      <c r="O1417" s="26"/>
      <c r="P1417" s="26"/>
      <c r="Q1417" s="66"/>
      <c r="R1417" s="66"/>
      <c r="S1417" s="26"/>
    </row>
    <row r="1418" spans="1:19">
      <c r="A1418" s="24"/>
      <c r="B1418" s="25" t="s">
        <v>22</v>
      </c>
      <c r="C1418" s="26" t="s">
        <v>8</v>
      </c>
      <c r="D1418" s="351">
        <v>1</v>
      </c>
      <c r="E1418" s="303"/>
      <c r="F1418" s="351">
        <v>1</v>
      </c>
      <c r="G1418" s="26"/>
      <c r="H1418" s="26"/>
      <c r="I1418" s="26"/>
      <c r="J1418" s="26"/>
      <c r="K1418" s="26"/>
      <c r="L1418" s="26"/>
      <c r="M1418" s="26"/>
      <c r="N1418" s="26"/>
      <c r="O1418" s="26"/>
      <c r="P1418" s="26"/>
      <c r="Q1418" s="66"/>
      <c r="R1418" s="66"/>
      <c r="S1418" s="26"/>
    </row>
    <row r="1419" spans="1:19">
      <c r="A1419" s="24"/>
      <c r="B1419" s="25" t="s">
        <v>391</v>
      </c>
      <c r="C1419" s="26" t="s">
        <v>8</v>
      </c>
      <c r="D1419" s="351">
        <v>3</v>
      </c>
      <c r="E1419" s="303"/>
      <c r="F1419" s="351">
        <v>3</v>
      </c>
      <c r="G1419" s="26"/>
      <c r="H1419" s="26"/>
      <c r="I1419" s="26"/>
      <c r="J1419" s="26"/>
      <c r="K1419" s="26"/>
      <c r="L1419" s="26"/>
      <c r="M1419" s="26"/>
      <c r="N1419" s="26"/>
      <c r="O1419" s="26"/>
      <c r="P1419" s="26"/>
      <c r="Q1419" s="66"/>
      <c r="R1419" s="66"/>
      <c r="S1419" s="26"/>
    </row>
    <row r="1420" spans="1:19">
      <c r="A1420" s="24"/>
      <c r="B1420" s="25" t="s">
        <v>24</v>
      </c>
      <c r="C1420" s="26" t="s">
        <v>8</v>
      </c>
      <c r="D1420" s="351">
        <v>3</v>
      </c>
      <c r="E1420" s="303"/>
      <c r="F1420" s="351">
        <v>3</v>
      </c>
      <c r="G1420" s="26"/>
      <c r="H1420" s="26"/>
      <c r="I1420" s="26"/>
      <c r="J1420" s="26"/>
      <c r="K1420" s="26"/>
      <c r="L1420" s="26"/>
      <c r="M1420" s="26"/>
      <c r="N1420" s="26"/>
      <c r="O1420" s="26"/>
      <c r="P1420" s="26"/>
      <c r="Q1420" s="66"/>
      <c r="R1420" s="66"/>
      <c r="S1420" s="26"/>
    </row>
    <row r="1421" spans="1:19">
      <c r="A1421" s="24"/>
      <c r="B1421" s="25" t="s">
        <v>163</v>
      </c>
      <c r="C1421" s="26" t="s">
        <v>8</v>
      </c>
      <c r="D1421" s="351">
        <v>3</v>
      </c>
      <c r="E1421" s="303"/>
      <c r="F1421" s="351">
        <v>3</v>
      </c>
      <c r="G1421" s="26"/>
      <c r="H1421" s="26"/>
      <c r="I1421" s="26"/>
      <c r="J1421" s="26"/>
      <c r="K1421" s="26"/>
      <c r="L1421" s="26"/>
      <c r="M1421" s="26"/>
      <c r="N1421" s="26"/>
      <c r="O1421" s="26"/>
      <c r="P1421" s="26"/>
      <c r="Q1421" s="66"/>
      <c r="R1421" s="66"/>
      <c r="S1421" s="26"/>
    </row>
    <row r="1422" spans="1:19">
      <c r="A1422" s="24"/>
      <c r="B1422" s="25" t="s">
        <v>164</v>
      </c>
      <c r="C1422" s="26"/>
      <c r="D1422" s="351"/>
      <c r="E1422" s="303"/>
      <c r="F1422" s="351"/>
      <c r="G1422" s="26"/>
      <c r="H1422" s="26"/>
      <c r="I1422" s="26"/>
      <c r="J1422" s="26"/>
      <c r="K1422" s="26"/>
      <c r="L1422" s="26"/>
      <c r="M1422" s="26"/>
      <c r="N1422" s="26"/>
      <c r="O1422" s="26"/>
      <c r="P1422" s="26"/>
      <c r="Q1422" s="66"/>
      <c r="R1422" s="66"/>
      <c r="S1422" s="26"/>
    </row>
    <row r="1423" spans="1:19">
      <c r="A1423" s="24"/>
      <c r="B1423" s="25" t="s">
        <v>209</v>
      </c>
      <c r="C1423" s="26" t="s">
        <v>8</v>
      </c>
      <c r="D1423" s="351">
        <v>2</v>
      </c>
      <c r="E1423" s="303"/>
      <c r="F1423" s="351">
        <v>2</v>
      </c>
      <c r="G1423" s="26"/>
      <c r="H1423" s="26"/>
      <c r="I1423" s="26"/>
      <c r="J1423" s="26"/>
      <c r="K1423" s="26"/>
      <c r="L1423" s="26"/>
      <c r="M1423" s="26"/>
      <c r="N1423" s="26"/>
      <c r="O1423" s="26"/>
      <c r="P1423" s="26"/>
      <c r="Q1423" s="66"/>
      <c r="R1423" s="66"/>
      <c r="S1423" s="26"/>
    </row>
    <row r="1424" spans="1:19">
      <c r="A1424" s="24"/>
      <c r="B1424" s="25" t="s">
        <v>195</v>
      </c>
      <c r="C1424" s="26" t="s">
        <v>8</v>
      </c>
      <c r="D1424" s="351">
        <v>1</v>
      </c>
      <c r="E1424" s="303"/>
      <c r="F1424" s="351">
        <v>1</v>
      </c>
      <c r="G1424" s="26"/>
      <c r="H1424" s="26"/>
      <c r="I1424" s="26"/>
      <c r="J1424" s="26"/>
      <c r="K1424" s="26"/>
      <c r="L1424" s="26"/>
      <c r="M1424" s="26"/>
      <c r="N1424" s="26"/>
      <c r="O1424" s="26"/>
      <c r="P1424" s="26"/>
      <c r="Q1424" s="66"/>
      <c r="R1424" s="66"/>
      <c r="S1424" s="26"/>
    </row>
    <row r="1425" spans="1:19">
      <c r="A1425" s="24"/>
      <c r="B1425" s="25" t="s">
        <v>204</v>
      </c>
      <c r="C1425" s="26" t="s">
        <v>8</v>
      </c>
      <c r="D1425" s="351">
        <v>1</v>
      </c>
      <c r="E1425" s="303"/>
      <c r="F1425" s="351">
        <v>1</v>
      </c>
      <c r="G1425" s="26"/>
      <c r="H1425" s="26"/>
      <c r="I1425" s="26"/>
      <c r="J1425" s="26"/>
      <c r="K1425" s="26"/>
      <c r="L1425" s="26"/>
      <c r="M1425" s="26"/>
      <c r="N1425" s="26"/>
      <c r="O1425" s="26"/>
      <c r="P1425" s="26"/>
      <c r="Q1425" s="66"/>
      <c r="R1425" s="66"/>
      <c r="S1425" s="26"/>
    </row>
    <row r="1426" spans="1:19">
      <c r="A1426" s="24"/>
      <c r="B1426" s="25" t="s">
        <v>260</v>
      </c>
      <c r="C1426" s="26" t="s">
        <v>8</v>
      </c>
      <c r="D1426" s="351">
        <v>2</v>
      </c>
      <c r="E1426" s="303"/>
      <c r="F1426" s="351">
        <v>2</v>
      </c>
      <c r="G1426" s="26"/>
      <c r="H1426" s="26"/>
      <c r="I1426" s="26"/>
      <c r="J1426" s="26"/>
      <c r="K1426" s="26"/>
      <c r="L1426" s="26"/>
      <c r="M1426" s="26"/>
      <c r="N1426" s="26"/>
      <c r="O1426" s="26"/>
      <c r="P1426" s="26"/>
      <c r="Q1426" s="66"/>
      <c r="R1426" s="66"/>
      <c r="S1426" s="26"/>
    </row>
    <row r="1427" spans="1:19">
      <c r="A1427" s="24"/>
      <c r="B1427" s="25" t="s">
        <v>168</v>
      </c>
      <c r="C1427" s="26" t="s">
        <v>8</v>
      </c>
      <c r="D1427" s="351">
        <v>1</v>
      </c>
      <c r="E1427" s="303"/>
      <c r="F1427" s="351">
        <v>1</v>
      </c>
      <c r="G1427" s="26"/>
      <c r="H1427" s="26"/>
      <c r="I1427" s="26"/>
      <c r="J1427" s="26"/>
      <c r="K1427" s="26"/>
      <c r="L1427" s="26"/>
      <c r="M1427" s="26"/>
      <c r="N1427" s="26"/>
      <c r="O1427" s="26"/>
      <c r="P1427" s="26"/>
      <c r="Q1427" s="66"/>
      <c r="R1427" s="66"/>
      <c r="S1427" s="26"/>
    </row>
    <row r="1428" spans="1:19">
      <c r="A1428" s="24"/>
      <c r="B1428" s="25" t="s">
        <v>166</v>
      </c>
      <c r="C1428" s="26" t="s">
        <v>8</v>
      </c>
      <c r="D1428" s="351">
        <v>10</v>
      </c>
      <c r="E1428" s="303"/>
      <c r="F1428" s="351">
        <v>10</v>
      </c>
      <c r="G1428" s="26"/>
      <c r="H1428" s="26"/>
      <c r="I1428" s="26"/>
      <c r="J1428" s="26"/>
      <c r="K1428" s="26"/>
      <c r="L1428" s="26"/>
      <c r="M1428" s="26"/>
      <c r="N1428" s="26"/>
      <c r="O1428" s="26"/>
      <c r="P1428" s="26"/>
      <c r="Q1428" s="66"/>
      <c r="R1428" s="66"/>
      <c r="S1428" s="26"/>
    </row>
    <row r="1429" spans="1:19">
      <c r="A1429" s="24"/>
      <c r="B1429" s="25" t="s">
        <v>210</v>
      </c>
      <c r="C1429" s="26" t="s">
        <v>17</v>
      </c>
      <c r="D1429" s="351">
        <v>2</v>
      </c>
      <c r="E1429" s="303"/>
      <c r="F1429" s="351">
        <v>2</v>
      </c>
      <c r="G1429" s="26"/>
      <c r="H1429" s="26"/>
      <c r="I1429" s="26"/>
      <c r="J1429" s="26"/>
      <c r="K1429" s="26"/>
      <c r="L1429" s="26"/>
      <c r="M1429" s="26"/>
      <c r="N1429" s="26"/>
      <c r="O1429" s="26"/>
      <c r="P1429" s="26"/>
      <c r="Q1429" s="66"/>
      <c r="R1429" s="66"/>
      <c r="S1429" s="26"/>
    </row>
    <row r="1430" spans="1:19">
      <c r="A1430" s="24"/>
      <c r="B1430" s="25" t="s">
        <v>197</v>
      </c>
      <c r="C1430" s="26" t="s">
        <v>8</v>
      </c>
      <c r="D1430" s="351">
        <v>4</v>
      </c>
      <c r="E1430" s="303"/>
      <c r="F1430" s="351">
        <v>4</v>
      </c>
      <c r="G1430" s="26"/>
      <c r="H1430" s="26"/>
      <c r="I1430" s="26"/>
      <c r="J1430" s="26"/>
      <c r="K1430" s="26"/>
      <c r="L1430" s="26"/>
      <c r="M1430" s="26"/>
      <c r="N1430" s="26"/>
      <c r="O1430" s="26"/>
      <c r="P1430" s="26"/>
      <c r="Q1430" s="66"/>
      <c r="R1430" s="66"/>
      <c r="S1430" s="26"/>
    </row>
    <row r="1431" spans="1:19">
      <c r="A1431" s="24"/>
      <c r="B1431" s="25" t="s">
        <v>206</v>
      </c>
      <c r="C1431" s="26" t="s">
        <v>8</v>
      </c>
      <c r="D1431" s="351">
        <v>2</v>
      </c>
      <c r="E1431" s="303"/>
      <c r="F1431" s="351">
        <v>2</v>
      </c>
      <c r="G1431" s="26"/>
      <c r="H1431" s="26"/>
      <c r="I1431" s="26"/>
      <c r="J1431" s="26"/>
      <c r="K1431" s="26"/>
      <c r="L1431" s="26"/>
      <c r="M1431" s="26"/>
      <c r="N1431" s="26"/>
      <c r="O1431" s="26"/>
      <c r="P1431" s="26"/>
      <c r="Q1431" s="66"/>
      <c r="R1431" s="66"/>
      <c r="S1431" s="26"/>
    </row>
    <row r="1432" spans="1:19">
      <c r="A1432" s="24"/>
      <c r="B1432" s="25" t="s">
        <v>183</v>
      </c>
      <c r="C1432" s="26" t="s">
        <v>8</v>
      </c>
      <c r="D1432" s="351">
        <v>3</v>
      </c>
      <c r="E1432" s="303"/>
      <c r="F1432" s="351">
        <v>3</v>
      </c>
      <c r="G1432" s="26"/>
      <c r="H1432" s="26"/>
      <c r="I1432" s="26"/>
      <c r="J1432" s="26"/>
      <c r="K1432" s="26"/>
      <c r="L1432" s="26"/>
      <c r="M1432" s="26"/>
      <c r="N1432" s="26"/>
      <c r="O1432" s="26"/>
      <c r="P1432" s="26"/>
      <c r="Q1432" s="66"/>
      <c r="R1432" s="66"/>
      <c r="S1432" s="26"/>
    </row>
    <row r="1433" spans="1:19">
      <c r="A1433" s="24"/>
      <c r="B1433" s="25" t="s">
        <v>211</v>
      </c>
      <c r="C1433" s="26" t="s">
        <v>8</v>
      </c>
      <c r="D1433" s="351">
        <v>2</v>
      </c>
      <c r="E1433" s="303"/>
      <c r="F1433" s="351">
        <v>2</v>
      </c>
      <c r="G1433" s="26"/>
      <c r="H1433" s="26"/>
      <c r="I1433" s="26"/>
      <c r="J1433" s="26"/>
      <c r="K1433" s="26"/>
      <c r="L1433" s="26"/>
      <c r="M1433" s="26"/>
      <c r="N1433" s="26"/>
      <c r="O1433" s="26"/>
      <c r="P1433" s="26"/>
      <c r="Q1433" s="66"/>
      <c r="R1433" s="66"/>
      <c r="S1433" s="26"/>
    </row>
    <row r="1434" spans="1:19">
      <c r="A1434" s="24"/>
      <c r="B1434" s="25" t="s">
        <v>198</v>
      </c>
      <c r="C1434" s="26" t="s">
        <v>8</v>
      </c>
      <c r="D1434" s="351">
        <v>2</v>
      </c>
      <c r="E1434" s="303"/>
      <c r="F1434" s="351">
        <v>2</v>
      </c>
      <c r="G1434" s="26"/>
      <c r="H1434" s="26"/>
      <c r="I1434" s="26"/>
      <c r="J1434" s="26"/>
      <c r="K1434" s="26"/>
      <c r="L1434" s="26"/>
      <c r="M1434" s="26"/>
      <c r="N1434" s="26"/>
      <c r="O1434" s="26"/>
      <c r="P1434" s="26"/>
      <c r="Q1434" s="66"/>
      <c r="R1434" s="66"/>
      <c r="S1434" s="26"/>
    </row>
    <row r="1435" spans="1:19">
      <c r="A1435" s="24"/>
      <c r="B1435" s="25" t="s">
        <v>185</v>
      </c>
      <c r="C1435" s="26" t="s">
        <v>8</v>
      </c>
      <c r="D1435" s="351">
        <v>2</v>
      </c>
      <c r="E1435" s="303"/>
      <c r="F1435" s="351">
        <v>2</v>
      </c>
      <c r="G1435" s="26"/>
      <c r="H1435" s="26"/>
      <c r="I1435" s="26"/>
      <c r="J1435" s="26"/>
      <c r="K1435" s="26"/>
      <c r="L1435" s="26"/>
      <c r="M1435" s="26"/>
      <c r="N1435" s="26"/>
      <c r="O1435" s="26"/>
      <c r="P1435" s="26"/>
      <c r="Q1435" s="66"/>
      <c r="R1435" s="66"/>
      <c r="S1435" s="26"/>
    </row>
    <row r="1436" spans="1:19">
      <c r="A1436" s="24"/>
      <c r="B1436" s="25" t="s">
        <v>212</v>
      </c>
      <c r="C1436" s="26" t="s">
        <v>8</v>
      </c>
      <c r="D1436" s="351">
        <v>2</v>
      </c>
      <c r="E1436" s="303"/>
      <c r="F1436" s="351">
        <v>2</v>
      </c>
      <c r="G1436" s="26"/>
      <c r="H1436" s="26"/>
      <c r="I1436" s="26"/>
      <c r="J1436" s="26"/>
      <c r="K1436" s="26"/>
      <c r="L1436" s="26"/>
      <c r="M1436" s="26"/>
      <c r="N1436" s="26"/>
      <c r="O1436" s="26"/>
      <c r="P1436" s="26"/>
      <c r="Q1436" s="66"/>
      <c r="R1436" s="66"/>
      <c r="S1436" s="26"/>
    </row>
    <row r="1437" spans="1:19">
      <c r="A1437" s="24"/>
      <c r="B1437" s="25" t="s">
        <v>186</v>
      </c>
      <c r="C1437" s="26" t="s">
        <v>8</v>
      </c>
      <c r="D1437" s="351">
        <v>4</v>
      </c>
      <c r="E1437" s="303"/>
      <c r="F1437" s="351">
        <v>4</v>
      </c>
      <c r="G1437" s="26"/>
      <c r="H1437" s="26"/>
      <c r="I1437" s="26"/>
      <c r="J1437" s="26"/>
      <c r="K1437" s="26"/>
      <c r="L1437" s="26"/>
      <c r="M1437" s="26"/>
      <c r="N1437" s="26"/>
      <c r="O1437" s="26"/>
      <c r="P1437" s="26"/>
      <c r="Q1437" s="66"/>
      <c r="R1437" s="66"/>
      <c r="S1437" s="26"/>
    </row>
    <row r="1438" spans="1:19">
      <c r="A1438" s="24"/>
      <c r="B1438" s="25" t="s">
        <v>171</v>
      </c>
      <c r="C1438" s="26" t="s">
        <v>8</v>
      </c>
      <c r="D1438" s="351">
        <v>2</v>
      </c>
      <c r="E1438" s="303"/>
      <c r="F1438" s="351">
        <v>2</v>
      </c>
      <c r="G1438" s="26"/>
      <c r="H1438" s="26"/>
      <c r="I1438" s="26"/>
      <c r="J1438" s="26"/>
      <c r="K1438" s="26"/>
      <c r="L1438" s="26"/>
      <c r="M1438" s="26"/>
      <c r="N1438" s="26"/>
      <c r="O1438" s="26"/>
      <c r="P1438" s="26"/>
      <c r="Q1438" s="66"/>
      <c r="R1438" s="66"/>
      <c r="S1438" s="26"/>
    </row>
    <row r="1439" spans="1:19">
      <c r="A1439" s="24"/>
      <c r="B1439" s="25" t="s">
        <v>187</v>
      </c>
      <c r="C1439" s="26" t="s">
        <v>78</v>
      </c>
      <c r="D1439" s="351">
        <v>1</v>
      </c>
      <c r="E1439" s="303"/>
      <c r="F1439" s="351">
        <v>1</v>
      </c>
      <c r="G1439" s="26"/>
      <c r="H1439" s="26"/>
      <c r="I1439" s="26"/>
      <c r="J1439" s="26"/>
      <c r="K1439" s="26"/>
      <c r="L1439" s="26"/>
      <c r="M1439" s="26"/>
      <c r="N1439" s="26"/>
      <c r="O1439" s="26"/>
      <c r="P1439" s="26"/>
      <c r="Q1439" s="66"/>
      <c r="R1439" s="66"/>
      <c r="S1439" s="26"/>
    </row>
    <row r="1440" spans="1:19">
      <c r="A1440" s="24"/>
      <c r="B1440" s="25" t="s">
        <v>196</v>
      </c>
      <c r="C1440" s="26" t="s">
        <v>17</v>
      </c>
      <c r="D1440" s="351">
        <v>1</v>
      </c>
      <c r="E1440" s="303"/>
      <c r="F1440" s="351">
        <v>1</v>
      </c>
      <c r="G1440" s="26"/>
      <c r="H1440" s="26"/>
      <c r="I1440" s="26"/>
      <c r="J1440" s="26"/>
      <c r="K1440" s="26"/>
      <c r="L1440" s="26"/>
      <c r="M1440" s="26"/>
      <c r="N1440" s="26"/>
      <c r="O1440" s="26"/>
      <c r="P1440" s="26"/>
      <c r="Q1440" s="66"/>
      <c r="R1440" s="66"/>
      <c r="S1440" s="26"/>
    </row>
    <row r="1441" spans="1:19">
      <c r="A1441" s="24"/>
      <c r="B1441" s="25" t="s">
        <v>197</v>
      </c>
      <c r="C1441" s="26" t="s">
        <v>8</v>
      </c>
      <c r="D1441" s="351">
        <v>1</v>
      </c>
      <c r="E1441" s="303"/>
      <c r="F1441" s="351">
        <v>1</v>
      </c>
      <c r="G1441" s="26"/>
      <c r="H1441" s="26"/>
      <c r="I1441" s="26"/>
      <c r="J1441" s="26"/>
      <c r="K1441" s="26"/>
      <c r="L1441" s="26"/>
      <c r="M1441" s="26"/>
      <c r="N1441" s="26"/>
      <c r="O1441" s="26"/>
      <c r="P1441" s="26"/>
      <c r="Q1441" s="66"/>
      <c r="R1441" s="66"/>
      <c r="S1441" s="26"/>
    </row>
    <row r="1442" spans="1:19">
      <c r="A1442" s="24"/>
      <c r="B1442" s="25" t="s">
        <v>183</v>
      </c>
      <c r="C1442" s="26" t="s">
        <v>8</v>
      </c>
      <c r="D1442" s="351">
        <v>1</v>
      </c>
      <c r="E1442" s="303"/>
      <c r="F1442" s="351">
        <v>1</v>
      </c>
      <c r="G1442" s="26"/>
      <c r="H1442" s="26"/>
      <c r="I1442" s="26"/>
      <c r="J1442" s="26"/>
      <c r="K1442" s="26"/>
      <c r="L1442" s="26"/>
      <c r="M1442" s="26"/>
      <c r="N1442" s="26"/>
      <c r="O1442" s="26"/>
      <c r="P1442" s="26"/>
      <c r="Q1442" s="66"/>
      <c r="R1442" s="66"/>
      <c r="S1442" s="26"/>
    </row>
    <row r="1443" spans="1:19">
      <c r="A1443" s="24"/>
      <c r="B1443" s="25" t="s">
        <v>198</v>
      </c>
      <c r="C1443" s="26" t="s">
        <v>8</v>
      </c>
      <c r="D1443" s="351">
        <v>1</v>
      </c>
      <c r="E1443" s="303"/>
      <c r="F1443" s="351">
        <v>1</v>
      </c>
      <c r="G1443" s="26"/>
      <c r="H1443" s="26"/>
      <c r="I1443" s="26"/>
      <c r="J1443" s="26"/>
      <c r="K1443" s="26"/>
      <c r="L1443" s="26"/>
      <c r="M1443" s="26"/>
      <c r="N1443" s="26"/>
      <c r="O1443" s="26"/>
      <c r="P1443" s="26"/>
      <c r="Q1443" s="66"/>
      <c r="R1443" s="66"/>
      <c r="S1443" s="26"/>
    </row>
    <row r="1444" spans="1:19">
      <c r="A1444" s="24"/>
      <c r="B1444" s="25" t="s">
        <v>185</v>
      </c>
      <c r="C1444" s="26" t="s">
        <v>8</v>
      </c>
      <c r="D1444" s="351">
        <v>1</v>
      </c>
      <c r="E1444" s="303"/>
      <c r="F1444" s="351">
        <v>1</v>
      </c>
      <c r="G1444" s="26"/>
      <c r="H1444" s="26"/>
      <c r="I1444" s="26"/>
      <c r="J1444" s="26"/>
      <c r="K1444" s="26"/>
      <c r="L1444" s="26"/>
      <c r="M1444" s="26"/>
      <c r="N1444" s="26"/>
      <c r="O1444" s="26"/>
      <c r="P1444" s="26"/>
      <c r="Q1444" s="66"/>
      <c r="R1444" s="66"/>
      <c r="S1444" s="26"/>
    </row>
    <row r="1445" spans="1:19">
      <c r="A1445" s="24"/>
      <c r="B1445" s="25" t="s">
        <v>186</v>
      </c>
      <c r="C1445" s="26" t="s">
        <v>8</v>
      </c>
      <c r="D1445" s="351">
        <v>2</v>
      </c>
      <c r="E1445" s="303"/>
      <c r="F1445" s="351">
        <v>2</v>
      </c>
      <c r="G1445" s="26"/>
      <c r="H1445" s="26"/>
      <c r="I1445" s="26"/>
      <c r="J1445" s="26"/>
      <c r="K1445" s="26"/>
      <c r="L1445" s="26"/>
      <c r="M1445" s="26"/>
      <c r="N1445" s="26"/>
      <c r="O1445" s="26"/>
      <c r="P1445" s="26"/>
      <c r="Q1445" s="66"/>
      <c r="R1445" s="66"/>
      <c r="S1445" s="26"/>
    </row>
    <row r="1446" spans="1:19">
      <c r="A1446" s="24"/>
      <c r="B1446" s="25" t="s">
        <v>187</v>
      </c>
      <c r="C1446" s="26" t="s">
        <v>78</v>
      </c>
      <c r="D1446" s="351">
        <v>1</v>
      </c>
      <c r="E1446" s="303"/>
      <c r="F1446" s="351">
        <v>1</v>
      </c>
      <c r="G1446" s="26"/>
      <c r="H1446" s="26"/>
      <c r="I1446" s="26"/>
      <c r="J1446" s="26"/>
      <c r="K1446" s="26"/>
      <c r="L1446" s="26"/>
      <c r="M1446" s="26"/>
      <c r="N1446" s="26"/>
      <c r="O1446" s="26"/>
      <c r="P1446" s="26"/>
      <c r="Q1446" s="66"/>
      <c r="R1446" s="66"/>
      <c r="S1446" s="26"/>
    </row>
    <row r="1447" spans="1:19">
      <c r="A1447" s="24"/>
      <c r="B1447" s="25" t="s">
        <v>392</v>
      </c>
      <c r="C1447" s="26" t="s">
        <v>17</v>
      </c>
      <c r="D1447" s="351">
        <v>1</v>
      </c>
      <c r="E1447" s="303"/>
      <c r="F1447" s="351">
        <v>1</v>
      </c>
      <c r="G1447" s="26"/>
      <c r="H1447" s="26"/>
      <c r="I1447" s="26"/>
      <c r="J1447" s="26"/>
      <c r="K1447" s="26"/>
      <c r="L1447" s="26"/>
      <c r="M1447" s="26"/>
      <c r="N1447" s="26"/>
      <c r="O1447" s="26"/>
      <c r="P1447" s="26"/>
      <c r="Q1447" s="66"/>
      <c r="R1447" s="66"/>
      <c r="S1447" s="26"/>
    </row>
    <row r="1448" spans="1:19">
      <c r="A1448" s="24"/>
      <c r="B1448" s="25" t="s">
        <v>182</v>
      </c>
      <c r="C1448" s="26" t="s">
        <v>8</v>
      </c>
      <c r="D1448" s="351">
        <v>1</v>
      </c>
      <c r="E1448" s="303"/>
      <c r="F1448" s="351">
        <v>1</v>
      </c>
      <c r="G1448" s="26"/>
      <c r="H1448" s="26"/>
      <c r="I1448" s="26"/>
      <c r="J1448" s="26"/>
      <c r="K1448" s="26"/>
      <c r="L1448" s="26"/>
      <c r="M1448" s="26"/>
      <c r="N1448" s="26"/>
      <c r="O1448" s="26"/>
      <c r="P1448" s="26"/>
      <c r="Q1448" s="66"/>
      <c r="R1448" s="66"/>
      <c r="S1448" s="26"/>
    </row>
    <row r="1449" spans="1:19">
      <c r="A1449" s="24"/>
      <c r="B1449" s="25" t="s">
        <v>183</v>
      </c>
      <c r="C1449" s="26" t="s">
        <v>8</v>
      </c>
      <c r="D1449" s="351">
        <v>1</v>
      </c>
      <c r="E1449" s="303"/>
      <c r="F1449" s="351">
        <v>1</v>
      </c>
      <c r="G1449" s="26"/>
      <c r="H1449" s="26"/>
      <c r="I1449" s="26"/>
      <c r="J1449" s="26"/>
      <c r="K1449" s="26"/>
      <c r="L1449" s="26"/>
      <c r="M1449" s="26"/>
      <c r="N1449" s="26"/>
      <c r="O1449" s="26"/>
      <c r="P1449" s="26"/>
      <c r="Q1449" s="66"/>
      <c r="R1449" s="66"/>
      <c r="S1449" s="26"/>
    </row>
    <row r="1450" spans="1:19">
      <c r="A1450" s="24"/>
      <c r="B1450" s="25" t="s">
        <v>376</v>
      </c>
      <c r="C1450" s="26" t="s">
        <v>8</v>
      </c>
      <c r="D1450" s="351">
        <v>1</v>
      </c>
      <c r="E1450" s="303"/>
      <c r="F1450" s="351">
        <v>1</v>
      </c>
      <c r="G1450" s="26"/>
      <c r="H1450" s="26"/>
      <c r="I1450" s="26"/>
      <c r="J1450" s="26"/>
      <c r="K1450" s="26"/>
      <c r="L1450" s="26"/>
      <c r="M1450" s="26"/>
      <c r="N1450" s="26"/>
      <c r="O1450" s="26"/>
      <c r="P1450" s="26"/>
      <c r="Q1450" s="66"/>
      <c r="R1450" s="66"/>
      <c r="S1450" s="26"/>
    </row>
    <row r="1451" spans="1:19">
      <c r="A1451" s="24"/>
      <c r="B1451" s="25" t="s">
        <v>185</v>
      </c>
      <c r="C1451" s="26" t="s">
        <v>8</v>
      </c>
      <c r="D1451" s="351">
        <v>1</v>
      </c>
      <c r="E1451" s="303"/>
      <c r="F1451" s="351">
        <v>1</v>
      </c>
      <c r="G1451" s="26"/>
      <c r="H1451" s="26"/>
      <c r="I1451" s="26"/>
      <c r="J1451" s="26"/>
      <c r="K1451" s="26"/>
      <c r="L1451" s="26"/>
      <c r="M1451" s="26"/>
      <c r="N1451" s="26"/>
      <c r="O1451" s="26"/>
      <c r="P1451" s="26"/>
      <c r="Q1451" s="66"/>
      <c r="R1451" s="66"/>
      <c r="S1451" s="26"/>
    </row>
    <row r="1452" spans="1:19">
      <c r="A1452" s="24"/>
      <c r="B1452" s="25" t="s">
        <v>186</v>
      </c>
      <c r="C1452" s="26" t="s">
        <v>8</v>
      </c>
      <c r="D1452" s="351">
        <v>2</v>
      </c>
      <c r="E1452" s="303"/>
      <c r="F1452" s="351">
        <v>2</v>
      </c>
      <c r="G1452" s="26"/>
      <c r="H1452" s="26"/>
      <c r="I1452" s="26"/>
      <c r="J1452" s="26"/>
      <c r="K1452" s="26"/>
      <c r="L1452" s="26"/>
      <c r="M1452" s="26"/>
      <c r="N1452" s="26"/>
      <c r="O1452" s="26"/>
      <c r="P1452" s="26"/>
      <c r="Q1452" s="66"/>
      <c r="R1452" s="66"/>
      <c r="S1452" s="26"/>
    </row>
    <row r="1453" spans="1:19">
      <c r="A1453" s="24"/>
      <c r="B1453" s="25" t="s">
        <v>187</v>
      </c>
      <c r="C1453" s="26" t="s">
        <v>78</v>
      </c>
      <c r="D1453" s="351">
        <v>1</v>
      </c>
      <c r="E1453" s="303"/>
      <c r="F1453" s="351">
        <v>1</v>
      </c>
      <c r="G1453" s="26"/>
      <c r="H1453" s="26"/>
      <c r="I1453" s="26"/>
      <c r="J1453" s="26"/>
      <c r="K1453" s="26"/>
      <c r="L1453" s="26"/>
      <c r="M1453" s="26"/>
      <c r="N1453" s="26"/>
      <c r="O1453" s="26"/>
      <c r="P1453" s="26"/>
      <c r="Q1453" s="66"/>
      <c r="R1453" s="66"/>
      <c r="S1453" s="26"/>
    </row>
    <row r="1454" spans="1:19">
      <c r="A1454" s="24"/>
      <c r="B1454" s="25" t="s">
        <v>274</v>
      </c>
      <c r="C1454" s="26" t="s">
        <v>17</v>
      </c>
      <c r="D1454" s="351">
        <v>2</v>
      </c>
      <c r="E1454" s="303"/>
      <c r="F1454" s="351">
        <v>2</v>
      </c>
      <c r="G1454" s="26"/>
      <c r="H1454" s="26"/>
      <c r="I1454" s="26"/>
      <c r="J1454" s="26"/>
      <c r="K1454" s="26"/>
      <c r="L1454" s="26"/>
      <c r="M1454" s="26"/>
      <c r="N1454" s="26"/>
      <c r="O1454" s="26"/>
      <c r="P1454" s="26"/>
      <c r="Q1454" s="66"/>
      <c r="R1454" s="66"/>
      <c r="S1454" s="26"/>
    </row>
    <row r="1455" spans="1:19">
      <c r="A1455" s="24"/>
      <c r="B1455" s="25" t="s">
        <v>182</v>
      </c>
      <c r="C1455" s="26" t="s">
        <v>8</v>
      </c>
      <c r="D1455" s="351">
        <v>2</v>
      </c>
      <c r="E1455" s="303"/>
      <c r="F1455" s="351">
        <v>2</v>
      </c>
      <c r="G1455" s="26"/>
      <c r="H1455" s="26"/>
      <c r="I1455" s="26"/>
      <c r="J1455" s="26"/>
      <c r="K1455" s="26"/>
      <c r="L1455" s="26"/>
      <c r="M1455" s="26"/>
      <c r="N1455" s="26"/>
      <c r="O1455" s="26"/>
      <c r="P1455" s="26"/>
      <c r="Q1455" s="66"/>
      <c r="R1455" s="66"/>
      <c r="S1455" s="26"/>
    </row>
    <row r="1456" spans="1:19">
      <c r="A1456" s="24"/>
      <c r="B1456" s="25" t="s">
        <v>183</v>
      </c>
      <c r="C1456" s="26" t="s">
        <v>8</v>
      </c>
      <c r="D1456" s="351">
        <v>2</v>
      </c>
      <c r="E1456" s="303"/>
      <c r="F1456" s="351">
        <v>2</v>
      </c>
      <c r="G1456" s="26"/>
      <c r="H1456" s="26"/>
      <c r="I1456" s="26"/>
      <c r="J1456" s="26"/>
      <c r="K1456" s="26"/>
      <c r="L1456" s="26"/>
      <c r="M1456" s="26"/>
      <c r="N1456" s="26"/>
      <c r="O1456" s="26"/>
      <c r="P1456" s="26"/>
      <c r="Q1456" s="66"/>
      <c r="R1456" s="66"/>
      <c r="S1456" s="26"/>
    </row>
    <row r="1457" spans="1:19">
      <c r="A1457" s="24"/>
      <c r="B1457" s="25" t="s">
        <v>275</v>
      </c>
      <c r="C1457" s="26" t="s">
        <v>8</v>
      </c>
      <c r="D1457" s="351">
        <v>2</v>
      </c>
      <c r="E1457" s="303"/>
      <c r="F1457" s="351">
        <v>2</v>
      </c>
      <c r="G1457" s="26"/>
      <c r="H1457" s="26"/>
      <c r="I1457" s="26"/>
      <c r="J1457" s="26"/>
      <c r="K1457" s="26"/>
      <c r="L1457" s="26"/>
      <c r="M1457" s="26"/>
      <c r="N1457" s="26"/>
      <c r="O1457" s="26"/>
      <c r="P1457" s="26"/>
      <c r="Q1457" s="66"/>
      <c r="R1457" s="66"/>
      <c r="S1457" s="26"/>
    </row>
    <row r="1458" spans="1:19">
      <c r="A1458" s="24"/>
      <c r="B1458" s="25" t="s">
        <v>185</v>
      </c>
      <c r="C1458" s="26" t="s">
        <v>8</v>
      </c>
      <c r="D1458" s="351">
        <v>2</v>
      </c>
      <c r="E1458" s="303"/>
      <c r="F1458" s="351">
        <v>2</v>
      </c>
      <c r="G1458" s="26"/>
      <c r="H1458" s="26"/>
      <c r="I1458" s="26"/>
      <c r="J1458" s="26"/>
      <c r="K1458" s="26"/>
      <c r="L1458" s="26"/>
      <c r="M1458" s="26"/>
      <c r="N1458" s="26"/>
      <c r="O1458" s="26"/>
      <c r="P1458" s="26"/>
      <c r="Q1458" s="66"/>
      <c r="R1458" s="66"/>
      <c r="S1458" s="26"/>
    </row>
    <row r="1459" spans="1:19">
      <c r="A1459" s="24"/>
      <c r="B1459" s="25" t="s">
        <v>186</v>
      </c>
      <c r="C1459" s="26" t="s">
        <v>8</v>
      </c>
      <c r="D1459" s="351">
        <v>4</v>
      </c>
      <c r="E1459" s="303"/>
      <c r="F1459" s="351">
        <v>4</v>
      </c>
      <c r="G1459" s="26"/>
      <c r="H1459" s="26"/>
      <c r="I1459" s="26"/>
      <c r="J1459" s="26"/>
      <c r="K1459" s="26"/>
      <c r="L1459" s="26"/>
      <c r="M1459" s="26"/>
      <c r="N1459" s="26"/>
      <c r="O1459" s="26"/>
      <c r="P1459" s="26"/>
      <c r="Q1459" s="66"/>
      <c r="R1459" s="66"/>
      <c r="S1459" s="26"/>
    </row>
    <row r="1460" spans="1:19">
      <c r="A1460" s="24"/>
      <c r="B1460" s="25" t="s">
        <v>187</v>
      </c>
      <c r="C1460" s="26" t="s">
        <v>78</v>
      </c>
      <c r="D1460" s="351">
        <v>1</v>
      </c>
      <c r="E1460" s="303"/>
      <c r="F1460" s="351">
        <v>1</v>
      </c>
      <c r="G1460" s="26"/>
      <c r="H1460" s="26"/>
      <c r="I1460" s="26"/>
      <c r="J1460" s="26"/>
      <c r="K1460" s="26"/>
      <c r="L1460" s="26"/>
      <c r="M1460" s="26"/>
      <c r="N1460" s="26"/>
      <c r="O1460" s="26"/>
      <c r="P1460" s="26"/>
      <c r="Q1460" s="66"/>
      <c r="R1460" s="66"/>
      <c r="S1460" s="26"/>
    </row>
    <row r="1461" spans="1:19">
      <c r="A1461" s="24"/>
      <c r="B1461" s="25" t="s">
        <v>393</v>
      </c>
      <c r="C1461" s="26" t="s">
        <v>17</v>
      </c>
      <c r="D1461" s="351">
        <v>1</v>
      </c>
      <c r="E1461" s="303"/>
      <c r="F1461" s="351">
        <v>1</v>
      </c>
      <c r="G1461" s="26"/>
      <c r="H1461" s="26"/>
      <c r="I1461" s="26"/>
      <c r="J1461" s="26"/>
      <c r="K1461" s="26"/>
      <c r="L1461" s="26"/>
      <c r="M1461" s="26"/>
      <c r="N1461" s="26"/>
      <c r="O1461" s="26"/>
      <c r="P1461" s="26"/>
      <c r="Q1461" s="66"/>
      <c r="R1461" s="66"/>
      <c r="S1461" s="26"/>
    </row>
    <row r="1462" spans="1:19">
      <c r="A1462" s="24"/>
      <c r="B1462" s="25" t="s">
        <v>317</v>
      </c>
      <c r="C1462" s="26" t="s">
        <v>8</v>
      </c>
      <c r="D1462" s="351">
        <v>1</v>
      </c>
      <c r="E1462" s="303"/>
      <c r="F1462" s="351">
        <v>1</v>
      </c>
      <c r="G1462" s="26"/>
      <c r="H1462" s="26"/>
      <c r="I1462" s="26"/>
      <c r="J1462" s="26"/>
      <c r="K1462" s="26"/>
      <c r="L1462" s="26"/>
      <c r="M1462" s="26"/>
      <c r="N1462" s="26"/>
      <c r="O1462" s="26"/>
      <c r="P1462" s="26"/>
      <c r="Q1462" s="66"/>
      <c r="R1462" s="66"/>
      <c r="S1462" s="26"/>
    </row>
    <row r="1463" spans="1:19">
      <c r="A1463" s="24"/>
      <c r="B1463" s="25" t="s">
        <v>183</v>
      </c>
      <c r="C1463" s="26" t="s">
        <v>8</v>
      </c>
      <c r="D1463" s="351">
        <v>1</v>
      </c>
      <c r="E1463" s="303"/>
      <c r="F1463" s="351">
        <v>1</v>
      </c>
      <c r="G1463" s="26"/>
      <c r="H1463" s="26"/>
      <c r="I1463" s="26"/>
      <c r="J1463" s="26"/>
      <c r="K1463" s="26"/>
      <c r="L1463" s="26"/>
      <c r="M1463" s="26"/>
      <c r="N1463" s="26"/>
      <c r="O1463" s="26"/>
      <c r="P1463" s="26"/>
      <c r="Q1463" s="66"/>
      <c r="R1463" s="66"/>
      <c r="S1463" s="26"/>
    </row>
    <row r="1464" spans="1:19">
      <c r="A1464" s="24"/>
      <c r="B1464" s="25" t="s">
        <v>190</v>
      </c>
      <c r="C1464" s="26" t="s">
        <v>8</v>
      </c>
      <c r="D1464" s="351">
        <v>1</v>
      </c>
      <c r="E1464" s="303"/>
      <c r="F1464" s="351">
        <v>1</v>
      </c>
      <c r="G1464" s="26"/>
      <c r="H1464" s="26"/>
      <c r="I1464" s="26"/>
      <c r="J1464" s="26"/>
      <c r="K1464" s="26"/>
      <c r="L1464" s="26"/>
      <c r="M1464" s="26"/>
      <c r="N1464" s="26"/>
      <c r="O1464" s="26"/>
      <c r="P1464" s="26"/>
      <c r="Q1464" s="66"/>
      <c r="R1464" s="66"/>
      <c r="S1464" s="26"/>
    </row>
    <row r="1465" spans="1:19">
      <c r="A1465" s="24"/>
      <c r="B1465" s="25" t="s">
        <v>185</v>
      </c>
      <c r="C1465" s="26" t="s">
        <v>8</v>
      </c>
      <c r="D1465" s="351">
        <v>1</v>
      </c>
      <c r="E1465" s="303"/>
      <c r="F1465" s="351">
        <v>1</v>
      </c>
      <c r="G1465" s="26"/>
      <c r="H1465" s="26"/>
      <c r="I1465" s="26"/>
      <c r="J1465" s="26"/>
      <c r="K1465" s="26"/>
      <c r="L1465" s="26"/>
      <c r="M1465" s="26"/>
      <c r="N1465" s="26"/>
      <c r="O1465" s="26"/>
      <c r="P1465" s="26"/>
      <c r="Q1465" s="66"/>
      <c r="R1465" s="66"/>
      <c r="S1465" s="26"/>
    </row>
    <row r="1466" spans="1:19">
      <c r="A1466" s="24"/>
      <c r="B1466" s="25" t="s">
        <v>186</v>
      </c>
      <c r="C1466" s="26" t="s">
        <v>8</v>
      </c>
      <c r="D1466" s="351">
        <v>2</v>
      </c>
      <c r="E1466" s="303"/>
      <c r="F1466" s="351">
        <v>2</v>
      </c>
      <c r="G1466" s="26"/>
      <c r="H1466" s="26"/>
      <c r="I1466" s="26"/>
      <c r="J1466" s="26"/>
      <c r="K1466" s="26"/>
      <c r="L1466" s="26"/>
      <c r="M1466" s="26"/>
      <c r="N1466" s="26"/>
      <c r="O1466" s="26"/>
      <c r="P1466" s="26"/>
      <c r="Q1466" s="66"/>
      <c r="R1466" s="66"/>
      <c r="S1466" s="26"/>
    </row>
    <row r="1467" spans="1:19">
      <c r="A1467" s="24"/>
      <c r="B1467" s="25" t="s">
        <v>187</v>
      </c>
      <c r="C1467" s="26" t="s">
        <v>78</v>
      </c>
      <c r="D1467" s="351">
        <v>1</v>
      </c>
      <c r="E1467" s="303"/>
      <c r="F1467" s="351">
        <v>1</v>
      </c>
      <c r="G1467" s="26"/>
      <c r="H1467" s="26"/>
      <c r="I1467" s="26"/>
      <c r="J1467" s="26"/>
      <c r="K1467" s="26"/>
      <c r="L1467" s="26"/>
      <c r="M1467" s="26"/>
      <c r="N1467" s="26"/>
      <c r="O1467" s="26"/>
      <c r="P1467" s="26"/>
      <c r="Q1467" s="66"/>
      <c r="R1467" s="66"/>
      <c r="S1467" s="26"/>
    </row>
    <row r="1468" spans="1:19">
      <c r="A1468" s="24"/>
      <c r="B1468" s="25" t="s">
        <v>394</v>
      </c>
      <c r="C1468" s="26" t="s">
        <v>17</v>
      </c>
      <c r="D1468" s="351">
        <v>1</v>
      </c>
      <c r="E1468" s="303"/>
      <c r="F1468" s="351">
        <v>1</v>
      </c>
      <c r="G1468" s="26"/>
      <c r="H1468" s="26"/>
      <c r="I1468" s="26"/>
      <c r="J1468" s="26"/>
      <c r="K1468" s="26"/>
      <c r="L1468" s="26"/>
      <c r="M1468" s="26"/>
      <c r="N1468" s="26"/>
      <c r="O1468" s="26"/>
      <c r="P1468" s="26"/>
      <c r="Q1468" s="66"/>
      <c r="R1468" s="66"/>
      <c r="S1468" s="26"/>
    </row>
    <row r="1469" spans="1:19">
      <c r="A1469" s="24"/>
      <c r="B1469" s="25" t="s">
        <v>317</v>
      </c>
      <c r="C1469" s="26" t="s">
        <v>8</v>
      </c>
      <c r="D1469" s="351">
        <v>1</v>
      </c>
      <c r="E1469" s="303"/>
      <c r="F1469" s="351">
        <v>1</v>
      </c>
      <c r="G1469" s="26"/>
      <c r="H1469" s="26"/>
      <c r="I1469" s="26"/>
      <c r="J1469" s="26"/>
      <c r="K1469" s="26"/>
      <c r="L1469" s="26"/>
      <c r="M1469" s="26"/>
      <c r="N1469" s="26"/>
      <c r="O1469" s="26"/>
      <c r="P1469" s="26"/>
      <c r="Q1469" s="66"/>
      <c r="R1469" s="66"/>
      <c r="S1469" s="26"/>
    </row>
    <row r="1470" spans="1:19">
      <c r="A1470" s="24"/>
      <c r="B1470" s="25" t="s">
        <v>183</v>
      </c>
      <c r="C1470" s="26" t="s">
        <v>8</v>
      </c>
      <c r="D1470" s="351">
        <v>1</v>
      </c>
      <c r="E1470" s="303"/>
      <c r="F1470" s="351">
        <v>1</v>
      </c>
      <c r="G1470" s="26"/>
      <c r="H1470" s="26"/>
      <c r="I1470" s="26"/>
      <c r="J1470" s="26"/>
      <c r="K1470" s="26"/>
      <c r="L1470" s="26"/>
      <c r="M1470" s="26"/>
      <c r="N1470" s="26"/>
      <c r="O1470" s="26"/>
      <c r="P1470" s="26"/>
      <c r="Q1470" s="66"/>
      <c r="R1470" s="66"/>
      <c r="S1470" s="26"/>
    </row>
    <row r="1471" spans="1:19">
      <c r="A1471" s="24"/>
      <c r="B1471" s="25" t="s">
        <v>190</v>
      </c>
      <c r="C1471" s="26" t="s">
        <v>8</v>
      </c>
      <c r="D1471" s="351">
        <v>1</v>
      </c>
      <c r="E1471" s="303"/>
      <c r="F1471" s="351">
        <v>1</v>
      </c>
      <c r="G1471" s="26"/>
      <c r="H1471" s="26"/>
      <c r="I1471" s="26"/>
      <c r="J1471" s="26"/>
      <c r="K1471" s="26"/>
      <c r="L1471" s="26"/>
      <c r="M1471" s="26"/>
      <c r="N1471" s="26"/>
      <c r="O1471" s="26"/>
      <c r="P1471" s="26"/>
      <c r="Q1471" s="66"/>
      <c r="R1471" s="66"/>
      <c r="S1471" s="26"/>
    </row>
    <row r="1472" spans="1:19">
      <c r="A1472" s="24"/>
      <c r="B1472" s="25" t="s">
        <v>185</v>
      </c>
      <c r="C1472" s="26" t="s">
        <v>8</v>
      </c>
      <c r="D1472" s="351">
        <v>1</v>
      </c>
      <c r="E1472" s="303"/>
      <c r="F1472" s="351">
        <v>1</v>
      </c>
      <c r="G1472" s="26"/>
      <c r="H1472" s="26"/>
      <c r="I1472" s="26"/>
      <c r="J1472" s="26"/>
      <c r="K1472" s="26"/>
      <c r="L1472" s="26"/>
      <c r="M1472" s="26"/>
      <c r="N1472" s="26"/>
      <c r="O1472" s="26"/>
      <c r="P1472" s="26"/>
      <c r="Q1472" s="66"/>
      <c r="R1472" s="66"/>
      <c r="S1472" s="26"/>
    </row>
    <row r="1473" spans="1:19">
      <c r="A1473" s="24"/>
      <c r="B1473" s="25" t="s">
        <v>186</v>
      </c>
      <c r="C1473" s="26" t="s">
        <v>8</v>
      </c>
      <c r="D1473" s="351">
        <v>2</v>
      </c>
      <c r="E1473" s="303"/>
      <c r="F1473" s="351">
        <v>2</v>
      </c>
      <c r="G1473" s="26"/>
      <c r="H1473" s="26"/>
      <c r="I1473" s="26"/>
      <c r="J1473" s="26"/>
      <c r="K1473" s="26"/>
      <c r="L1473" s="26"/>
      <c r="M1473" s="26"/>
      <c r="N1473" s="26"/>
      <c r="O1473" s="26"/>
      <c r="P1473" s="26"/>
      <c r="Q1473" s="66"/>
      <c r="R1473" s="66"/>
      <c r="S1473" s="26"/>
    </row>
    <row r="1474" spans="1:19">
      <c r="A1474" s="24"/>
      <c r="B1474" s="25" t="s">
        <v>187</v>
      </c>
      <c r="C1474" s="26" t="s">
        <v>78</v>
      </c>
      <c r="D1474" s="351">
        <v>1</v>
      </c>
      <c r="E1474" s="303"/>
      <c r="F1474" s="351">
        <v>1</v>
      </c>
      <c r="G1474" s="26"/>
      <c r="H1474" s="26"/>
      <c r="I1474" s="26"/>
      <c r="J1474" s="26"/>
      <c r="K1474" s="26"/>
      <c r="L1474" s="26"/>
      <c r="M1474" s="26"/>
      <c r="N1474" s="26"/>
      <c r="O1474" s="26"/>
      <c r="P1474" s="26"/>
      <c r="Q1474" s="66"/>
      <c r="R1474" s="66"/>
      <c r="S1474" s="26"/>
    </row>
    <row r="1475" spans="1:19">
      <c r="A1475" s="24"/>
      <c r="B1475" s="25" t="s">
        <v>173</v>
      </c>
      <c r="C1475" s="26" t="s">
        <v>8</v>
      </c>
      <c r="D1475" s="351">
        <v>1</v>
      </c>
      <c r="E1475" s="303"/>
      <c r="F1475" s="351">
        <v>1</v>
      </c>
      <c r="G1475" s="26"/>
      <c r="H1475" s="26"/>
      <c r="I1475" s="26"/>
      <c r="J1475" s="26"/>
      <c r="K1475" s="26"/>
      <c r="L1475" s="26"/>
      <c r="M1475" s="26"/>
      <c r="N1475" s="26"/>
      <c r="O1475" s="26"/>
      <c r="P1475" s="26"/>
      <c r="Q1475" s="66"/>
      <c r="R1475" s="66"/>
      <c r="S1475" s="26"/>
    </row>
    <row r="1476" spans="1:19">
      <c r="A1476" s="24"/>
      <c r="B1476" s="25" t="s">
        <v>395</v>
      </c>
      <c r="C1476" s="26" t="s">
        <v>17</v>
      </c>
      <c r="D1476" s="351">
        <v>1</v>
      </c>
      <c r="E1476" s="303"/>
      <c r="F1476" s="351">
        <v>1</v>
      </c>
      <c r="G1476" s="26"/>
      <c r="H1476" s="26"/>
      <c r="I1476" s="26"/>
      <c r="J1476" s="26"/>
      <c r="K1476" s="26"/>
      <c r="L1476" s="26"/>
      <c r="M1476" s="26"/>
      <c r="N1476" s="26"/>
      <c r="O1476" s="26"/>
      <c r="P1476" s="26"/>
      <c r="Q1476" s="66"/>
      <c r="R1476" s="66"/>
      <c r="S1476" s="26"/>
    </row>
    <row r="1477" spans="1:19">
      <c r="A1477" s="24"/>
      <c r="B1477" s="25" t="s">
        <v>217</v>
      </c>
      <c r="C1477" s="26" t="s">
        <v>17</v>
      </c>
      <c r="D1477" s="351">
        <v>1</v>
      </c>
      <c r="E1477" s="303"/>
      <c r="F1477" s="351">
        <v>1</v>
      </c>
      <c r="G1477" s="26"/>
      <c r="H1477" s="26"/>
      <c r="I1477" s="26"/>
      <c r="J1477" s="26"/>
      <c r="K1477" s="26"/>
      <c r="L1477" s="26"/>
      <c r="M1477" s="26"/>
      <c r="N1477" s="26"/>
      <c r="O1477" s="26"/>
      <c r="P1477" s="26"/>
      <c r="Q1477" s="66"/>
      <c r="R1477" s="66"/>
      <c r="S1477" s="26"/>
    </row>
    <row r="1478" spans="1:19" ht="30">
      <c r="A1478" s="24"/>
      <c r="B1478" s="25" t="s">
        <v>176</v>
      </c>
      <c r="C1478" s="26" t="s">
        <v>78</v>
      </c>
      <c r="D1478" s="351">
        <v>1</v>
      </c>
      <c r="E1478" s="303"/>
      <c r="F1478" s="351">
        <v>1</v>
      </c>
      <c r="G1478" s="26"/>
      <c r="H1478" s="26"/>
      <c r="I1478" s="26"/>
      <c r="J1478" s="26"/>
      <c r="K1478" s="26"/>
      <c r="L1478" s="26"/>
      <c r="M1478" s="26"/>
      <c r="N1478" s="26"/>
      <c r="O1478" s="26"/>
      <c r="P1478" s="26"/>
      <c r="Q1478" s="66"/>
      <c r="R1478" s="66"/>
      <c r="S1478" s="26"/>
    </row>
    <row r="1479" spans="1:19" ht="60">
      <c r="A1479" s="24">
        <v>50</v>
      </c>
      <c r="B1479" s="25" t="s">
        <v>396</v>
      </c>
      <c r="C1479" s="26" t="s">
        <v>7</v>
      </c>
      <c r="D1479" s="351">
        <v>1</v>
      </c>
      <c r="E1479" s="303"/>
      <c r="F1479" s="351">
        <v>1</v>
      </c>
      <c r="G1479" s="26" t="s">
        <v>2326</v>
      </c>
      <c r="H1479" s="26"/>
      <c r="I1479" s="26" t="s">
        <v>2327</v>
      </c>
      <c r="J1479" s="26" t="s">
        <v>2328</v>
      </c>
      <c r="K1479" s="311">
        <v>112851948.32999998</v>
      </c>
      <c r="L1479" s="311">
        <v>0</v>
      </c>
      <c r="M1479" s="311">
        <v>2486000.0000000009</v>
      </c>
      <c r="N1479" s="311">
        <v>11619186.700000001</v>
      </c>
      <c r="O1479" s="311">
        <v>8133430.6900000004</v>
      </c>
      <c r="P1479" s="68">
        <f>SUM(K1479:O1479)</f>
        <v>135090565.72</v>
      </c>
      <c r="Q1479" s="68">
        <f>D1479*P1479</f>
        <v>135090565.72</v>
      </c>
      <c r="R1479" s="127">
        <f>F1479*P1479</f>
        <v>135090565.72</v>
      </c>
      <c r="S1479" s="26"/>
    </row>
    <row r="1480" spans="1:19" ht="30">
      <c r="A1480" s="24"/>
      <c r="B1480" s="25" t="s">
        <v>339</v>
      </c>
      <c r="C1480" s="26" t="s">
        <v>8</v>
      </c>
      <c r="D1480" s="351">
        <v>1</v>
      </c>
      <c r="E1480" s="303"/>
      <c r="F1480" s="351">
        <v>1</v>
      </c>
      <c r="G1480" s="26"/>
      <c r="H1480" s="26"/>
      <c r="I1480" s="26"/>
      <c r="J1480" s="26"/>
      <c r="K1480" s="26"/>
      <c r="L1480" s="26"/>
      <c r="M1480" s="26"/>
      <c r="N1480" s="26"/>
      <c r="O1480" s="26"/>
      <c r="P1480" s="26"/>
      <c r="Q1480" s="66"/>
      <c r="R1480" s="66"/>
      <c r="S1480" s="26"/>
    </row>
    <row r="1481" spans="1:19">
      <c r="A1481" s="24"/>
      <c r="B1481" s="25" t="s">
        <v>161</v>
      </c>
      <c r="C1481" s="26"/>
      <c r="D1481" s="351"/>
      <c r="E1481" s="303"/>
      <c r="F1481" s="351"/>
      <c r="G1481" s="26"/>
      <c r="H1481" s="26"/>
      <c r="I1481" s="26"/>
      <c r="J1481" s="26"/>
      <c r="K1481" s="26"/>
      <c r="L1481" s="26"/>
      <c r="M1481" s="26"/>
      <c r="N1481" s="26"/>
      <c r="O1481" s="26"/>
      <c r="P1481" s="26"/>
      <c r="Q1481" s="66"/>
      <c r="R1481" s="66"/>
      <c r="S1481" s="26"/>
    </row>
    <row r="1482" spans="1:19">
      <c r="A1482" s="24"/>
      <c r="B1482" s="25" t="s">
        <v>397</v>
      </c>
      <c r="C1482" s="26" t="s">
        <v>8</v>
      </c>
      <c r="D1482" s="351">
        <v>1</v>
      </c>
      <c r="E1482" s="303"/>
      <c r="F1482" s="351">
        <v>1</v>
      </c>
      <c r="G1482" s="26"/>
      <c r="H1482" s="26"/>
      <c r="I1482" s="26"/>
      <c r="J1482" s="26"/>
      <c r="K1482" s="26"/>
      <c r="L1482" s="26"/>
      <c r="M1482" s="26"/>
      <c r="N1482" s="26"/>
      <c r="O1482" s="26"/>
      <c r="P1482" s="26"/>
      <c r="Q1482" s="66"/>
      <c r="R1482" s="66"/>
      <c r="S1482" s="26"/>
    </row>
    <row r="1483" spans="1:19">
      <c r="A1483" s="24"/>
      <c r="B1483" s="25" t="s">
        <v>398</v>
      </c>
      <c r="C1483" s="26" t="s">
        <v>20</v>
      </c>
      <c r="D1483" s="351">
        <v>6</v>
      </c>
      <c r="E1483" s="303"/>
      <c r="F1483" s="351">
        <v>6</v>
      </c>
      <c r="G1483" s="26"/>
      <c r="H1483" s="26"/>
      <c r="I1483" s="26"/>
      <c r="J1483" s="26"/>
      <c r="K1483" s="26"/>
      <c r="L1483" s="26"/>
      <c r="M1483" s="26"/>
      <c r="N1483" s="26"/>
      <c r="O1483" s="26"/>
      <c r="P1483" s="26"/>
      <c r="Q1483" s="66"/>
      <c r="R1483" s="66"/>
      <c r="S1483" s="26"/>
    </row>
    <row r="1484" spans="1:19">
      <c r="A1484" s="24"/>
      <c r="B1484" s="25" t="s">
        <v>354</v>
      </c>
      <c r="C1484" s="26" t="s">
        <v>8</v>
      </c>
      <c r="D1484" s="351">
        <v>1</v>
      </c>
      <c r="E1484" s="303"/>
      <c r="F1484" s="351">
        <v>1</v>
      </c>
      <c r="G1484" s="26"/>
      <c r="H1484" s="26"/>
      <c r="I1484" s="26"/>
      <c r="J1484" s="26"/>
      <c r="K1484" s="26"/>
      <c r="L1484" s="26"/>
      <c r="M1484" s="26"/>
      <c r="N1484" s="26"/>
      <c r="O1484" s="26"/>
      <c r="P1484" s="26"/>
      <c r="Q1484" s="66"/>
      <c r="R1484" s="66"/>
      <c r="S1484" s="26"/>
    </row>
    <row r="1485" spans="1:19">
      <c r="A1485" s="24"/>
      <c r="B1485" s="25" t="s">
        <v>380</v>
      </c>
      <c r="C1485" s="26" t="s">
        <v>8</v>
      </c>
      <c r="D1485" s="351">
        <v>2</v>
      </c>
      <c r="E1485" s="303"/>
      <c r="F1485" s="351">
        <v>2</v>
      </c>
      <c r="G1485" s="26"/>
      <c r="H1485" s="26"/>
      <c r="I1485" s="26"/>
      <c r="J1485" s="26"/>
      <c r="K1485" s="26"/>
      <c r="L1485" s="26"/>
      <c r="M1485" s="26"/>
      <c r="N1485" s="26"/>
      <c r="O1485" s="26"/>
      <c r="P1485" s="26"/>
      <c r="Q1485" s="66"/>
      <c r="R1485" s="66"/>
      <c r="S1485" s="26"/>
    </row>
    <row r="1486" spans="1:19">
      <c r="A1486" s="24"/>
      <c r="B1486" s="25" t="s">
        <v>24</v>
      </c>
      <c r="C1486" s="26" t="s">
        <v>8</v>
      </c>
      <c r="D1486" s="351">
        <v>6</v>
      </c>
      <c r="E1486" s="303"/>
      <c r="F1486" s="351">
        <v>6</v>
      </c>
      <c r="G1486" s="26"/>
      <c r="H1486" s="26"/>
      <c r="I1486" s="26"/>
      <c r="J1486" s="26"/>
      <c r="K1486" s="26"/>
      <c r="L1486" s="26"/>
      <c r="M1486" s="26"/>
      <c r="N1486" s="26"/>
      <c r="O1486" s="26"/>
      <c r="P1486" s="26"/>
      <c r="Q1486" s="66"/>
      <c r="R1486" s="66"/>
      <c r="S1486" s="26"/>
    </row>
    <row r="1487" spans="1:19">
      <c r="A1487" s="24"/>
      <c r="B1487" s="25" t="s">
        <v>163</v>
      </c>
      <c r="C1487" s="26" t="s">
        <v>8</v>
      </c>
      <c r="D1487" s="351">
        <v>6</v>
      </c>
      <c r="E1487" s="303"/>
      <c r="F1487" s="351">
        <v>6</v>
      </c>
      <c r="G1487" s="26"/>
      <c r="H1487" s="26"/>
      <c r="I1487" s="26"/>
      <c r="J1487" s="26"/>
      <c r="K1487" s="26"/>
      <c r="L1487" s="26"/>
      <c r="M1487" s="26"/>
      <c r="N1487" s="26"/>
      <c r="O1487" s="26"/>
      <c r="P1487" s="26"/>
      <c r="Q1487" s="66"/>
      <c r="R1487" s="66"/>
      <c r="S1487" s="26"/>
    </row>
    <row r="1488" spans="1:19">
      <c r="A1488" s="24"/>
      <c r="B1488" s="25" t="s">
        <v>164</v>
      </c>
      <c r="C1488" s="26"/>
      <c r="D1488" s="351"/>
      <c r="E1488" s="303"/>
      <c r="F1488" s="351"/>
      <c r="G1488" s="26"/>
      <c r="H1488" s="26"/>
      <c r="I1488" s="26"/>
      <c r="J1488" s="26"/>
      <c r="K1488" s="26"/>
      <c r="L1488" s="26"/>
      <c r="M1488" s="26"/>
      <c r="N1488" s="26"/>
      <c r="O1488" s="26"/>
      <c r="P1488" s="26"/>
      <c r="Q1488" s="66"/>
      <c r="R1488" s="66"/>
      <c r="S1488" s="26"/>
    </row>
    <row r="1489" spans="1:19">
      <c r="A1489" s="24"/>
      <c r="B1489" s="25" t="s">
        <v>381</v>
      </c>
      <c r="C1489" s="26" t="s">
        <v>8</v>
      </c>
      <c r="D1489" s="351">
        <v>1</v>
      </c>
      <c r="E1489" s="303"/>
      <c r="F1489" s="351">
        <v>1</v>
      </c>
      <c r="G1489" s="26"/>
      <c r="H1489" s="26"/>
      <c r="I1489" s="26"/>
      <c r="J1489" s="26"/>
      <c r="K1489" s="26"/>
      <c r="L1489" s="26"/>
      <c r="M1489" s="26"/>
      <c r="N1489" s="26"/>
      <c r="O1489" s="26"/>
      <c r="P1489" s="26"/>
      <c r="Q1489" s="66"/>
      <c r="R1489" s="66"/>
      <c r="S1489" s="26"/>
    </row>
    <row r="1490" spans="1:19">
      <c r="A1490" s="24"/>
      <c r="B1490" s="25" t="s">
        <v>239</v>
      </c>
      <c r="C1490" s="26" t="s">
        <v>8</v>
      </c>
      <c r="D1490" s="351">
        <v>1</v>
      </c>
      <c r="E1490" s="92"/>
      <c r="F1490" s="351">
        <v>1</v>
      </c>
      <c r="G1490" s="329"/>
      <c r="H1490" s="329"/>
      <c r="I1490" s="329"/>
      <c r="J1490" s="329"/>
      <c r="K1490" s="329"/>
      <c r="L1490" s="329"/>
      <c r="M1490" s="329"/>
      <c r="N1490" s="329"/>
      <c r="O1490" s="329"/>
      <c r="P1490" s="329"/>
      <c r="Q1490" s="65"/>
      <c r="R1490" s="65"/>
      <c r="S1490" s="329"/>
    </row>
    <row r="1491" spans="1:19">
      <c r="A1491" s="24"/>
      <c r="B1491" s="25" t="s">
        <v>195</v>
      </c>
      <c r="C1491" s="26" t="s">
        <v>8</v>
      </c>
      <c r="D1491" s="351">
        <v>1</v>
      </c>
      <c r="E1491" s="303"/>
      <c r="F1491" s="351">
        <v>1</v>
      </c>
      <c r="G1491" s="26"/>
      <c r="H1491" s="26"/>
      <c r="I1491" s="26"/>
      <c r="J1491" s="26"/>
      <c r="K1491" s="26"/>
      <c r="L1491" s="26"/>
      <c r="M1491" s="26"/>
      <c r="N1491" s="26"/>
      <c r="O1491" s="26"/>
      <c r="P1491" s="26"/>
      <c r="Q1491" s="66"/>
      <c r="R1491" s="66"/>
      <c r="S1491" s="26"/>
    </row>
    <row r="1492" spans="1:19">
      <c r="A1492" s="24"/>
      <c r="B1492" s="25" t="s">
        <v>315</v>
      </c>
      <c r="C1492" s="26" t="s">
        <v>8</v>
      </c>
      <c r="D1492" s="351">
        <v>1</v>
      </c>
      <c r="E1492" s="303"/>
      <c r="F1492" s="351">
        <v>1</v>
      </c>
      <c r="G1492" s="26"/>
      <c r="H1492" s="26"/>
      <c r="I1492" s="26"/>
      <c r="J1492" s="26"/>
      <c r="K1492" s="26"/>
      <c r="L1492" s="26"/>
      <c r="M1492" s="26"/>
      <c r="N1492" s="26"/>
      <c r="O1492" s="26"/>
      <c r="P1492" s="26"/>
      <c r="Q1492" s="66"/>
      <c r="R1492" s="66"/>
      <c r="S1492" s="26"/>
    </row>
    <row r="1493" spans="1:19">
      <c r="A1493" s="24"/>
      <c r="B1493" s="25" t="s">
        <v>399</v>
      </c>
      <c r="C1493" s="26" t="s">
        <v>17</v>
      </c>
      <c r="D1493" s="351">
        <v>1</v>
      </c>
      <c r="E1493" s="303"/>
      <c r="F1493" s="351">
        <v>1</v>
      </c>
      <c r="G1493" s="26"/>
      <c r="H1493" s="26"/>
      <c r="I1493" s="26"/>
      <c r="J1493" s="26"/>
      <c r="K1493" s="26"/>
      <c r="L1493" s="26"/>
      <c r="M1493" s="26"/>
      <c r="N1493" s="26"/>
      <c r="O1493" s="26"/>
      <c r="P1493" s="26"/>
      <c r="Q1493" s="66"/>
      <c r="R1493" s="66"/>
      <c r="S1493" s="26"/>
    </row>
    <row r="1494" spans="1:19">
      <c r="A1494" s="24"/>
      <c r="B1494" s="25" t="s">
        <v>217</v>
      </c>
      <c r="C1494" s="26" t="s">
        <v>17</v>
      </c>
      <c r="D1494" s="351">
        <v>1</v>
      </c>
      <c r="E1494" s="303"/>
      <c r="F1494" s="351">
        <v>1</v>
      </c>
      <c r="G1494" s="26"/>
      <c r="H1494" s="26"/>
      <c r="I1494" s="26"/>
      <c r="J1494" s="26"/>
      <c r="K1494" s="26"/>
      <c r="L1494" s="26"/>
      <c r="M1494" s="26"/>
      <c r="N1494" s="26"/>
      <c r="O1494" s="26"/>
      <c r="P1494" s="26"/>
      <c r="Q1494" s="66"/>
      <c r="R1494" s="66"/>
      <c r="S1494" s="26"/>
    </row>
    <row r="1495" spans="1:19" ht="30">
      <c r="A1495" s="24"/>
      <c r="B1495" s="25" t="s">
        <v>176</v>
      </c>
      <c r="C1495" s="26" t="s">
        <v>78</v>
      </c>
      <c r="D1495" s="351">
        <v>1</v>
      </c>
      <c r="E1495" s="303"/>
      <c r="F1495" s="351">
        <v>1</v>
      </c>
      <c r="G1495" s="26"/>
      <c r="H1495" s="26"/>
      <c r="I1495" s="26"/>
      <c r="J1495" s="26"/>
      <c r="K1495" s="26"/>
      <c r="L1495" s="26"/>
      <c r="M1495" s="26"/>
      <c r="N1495" s="26"/>
      <c r="O1495" s="26"/>
      <c r="P1495" s="26"/>
      <c r="Q1495" s="66"/>
      <c r="R1495" s="66"/>
      <c r="S1495" s="26"/>
    </row>
    <row r="1496" spans="1:19" ht="60">
      <c r="A1496" s="24">
        <v>51</v>
      </c>
      <c r="B1496" s="25" t="s">
        <v>400</v>
      </c>
      <c r="C1496" s="26" t="s">
        <v>7</v>
      </c>
      <c r="D1496" s="351">
        <v>1</v>
      </c>
      <c r="E1496" s="303"/>
      <c r="F1496" s="351">
        <v>1</v>
      </c>
      <c r="G1496" s="26" t="s">
        <v>2326</v>
      </c>
      <c r="H1496" s="26"/>
      <c r="I1496" s="26" t="s">
        <v>2327</v>
      </c>
      <c r="J1496" s="26" t="s">
        <v>2328</v>
      </c>
      <c r="K1496" s="311">
        <v>13517539.199999999</v>
      </c>
      <c r="L1496" s="311">
        <v>0</v>
      </c>
      <c r="M1496" s="311">
        <v>1130000</v>
      </c>
      <c r="N1496" s="311">
        <v>1465408</v>
      </c>
      <c r="O1496" s="311">
        <v>1025785.6000000001</v>
      </c>
      <c r="P1496" s="68">
        <f>SUM(K1496:O1496)</f>
        <v>17138732.800000001</v>
      </c>
      <c r="Q1496" s="68">
        <f>D1496*P1496</f>
        <v>17138732.800000001</v>
      </c>
      <c r="R1496" s="127">
        <f>F1496*P1496</f>
        <v>17138732.800000001</v>
      </c>
      <c r="S1496" s="26"/>
    </row>
    <row r="1497" spans="1:19" ht="30">
      <c r="A1497" s="24"/>
      <c r="B1497" s="25" t="s">
        <v>235</v>
      </c>
      <c r="C1497" s="26" t="s">
        <v>8</v>
      </c>
      <c r="D1497" s="351">
        <v>1</v>
      </c>
      <c r="E1497" s="303"/>
      <c r="F1497" s="351">
        <v>1</v>
      </c>
      <c r="G1497" s="26"/>
      <c r="H1497" s="26"/>
      <c r="I1497" s="26"/>
      <c r="J1497" s="26"/>
      <c r="K1497" s="26"/>
      <c r="L1497" s="26"/>
      <c r="M1497" s="26"/>
      <c r="N1497" s="26"/>
      <c r="O1497" s="26"/>
      <c r="P1497" s="26"/>
      <c r="Q1497" s="66"/>
      <c r="R1497" s="66"/>
      <c r="S1497" s="26"/>
    </row>
    <row r="1498" spans="1:19">
      <c r="A1498" s="24"/>
      <c r="B1498" s="25" t="s">
        <v>161</v>
      </c>
      <c r="C1498" s="26"/>
      <c r="D1498" s="351"/>
      <c r="E1498" s="303"/>
      <c r="F1498" s="351"/>
      <c r="G1498" s="26"/>
      <c r="H1498" s="26"/>
      <c r="I1498" s="26"/>
      <c r="J1498" s="26"/>
      <c r="K1498" s="26"/>
      <c r="L1498" s="26"/>
      <c r="M1498" s="26"/>
      <c r="N1498" s="26"/>
      <c r="O1498" s="26"/>
      <c r="P1498" s="26"/>
      <c r="Q1498" s="66"/>
      <c r="R1498" s="66"/>
      <c r="S1498" s="26"/>
    </row>
    <row r="1499" spans="1:19">
      <c r="A1499" s="24"/>
      <c r="B1499" s="25" t="s">
        <v>401</v>
      </c>
      <c r="C1499" s="26" t="s">
        <v>8</v>
      </c>
      <c r="D1499" s="351">
        <v>1</v>
      </c>
      <c r="E1499" s="303"/>
      <c r="F1499" s="351">
        <v>1</v>
      </c>
      <c r="G1499" s="26"/>
      <c r="H1499" s="26"/>
      <c r="I1499" s="26"/>
      <c r="J1499" s="26"/>
      <c r="K1499" s="26"/>
      <c r="L1499" s="26"/>
      <c r="M1499" s="26"/>
      <c r="N1499" s="26"/>
      <c r="O1499" s="26"/>
      <c r="P1499" s="26"/>
      <c r="Q1499" s="66"/>
      <c r="R1499" s="66"/>
      <c r="S1499" s="26"/>
    </row>
    <row r="1500" spans="1:19">
      <c r="A1500" s="24"/>
      <c r="B1500" s="25" t="s">
        <v>24</v>
      </c>
      <c r="C1500" s="26" t="s">
        <v>8</v>
      </c>
      <c r="D1500" s="351">
        <v>3</v>
      </c>
      <c r="E1500" s="303"/>
      <c r="F1500" s="351">
        <v>3</v>
      </c>
      <c r="G1500" s="26"/>
      <c r="H1500" s="26"/>
      <c r="I1500" s="26"/>
      <c r="J1500" s="26"/>
      <c r="K1500" s="26"/>
      <c r="L1500" s="26"/>
      <c r="M1500" s="26"/>
      <c r="N1500" s="26"/>
      <c r="O1500" s="26"/>
      <c r="P1500" s="26"/>
      <c r="Q1500" s="66"/>
      <c r="R1500" s="66"/>
      <c r="S1500" s="26"/>
    </row>
    <row r="1501" spans="1:19">
      <c r="A1501" s="24"/>
      <c r="B1501" s="25" t="s">
        <v>164</v>
      </c>
      <c r="C1501" s="26"/>
      <c r="D1501" s="351"/>
      <c r="E1501" s="303"/>
      <c r="F1501" s="351"/>
      <c r="G1501" s="26"/>
      <c r="H1501" s="26"/>
      <c r="I1501" s="26"/>
      <c r="J1501" s="26"/>
      <c r="K1501" s="26"/>
      <c r="L1501" s="26"/>
      <c r="M1501" s="26"/>
      <c r="N1501" s="26"/>
      <c r="O1501" s="26"/>
      <c r="P1501" s="26"/>
      <c r="Q1501" s="66"/>
      <c r="R1501" s="66"/>
      <c r="S1501" s="26"/>
    </row>
    <row r="1502" spans="1:19">
      <c r="A1502" s="24"/>
      <c r="B1502" s="25" t="s">
        <v>251</v>
      </c>
      <c r="C1502" s="26" t="s">
        <v>8</v>
      </c>
      <c r="D1502" s="351">
        <v>1</v>
      </c>
      <c r="E1502" s="303"/>
      <c r="F1502" s="351">
        <v>1</v>
      </c>
      <c r="G1502" s="26"/>
      <c r="H1502" s="26"/>
      <c r="I1502" s="26"/>
      <c r="J1502" s="26"/>
      <c r="K1502" s="26"/>
      <c r="L1502" s="26"/>
      <c r="M1502" s="26"/>
      <c r="N1502" s="26"/>
      <c r="O1502" s="26"/>
      <c r="P1502" s="26"/>
      <c r="Q1502" s="66"/>
      <c r="R1502" s="66"/>
      <c r="S1502" s="26"/>
    </row>
    <row r="1503" spans="1:19">
      <c r="A1503" s="24"/>
      <c r="B1503" s="25" t="s">
        <v>320</v>
      </c>
      <c r="C1503" s="26" t="s">
        <v>8</v>
      </c>
      <c r="D1503" s="351">
        <v>1</v>
      </c>
      <c r="E1503" s="303"/>
      <c r="F1503" s="351">
        <v>1</v>
      </c>
      <c r="G1503" s="26"/>
      <c r="H1503" s="26"/>
      <c r="I1503" s="26"/>
      <c r="J1503" s="26"/>
      <c r="K1503" s="26"/>
      <c r="L1503" s="26"/>
      <c r="M1503" s="26"/>
      <c r="N1503" s="26"/>
      <c r="O1503" s="26"/>
      <c r="P1503" s="26"/>
      <c r="Q1503" s="66"/>
      <c r="R1503" s="66"/>
      <c r="S1503" s="26"/>
    </row>
    <row r="1504" spans="1:19">
      <c r="A1504" s="24"/>
      <c r="B1504" s="25" t="s">
        <v>366</v>
      </c>
      <c r="C1504" s="26" t="s">
        <v>17</v>
      </c>
      <c r="D1504" s="351">
        <v>1</v>
      </c>
      <c r="E1504" s="303"/>
      <c r="F1504" s="351">
        <v>1</v>
      </c>
      <c r="G1504" s="26"/>
      <c r="H1504" s="26"/>
      <c r="I1504" s="26"/>
      <c r="J1504" s="26"/>
      <c r="K1504" s="26"/>
      <c r="L1504" s="26"/>
      <c r="M1504" s="26"/>
      <c r="N1504" s="26"/>
      <c r="O1504" s="26"/>
      <c r="P1504" s="26"/>
      <c r="Q1504" s="66"/>
      <c r="R1504" s="66"/>
      <c r="S1504" s="26"/>
    </row>
    <row r="1505" spans="1:19">
      <c r="A1505" s="24"/>
      <c r="B1505" s="25" t="s">
        <v>217</v>
      </c>
      <c r="C1505" s="26" t="s">
        <v>17</v>
      </c>
      <c r="D1505" s="351">
        <v>1</v>
      </c>
      <c r="E1505" s="303"/>
      <c r="F1505" s="351">
        <v>1</v>
      </c>
      <c r="G1505" s="26"/>
      <c r="H1505" s="26"/>
      <c r="I1505" s="26"/>
      <c r="J1505" s="26"/>
      <c r="K1505" s="26"/>
      <c r="L1505" s="26"/>
      <c r="M1505" s="26"/>
      <c r="N1505" s="26"/>
      <c r="O1505" s="26"/>
      <c r="P1505" s="26"/>
      <c r="Q1505" s="66"/>
      <c r="R1505" s="66"/>
      <c r="S1505" s="26"/>
    </row>
    <row r="1506" spans="1:19" ht="30">
      <c r="A1506" s="24"/>
      <c r="B1506" s="25" t="s">
        <v>176</v>
      </c>
      <c r="C1506" s="26" t="s">
        <v>78</v>
      </c>
      <c r="D1506" s="351">
        <v>1</v>
      </c>
      <c r="E1506" s="303"/>
      <c r="F1506" s="351">
        <v>1</v>
      </c>
      <c r="G1506" s="26"/>
      <c r="H1506" s="26"/>
      <c r="I1506" s="26"/>
      <c r="J1506" s="26"/>
      <c r="K1506" s="26"/>
      <c r="L1506" s="26"/>
      <c r="M1506" s="26"/>
      <c r="N1506" s="26"/>
      <c r="O1506" s="26"/>
      <c r="P1506" s="26"/>
      <c r="Q1506" s="66"/>
      <c r="R1506" s="66"/>
      <c r="S1506" s="26"/>
    </row>
    <row r="1507" spans="1:19" ht="60">
      <c r="A1507" s="24">
        <v>52</v>
      </c>
      <c r="B1507" s="25" t="s">
        <v>402</v>
      </c>
      <c r="C1507" s="26" t="s">
        <v>7</v>
      </c>
      <c r="D1507" s="351">
        <v>1</v>
      </c>
      <c r="E1507" s="303"/>
      <c r="F1507" s="351">
        <v>1</v>
      </c>
      <c r="G1507" s="26" t="s">
        <v>2326</v>
      </c>
      <c r="H1507" s="26"/>
      <c r="I1507" s="26" t="s">
        <v>2327</v>
      </c>
      <c r="J1507" s="26" t="s">
        <v>2328</v>
      </c>
      <c r="K1507" s="311">
        <v>18715303.529999997</v>
      </c>
      <c r="L1507" s="311">
        <v>0</v>
      </c>
      <c r="M1507" s="311">
        <v>1582000.0000000002</v>
      </c>
      <c r="N1507" s="311">
        <v>2030434.7000000002</v>
      </c>
      <c r="O1507" s="311">
        <v>1421304.29</v>
      </c>
      <c r="P1507" s="68">
        <f>SUM(K1507:O1507)</f>
        <v>23749042.519999996</v>
      </c>
      <c r="Q1507" s="68">
        <f>D1507*P1507</f>
        <v>23749042.519999996</v>
      </c>
      <c r="R1507" s="127">
        <f>F1507*P1507</f>
        <v>23749042.519999996</v>
      </c>
      <c r="S1507" s="26"/>
    </row>
    <row r="1508" spans="1:19" ht="30">
      <c r="A1508" s="24"/>
      <c r="B1508" s="25" t="s">
        <v>192</v>
      </c>
      <c r="C1508" s="26" t="s">
        <v>8</v>
      </c>
      <c r="D1508" s="351">
        <v>1</v>
      </c>
      <c r="E1508" s="303"/>
      <c r="F1508" s="351">
        <v>1</v>
      </c>
      <c r="G1508" s="26"/>
      <c r="H1508" s="26"/>
      <c r="I1508" s="26"/>
      <c r="J1508" s="26"/>
      <c r="K1508" s="26"/>
      <c r="L1508" s="26"/>
      <c r="M1508" s="26"/>
      <c r="N1508" s="26"/>
      <c r="O1508" s="26"/>
      <c r="P1508" s="26"/>
      <c r="Q1508" s="66"/>
      <c r="R1508" s="66"/>
      <c r="S1508" s="26"/>
    </row>
    <row r="1509" spans="1:19">
      <c r="A1509" s="24"/>
      <c r="B1509" s="25" t="s">
        <v>161</v>
      </c>
      <c r="C1509" s="26"/>
      <c r="D1509" s="351"/>
      <c r="E1509" s="303"/>
      <c r="F1509" s="351"/>
      <c r="G1509" s="26"/>
      <c r="H1509" s="26"/>
      <c r="I1509" s="26"/>
      <c r="J1509" s="26"/>
      <c r="K1509" s="26"/>
      <c r="L1509" s="26"/>
      <c r="M1509" s="26"/>
      <c r="N1509" s="26"/>
      <c r="O1509" s="26"/>
      <c r="P1509" s="26"/>
      <c r="Q1509" s="66"/>
      <c r="R1509" s="66"/>
      <c r="S1509" s="26"/>
    </row>
    <row r="1510" spans="1:19">
      <c r="A1510" s="24"/>
      <c r="B1510" s="25" t="s">
        <v>162</v>
      </c>
      <c r="C1510" s="26" t="s">
        <v>8</v>
      </c>
      <c r="D1510" s="351">
        <v>1</v>
      </c>
      <c r="E1510" s="303"/>
      <c r="F1510" s="351">
        <v>1</v>
      </c>
      <c r="G1510" s="26"/>
      <c r="H1510" s="26"/>
      <c r="I1510" s="26"/>
      <c r="J1510" s="26"/>
      <c r="K1510" s="26"/>
      <c r="L1510" s="26"/>
      <c r="M1510" s="26"/>
      <c r="N1510" s="26"/>
      <c r="O1510" s="26"/>
      <c r="P1510" s="26"/>
      <c r="Q1510" s="66"/>
      <c r="R1510" s="66"/>
      <c r="S1510" s="26"/>
    </row>
    <row r="1511" spans="1:19">
      <c r="A1511" s="24"/>
      <c r="B1511" s="25" t="s">
        <v>202</v>
      </c>
      <c r="C1511" s="26" t="s">
        <v>20</v>
      </c>
      <c r="D1511" s="351">
        <v>3</v>
      </c>
      <c r="E1511" s="303"/>
      <c r="F1511" s="351">
        <v>3</v>
      </c>
      <c r="G1511" s="26"/>
      <c r="H1511" s="26"/>
      <c r="I1511" s="26"/>
      <c r="J1511" s="26"/>
      <c r="K1511" s="26"/>
      <c r="L1511" s="26"/>
      <c r="M1511" s="26"/>
      <c r="N1511" s="26"/>
      <c r="O1511" s="26"/>
      <c r="P1511" s="26"/>
      <c r="Q1511" s="66"/>
      <c r="R1511" s="66"/>
      <c r="S1511" s="26"/>
    </row>
    <row r="1512" spans="1:19">
      <c r="A1512" s="24"/>
      <c r="B1512" s="25" t="s">
        <v>21</v>
      </c>
      <c r="C1512" s="26" t="s">
        <v>8</v>
      </c>
      <c r="D1512" s="351">
        <v>1</v>
      </c>
      <c r="E1512" s="92"/>
      <c r="F1512" s="351">
        <v>1</v>
      </c>
      <c r="G1512" s="329"/>
      <c r="H1512" s="329"/>
      <c r="I1512" s="329"/>
      <c r="J1512" s="329"/>
      <c r="K1512" s="329"/>
      <c r="L1512" s="329"/>
      <c r="M1512" s="329"/>
      <c r="N1512" s="329"/>
      <c r="O1512" s="329"/>
      <c r="P1512" s="329"/>
      <c r="Q1512" s="65"/>
      <c r="R1512" s="65"/>
      <c r="S1512" s="329"/>
    </row>
    <row r="1513" spans="1:19">
      <c r="A1513" s="24"/>
      <c r="B1513" s="25" t="s">
        <v>22</v>
      </c>
      <c r="C1513" s="26" t="s">
        <v>8</v>
      </c>
      <c r="D1513" s="351">
        <v>1</v>
      </c>
      <c r="E1513" s="303"/>
      <c r="F1513" s="351">
        <v>1</v>
      </c>
      <c r="G1513" s="26"/>
      <c r="H1513" s="26"/>
      <c r="I1513" s="26"/>
      <c r="J1513" s="26"/>
      <c r="K1513" s="26"/>
      <c r="L1513" s="26"/>
      <c r="M1513" s="26"/>
      <c r="N1513" s="26"/>
      <c r="O1513" s="26"/>
      <c r="P1513" s="26"/>
      <c r="Q1513" s="66"/>
      <c r="R1513" s="66"/>
      <c r="S1513" s="26"/>
    </row>
    <row r="1514" spans="1:19">
      <c r="A1514" s="24"/>
      <c r="B1514" s="25" t="s">
        <v>203</v>
      </c>
      <c r="C1514" s="26" t="s">
        <v>8</v>
      </c>
      <c r="D1514" s="351">
        <v>3</v>
      </c>
      <c r="E1514" s="303"/>
      <c r="F1514" s="351">
        <v>3</v>
      </c>
      <c r="G1514" s="26"/>
      <c r="H1514" s="26"/>
      <c r="I1514" s="26"/>
      <c r="J1514" s="26"/>
      <c r="K1514" s="26"/>
      <c r="L1514" s="26"/>
      <c r="M1514" s="26"/>
      <c r="N1514" s="26"/>
      <c r="O1514" s="26"/>
      <c r="P1514" s="26"/>
      <c r="Q1514" s="66"/>
      <c r="R1514" s="66"/>
      <c r="S1514" s="26"/>
    </row>
    <row r="1515" spans="1:19">
      <c r="A1515" s="24"/>
      <c r="B1515" s="25" t="s">
        <v>163</v>
      </c>
      <c r="C1515" s="26" t="s">
        <v>8</v>
      </c>
      <c r="D1515" s="351">
        <v>3</v>
      </c>
      <c r="E1515" s="303"/>
      <c r="F1515" s="351">
        <v>3</v>
      </c>
      <c r="G1515" s="26"/>
      <c r="H1515" s="26"/>
      <c r="I1515" s="26"/>
      <c r="J1515" s="26"/>
      <c r="K1515" s="26"/>
      <c r="L1515" s="26"/>
      <c r="M1515" s="26"/>
      <c r="N1515" s="26"/>
      <c r="O1515" s="26"/>
      <c r="P1515" s="26"/>
      <c r="Q1515" s="66"/>
      <c r="R1515" s="66"/>
      <c r="S1515" s="26"/>
    </row>
    <row r="1516" spans="1:19">
      <c r="A1516" s="24"/>
      <c r="B1516" s="25" t="s">
        <v>24</v>
      </c>
      <c r="C1516" s="26" t="s">
        <v>8</v>
      </c>
      <c r="D1516" s="351">
        <v>3</v>
      </c>
      <c r="E1516" s="303"/>
      <c r="F1516" s="351">
        <v>3</v>
      </c>
      <c r="G1516" s="26"/>
      <c r="H1516" s="26"/>
      <c r="I1516" s="26"/>
      <c r="J1516" s="26"/>
      <c r="K1516" s="26"/>
      <c r="L1516" s="26"/>
      <c r="M1516" s="26"/>
      <c r="N1516" s="26"/>
      <c r="O1516" s="26"/>
      <c r="P1516" s="26"/>
      <c r="Q1516" s="66"/>
      <c r="R1516" s="66"/>
      <c r="S1516" s="26"/>
    </row>
    <row r="1517" spans="1:19">
      <c r="A1517" s="24"/>
      <c r="B1517" s="25" t="s">
        <v>164</v>
      </c>
      <c r="C1517" s="26"/>
      <c r="D1517" s="351"/>
      <c r="E1517" s="303"/>
      <c r="F1517" s="351"/>
      <c r="G1517" s="26"/>
      <c r="H1517" s="26"/>
      <c r="I1517" s="26"/>
      <c r="J1517" s="26"/>
      <c r="K1517" s="26"/>
      <c r="L1517" s="26"/>
      <c r="M1517" s="26"/>
      <c r="N1517" s="26"/>
      <c r="O1517" s="26"/>
      <c r="P1517" s="26"/>
      <c r="Q1517" s="66"/>
      <c r="R1517" s="66"/>
      <c r="S1517" s="26"/>
    </row>
    <row r="1518" spans="1:19">
      <c r="A1518" s="24"/>
      <c r="B1518" s="25" t="s">
        <v>180</v>
      </c>
      <c r="C1518" s="26" t="s">
        <v>8</v>
      </c>
      <c r="D1518" s="351">
        <v>2</v>
      </c>
      <c r="E1518" s="303"/>
      <c r="F1518" s="351">
        <v>2</v>
      </c>
      <c r="G1518" s="26"/>
      <c r="H1518" s="26"/>
      <c r="I1518" s="26"/>
      <c r="J1518" s="26"/>
      <c r="K1518" s="26"/>
      <c r="L1518" s="26"/>
      <c r="M1518" s="26"/>
      <c r="N1518" s="26"/>
      <c r="O1518" s="26"/>
      <c r="P1518" s="26"/>
      <c r="Q1518" s="66"/>
      <c r="R1518" s="66"/>
      <c r="S1518" s="26"/>
    </row>
    <row r="1519" spans="1:19">
      <c r="A1519" s="24"/>
      <c r="B1519" s="25" t="s">
        <v>166</v>
      </c>
      <c r="C1519" s="26" t="s">
        <v>8</v>
      </c>
      <c r="D1519" s="351">
        <v>13</v>
      </c>
      <c r="E1519" s="303"/>
      <c r="F1519" s="351">
        <v>13</v>
      </c>
      <c r="G1519" s="26"/>
      <c r="H1519" s="26"/>
      <c r="I1519" s="26"/>
      <c r="J1519" s="26"/>
      <c r="K1519" s="26"/>
      <c r="L1519" s="26"/>
      <c r="M1519" s="26"/>
      <c r="N1519" s="26"/>
      <c r="O1519" s="26"/>
      <c r="P1519" s="26"/>
      <c r="Q1519" s="66"/>
      <c r="R1519" s="66"/>
      <c r="S1519" s="26"/>
    </row>
    <row r="1520" spans="1:19">
      <c r="A1520" s="24"/>
      <c r="B1520" s="25" t="s">
        <v>168</v>
      </c>
      <c r="C1520" s="26" t="s">
        <v>8</v>
      </c>
      <c r="D1520" s="351">
        <v>1</v>
      </c>
      <c r="E1520" s="303"/>
      <c r="F1520" s="351">
        <v>1</v>
      </c>
      <c r="G1520" s="26"/>
      <c r="H1520" s="26"/>
      <c r="I1520" s="26"/>
      <c r="J1520" s="26"/>
      <c r="K1520" s="26"/>
      <c r="L1520" s="26"/>
      <c r="M1520" s="26"/>
      <c r="N1520" s="26"/>
      <c r="O1520" s="26"/>
      <c r="P1520" s="26"/>
      <c r="Q1520" s="66"/>
      <c r="R1520" s="66"/>
      <c r="S1520" s="26"/>
    </row>
    <row r="1521" spans="1:19">
      <c r="A1521" s="24"/>
      <c r="B1521" s="25" t="s">
        <v>274</v>
      </c>
      <c r="C1521" s="26" t="s">
        <v>17</v>
      </c>
      <c r="D1521" s="351">
        <v>2</v>
      </c>
      <c r="E1521" s="303"/>
      <c r="F1521" s="351">
        <v>2</v>
      </c>
      <c r="G1521" s="26"/>
      <c r="H1521" s="26"/>
      <c r="I1521" s="26"/>
      <c r="J1521" s="26"/>
      <c r="K1521" s="26"/>
      <c r="L1521" s="26"/>
      <c r="M1521" s="26"/>
      <c r="N1521" s="26"/>
      <c r="O1521" s="26"/>
      <c r="P1521" s="26"/>
      <c r="Q1521" s="66"/>
      <c r="R1521" s="66"/>
      <c r="S1521" s="26"/>
    </row>
    <row r="1522" spans="1:19">
      <c r="A1522" s="24"/>
      <c r="B1522" s="25" t="s">
        <v>182</v>
      </c>
      <c r="C1522" s="26" t="s">
        <v>8</v>
      </c>
      <c r="D1522" s="351">
        <v>2</v>
      </c>
      <c r="E1522" s="303"/>
      <c r="F1522" s="351">
        <v>2</v>
      </c>
      <c r="G1522" s="26"/>
      <c r="H1522" s="26"/>
      <c r="I1522" s="26"/>
      <c r="J1522" s="26"/>
      <c r="K1522" s="26"/>
      <c r="L1522" s="26"/>
      <c r="M1522" s="26"/>
      <c r="N1522" s="26"/>
      <c r="O1522" s="26"/>
      <c r="P1522" s="26"/>
      <c r="Q1522" s="66"/>
      <c r="R1522" s="66"/>
      <c r="S1522" s="26"/>
    </row>
    <row r="1523" spans="1:19">
      <c r="A1523" s="24"/>
      <c r="B1523" s="25" t="s">
        <v>183</v>
      </c>
      <c r="C1523" s="26" t="s">
        <v>8</v>
      </c>
      <c r="D1523" s="351">
        <v>2</v>
      </c>
      <c r="E1523" s="303"/>
      <c r="F1523" s="351">
        <v>2</v>
      </c>
      <c r="G1523" s="26"/>
      <c r="H1523" s="26"/>
      <c r="I1523" s="26"/>
      <c r="J1523" s="26"/>
      <c r="K1523" s="26"/>
      <c r="L1523" s="26"/>
      <c r="M1523" s="26"/>
      <c r="N1523" s="26"/>
      <c r="O1523" s="26"/>
      <c r="P1523" s="26"/>
      <c r="Q1523" s="66"/>
      <c r="R1523" s="66"/>
      <c r="S1523" s="26"/>
    </row>
    <row r="1524" spans="1:19">
      <c r="A1524" s="24"/>
      <c r="B1524" s="25" t="s">
        <v>275</v>
      </c>
      <c r="C1524" s="26" t="s">
        <v>8</v>
      </c>
      <c r="D1524" s="351">
        <v>2</v>
      </c>
      <c r="E1524" s="303"/>
      <c r="F1524" s="351">
        <v>2</v>
      </c>
      <c r="G1524" s="26"/>
      <c r="H1524" s="26"/>
      <c r="I1524" s="26"/>
      <c r="J1524" s="26"/>
      <c r="K1524" s="26"/>
      <c r="L1524" s="26"/>
      <c r="M1524" s="26"/>
      <c r="N1524" s="26"/>
      <c r="O1524" s="26"/>
      <c r="P1524" s="26"/>
      <c r="Q1524" s="66"/>
      <c r="R1524" s="66"/>
      <c r="S1524" s="26"/>
    </row>
    <row r="1525" spans="1:19">
      <c r="A1525" s="24"/>
      <c r="B1525" s="25" t="s">
        <v>185</v>
      </c>
      <c r="C1525" s="26" t="s">
        <v>8</v>
      </c>
      <c r="D1525" s="351">
        <v>2</v>
      </c>
      <c r="E1525" s="303"/>
      <c r="F1525" s="351">
        <v>2</v>
      </c>
      <c r="G1525" s="26"/>
      <c r="H1525" s="26"/>
      <c r="I1525" s="26"/>
      <c r="J1525" s="26"/>
      <c r="K1525" s="26"/>
      <c r="L1525" s="26"/>
      <c r="M1525" s="26"/>
      <c r="N1525" s="26"/>
      <c r="O1525" s="26"/>
      <c r="P1525" s="26"/>
      <c r="Q1525" s="66"/>
      <c r="R1525" s="66"/>
      <c r="S1525" s="26"/>
    </row>
    <row r="1526" spans="1:19">
      <c r="A1526" s="24"/>
      <c r="B1526" s="25" t="s">
        <v>186</v>
      </c>
      <c r="C1526" s="26" t="s">
        <v>8</v>
      </c>
      <c r="D1526" s="351">
        <v>4</v>
      </c>
      <c r="E1526" s="303"/>
      <c r="F1526" s="351">
        <v>4</v>
      </c>
      <c r="G1526" s="26"/>
      <c r="H1526" s="26"/>
      <c r="I1526" s="26"/>
      <c r="J1526" s="26"/>
      <c r="K1526" s="26"/>
      <c r="L1526" s="26"/>
      <c r="M1526" s="26"/>
      <c r="N1526" s="26"/>
      <c r="O1526" s="26"/>
      <c r="P1526" s="26"/>
      <c r="Q1526" s="66"/>
      <c r="R1526" s="66"/>
      <c r="S1526" s="26"/>
    </row>
    <row r="1527" spans="1:19">
      <c r="A1527" s="24"/>
      <c r="B1527" s="25" t="s">
        <v>187</v>
      </c>
      <c r="C1527" s="26" t="s">
        <v>78</v>
      </c>
      <c r="D1527" s="351">
        <v>1</v>
      </c>
      <c r="E1527" s="303"/>
      <c r="F1527" s="351">
        <v>1</v>
      </c>
      <c r="G1527" s="26"/>
      <c r="H1527" s="26"/>
      <c r="I1527" s="26"/>
      <c r="J1527" s="26"/>
      <c r="K1527" s="26"/>
      <c r="L1527" s="26"/>
      <c r="M1527" s="26"/>
      <c r="N1527" s="26"/>
      <c r="O1527" s="26"/>
      <c r="P1527" s="26"/>
      <c r="Q1527" s="66"/>
      <c r="R1527" s="66"/>
      <c r="S1527" s="26"/>
    </row>
    <row r="1528" spans="1:19">
      <c r="A1528" s="24"/>
      <c r="B1528" s="25" t="s">
        <v>173</v>
      </c>
      <c r="C1528" s="26" t="s">
        <v>8</v>
      </c>
      <c r="D1528" s="351">
        <v>1</v>
      </c>
      <c r="E1528" s="303"/>
      <c r="F1528" s="351">
        <v>1</v>
      </c>
      <c r="G1528" s="26"/>
      <c r="H1528" s="26"/>
      <c r="I1528" s="26"/>
      <c r="J1528" s="26"/>
      <c r="K1528" s="26"/>
      <c r="L1528" s="26"/>
      <c r="M1528" s="26"/>
      <c r="N1528" s="26"/>
      <c r="O1528" s="26"/>
      <c r="P1528" s="26"/>
      <c r="Q1528" s="66"/>
      <c r="R1528" s="66"/>
      <c r="S1528" s="26"/>
    </row>
    <row r="1529" spans="1:19">
      <c r="A1529" s="24"/>
      <c r="B1529" s="25" t="s">
        <v>199</v>
      </c>
      <c r="C1529" s="26" t="s">
        <v>17</v>
      </c>
      <c r="D1529" s="351">
        <v>1</v>
      </c>
      <c r="E1529" s="303"/>
      <c r="F1529" s="351">
        <v>1</v>
      </c>
      <c r="G1529" s="26"/>
      <c r="H1529" s="26"/>
      <c r="I1529" s="26"/>
      <c r="J1529" s="26"/>
      <c r="K1529" s="26"/>
      <c r="L1529" s="26"/>
      <c r="M1529" s="26"/>
      <c r="N1529" s="26"/>
      <c r="O1529" s="26"/>
      <c r="P1529" s="26"/>
      <c r="Q1529" s="66"/>
      <c r="R1529" s="66"/>
      <c r="S1529" s="26"/>
    </row>
    <row r="1530" spans="1:19" ht="30">
      <c r="A1530" s="24"/>
      <c r="B1530" s="25" t="s">
        <v>176</v>
      </c>
      <c r="C1530" s="26" t="s">
        <v>78</v>
      </c>
      <c r="D1530" s="351">
        <v>1</v>
      </c>
      <c r="E1530" s="303"/>
      <c r="F1530" s="351">
        <v>1</v>
      </c>
      <c r="G1530" s="26"/>
      <c r="H1530" s="26"/>
      <c r="I1530" s="26"/>
      <c r="J1530" s="26"/>
      <c r="K1530" s="26"/>
      <c r="L1530" s="26"/>
      <c r="M1530" s="26"/>
      <c r="N1530" s="26"/>
      <c r="O1530" s="26"/>
      <c r="P1530" s="26"/>
      <c r="Q1530" s="66"/>
      <c r="R1530" s="66"/>
      <c r="S1530" s="26"/>
    </row>
    <row r="1531" spans="1:19" ht="60">
      <c r="A1531" s="24">
        <v>53</v>
      </c>
      <c r="B1531" s="25" t="s">
        <v>403</v>
      </c>
      <c r="C1531" s="26" t="s">
        <v>7</v>
      </c>
      <c r="D1531" s="351">
        <v>1</v>
      </c>
      <c r="E1531" s="303"/>
      <c r="F1531" s="351">
        <v>1</v>
      </c>
      <c r="G1531" s="26" t="s">
        <v>2326</v>
      </c>
      <c r="H1531" s="26"/>
      <c r="I1531" s="26" t="s">
        <v>2327</v>
      </c>
      <c r="J1531" s="26" t="s">
        <v>2328</v>
      </c>
      <c r="K1531" s="311">
        <v>29588924.969999995</v>
      </c>
      <c r="L1531" s="311">
        <v>0</v>
      </c>
      <c r="M1531" s="311">
        <v>2034000.0000000007</v>
      </c>
      <c r="N1531" s="311">
        <v>3168780.3000000003</v>
      </c>
      <c r="O1531" s="311">
        <v>2218146.2100000004</v>
      </c>
      <c r="P1531" s="68">
        <f>SUM(K1531:O1531)</f>
        <v>37009851.479999997</v>
      </c>
      <c r="Q1531" s="68">
        <f>D1531*P1531</f>
        <v>37009851.479999997</v>
      </c>
      <c r="R1531" s="127">
        <f>F1531*P1531</f>
        <v>37009851.479999997</v>
      </c>
      <c r="S1531" s="26"/>
    </row>
    <row r="1532" spans="1:19" ht="30">
      <c r="A1532" s="24"/>
      <c r="B1532" s="25" t="s">
        <v>326</v>
      </c>
      <c r="C1532" s="26" t="s">
        <v>8</v>
      </c>
      <c r="D1532" s="351">
        <v>1</v>
      </c>
      <c r="E1532" s="303"/>
      <c r="F1532" s="351">
        <v>1</v>
      </c>
      <c r="G1532" s="26"/>
      <c r="H1532" s="26"/>
      <c r="I1532" s="26"/>
      <c r="J1532" s="26"/>
      <c r="K1532" s="26"/>
      <c r="L1532" s="26"/>
      <c r="M1532" s="26"/>
      <c r="N1532" s="26"/>
      <c r="O1532" s="26"/>
      <c r="P1532" s="26"/>
      <c r="Q1532" s="66"/>
      <c r="R1532" s="66"/>
      <c r="S1532" s="26"/>
    </row>
    <row r="1533" spans="1:19">
      <c r="A1533" s="24"/>
      <c r="B1533" s="25" t="s">
        <v>161</v>
      </c>
      <c r="C1533" s="26"/>
      <c r="D1533" s="351"/>
      <c r="E1533" s="303"/>
      <c r="F1533" s="351"/>
      <c r="G1533" s="26"/>
      <c r="H1533" s="26"/>
      <c r="I1533" s="26"/>
      <c r="J1533" s="26"/>
      <c r="K1533" s="26"/>
      <c r="L1533" s="26"/>
      <c r="M1533" s="26"/>
      <c r="N1533" s="26"/>
      <c r="O1533" s="26"/>
      <c r="P1533" s="26"/>
      <c r="Q1533" s="66"/>
      <c r="R1533" s="66"/>
      <c r="S1533" s="26"/>
    </row>
    <row r="1534" spans="1:19">
      <c r="A1534" s="24"/>
      <c r="B1534" s="25" t="s">
        <v>222</v>
      </c>
      <c r="C1534" s="26" t="s">
        <v>8</v>
      </c>
      <c r="D1534" s="351">
        <v>1</v>
      </c>
      <c r="E1534" s="92"/>
      <c r="F1534" s="351">
        <v>1</v>
      </c>
      <c r="G1534" s="329"/>
      <c r="H1534" s="329"/>
      <c r="I1534" s="329"/>
      <c r="J1534" s="329"/>
      <c r="K1534" s="329"/>
      <c r="L1534" s="329"/>
      <c r="M1534" s="329"/>
      <c r="N1534" s="329"/>
      <c r="O1534" s="329"/>
      <c r="P1534" s="329"/>
      <c r="Q1534" s="65"/>
      <c r="R1534" s="65"/>
      <c r="S1534" s="329"/>
    </row>
    <row r="1535" spans="1:19">
      <c r="A1535" s="24"/>
      <c r="B1535" s="25" t="s">
        <v>24</v>
      </c>
      <c r="C1535" s="26" t="s">
        <v>8</v>
      </c>
      <c r="D1535" s="351">
        <v>3</v>
      </c>
      <c r="E1535" s="303"/>
      <c r="F1535" s="351">
        <v>3</v>
      </c>
      <c r="G1535" s="26"/>
      <c r="H1535" s="26"/>
      <c r="I1535" s="26"/>
      <c r="J1535" s="26"/>
      <c r="K1535" s="26"/>
      <c r="L1535" s="26"/>
      <c r="M1535" s="26"/>
      <c r="N1535" s="26"/>
      <c r="O1535" s="26"/>
      <c r="P1535" s="26"/>
      <c r="Q1535" s="66"/>
      <c r="R1535" s="66"/>
      <c r="S1535" s="26"/>
    </row>
    <row r="1536" spans="1:19">
      <c r="A1536" s="24"/>
      <c r="B1536" s="25" t="s">
        <v>163</v>
      </c>
      <c r="C1536" s="26" t="s">
        <v>8</v>
      </c>
      <c r="D1536" s="351">
        <v>3</v>
      </c>
      <c r="E1536" s="303"/>
      <c r="F1536" s="351">
        <v>3</v>
      </c>
      <c r="G1536" s="26"/>
      <c r="H1536" s="26"/>
      <c r="I1536" s="26"/>
      <c r="J1536" s="26"/>
      <c r="K1536" s="26"/>
      <c r="L1536" s="26"/>
      <c r="M1536" s="26"/>
      <c r="N1536" s="26"/>
      <c r="O1536" s="26"/>
      <c r="P1536" s="26"/>
      <c r="Q1536" s="66"/>
      <c r="R1536" s="66"/>
      <c r="S1536" s="26"/>
    </row>
    <row r="1537" spans="1:19">
      <c r="A1537" s="24"/>
      <c r="B1537" s="25" t="s">
        <v>164</v>
      </c>
      <c r="C1537" s="26"/>
      <c r="D1537" s="351"/>
      <c r="E1537" s="303"/>
      <c r="F1537" s="351"/>
      <c r="G1537" s="26"/>
      <c r="H1537" s="26"/>
      <c r="I1537" s="26"/>
      <c r="J1537" s="26"/>
      <c r="K1537" s="26"/>
      <c r="L1537" s="26"/>
      <c r="M1537" s="26"/>
      <c r="N1537" s="26"/>
      <c r="O1537" s="26"/>
      <c r="P1537" s="26"/>
      <c r="Q1537" s="66"/>
      <c r="R1537" s="66"/>
      <c r="S1537" s="26"/>
    </row>
    <row r="1538" spans="1:19">
      <c r="A1538" s="24"/>
      <c r="B1538" s="25" t="s">
        <v>165</v>
      </c>
      <c r="C1538" s="26" t="s">
        <v>8</v>
      </c>
      <c r="D1538" s="351">
        <v>1</v>
      </c>
      <c r="E1538" s="303"/>
      <c r="F1538" s="351">
        <v>1</v>
      </c>
      <c r="G1538" s="26"/>
      <c r="H1538" s="26"/>
      <c r="I1538" s="26"/>
      <c r="J1538" s="26"/>
      <c r="K1538" s="26"/>
      <c r="L1538" s="26"/>
      <c r="M1538" s="26"/>
      <c r="N1538" s="26"/>
      <c r="O1538" s="26"/>
      <c r="P1538" s="26"/>
      <c r="Q1538" s="66"/>
      <c r="R1538" s="66"/>
      <c r="S1538" s="26"/>
    </row>
    <row r="1539" spans="1:19">
      <c r="A1539" s="24"/>
      <c r="B1539" s="25" t="s">
        <v>252</v>
      </c>
      <c r="C1539" s="26" t="s">
        <v>8</v>
      </c>
      <c r="D1539" s="351">
        <v>2</v>
      </c>
      <c r="E1539" s="303"/>
      <c r="F1539" s="351">
        <v>2</v>
      </c>
      <c r="G1539" s="26"/>
      <c r="H1539" s="26"/>
      <c r="I1539" s="26"/>
      <c r="J1539" s="26"/>
      <c r="K1539" s="26"/>
      <c r="L1539" s="26"/>
      <c r="M1539" s="26"/>
      <c r="N1539" s="26"/>
      <c r="O1539" s="26"/>
      <c r="P1539" s="26"/>
      <c r="Q1539" s="66"/>
      <c r="R1539" s="66"/>
      <c r="S1539" s="26"/>
    </row>
    <row r="1540" spans="1:19">
      <c r="A1540" s="24"/>
      <c r="B1540" s="25" t="s">
        <v>166</v>
      </c>
      <c r="C1540" s="26" t="s">
        <v>8</v>
      </c>
      <c r="D1540" s="351">
        <v>3</v>
      </c>
      <c r="E1540" s="303"/>
      <c r="F1540" s="351">
        <v>3</v>
      </c>
      <c r="G1540" s="26"/>
      <c r="H1540" s="26"/>
      <c r="I1540" s="26"/>
      <c r="J1540" s="26"/>
      <c r="K1540" s="26"/>
      <c r="L1540" s="26"/>
      <c r="M1540" s="26"/>
      <c r="N1540" s="26"/>
      <c r="O1540" s="26"/>
      <c r="P1540" s="26"/>
      <c r="Q1540" s="66"/>
      <c r="R1540" s="66"/>
      <c r="S1540" s="26"/>
    </row>
    <row r="1541" spans="1:19">
      <c r="A1541" s="24"/>
      <c r="B1541" s="25" t="s">
        <v>167</v>
      </c>
      <c r="C1541" s="26" t="s">
        <v>8</v>
      </c>
      <c r="D1541" s="351">
        <v>13</v>
      </c>
      <c r="E1541" s="303"/>
      <c r="F1541" s="351">
        <v>13</v>
      </c>
      <c r="G1541" s="26"/>
      <c r="H1541" s="26"/>
      <c r="I1541" s="26"/>
      <c r="J1541" s="26"/>
      <c r="K1541" s="26"/>
      <c r="L1541" s="26"/>
      <c r="M1541" s="26"/>
      <c r="N1541" s="26"/>
      <c r="O1541" s="26"/>
      <c r="P1541" s="26"/>
      <c r="Q1541" s="66"/>
      <c r="R1541" s="66"/>
      <c r="S1541" s="26"/>
    </row>
    <row r="1542" spans="1:19">
      <c r="A1542" s="24"/>
      <c r="B1542" s="25" t="s">
        <v>168</v>
      </c>
      <c r="C1542" s="26" t="s">
        <v>8</v>
      </c>
      <c r="D1542" s="351">
        <v>1</v>
      </c>
      <c r="E1542" s="303"/>
      <c r="F1542" s="351">
        <v>1</v>
      </c>
      <c r="G1542" s="26"/>
      <c r="H1542" s="26"/>
      <c r="I1542" s="26"/>
      <c r="J1542" s="26"/>
      <c r="K1542" s="26"/>
      <c r="L1542" s="26"/>
      <c r="M1542" s="26"/>
      <c r="N1542" s="26"/>
      <c r="O1542" s="26"/>
      <c r="P1542" s="26"/>
      <c r="Q1542" s="66"/>
      <c r="R1542" s="66"/>
      <c r="S1542" s="26"/>
    </row>
    <row r="1543" spans="1:19">
      <c r="A1543" s="24"/>
      <c r="B1543" s="25" t="s">
        <v>169</v>
      </c>
      <c r="C1543" s="26"/>
      <c r="D1543" s="351"/>
      <c r="E1543" s="303"/>
      <c r="F1543" s="351"/>
      <c r="G1543" s="26"/>
      <c r="H1543" s="26"/>
      <c r="I1543" s="26"/>
      <c r="J1543" s="26"/>
      <c r="K1543" s="26"/>
      <c r="L1543" s="26"/>
      <c r="M1543" s="26"/>
      <c r="N1543" s="26"/>
      <c r="O1543" s="26"/>
      <c r="P1543" s="26"/>
      <c r="Q1543" s="66"/>
      <c r="R1543" s="66"/>
      <c r="S1543" s="26"/>
    </row>
    <row r="1544" spans="1:19">
      <c r="A1544" s="24"/>
      <c r="B1544" s="25" t="s">
        <v>170</v>
      </c>
      <c r="C1544" s="26" t="s">
        <v>8</v>
      </c>
      <c r="D1544" s="351">
        <v>25</v>
      </c>
      <c r="E1544" s="303"/>
      <c r="F1544" s="351">
        <v>25</v>
      </c>
      <c r="G1544" s="26"/>
      <c r="H1544" s="26"/>
      <c r="I1544" s="26"/>
      <c r="J1544" s="26"/>
      <c r="K1544" s="26"/>
      <c r="L1544" s="26"/>
      <c r="M1544" s="26"/>
      <c r="N1544" s="26"/>
      <c r="O1544" s="26"/>
      <c r="P1544" s="26"/>
      <c r="Q1544" s="66"/>
      <c r="R1544" s="66"/>
      <c r="S1544" s="26"/>
    </row>
    <row r="1545" spans="1:19">
      <c r="A1545" s="24"/>
      <c r="B1545" s="25" t="s">
        <v>171</v>
      </c>
      <c r="C1545" s="26" t="s">
        <v>8</v>
      </c>
      <c r="D1545" s="351">
        <v>1</v>
      </c>
      <c r="E1545" s="303"/>
      <c r="F1545" s="351">
        <v>1</v>
      </c>
      <c r="G1545" s="26"/>
      <c r="H1545" s="26"/>
      <c r="I1545" s="26"/>
      <c r="J1545" s="26"/>
      <c r="K1545" s="26"/>
      <c r="L1545" s="26"/>
      <c r="M1545" s="26"/>
      <c r="N1545" s="26"/>
      <c r="O1545" s="26"/>
      <c r="P1545" s="26"/>
      <c r="Q1545" s="66"/>
      <c r="R1545" s="66"/>
      <c r="S1545" s="26"/>
    </row>
    <row r="1546" spans="1:19">
      <c r="A1546" s="24"/>
      <c r="B1546" s="25" t="s">
        <v>172</v>
      </c>
      <c r="C1546" s="26" t="s">
        <v>78</v>
      </c>
      <c r="D1546" s="351">
        <v>1</v>
      </c>
      <c r="E1546" s="303"/>
      <c r="F1546" s="351">
        <v>1</v>
      </c>
      <c r="G1546" s="26"/>
      <c r="H1546" s="26"/>
      <c r="I1546" s="26"/>
      <c r="J1546" s="26"/>
      <c r="K1546" s="26"/>
      <c r="L1546" s="26"/>
      <c r="M1546" s="26"/>
      <c r="N1546" s="26"/>
      <c r="O1546" s="26"/>
      <c r="P1546" s="26"/>
      <c r="Q1546" s="66"/>
      <c r="R1546" s="66"/>
      <c r="S1546" s="26"/>
    </row>
    <row r="1547" spans="1:19">
      <c r="A1547" s="24"/>
      <c r="B1547" s="25" t="s">
        <v>173</v>
      </c>
      <c r="C1547" s="26" t="s">
        <v>8</v>
      </c>
      <c r="D1547" s="351">
        <v>1</v>
      </c>
      <c r="E1547" s="303"/>
      <c r="F1547" s="351">
        <v>1</v>
      </c>
      <c r="G1547" s="26"/>
      <c r="H1547" s="26"/>
      <c r="I1547" s="26"/>
      <c r="J1547" s="26"/>
      <c r="K1547" s="26"/>
      <c r="L1547" s="26"/>
      <c r="M1547" s="26"/>
      <c r="N1547" s="26"/>
      <c r="O1547" s="26"/>
      <c r="P1547" s="26"/>
      <c r="Q1547" s="66"/>
      <c r="R1547" s="66"/>
      <c r="S1547" s="26"/>
    </row>
    <row r="1548" spans="1:19">
      <c r="A1548" s="24"/>
      <c r="B1548" s="25" t="s">
        <v>174</v>
      </c>
      <c r="C1548" s="26" t="s">
        <v>17</v>
      </c>
      <c r="D1548" s="351">
        <v>1</v>
      </c>
      <c r="E1548" s="92"/>
      <c r="F1548" s="351">
        <v>1</v>
      </c>
      <c r="G1548" s="329"/>
      <c r="H1548" s="329"/>
      <c r="I1548" s="329"/>
      <c r="J1548" s="329"/>
      <c r="K1548" s="329"/>
      <c r="L1548" s="329"/>
      <c r="M1548" s="329"/>
      <c r="N1548" s="329"/>
      <c r="O1548" s="329"/>
      <c r="P1548" s="329"/>
      <c r="Q1548" s="65"/>
      <c r="R1548" s="65"/>
      <c r="S1548" s="329"/>
    </row>
    <row r="1549" spans="1:19">
      <c r="A1549" s="24"/>
      <c r="B1549" s="25" t="s">
        <v>175</v>
      </c>
      <c r="C1549" s="26" t="s">
        <v>17</v>
      </c>
      <c r="D1549" s="351">
        <v>1</v>
      </c>
      <c r="E1549" s="43"/>
      <c r="F1549" s="351">
        <v>1</v>
      </c>
      <c r="G1549" s="330"/>
      <c r="H1549" s="330"/>
      <c r="I1549" s="330"/>
      <c r="J1549" s="330"/>
      <c r="K1549" s="330"/>
      <c r="L1549" s="330"/>
      <c r="M1549" s="330"/>
      <c r="N1549" s="330"/>
      <c r="O1549" s="330"/>
      <c r="P1549" s="330"/>
      <c r="Q1549" s="66"/>
      <c r="R1549" s="66"/>
      <c r="S1549" s="330"/>
    </row>
    <row r="1550" spans="1:19" ht="30">
      <c r="A1550" s="24"/>
      <c r="B1550" s="25" t="s">
        <v>176</v>
      </c>
      <c r="C1550" s="26" t="s">
        <v>78</v>
      </c>
      <c r="D1550" s="351">
        <v>1</v>
      </c>
      <c r="E1550" s="44"/>
      <c r="F1550" s="351">
        <v>1</v>
      </c>
      <c r="G1550" s="331"/>
      <c r="H1550" s="331"/>
      <c r="I1550" s="331"/>
      <c r="J1550" s="331"/>
      <c r="K1550" s="331"/>
      <c r="L1550" s="331"/>
      <c r="M1550" s="331"/>
      <c r="N1550" s="331"/>
      <c r="O1550" s="331"/>
      <c r="P1550" s="331"/>
      <c r="Q1550" s="127"/>
      <c r="R1550" s="127"/>
      <c r="S1550" s="331"/>
    </row>
    <row r="1551" spans="1:19" ht="60">
      <c r="A1551" s="24">
        <v>54</v>
      </c>
      <c r="B1551" s="25" t="s">
        <v>404</v>
      </c>
      <c r="C1551" s="26" t="s">
        <v>7</v>
      </c>
      <c r="D1551" s="351">
        <v>3</v>
      </c>
      <c r="E1551" s="45"/>
      <c r="F1551" s="351">
        <v>3</v>
      </c>
      <c r="G1551" s="26" t="s">
        <v>2326</v>
      </c>
      <c r="H1551" s="26"/>
      <c r="I1551" s="26" t="s">
        <v>2327</v>
      </c>
      <c r="J1551" s="26" t="s">
        <v>2328</v>
      </c>
      <c r="K1551" s="311">
        <v>30089952.089999996</v>
      </c>
      <c r="L1551" s="311">
        <v>0</v>
      </c>
      <c r="M1551" s="311">
        <v>2034000.0000000007</v>
      </c>
      <c r="N1551" s="311">
        <v>3219389.1</v>
      </c>
      <c r="O1551" s="311">
        <v>2253572.37</v>
      </c>
      <c r="P1551" s="68">
        <f>SUM(K1551:O1551)</f>
        <v>37596913.559999995</v>
      </c>
      <c r="Q1551" s="68">
        <f>D1551*P1551</f>
        <v>112790740.67999998</v>
      </c>
      <c r="R1551" s="127">
        <f>F1551*P1551</f>
        <v>112790740.67999998</v>
      </c>
      <c r="S1551" s="333"/>
    </row>
    <row r="1552" spans="1:19" ht="30">
      <c r="A1552" s="24"/>
      <c r="B1552" s="25" t="s">
        <v>326</v>
      </c>
      <c r="C1552" s="26" t="s">
        <v>8</v>
      </c>
      <c r="D1552" s="351">
        <v>1</v>
      </c>
      <c r="E1552" s="45"/>
      <c r="F1552" s="351">
        <v>1</v>
      </c>
      <c r="G1552" s="333"/>
      <c r="H1552" s="333"/>
      <c r="I1552" s="333"/>
      <c r="J1552" s="333"/>
      <c r="K1552" s="333"/>
      <c r="L1552" s="333"/>
      <c r="M1552" s="333"/>
      <c r="N1552" s="333"/>
      <c r="O1552" s="333"/>
      <c r="P1552" s="333"/>
      <c r="Q1552" s="66"/>
      <c r="R1552" s="66"/>
      <c r="S1552" s="333"/>
    </row>
    <row r="1553" spans="1:19">
      <c r="A1553" s="24"/>
      <c r="B1553" s="25" t="s">
        <v>161</v>
      </c>
      <c r="C1553" s="26"/>
      <c r="D1553" s="351"/>
      <c r="E1553" s="45"/>
      <c r="F1553" s="351"/>
      <c r="G1553" s="333"/>
      <c r="H1553" s="333"/>
      <c r="I1553" s="333"/>
      <c r="J1553" s="333"/>
      <c r="K1553" s="333"/>
      <c r="L1553" s="333"/>
      <c r="M1553" s="333"/>
      <c r="N1553" s="333"/>
      <c r="O1553" s="333"/>
      <c r="P1553" s="333"/>
      <c r="Q1553" s="66"/>
      <c r="R1553" s="66"/>
      <c r="S1553" s="333"/>
    </row>
    <row r="1554" spans="1:19">
      <c r="A1554" s="24"/>
      <c r="B1554" s="25" t="s">
        <v>252</v>
      </c>
      <c r="C1554" s="26" t="s">
        <v>8</v>
      </c>
      <c r="D1554" s="351">
        <v>1</v>
      </c>
      <c r="E1554" s="46"/>
      <c r="F1554" s="351">
        <v>1</v>
      </c>
      <c r="G1554" s="334"/>
      <c r="H1554" s="334"/>
      <c r="I1554" s="334"/>
      <c r="J1554" s="334"/>
      <c r="K1554" s="334"/>
      <c r="L1554" s="334"/>
      <c r="M1554" s="334"/>
      <c r="N1554" s="334"/>
      <c r="O1554" s="334"/>
      <c r="P1554" s="334"/>
      <c r="Q1554" s="66"/>
      <c r="R1554" s="66"/>
      <c r="S1554" s="334"/>
    </row>
    <row r="1555" spans="1:19">
      <c r="A1555" s="24"/>
      <c r="B1555" s="25" t="s">
        <v>24</v>
      </c>
      <c r="C1555" s="26" t="s">
        <v>8</v>
      </c>
      <c r="D1555" s="351">
        <v>3</v>
      </c>
      <c r="E1555" s="47"/>
      <c r="F1555" s="351">
        <v>3</v>
      </c>
      <c r="G1555" s="330"/>
      <c r="H1555" s="330"/>
      <c r="I1555" s="330"/>
      <c r="J1555" s="330"/>
      <c r="K1555" s="330"/>
      <c r="L1555" s="330"/>
      <c r="M1555" s="330"/>
      <c r="N1555" s="330"/>
      <c r="O1555" s="330"/>
      <c r="P1555" s="330"/>
      <c r="Q1555" s="66"/>
      <c r="R1555" s="66"/>
      <c r="S1555" s="330"/>
    </row>
    <row r="1556" spans="1:19">
      <c r="A1556" s="24"/>
      <c r="B1556" s="25" t="s">
        <v>163</v>
      </c>
      <c r="C1556" s="26" t="s">
        <v>8</v>
      </c>
      <c r="D1556" s="351">
        <v>3</v>
      </c>
      <c r="E1556" s="48"/>
      <c r="F1556" s="351">
        <v>3</v>
      </c>
      <c r="G1556" s="334"/>
      <c r="H1556" s="334"/>
      <c r="I1556" s="334"/>
      <c r="J1556" s="334"/>
      <c r="K1556" s="334"/>
      <c r="L1556" s="334"/>
      <c r="M1556" s="334"/>
      <c r="N1556" s="334"/>
      <c r="O1556" s="334"/>
      <c r="P1556" s="334"/>
      <c r="Q1556" s="66"/>
      <c r="R1556" s="66"/>
      <c r="S1556" s="334"/>
    </row>
    <row r="1557" spans="1:19">
      <c r="A1557" s="24"/>
      <c r="B1557" s="25" t="s">
        <v>164</v>
      </c>
      <c r="C1557" s="26"/>
      <c r="D1557" s="351"/>
      <c r="E1557" s="48"/>
      <c r="F1557" s="351"/>
      <c r="G1557" s="334"/>
      <c r="H1557" s="334"/>
      <c r="I1557" s="334"/>
      <c r="J1557" s="334"/>
      <c r="K1557" s="334"/>
      <c r="L1557" s="334"/>
      <c r="M1557" s="334"/>
      <c r="N1557" s="334"/>
      <c r="O1557" s="334"/>
      <c r="P1557" s="334"/>
      <c r="Q1557" s="66"/>
      <c r="R1557" s="66"/>
      <c r="S1557" s="334"/>
    </row>
    <row r="1558" spans="1:19">
      <c r="A1558" s="24"/>
      <c r="B1558" s="25" t="s">
        <v>165</v>
      </c>
      <c r="C1558" s="26" t="s">
        <v>8</v>
      </c>
      <c r="D1558" s="351">
        <v>1</v>
      </c>
      <c r="E1558" s="49"/>
      <c r="F1558" s="351">
        <v>1</v>
      </c>
      <c r="G1558" s="35"/>
      <c r="H1558" s="35"/>
      <c r="I1558" s="35"/>
      <c r="J1558" s="35"/>
      <c r="K1558" s="35"/>
      <c r="L1558" s="35"/>
      <c r="M1558" s="35"/>
      <c r="N1558" s="35"/>
      <c r="O1558" s="35"/>
      <c r="P1558" s="35"/>
      <c r="Q1558" s="65"/>
      <c r="R1558" s="65"/>
      <c r="S1558" s="35"/>
    </row>
    <row r="1559" spans="1:19">
      <c r="A1559" s="24"/>
      <c r="B1559" s="25" t="s">
        <v>166</v>
      </c>
      <c r="C1559" s="26" t="s">
        <v>8</v>
      </c>
      <c r="D1559" s="351">
        <v>3</v>
      </c>
      <c r="E1559" s="50"/>
      <c r="F1559" s="351">
        <v>3</v>
      </c>
      <c r="G1559" s="335"/>
      <c r="H1559" s="335"/>
      <c r="I1559" s="335"/>
      <c r="J1559" s="335"/>
      <c r="K1559" s="335"/>
      <c r="L1559" s="335"/>
      <c r="M1559" s="335"/>
      <c r="N1559" s="335"/>
      <c r="O1559" s="335"/>
      <c r="P1559" s="335"/>
      <c r="Q1559" s="66"/>
      <c r="R1559" s="66"/>
      <c r="S1559" s="335"/>
    </row>
    <row r="1560" spans="1:19">
      <c r="A1560" s="24"/>
      <c r="B1560" s="25" t="s">
        <v>167</v>
      </c>
      <c r="C1560" s="26" t="s">
        <v>8</v>
      </c>
      <c r="D1560" s="351">
        <v>12</v>
      </c>
      <c r="E1560" s="50"/>
      <c r="F1560" s="351">
        <v>12</v>
      </c>
      <c r="G1560" s="335"/>
      <c r="H1560" s="335"/>
      <c r="I1560" s="335"/>
      <c r="J1560" s="335"/>
      <c r="K1560" s="335"/>
      <c r="L1560" s="335"/>
      <c r="M1560" s="335"/>
      <c r="N1560" s="335"/>
      <c r="O1560" s="335"/>
      <c r="P1560" s="335"/>
      <c r="Q1560" s="66"/>
      <c r="R1560" s="66"/>
      <c r="S1560" s="335"/>
    </row>
    <row r="1561" spans="1:19">
      <c r="A1561" s="24"/>
      <c r="B1561" s="25" t="s">
        <v>168</v>
      </c>
      <c r="C1561" s="26" t="s">
        <v>8</v>
      </c>
      <c r="D1561" s="351">
        <v>1</v>
      </c>
      <c r="E1561" s="50"/>
      <c r="F1561" s="351">
        <v>1</v>
      </c>
      <c r="G1561" s="335"/>
      <c r="H1561" s="335"/>
      <c r="I1561" s="335"/>
      <c r="J1561" s="335"/>
      <c r="K1561" s="335"/>
      <c r="L1561" s="335"/>
      <c r="M1561" s="335"/>
      <c r="N1561" s="335"/>
      <c r="O1561" s="335"/>
      <c r="P1561" s="335"/>
      <c r="Q1561" s="66"/>
      <c r="R1561" s="66"/>
      <c r="S1561" s="335"/>
    </row>
    <row r="1562" spans="1:19">
      <c r="A1562" s="24"/>
      <c r="B1562" s="25" t="s">
        <v>169</v>
      </c>
      <c r="C1562" s="26"/>
      <c r="D1562" s="351"/>
      <c r="E1562" s="50"/>
      <c r="F1562" s="351"/>
      <c r="G1562" s="335"/>
      <c r="H1562" s="335"/>
      <c r="I1562" s="335"/>
      <c r="J1562" s="335"/>
      <c r="K1562" s="335"/>
      <c r="L1562" s="335"/>
      <c r="M1562" s="335"/>
      <c r="N1562" s="335"/>
      <c r="O1562" s="335"/>
      <c r="P1562" s="335"/>
      <c r="Q1562" s="66"/>
      <c r="R1562" s="66"/>
      <c r="S1562" s="335"/>
    </row>
    <row r="1563" spans="1:19">
      <c r="A1563" s="24"/>
      <c r="B1563" s="25" t="s">
        <v>170</v>
      </c>
      <c r="C1563" s="26" t="s">
        <v>8</v>
      </c>
      <c r="D1563" s="351">
        <v>24</v>
      </c>
      <c r="E1563" s="51"/>
      <c r="F1563" s="351">
        <v>24</v>
      </c>
      <c r="G1563" s="14"/>
      <c r="H1563" s="14"/>
      <c r="I1563" s="14"/>
      <c r="J1563" s="14"/>
      <c r="K1563" s="14"/>
      <c r="L1563" s="14"/>
      <c r="M1563" s="14"/>
      <c r="N1563" s="14"/>
      <c r="O1563" s="14"/>
      <c r="P1563" s="14"/>
      <c r="Q1563" s="66"/>
      <c r="R1563" s="66"/>
      <c r="S1563" s="14"/>
    </row>
    <row r="1564" spans="1:19">
      <c r="A1564" s="24"/>
      <c r="B1564" s="25" t="s">
        <v>171</v>
      </c>
      <c r="C1564" s="26" t="s">
        <v>8</v>
      </c>
      <c r="D1564" s="351">
        <v>1</v>
      </c>
      <c r="E1564" s="50"/>
      <c r="F1564" s="351">
        <v>1</v>
      </c>
      <c r="G1564" s="335"/>
      <c r="H1564" s="335"/>
      <c r="I1564" s="335"/>
      <c r="J1564" s="335"/>
      <c r="K1564" s="335"/>
      <c r="L1564" s="335"/>
      <c r="M1564" s="335"/>
      <c r="N1564" s="335"/>
      <c r="O1564" s="335"/>
      <c r="P1564" s="335"/>
      <c r="Q1564" s="66"/>
      <c r="R1564" s="66"/>
      <c r="S1564" s="335"/>
    </row>
    <row r="1565" spans="1:19">
      <c r="A1565" s="24"/>
      <c r="B1565" s="25" t="s">
        <v>172</v>
      </c>
      <c r="C1565" s="26" t="s">
        <v>78</v>
      </c>
      <c r="D1565" s="351">
        <v>1</v>
      </c>
      <c r="E1565" s="50"/>
      <c r="F1565" s="351">
        <v>1</v>
      </c>
      <c r="G1565" s="335"/>
      <c r="H1565" s="335"/>
      <c r="I1565" s="335"/>
      <c r="J1565" s="335"/>
      <c r="K1565" s="335"/>
      <c r="L1565" s="335"/>
      <c r="M1565" s="335"/>
      <c r="N1565" s="335"/>
      <c r="O1565" s="335"/>
      <c r="P1565" s="335"/>
      <c r="Q1565" s="66"/>
      <c r="R1565" s="66"/>
      <c r="S1565" s="335"/>
    </row>
    <row r="1566" spans="1:19">
      <c r="A1566" s="24"/>
      <c r="B1566" s="25" t="s">
        <v>173</v>
      </c>
      <c r="C1566" s="26" t="s">
        <v>8</v>
      </c>
      <c r="D1566" s="351">
        <v>1</v>
      </c>
      <c r="E1566" s="43"/>
      <c r="F1566" s="351">
        <v>1</v>
      </c>
      <c r="G1566" s="330"/>
      <c r="H1566" s="330"/>
      <c r="I1566" s="330"/>
      <c r="J1566" s="330"/>
      <c r="K1566" s="330"/>
      <c r="L1566" s="330"/>
      <c r="M1566" s="330"/>
      <c r="N1566" s="330"/>
      <c r="O1566" s="330"/>
      <c r="P1566" s="330"/>
      <c r="Q1566" s="66"/>
      <c r="R1566" s="66"/>
      <c r="S1566" s="330"/>
    </row>
    <row r="1567" spans="1:19">
      <c r="A1567" s="24"/>
      <c r="B1567" s="25" t="s">
        <v>199</v>
      </c>
      <c r="C1567" s="26" t="s">
        <v>17</v>
      </c>
      <c r="D1567" s="351">
        <v>1</v>
      </c>
      <c r="E1567" s="43"/>
      <c r="F1567" s="351">
        <v>1</v>
      </c>
      <c r="G1567" s="330"/>
      <c r="H1567" s="330"/>
      <c r="I1567" s="330"/>
      <c r="J1567" s="330"/>
      <c r="K1567" s="330"/>
      <c r="L1567" s="330"/>
      <c r="M1567" s="330"/>
      <c r="N1567" s="330"/>
      <c r="O1567" s="330"/>
      <c r="P1567" s="330"/>
      <c r="Q1567" s="66"/>
      <c r="R1567" s="66"/>
      <c r="S1567" s="330"/>
    </row>
    <row r="1568" spans="1:19" ht="30">
      <c r="A1568" s="24"/>
      <c r="B1568" s="25" t="s">
        <v>176</v>
      </c>
      <c r="C1568" s="26" t="s">
        <v>78</v>
      </c>
      <c r="D1568" s="351">
        <v>1</v>
      </c>
      <c r="E1568" s="43"/>
      <c r="F1568" s="351">
        <v>1</v>
      </c>
      <c r="G1568" s="330"/>
      <c r="H1568" s="330"/>
      <c r="I1568" s="330"/>
      <c r="J1568" s="330"/>
      <c r="K1568" s="330"/>
      <c r="L1568" s="330"/>
      <c r="M1568" s="330"/>
      <c r="N1568" s="330"/>
      <c r="O1568" s="330"/>
      <c r="P1568" s="330"/>
      <c r="Q1568" s="66"/>
      <c r="R1568" s="66"/>
      <c r="S1568" s="330"/>
    </row>
    <row r="1569" spans="1:19" ht="60">
      <c r="A1569" s="24">
        <v>55</v>
      </c>
      <c r="B1569" s="25" t="s">
        <v>405</v>
      </c>
      <c r="C1569" s="26" t="s">
        <v>7</v>
      </c>
      <c r="D1569" s="351">
        <v>1</v>
      </c>
      <c r="E1569" s="52"/>
      <c r="F1569" s="351">
        <v>1</v>
      </c>
      <c r="G1569" s="26" t="s">
        <v>2326</v>
      </c>
      <c r="H1569" s="26"/>
      <c r="I1569" s="26" t="s">
        <v>2327</v>
      </c>
      <c r="J1569" s="26" t="s">
        <v>2328</v>
      </c>
      <c r="K1569" s="311">
        <v>34358287.589999996</v>
      </c>
      <c r="L1569" s="311">
        <v>0</v>
      </c>
      <c r="M1569" s="311">
        <v>2486000.0000000009</v>
      </c>
      <c r="N1569" s="311">
        <v>3690534.1</v>
      </c>
      <c r="O1569" s="311">
        <v>2583373.87</v>
      </c>
      <c r="P1569" s="68">
        <f>SUM(K1569:O1569)</f>
        <v>43118195.559999995</v>
      </c>
      <c r="Q1569" s="68">
        <f>D1569*P1569</f>
        <v>43118195.559999995</v>
      </c>
      <c r="R1569" s="127">
        <f>F1569*P1569</f>
        <v>43118195.559999995</v>
      </c>
      <c r="S1569" s="12"/>
    </row>
    <row r="1570" spans="1:19" ht="30">
      <c r="A1570" s="24"/>
      <c r="B1570" s="25" t="s">
        <v>326</v>
      </c>
      <c r="C1570" s="26" t="s">
        <v>8</v>
      </c>
      <c r="D1570" s="351">
        <v>1</v>
      </c>
      <c r="E1570" s="52"/>
      <c r="F1570" s="351">
        <v>1</v>
      </c>
      <c r="G1570" s="12"/>
      <c r="H1570" s="12"/>
      <c r="I1570" s="12"/>
      <c r="J1570" s="12"/>
      <c r="K1570" s="12"/>
      <c r="L1570" s="12"/>
      <c r="M1570" s="12"/>
      <c r="N1570" s="12"/>
      <c r="O1570" s="12"/>
      <c r="P1570" s="12"/>
      <c r="Q1570" s="66"/>
      <c r="R1570" s="66"/>
      <c r="S1570" s="12"/>
    </row>
    <row r="1571" spans="1:19">
      <c r="A1571" s="24"/>
      <c r="B1571" s="25" t="s">
        <v>161</v>
      </c>
      <c r="C1571" s="26"/>
      <c r="D1571" s="351"/>
      <c r="E1571" s="52"/>
      <c r="F1571" s="351"/>
      <c r="G1571" s="12"/>
      <c r="H1571" s="12"/>
      <c r="I1571" s="12"/>
      <c r="J1571" s="12"/>
      <c r="K1571" s="12"/>
      <c r="L1571" s="12"/>
      <c r="M1571" s="12"/>
      <c r="N1571" s="12"/>
      <c r="O1571" s="12"/>
      <c r="P1571" s="12"/>
      <c r="Q1571" s="66"/>
      <c r="R1571" s="66"/>
      <c r="S1571" s="12"/>
    </row>
    <row r="1572" spans="1:19">
      <c r="A1572" s="24"/>
      <c r="B1572" s="25" t="s">
        <v>222</v>
      </c>
      <c r="C1572" s="26" t="s">
        <v>8</v>
      </c>
      <c r="D1572" s="351">
        <v>1</v>
      </c>
      <c r="E1572" s="306"/>
      <c r="F1572" s="351">
        <v>1</v>
      </c>
      <c r="G1572" s="336"/>
      <c r="H1572" s="336"/>
      <c r="I1572" s="336"/>
      <c r="J1572" s="336"/>
      <c r="K1572" s="336"/>
      <c r="L1572" s="336"/>
      <c r="M1572" s="336"/>
      <c r="N1572" s="336"/>
      <c r="O1572" s="336"/>
      <c r="P1572" s="336"/>
      <c r="Q1572" s="66"/>
      <c r="R1572" s="66"/>
      <c r="S1572" s="336"/>
    </row>
    <row r="1573" spans="1:19">
      <c r="A1573" s="24"/>
      <c r="B1573" s="25" t="s">
        <v>24</v>
      </c>
      <c r="C1573" s="26" t="s">
        <v>8</v>
      </c>
      <c r="D1573" s="351">
        <v>3</v>
      </c>
      <c r="E1573" s="50"/>
      <c r="F1573" s="351">
        <v>3</v>
      </c>
      <c r="G1573" s="335"/>
      <c r="H1573" s="335"/>
      <c r="I1573" s="335"/>
      <c r="J1573" s="335"/>
      <c r="K1573" s="335"/>
      <c r="L1573" s="335"/>
      <c r="M1573" s="335"/>
      <c r="N1573" s="335"/>
      <c r="O1573" s="335"/>
      <c r="P1573" s="335"/>
      <c r="Q1573" s="66"/>
      <c r="R1573" s="66"/>
      <c r="S1573" s="335"/>
    </row>
    <row r="1574" spans="1:19">
      <c r="A1574" s="24"/>
      <c r="B1574" s="25" t="s">
        <v>163</v>
      </c>
      <c r="C1574" s="26" t="s">
        <v>8</v>
      </c>
      <c r="D1574" s="351">
        <v>3</v>
      </c>
      <c r="E1574" s="45"/>
      <c r="F1574" s="351">
        <v>3</v>
      </c>
      <c r="G1574" s="333"/>
      <c r="H1574" s="333"/>
      <c r="I1574" s="333"/>
      <c r="J1574" s="333"/>
      <c r="K1574" s="333"/>
      <c r="L1574" s="333"/>
      <c r="M1574" s="333"/>
      <c r="N1574" s="333"/>
      <c r="O1574" s="333"/>
      <c r="P1574" s="333"/>
      <c r="Q1574" s="66"/>
      <c r="R1574" s="66"/>
      <c r="S1574" s="333"/>
    </row>
    <row r="1575" spans="1:19">
      <c r="A1575" s="24"/>
      <c r="B1575" s="25" t="s">
        <v>164</v>
      </c>
      <c r="C1575" s="26"/>
      <c r="D1575" s="351"/>
      <c r="E1575" s="44"/>
      <c r="F1575" s="351"/>
      <c r="G1575" s="331"/>
      <c r="H1575" s="331"/>
      <c r="I1575" s="331"/>
      <c r="J1575" s="331"/>
      <c r="K1575" s="331"/>
      <c r="L1575" s="331"/>
      <c r="M1575" s="331"/>
      <c r="N1575" s="331"/>
      <c r="O1575" s="331"/>
      <c r="P1575" s="331"/>
      <c r="Q1575" s="127"/>
      <c r="R1575" s="127"/>
      <c r="S1575" s="331"/>
    </row>
    <row r="1576" spans="1:19">
      <c r="A1576" s="24"/>
      <c r="B1576" s="25" t="s">
        <v>165</v>
      </c>
      <c r="C1576" s="26" t="s">
        <v>8</v>
      </c>
      <c r="D1576" s="351">
        <v>1</v>
      </c>
      <c r="E1576" s="45"/>
      <c r="F1576" s="351">
        <v>1</v>
      </c>
      <c r="G1576" s="333"/>
      <c r="H1576" s="333"/>
      <c r="I1576" s="333"/>
      <c r="J1576" s="333"/>
      <c r="K1576" s="333"/>
      <c r="L1576" s="333"/>
      <c r="M1576" s="333"/>
      <c r="N1576" s="333"/>
      <c r="O1576" s="333"/>
      <c r="P1576" s="333"/>
      <c r="Q1576" s="66"/>
      <c r="R1576" s="66"/>
      <c r="S1576" s="333"/>
    </row>
    <row r="1577" spans="1:19">
      <c r="A1577" s="24"/>
      <c r="B1577" s="25" t="s">
        <v>252</v>
      </c>
      <c r="C1577" s="26" t="s">
        <v>8</v>
      </c>
      <c r="D1577" s="351">
        <v>2</v>
      </c>
      <c r="E1577" s="45"/>
      <c r="F1577" s="351">
        <v>2</v>
      </c>
      <c r="G1577" s="333"/>
      <c r="H1577" s="333"/>
      <c r="I1577" s="333"/>
      <c r="J1577" s="333"/>
      <c r="K1577" s="333"/>
      <c r="L1577" s="333"/>
      <c r="M1577" s="333"/>
      <c r="N1577" s="333"/>
      <c r="O1577" s="333"/>
      <c r="P1577" s="333"/>
      <c r="Q1577" s="66"/>
      <c r="R1577" s="66"/>
      <c r="S1577" s="333"/>
    </row>
    <row r="1578" spans="1:19">
      <c r="A1578" s="24"/>
      <c r="B1578" s="25" t="s">
        <v>166</v>
      </c>
      <c r="C1578" s="26" t="s">
        <v>8</v>
      </c>
      <c r="D1578" s="351">
        <v>3</v>
      </c>
      <c r="E1578" s="45"/>
      <c r="F1578" s="351">
        <v>3</v>
      </c>
      <c r="G1578" s="333"/>
      <c r="H1578" s="333"/>
      <c r="I1578" s="333"/>
      <c r="J1578" s="333"/>
      <c r="K1578" s="333"/>
      <c r="L1578" s="333"/>
      <c r="M1578" s="333"/>
      <c r="N1578" s="333"/>
      <c r="O1578" s="333"/>
      <c r="P1578" s="333"/>
      <c r="Q1578" s="66"/>
      <c r="R1578" s="66"/>
      <c r="S1578" s="333"/>
    </row>
    <row r="1579" spans="1:19">
      <c r="A1579" s="24"/>
      <c r="B1579" s="25" t="s">
        <v>167</v>
      </c>
      <c r="C1579" s="26" t="s">
        <v>8</v>
      </c>
      <c r="D1579" s="351">
        <v>15</v>
      </c>
      <c r="E1579" s="45"/>
      <c r="F1579" s="351">
        <v>15</v>
      </c>
      <c r="G1579" s="333"/>
      <c r="H1579" s="333"/>
      <c r="I1579" s="333"/>
      <c r="J1579" s="333"/>
      <c r="K1579" s="333"/>
      <c r="L1579" s="333"/>
      <c r="M1579" s="333"/>
      <c r="N1579" s="333"/>
      <c r="O1579" s="333"/>
      <c r="P1579" s="333"/>
      <c r="Q1579" s="66"/>
      <c r="R1579" s="66"/>
      <c r="S1579" s="333"/>
    </row>
    <row r="1580" spans="1:19">
      <c r="A1580" s="24"/>
      <c r="B1580" s="25" t="s">
        <v>168</v>
      </c>
      <c r="C1580" s="26" t="s">
        <v>8</v>
      </c>
      <c r="D1580" s="351">
        <v>1</v>
      </c>
      <c r="E1580" s="45"/>
      <c r="F1580" s="351">
        <v>1</v>
      </c>
      <c r="G1580" s="333"/>
      <c r="H1580" s="333"/>
      <c r="I1580" s="333"/>
      <c r="J1580" s="333"/>
      <c r="K1580" s="333"/>
      <c r="L1580" s="333"/>
      <c r="M1580" s="333"/>
      <c r="N1580" s="333"/>
      <c r="O1580" s="333"/>
      <c r="P1580" s="333"/>
      <c r="Q1580" s="66"/>
      <c r="R1580" s="66"/>
      <c r="S1580" s="333"/>
    </row>
    <row r="1581" spans="1:19">
      <c r="A1581" s="24"/>
      <c r="B1581" s="25" t="s">
        <v>169</v>
      </c>
      <c r="C1581" s="26"/>
      <c r="D1581" s="351"/>
      <c r="E1581" s="45"/>
      <c r="F1581" s="351"/>
      <c r="G1581" s="333"/>
      <c r="H1581" s="333"/>
      <c r="I1581" s="333"/>
      <c r="J1581" s="333"/>
      <c r="K1581" s="333"/>
      <c r="L1581" s="333"/>
      <c r="M1581" s="333"/>
      <c r="N1581" s="333"/>
      <c r="O1581" s="333"/>
      <c r="P1581" s="333"/>
      <c r="Q1581" s="66"/>
      <c r="R1581" s="66"/>
      <c r="S1581" s="333"/>
    </row>
    <row r="1582" spans="1:19">
      <c r="A1582" s="24"/>
      <c r="B1582" s="25" t="s">
        <v>170</v>
      </c>
      <c r="C1582" s="26" t="s">
        <v>8</v>
      </c>
      <c r="D1582" s="351">
        <v>32</v>
      </c>
      <c r="E1582" s="45"/>
      <c r="F1582" s="351">
        <v>32</v>
      </c>
      <c r="G1582" s="333"/>
      <c r="H1582" s="333"/>
      <c r="I1582" s="333"/>
      <c r="J1582" s="333"/>
      <c r="K1582" s="333"/>
      <c r="L1582" s="333"/>
      <c r="M1582" s="333"/>
      <c r="N1582" s="333"/>
      <c r="O1582" s="333"/>
      <c r="P1582" s="333"/>
      <c r="Q1582" s="66"/>
      <c r="R1582" s="66"/>
      <c r="S1582" s="333"/>
    </row>
    <row r="1583" spans="1:19">
      <c r="A1583" s="24"/>
      <c r="B1583" s="25" t="s">
        <v>171</v>
      </c>
      <c r="C1583" s="26" t="s">
        <v>8</v>
      </c>
      <c r="D1583" s="351">
        <v>1</v>
      </c>
      <c r="E1583" s="45"/>
      <c r="F1583" s="351">
        <v>1</v>
      </c>
      <c r="G1583" s="333"/>
      <c r="H1583" s="333"/>
      <c r="I1583" s="333"/>
      <c r="J1583" s="333"/>
      <c r="K1583" s="333"/>
      <c r="L1583" s="333"/>
      <c r="M1583" s="333"/>
      <c r="N1583" s="333"/>
      <c r="O1583" s="333"/>
      <c r="P1583" s="333"/>
      <c r="Q1583" s="66"/>
      <c r="R1583" s="66"/>
      <c r="S1583" s="333"/>
    </row>
    <row r="1584" spans="1:19">
      <c r="A1584" s="24"/>
      <c r="B1584" s="25" t="s">
        <v>172</v>
      </c>
      <c r="C1584" s="26" t="s">
        <v>78</v>
      </c>
      <c r="D1584" s="351">
        <v>1</v>
      </c>
      <c r="E1584" s="45"/>
      <c r="F1584" s="351">
        <v>1</v>
      </c>
      <c r="G1584" s="333"/>
      <c r="H1584" s="333"/>
      <c r="I1584" s="333"/>
      <c r="J1584" s="333"/>
      <c r="K1584" s="333"/>
      <c r="L1584" s="333"/>
      <c r="M1584" s="333"/>
      <c r="N1584" s="333"/>
      <c r="O1584" s="333"/>
      <c r="P1584" s="333"/>
      <c r="Q1584" s="66"/>
      <c r="R1584" s="66"/>
      <c r="S1584" s="333"/>
    </row>
    <row r="1585" spans="1:19">
      <c r="A1585" s="24"/>
      <c r="B1585" s="25" t="s">
        <v>173</v>
      </c>
      <c r="C1585" s="26" t="s">
        <v>8</v>
      </c>
      <c r="D1585" s="351">
        <v>1</v>
      </c>
      <c r="E1585" s="45"/>
      <c r="F1585" s="351">
        <v>1</v>
      </c>
      <c r="G1585" s="333"/>
      <c r="H1585" s="333"/>
      <c r="I1585" s="333"/>
      <c r="J1585" s="333"/>
      <c r="K1585" s="333"/>
      <c r="L1585" s="333"/>
      <c r="M1585" s="333"/>
      <c r="N1585" s="333"/>
      <c r="O1585" s="333"/>
      <c r="P1585" s="333"/>
      <c r="Q1585" s="66"/>
      <c r="R1585" s="66"/>
      <c r="S1585" s="333"/>
    </row>
    <row r="1586" spans="1:19">
      <c r="A1586" s="24"/>
      <c r="B1586" s="25" t="s">
        <v>174</v>
      </c>
      <c r="C1586" s="26" t="s">
        <v>17</v>
      </c>
      <c r="D1586" s="351">
        <v>1</v>
      </c>
      <c r="E1586" s="43"/>
      <c r="F1586" s="351">
        <v>1</v>
      </c>
      <c r="G1586" s="330"/>
      <c r="H1586" s="330"/>
      <c r="I1586" s="330"/>
      <c r="J1586" s="330"/>
      <c r="K1586" s="330"/>
      <c r="L1586" s="330"/>
      <c r="M1586" s="330"/>
      <c r="N1586" s="330"/>
      <c r="O1586" s="330"/>
      <c r="P1586" s="330"/>
      <c r="Q1586" s="66"/>
      <c r="R1586" s="66"/>
      <c r="S1586" s="330"/>
    </row>
    <row r="1587" spans="1:19">
      <c r="A1587" s="24"/>
      <c r="B1587" s="25" t="s">
        <v>175</v>
      </c>
      <c r="C1587" s="26" t="s">
        <v>17</v>
      </c>
      <c r="D1587" s="351">
        <v>1</v>
      </c>
      <c r="E1587" s="44"/>
      <c r="F1587" s="351">
        <v>1</v>
      </c>
      <c r="G1587" s="331"/>
      <c r="H1587" s="331"/>
      <c r="I1587" s="331"/>
      <c r="J1587" s="331"/>
      <c r="K1587" s="331"/>
      <c r="L1587" s="331"/>
      <c r="M1587" s="331"/>
      <c r="N1587" s="331"/>
      <c r="O1587" s="331"/>
      <c r="P1587" s="331"/>
      <c r="Q1587" s="127"/>
      <c r="R1587" s="127"/>
      <c r="S1587" s="331"/>
    </row>
    <row r="1588" spans="1:19" ht="30">
      <c r="A1588" s="24"/>
      <c r="B1588" s="25" t="s">
        <v>176</v>
      </c>
      <c r="C1588" s="26" t="s">
        <v>78</v>
      </c>
      <c r="D1588" s="351">
        <v>1</v>
      </c>
      <c r="E1588" s="46"/>
      <c r="F1588" s="351">
        <v>1</v>
      </c>
      <c r="G1588" s="334"/>
      <c r="H1588" s="334"/>
      <c r="I1588" s="334"/>
      <c r="J1588" s="334"/>
      <c r="K1588" s="334"/>
      <c r="L1588" s="334"/>
      <c r="M1588" s="334"/>
      <c r="N1588" s="334"/>
      <c r="O1588" s="334"/>
      <c r="P1588" s="334"/>
      <c r="Q1588" s="66"/>
      <c r="R1588" s="66"/>
      <c r="S1588" s="334"/>
    </row>
    <row r="1589" spans="1:19" ht="60">
      <c r="A1589" s="24">
        <v>56</v>
      </c>
      <c r="B1589" s="25" t="s">
        <v>406</v>
      </c>
      <c r="C1589" s="26" t="s">
        <v>7</v>
      </c>
      <c r="D1589" s="351">
        <v>1</v>
      </c>
      <c r="E1589" s="50"/>
      <c r="F1589" s="351">
        <v>1</v>
      </c>
      <c r="G1589" s="26" t="s">
        <v>2326</v>
      </c>
      <c r="H1589" s="26"/>
      <c r="I1589" s="26" t="s">
        <v>2327</v>
      </c>
      <c r="J1589" s="26" t="s">
        <v>2328</v>
      </c>
      <c r="K1589" s="311">
        <v>30087501.839999996</v>
      </c>
      <c r="L1589" s="311">
        <v>0</v>
      </c>
      <c r="M1589" s="311">
        <v>2486000.0000000009</v>
      </c>
      <c r="N1589" s="311">
        <v>3259141.6</v>
      </c>
      <c r="O1589" s="311">
        <v>2281399.12</v>
      </c>
      <c r="P1589" s="68">
        <f>SUM(K1589:O1589)</f>
        <v>38114042.559999995</v>
      </c>
      <c r="Q1589" s="68">
        <f>D1589*P1589</f>
        <v>38114042.559999995</v>
      </c>
      <c r="R1589" s="127">
        <f>F1589*P1589</f>
        <v>38114042.559999995</v>
      </c>
      <c r="S1589" s="335"/>
    </row>
    <row r="1590" spans="1:19" ht="30">
      <c r="A1590" s="24"/>
      <c r="B1590" s="25" t="s">
        <v>326</v>
      </c>
      <c r="C1590" s="26" t="s">
        <v>8</v>
      </c>
      <c r="D1590" s="351">
        <v>1</v>
      </c>
      <c r="E1590" s="53"/>
      <c r="F1590" s="351">
        <v>1</v>
      </c>
      <c r="G1590" s="15"/>
      <c r="H1590" s="15"/>
      <c r="I1590" s="15"/>
      <c r="J1590" s="15"/>
      <c r="K1590" s="15"/>
      <c r="L1590" s="15"/>
      <c r="M1590" s="15"/>
      <c r="N1590" s="15"/>
      <c r="O1590" s="15"/>
      <c r="P1590" s="15"/>
      <c r="Q1590" s="66"/>
      <c r="R1590" s="66"/>
      <c r="S1590" s="15"/>
    </row>
    <row r="1591" spans="1:19">
      <c r="A1591" s="24"/>
      <c r="B1591" s="25" t="s">
        <v>161</v>
      </c>
      <c r="C1591" s="26"/>
      <c r="D1591" s="351"/>
      <c r="E1591" s="50"/>
      <c r="F1591" s="351"/>
      <c r="G1591" s="335"/>
      <c r="H1591" s="335"/>
      <c r="I1591" s="335"/>
      <c r="J1591" s="335"/>
      <c r="K1591" s="335"/>
      <c r="L1591" s="335"/>
      <c r="M1591" s="335"/>
      <c r="N1591" s="335"/>
      <c r="O1591" s="335"/>
      <c r="P1591" s="335"/>
      <c r="Q1591" s="66"/>
      <c r="R1591" s="66"/>
      <c r="S1591" s="335"/>
    </row>
    <row r="1592" spans="1:19">
      <c r="A1592" s="24"/>
      <c r="B1592" s="25" t="s">
        <v>252</v>
      </c>
      <c r="C1592" s="26" t="s">
        <v>8</v>
      </c>
      <c r="D1592" s="351">
        <v>1</v>
      </c>
      <c r="E1592" s="46"/>
      <c r="F1592" s="351">
        <v>1</v>
      </c>
      <c r="G1592" s="334"/>
      <c r="H1592" s="334"/>
      <c r="I1592" s="334"/>
      <c r="J1592" s="334"/>
      <c r="K1592" s="334"/>
      <c r="L1592" s="334"/>
      <c r="M1592" s="334"/>
      <c r="N1592" s="334"/>
      <c r="O1592" s="334"/>
      <c r="P1592" s="334"/>
      <c r="Q1592" s="66"/>
      <c r="R1592" s="66"/>
      <c r="S1592" s="334"/>
    </row>
    <row r="1593" spans="1:19">
      <c r="A1593" s="24"/>
      <c r="B1593" s="25" t="s">
        <v>24</v>
      </c>
      <c r="C1593" s="26" t="s">
        <v>8</v>
      </c>
      <c r="D1593" s="351">
        <v>3</v>
      </c>
      <c r="E1593" s="54"/>
      <c r="F1593" s="351">
        <v>3</v>
      </c>
      <c r="G1593" s="17"/>
      <c r="H1593" s="17"/>
      <c r="I1593" s="17"/>
      <c r="J1593" s="17"/>
      <c r="K1593" s="17"/>
      <c r="L1593" s="17"/>
      <c r="M1593" s="17"/>
      <c r="N1593" s="17"/>
      <c r="O1593" s="17"/>
      <c r="P1593" s="17"/>
      <c r="Q1593" s="66"/>
      <c r="R1593" s="66"/>
      <c r="S1593" s="17"/>
    </row>
    <row r="1594" spans="1:19">
      <c r="A1594" s="24"/>
      <c r="B1594" s="25" t="s">
        <v>163</v>
      </c>
      <c r="C1594" s="26" t="s">
        <v>8</v>
      </c>
      <c r="D1594" s="351">
        <v>3</v>
      </c>
      <c r="E1594" s="50"/>
      <c r="F1594" s="351">
        <v>3</v>
      </c>
      <c r="G1594" s="335"/>
      <c r="H1594" s="335"/>
      <c r="I1594" s="335"/>
      <c r="J1594" s="335"/>
      <c r="K1594" s="335"/>
      <c r="L1594" s="335"/>
      <c r="M1594" s="335"/>
      <c r="N1594" s="335"/>
      <c r="O1594" s="335"/>
      <c r="P1594" s="335"/>
      <c r="Q1594" s="66"/>
      <c r="R1594" s="66"/>
      <c r="S1594" s="335"/>
    </row>
    <row r="1595" spans="1:19">
      <c r="A1595" s="24"/>
      <c r="B1595" s="25" t="s">
        <v>164</v>
      </c>
      <c r="C1595" s="26"/>
      <c r="D1595" s="351"/>
      <c r="E1595" s="48"/>
      <c r="F1595" s="351"/>
      <c r="G1595" s="334"/>
      <c r="H1595" s="334"/>
      <c r="I1595" s="334"/>
      <c r="J1595" s="334"/>
      <c r="K1595" s="334"/>
      <c r="L1595" s="334"/>
      <c r="M1595" s="334"/>
      <c r="N1595" s="334"/>
      <c r="O1595" s="334"/>
      <c r="P1595" s="334"/>
      <c r="Q1595" s="66"/>
      <c r="R1595" s="66"/>
      <c r="S1595" s="334"/>
    </row>
    <row r="1596" spans="1:19">
      <c r="A1596" s="24"/>
      <c r="B1596" s="25" t="s">
        <v>165</v>
      </c>
      <c r="C1596" s="26" t="s">
        <v>8</v>
      </c>
      <c r="D1596" s="351">
        <v>1</v>
      </c>
      <c r="E1596" s="44"/>
      <c r="F1596" s="351">
        <v>1</v>
      </c>
      <c r="G1596" s="331"/>
      <c r="H1596" s="331"/>
      <c r="I1596" s="331"/>
      <c r="J1596" s="331"/>
      <c r="K1596" s="331"/>
      <c r="L1596" s="331"/>
      <c r="M1596" s="331"/>
      <c r="N1596" s="331"/>
      <c r="O1596" s="331"/>
      <c r="P1596" s="331"/>
      <c r="Q1596" s="127"/>
      <c r="R1596" s="127"/>
      <c r="S1596" s="331"/>
    </row>
    <row r="1597" spans="1:19">
      <c r="A1597" s="24"/>
      <c r="B1597" s="25" t="s">
        <v>166</v>
      </c>
      <c r="C1597" s="26" t="s">
        <v>8</v>
      </c>
      <c r="D1597" s="351">
        <v>3</v>
      </c>
      <c r="E1597" s="50"/>
      <c r="F1597" s="351">
        <v>3</v>
      </c>
      <c r="G1597" s="335"/>
      <c r="H1597" s="335"/>
      <c r="I1597" s="335"/>
      <c r="J1597" s="335"/>
      <c r="K1597" s="335"/>
      <c r="L1597" s="335"/>
      <c r="M1597" s="335"/>
      <c r="N1597" s="335"/>
      <c r="O1597" s="335"/>
      <c r="P1597" s="335"/>
      <c r="Q1597" s="66"/>
      <c r="R1597" s="66"/>
      <c r="S1597" s="335"/>
    </row>
    <row r="1598" spans="1:19">
      <c r="A1598" s="24"/>
      <c r="B1598" s="25" t="s">
        <v>167</v>
      </c>
      <c r="C1598" s="26" t="s">
        <v>8</v>
      </c>
      <c r="D1598" s="351">
        <v>15</v>
      </c>
      <c r="E1598" s="50"/>
      <c r="F1598" s="351">
        <v>15</v>
      </c>
      <c r="G1598" s="335"/>
      <c r="H1598" s="335"/>
      <c r="I1598" s="335"/>
      <c r="J1598" s="335"/>
      <c r="K1598" s="335"/>
      <c r="L1598" s="335"/>
      <c r="M1598" s="335"/>
      <c r="N1598" s="335"/>
      <c r="O1598" s="335"/>
      <c r="P1598" s="335"/>
      <c r="Q1598" s="66"/>
      <c r="R1598" s="66"/>
      <c r="S1598" s="335"/>
    </row>
    <row r="1599" spans="1:19">
      <c r="A1599" s="24"/>
      <c r="B1599" s="25" t="s">
        <v>168</v>
      </c>
      <c r="C1599" s="26" t="s">
        <v>8</v>
      </c>
      <c r="D1599" s="351">
        <v>1</v>
      </c>
      <c r="E1599" s="50"/>
      <c r="F1599" s="351">
        <v>1</v>
      </c>
      <c r="G1599" s="335"/>
      <c r="H1599" s="335"/>
      <c r="I1599" s="335"/>
      <c r="J1599" s="335"/>
      <c r="K1599" s="335"/>
      <c r="L1599" s="335"/>
      <c r="M1599" s="335"/>
      <c r="N1599" s="335"/>
      <c r="O1599" s="335"/>
      <c r="P1599" s="335"/>
      <c r="Q1599" s="66"/>
      <c r="R1599" s="66"/>
      <c r="S1599" s="335"/>
    </row>
    <row r="1600" spans="1:19">
      <c r="A1600" s="24"/>
      <c r="B1600" s="25" t="s">
        <v>169</v>
      </c>
      <c r="C1600" s="26"/>
      <c r="D1600" s="351"/>
      <c r="E1600" s="50"/>
      <c r="F1600" s="351"/>
      <c r="G1600" s="335"/>
      <c r="H1600" s="335"/>
      <c r="I1600" s="335"/>
      <c r="J1600" s="335"/>
      <c r="K1600" s="335"/>
      <c r="L1600" s="335"/>
      <c r="M1600" s="335"/>
      <c r="N1600" s="335"/>
      <c r="O1600" s="335"/>
      <c r="P1600" s="335"/>
      <c r="Q1600" s="66"/>
      <c r="R1600" s="66"/>
      <c r="S1600" s="335"/>
    </row>
    <row r="1601" spans="1:19">
      <c r="A1601" s="24"/>
      <c r="B1601" s="25" t="s">
        <v>170</v>
      </c>
      <c r="C1601" s="26" t="s">
        <v>8</v>
      </c>
      <c r="D1601" s="351">
        <v>33</v>
      </c>
      <c r="E1601" s="50"/>
      <c r="F1601" s="351">
        <v>33</v>
      </c>
      <c r="G1601" s="335"/>
      <c r="H1601" s="335"/>
      <c r="I1601" s="335"/>
      <c r="J1601" s="335"/>
      <c r="K1601" s="335"/>
      <c r="L1601" s="335"/>
      <c r="M1601" s="335"/>
      <c r="N1601" s="335"/>
      <c r="O1601" s="335"/>
      <c r="P1601" s="335"/>
      <c r="Q1601" s="66"/>
      <c r="R1601" s="66"/>
      <c r="S1601" s="335"/>
    </row>
    <row r="1602" spans="1:19">
      <c r="A1602" s="24"/>
      <c r="B1602" s="25" t="s">
        <v>171</v>
      </c>
      <c r="C1602" s="26" t="s">
        <v>8</v>
      </c>
      <c r="D1602" s="351">
        <v>1</v>
      </c>
      <c r="E1602" s="43"/>
      <c r="F1602" s="351">
        <v>1</v>
      </c>
      <c r="G1602" s="330"/>
      <c r="H1602" s="330"/>
      <c r="I1602" s="330"/>
      <c r="J1602" s="330"/>
      <c r="K1602" s="330"/>
      <c r="L1602" s="330"/>
      <c r="M1602" s="330"/>
      <c r="N1602" s="330"/>
      <c r="O1602" s="330"/>
      <c r="P1602" s="330"/>
      <c r="Q1602" s="66"/>
      <c r="R1602" s="66"/>
      <c r="S1602" s="330"/>
    </row>
    <row r="1603" spans="1:19">
      <c r="A1603" s="24"/>
      <c r="B1603" s="25" t="s">
        <v>172</v>
      </c>
      <c r="C1603" s="26" t="s">
        <v>78</v>
      </c>
      <c r="D1603" s="351">
        <v>1</v>
      </c>
      <c r="E1603" s="43"/>
      <c r="F1603" s="351">
        <v>1</v>
      </c>
      <c r="G1603" s="330"/>
      <c r="H1603" s="330"/>
      <c r="I1603" s="330"/>
      <c r="J1603" s="330"/>
      <c r="K1603" s="330"/>
      <c r="L1603" s="330"/>
      <c r="M1603" s="330"/>
      <c r="N1603" s="330"/>
      <c r="O1603" s="330"/>
      <c r="P1603" s="330"/>
      <c r="Q1603" s="66"/>
      <c r="R1603" s="66"/>
      <c r="S1603" s="330"/>
    </row>
    <row r="1604" spans="1:19">
      <c r="A1604" s="24"/>
      <c r="B1604" s="25" t="s">
        <v>173</v>
      </c>
      <c r="C1604" s="26" t="s">
        <v>8</v>
      </c>
      <c r="D1604" s="351">
        <v>1</v>
      </c>
      <c r="E1604" s="43"/>
      <c r="F1604" s="351">
        <v>1</v>
      </c>
      <c r="G1604" s="330"/>
      <c r="H1604" s="330"/>
      <c r="I1604" s="330"/>
      <c r="J1604" s="330"/>
      <c r="K1604" s="330"/>
      <c r="L1604" s="330"/>
      <c r="M1604" s="330"/>
      <c r="N1604" s="330"/>
      <c r="O1604" s="330"/>
      <c r="P1604" s="330"/>
      <c r="Q1604" s="66"/>
      <c r="R1604" s="66"/>
      <c r="S1604" s="330"/>
    </row>
    <row r="1605" spans="1:19">
      <c r="A1605" s="24"/>
      <c r="B1605" s="25" t="s">
        <v>199</v>
      </c>
      <c r="C1605" s="26" t="s">
        <v>17</v>
      </c>
      <c r="D1605" s="351">
        <v>1</v>
      </c>
      <c r="E1605" s="43"/>
      <c r="F1605" s="351">
        <v>1</v>
      </c>
      <c r="G1605" s="330"/>
      <c r="H1605" s="330"/>
      <c r="I1605" s="330"/>
      <c r="J1605" s="330"/>
      <c r="K1605" s="330"/>
      <c r="L1605" s="330"/>
      <c r="M1605" s="330"/>
      <c r="N1605" s="330"/>
      <c r="O1605" s="330"/>
      <c r="P1605" s="330"/>
      <c r="Q1605" s="66"/>
      <c r="R1605" s="66"/>
      <c r="S1605" s="330"/>
    </row>
    <row r="1606" spans="1:19" ht="30">
      <c r="A1606" s="24"/>
      <c r="B1606" s="25" t="s">
        <v>176</v>
      </c>
      <c r="C1606" s="26" t="s">
        <v>78</v>
      </c>
      <c r="D1606" s="351">
        <v>1</v>
      </c>
      <c r="E1606" s="50"/>
      <c r="F1606" s="351">
        <v>1</v>
      </c>
      <c r="G1606" s="335"/>
      <c r="H1606" s="335"/>
      <c r="I1606" s="335"/>
      <c r="J1606" s="335"/>
      <c r="K1606" s="335"/>
      <c r="L1606" s="335"/>
      <c r="M1606" s="335"/>
      <c r="N1606" s="335"/>
      <c r="O1606" s="335"/>
      <c r="P1606" s="335"/>
      <c r="Q1606" s="66"/>
      <c r="R1606" s="66"/>
      <c r="S1606" s="335"/>
    </row>
    <row r="1607" spans="1:19" ht="60">
      <c r="A1607" s="24">
        <v>57</v>
      </c>
      <c r="B1607" s="25" t="s">
        <v>407</v>
      </c>
      <c r="C1607" s="26" t="s">
        <v>7</v>
      </c>
      <c r="D1607" s="351">
        <v>1</v>
      </c>
      <c r="E1607" s="50"/>
      <c r="F1607" s="351">
        <v>1</v>
      </c>
      <c r="G1607" s="26" t="s">
        <v>2326</v>
      </c>
      <c r="H1607" s="26"/>
      <c r="I1607" s="26" t="s">
        <v>2327</v>
      </c>
      <c r="J1607" s="26" t="s">
        <v>2328</v>
      </c>
      <c r="K1607" s="311">
        <v>32214416.849999998</v>
      </c>
      <c r="L1607" s="311">
        <v>0</v>
      </c>
      <c r="M1607" s="311">
        <v>2486000.0000000009</v>
      </c>
      <c r="N1607" s="311">
        <v>3473981.5</v>
      </c>
      <c r="O1607" s="311">
        <v>2431787.0500000003</v>
      </c>
      <c r="P1607" s="68">
        <f>SUM(K1607:O1607)</f>
        <v>40606185.399999999</v>
      </c>
      <c r="Q1607" s="68">
        <f>D1607*P1607</f>
        <v>40606185.399999999</v>
      </c>
      <c r="R1607" s="127">
        <f>F1607*P1607</f>
        <v>40606185.399999999</v>
      </c>
      <c r="S1607" s="335"/>
    </row>
    <row r="1608" spans="1:19" ht="30">
      <c r="A1608" s="24"/>
      <c r="B1608" s="25" t="s">
        <v>326</v>
      </c>
      <c r="C1608" s="26" t="s">
        <v>8</v>
      </c>
      <c r="D1608" s="351">
        <v>1</v>
      </c>
      <c r="E1608" s="44"/>
      <c r="F1608" s="351">
        <v>1</v>
      </c>
      <c r="G1608" s="331"/>
      <c r="H1608" s="331"/>
      <c r="I1608" s="331"/>
      <c r="J1608" s="331"/>
      <c r="K1608" s="331"/>
      <c r="L1608" s="331"/>
      <c r="M1608" s="331"/>
      <c r="N1608" s="331"/>
      <c r="O1608" s="331"/>
      <c r="P1608" s="331"/>
      <c r="Q1608" s="127"/>
      <c r="R1608" s="127"/>
      <c r="S1608" s="331"/>
    </row>
    <row r="1609" spans="1:19">
      <c r="A1609" s="24"/>
      <c r="B1609" s="25" t="s">
        <v>161</v>
      </c>
      <c r="C1609" s="26"/>
      <c r="D1609" s="351"/>
      <c r="E1609" s="46"/>
      <c r="F1609" s="351"/>
      <c r="G1609" s="334"/>
      <c r="H1609" s="334"/>
      <c r="I1609" s="334"/>
      <c r="J1609" s="334"/>
      <c r="K1609" s="334"/>
      <c r="L1609" s="334"/>
      <c r="M1609" s="334"/>
      <c r="N1609" s="334"/>
      <c r="O1609" s="334"/>
      <c r="P1609" s="334"/>
      <c r="Q1609" s="66"/>
      <c r="R1609" s="66"/>
      <c r="S1609" s="334"/>
    </row>
    <row r="1610" spans="1:19">
      <c r="A1610" s="24"/>
      <c r="B1610" s="25" t="s">
        <v>222</v>
      </c>
      <c r="C1610" s="26" t="s">
        <v>8</v>
      </c>
      <c r="D1610" s="351">
        <v>1</v>
      </c>
      <c r="E1610" s="47"/>
      <c r="F1610" s="351">
        <v>1</v>
      </c>
      <c r="G1610" s="330"/>
      <c r="H1610" s="330"/>
      <c r="I1610" s="330"/>
      <c r="J1610" s="330"/>
      <c r="K1610" s="330"/>
      <c r="L1610" s="330"/>
      <c r="M1610" s="330"/>
      <c r="N1610" s="330"/>
      <c r="O1610" s="330"/>
      <c r="P1610" s="330"/>
      <c r="Q1610" s="66"/>
      <c r="R1610" s="66"/>
      <c r="S1610" s="330"/>
    </row>
    <row r="1611" spans="1:19">
      <c r="A1611" s="24"/>
      <c r="B1611" s="25" t="s">
        <v>24</v>
      </c>
      <c r="C1611" s="26" t="s">
        <v>8</v>
      </c>
      <c r="D1611" s="351">
        <v>3</v>
      </c>
      <c r="E1611" s="53"/>
      <c r="F1611" s="351">
        <v>3</v>
      </c>
      <c r="G1611" s="15"/>
      <c r="H1611" s="15"/>
      <c r="I1611" s="15"/>
      <c r="J1611" s="15"/>
      <c r="K1611" s="15"/>
      <c r="L1611" s="15"/>
      <c r="M1611" s="15"/>
      <c r="N1611" s="15"/>
      <c r="O1611" s="15"/>
      <c r="P1611" s="15"/>
      <c r="Q1611" s="66"/>
      <c r="R1611" s="66"/>
      <c r="S1611" s="15"/>
    </row>
    <row r="1612" spans="1:19">
      <c r="A1612" s="24"/>
      <c r="B1612" s="25" t="s">
        <v>163</v>
      </c>
      <c r="C1612" s="26" t="s">
        <v>8</v>
      </c>
      <c r="D1612" s="351">
        <v>3</v>
      </c>
      <c r="E1612" s="50"/>
      <c r="F1612" s="351">
        <v>3</v>
      </c>
      <c r="G1612" s="335"/>
      <c r="H1612" s="335"/>
      <c r="I1612" s="335"/>
      <c r="J1612" s="335"/>
      <c r="K1612" s="335"/>
      <c r="L1612" s="335"/>
      <c r="M1612" s="335"/>
      <c r="N1612" s="335"/>
      <c r="O1612" s="335"/>
      <c r="P1612" s="335"/>
      <c r="Q1612" s="66"/>
      <c r="R1612" s="66"/>
      <c r="S1612" s="335"/>
    </row>
    <row r="1613" spans="1:19">
      <c r="A1613" s="24"/>
      <c r="B1613" s="25" t="s">
        <v>164</v>
      </c>
      <c r="C1613" s="26"/>
      <c r="D1613" s="351"/>
      <c r="E1613" s="43"/>
      <c r="F1613" s="351"/>
      <c r="G1613" s="330"/>
      <c r="H1613" s="330"/>
      <c r="I1613" s="330"/>
      <c r="J1613" s="330"/>
      <c r="K1613" s="330"/>
      <c r="L1613" s="330"/>
      <c r="M1613" s="330"/>
      <c r="N1613" s="330"/>
      <c r="O1613" s="330"/>
      <c r="P1613" s="330"/>
      <c r="Q1613" s="66"/>
      <c r="R1613" s="66"/>
      <c r="S1613" s="330"/>
    </row>
    <row r="1614" spans="1:19">
      <c r="A1614" s="24"/>
      <c r="B1614" s="25" t="s">
        <v>165</v>
      </c>
      <c r="C1614" s="26" t="s">
        <v>8</v>
      </c>
      <c r="D1614" s="351">
        <v>1</v>
      </c>
      <c r="E1614" s="55"/>
      <c r="F1614" s="351">
        <v>1</v>
      </c>
      <c r="G1614" s="337"/>
      <c r="H1614" s="337"/>
      <c r="I1614" s="337"/>
      <c r="J1614" s="337"/>
      <c r="K1614" s="337"/>
      <c r="L1614" s="337"/>
      <c r="M1614" s="337"/>
      <c r="N1614" s="337"/>
      <c r="O1614" s="337"/>
      <c r="P1614" s="337"/>
      <c r="Q1614" s="66"/>
      <c r="R1614" s="66"/>
      <c r="S1614" s="337"/>
    </row>
    <row r="1615" spans="1:19">
      <c r="A1615" s="24"/>
      <c r="B1615" s="25" t="s">
        <v>252</v>
      </c>
      <c r="C1615" s="26" t="s">
        <v>8</v>
      </c>
      <c r="D1615" s="351">
        <v>2</v>
      </c>
      <c r="E1615" s="53"/>
      <c r="F1615" s="351">
        <v>2</v>
      </c>
      <c r="G1615" s="15"/>
      <c r="H1615" s="15"/>
      <c r="I1615" s="15"/>
      <c r="J1615" s="15"/>
      <c r="K1615" s="15"/>
      <c r="L1615" s="15"/>
      <c r="M1615" s="15"/>
      <c r="N1615" s="15"/>
      <c r="O1615" s="15"/>
      <c r="P1615" s="15"/>
      <c r="Q1615" s="66"/>
      <c r="R1615" s="66"/>
      <c r="S1615" s="15"/>
    </row>
    <row r="1616" spans="1:19">
      <c r="A1616" s="24"/>
      <c r="B1616" s="25" t="s">
        <v>166</v>
      </c>
      <c r="C1616" s="26" t="s">
        <v>8</v>
      </c>
      <c r="D1616" s="351">
        <v>3</v>
      </c>
      <c r="E1616" s="43"/>
      <c r="F1616" s="351">
        <v>3</v>
      </c>
      <c r="G1616" s="330"/>
      <c r="H1616" s="330"/>
      <c r="I1616" s="330"/>
      <c r="J1616" s="330"/>
      <c r="K1616" s="330"/>
      <c r="L1616" s="330"/>
      <c r="M1616" s="330"/>
      <c r="N1616" s="330"/>
      <c r="O1616" s="330"/>
      <c r="P1616" s="330"/>
      <c r="Q1616" s="66"/>
      <c r="R1616" s="66"/>
      <c r="S1616" s="330"/>
    </row>
    <row r="1617" spans="1:19">
      <c r="A1617" s="24"/>
      <c r="B1617" s="25" t="s">
        <v>167</v>
      </c>
      <c r="C1617" s="26" t="s">
        <v>8</v>
      </c>
      <c r="D1617" s="351">
        <v>13</v>
      </c>
      <c r="E1617" s="43"/>
      <c r="F1617" s="351">
        <v>13</v>
      </c>
      <c r="G1617" s="330"/>
      <c r="H1617" s="330"/>
      <c r="I1617" s="330"/>
      <c r="J1617" s="330"/>
      <c r="K1617" s="330"/>
      <c r="L1617" s="330"/>
      <c r="M1617" s="330"/>
      <c r="N1617" s="330"/>
      <c r="O1617" s="330"/>
      <c r="P1617" s="330"/>
      <c r="Q1617" s="66"/>
      <c r="R1617" s="66"/>
      <c r="S1617" s="330"/>
    </row>
    <row r="1618" spans="1:19">
      <c r="A1618" s="24"/>
      <c r="B1618" s="25" t="s">
        <v>168</v>
      </c>
      <c r="C1618" s="26" t="s">
        <v>8</v>
      </c>
      <c r="D1618" s="351">
        <v>1</v>
      </c>
      <c r="E1618" s="55"/>
      <c r="F1618" s="351">
        <v>1</v>
      </c>
      <c r="G1618" s="337"/>
      <c r="H1618" s="337"/>
      <c r="I1618" s="337"/>
      <c r="J1618" s="337"/>
      <c r="K1618" s="337"/>
      <c r="L1618" s="337"/>
      <c r="M1618" s="337"/>
      <c r="N1618" s="337"/>
      <c r="O1618" s="337"/>
      <c r="P1618" s="337"/>
      <c r="Q1618" s="66"/>
      <c r="R1618" s="66"/>
      <c r="S1618" s="337"/>
    </row>
    <row r="1619" spans="1:19">
      <c r="A1619" s="24"/>
      <c r="B1619" s="25" t="s">
        <v>169</v>
      </c>
      <c r="C1619" s="26"/>
      <c r="D1619" s="351"/>
      <c r="E1619" s="50"/>
      <c r="F1619" s="351"/>
      <c r="G1619" s="335"/>
      <c r="H1619" s="335"/>
      <c r="I1619" s="335"/>
      <c r="J1619" s="335"/>
      <c r="K1619" s="335"/>
      <c r="L1619" s="335"/>
      <c r="M1619" s="335"/>
      <c r="N1619" s="335"/>
      <c r="O1619" s="335"/>
      <c r="P1619" s="335"/>
      <c r="Q1619" s="66"/>
      <c r="R1619" s="66"/>
      <c r="S1619" s="335"/>
    </row>
    <row r="1620" spans="1:19">
      <c r="A1620" s="24"/>
      <c r="B1620" s="25" t="s">
        <v>170</v>
      </c>
      <c r="C1620" s="26" t="s">
        <v>8</v>
      </c>
      <c r="D1620" s="351">
        <v>28</v>
      </c>
      <c r="E1620" s="50"/>
      <c r="F1620" s="351">
        <v>28</v>
      </c>
      <c r="G1620" s="335"/>
      <c r="H1620" s="335"/>
      <c r="I1620" s="335"/>
      <c r="J1620" s="335"/>
      <c r="K1620" s="335"/>
      <c r="L1620" s="335"/>
      <c r="M1620" s="335"/>
      <c r="N1620" s="335"/>
      <c r="O1620" s="335"/>
      <c r="P1620" s="335"/>
      <c r="Q1620" s="66"/>
      <c r="R1620" s="66"/>
      <c r="S1620" s="335"/>
    </row>
    <row r="1621" spans="1:19">
      <c r="A1621" s="24"/>
      <c r="B1621" s="25" t="s">
        <v>171</v>
      </c>
      <c r="C1621" s="26" t="s">
        <v>8</v>
      </c>
      <c r="D1621" s="351">
        <v>1</v>
      </c>
      <c r="E1621" s="50"/>
      <c r="F1621" s="351">
        <v>1</v>
      </c>
      <c r="G1621" s="335"/>
      <c r="H1621" s="335"/>
      <c r="I1621" s="335"/>
      <c r="J1621" s="335"/>
      <c r="K1621" s="335"/>
      <c r="L1621" s="335"/>
      <c r="M1621" s="335"/>
      <c r="N1621" s="335"/>
      <c r="O1621" s="335"/>
      <c r="P1621" s="335"/>
      <c r="Q1621" s="66"/>
      <c r="R1621" s="66"/>
      <c r="S1621" s="335"/>
    </row>
    <row r="1622" spans="1:19">
      <c r="A1622" s="24"/>
      <c r="B1622" s="25" t="s">
        <v>172</v>
      </c>
      <c r="C1622" s="26" t="s">
        <v>78</v>
      </c>
      <c r="D1622" s="351">
        <v>1</v>
      </c>
      <c r="E1622" s="50"/>
      <c r="F1622" s="351">
        <v>1</v>
      </c>
      <c r="G1622" s="335"/>
      <c r="H1622" s="335"/>
      <c r="I1622" s="335"/>
      <c r="J1622" s="335"/>
      <c r="K1622" s="335"/>
      <c r="L1622" s="335"/>
      <c r="M1622" s="335"/>
      <c r="N1622" s="335"/>
      <c r="O1622" s="335"/>
      <c r="P1622" s="335"/>
      <c r="Q1622" s="66"/>
      <c r="R1622" s="66"/>
      <c r="S1622" s="335"/>
    </row>
    <row r="1623" spans="1:19">
      <c r="A1623" s="24"/>
      <c r="B1623" s="25" t="s">
        <v>173</v>
      </c>
      <c r="C1623" s="26" t="s">
        <v>8</v>
      </c>
      <c r="D1623" s="351">
        <v>1</v>
      </c>
      <c r="E1623" s="53"/>
      <c r="F1623" s="351">
        <v>1</v>
      </c>
      <c r="G1623" s="15"/>
      <c r="H1623" s="15"/>
      <c r="I1623" s="15"/>
      <c r="J1623" s="15"/>
      <c r="K1623" s="15"/>
      <c r="L1623" s="15"/>
      <c r="M1623" s="15"/>
      <c r="N1623" s="15"/>
      <c r="O1623" s="15"/>
      <c r="P1623" s="15"/>
      <c r="Q1623" s="66"/>
      <c r="R1623" s="66"/>
      <c r="S1623" s="15"/>
    </row>
    <row r="1624" spans="1:19">
      <c r="A1624" s="24"/>
      <c r="B1624" s="25" t="s">
        <v>174</v>
      </c>
      <c r="C1624" s="26" t="s">
        <v>17</v>
      </c>
      <c r="D1624" s="351">
        <v>1</v>
      </c>
      <c r="E1624" s="45"/>
      <c r="F1624" s="351">
        <v>1</v>
      </c>
      <c r="G1624" s="333"/>
      <c r="H1624" s="333"/>
      <c r="I1624" s="333"/>
      <c r="J1624" s="333"/>
      <c r="K1624" s="333"/>
      <c r="L1624" s="333"/>
      <c r="M1624" s="333"/>
      <c r="N1624" s="333"/>
      <c r="O1624" s="333"/>
      <c r="P1624" s="333"/>
      <c r="Q1624" s="66"/>
      <c r="R1624" s="66"/>
      <c r="S1624" s="333"/>
    </row>
    <row r="1625" spans="1:19">
      <c r="A1625" s="24"/>
      <c r="B1625" s="25" t="s">
        <v>175</v>
      </c>
      <c r="C1625" s="26" t="s">
        <v>17</v>
      </c>
      <c r="D1625" s="351">
        <v>1</v>
      </c>
      <c r="E1625" s="306"/>
      <c r="F1625" s="351">
        <v>1</v>
      </c>
      <c r="G1625" s="336"/>
      <c r="H1625" s="336"/>
      <c r="I1625" s="336"/>
      <c r="J1625" s="336"/>
      <c r="K1625" s="336"/>
      <c r="L1625" s="336"/>
      <c r="M1625" s="336"/>
      <c r="N1625" s="336"/>
      <c r="O1625" s="336"/>
      <c r="P1625" s="336"/>
      <c r="Q1625" s="66"/>
      <c r="R1625" s="66"/>
      <c r="S1625" s="336"/>
    </row>
    <row r="1626" spans="1:19" ht="30">
      <c r="A1626" s="24"/>
      <c r="B1626" s="25" t="s">
        <v>176</v>
      </c>
      <c r="C1626" s="26" t="s">
        <v>78</v>
      </c>
      <c r="D1626" s="351">
        <v>1</v>
      </c>
      <c r="E1626" s="50"/>
      <c r="F1626" s="351">
        <v>1</v>
      </c>
      <c r="G1626" s="335"/>
      <c r="H1626" s="335"/>
      <c r="I1626" s="335"/>
      <c r="J1626" s="335"/>
      <c r="K1626" s="335"/>
      <c r="L1626" s="335"/>
      <c r="M1626" s="335"/>
      <c r="N1626" s="335"/>
      <c r="O1626" s="335"/>
      <c r="P1626" s="335"/>
      <c r="Q1626" s="66"/>
      <c r="R1626" s="66"/>
      <c r="S1626" s="335"/>
    </row>
    <row r="1627" spans="1:19" ht="60">
      <c r="A1627" s="24">
        <v>58</v>
      </c>
      <c r="B1627" s="25" t="s">
        <v>408</v>
      </c>
      <c r="C1627" s="26" t="s">
        <v>7</v>
      </c>
      <c r="D1627" s="351">
        <v>2</v>
      </c>
      <c r="E1627" s="44"/>
      <c r="F1627" s="351">
        <v>2</v>
      </c>
      <c r="G1627" s="26" t="s">
        <v>2326</v>
      </c>
      <c r="H1627" s="26"/>
      <c r="I1627" s="26" t="s">
        <v>2327</v>
      </c>
      <c r="J1627" s="26" t="s">
        <v>2328</v>
      </c>
      <c r="K1627" s="311">
        <v>30260685.509999998</v>
      </c>
      <c r="L1627" s="311">
        <v>0</v>
      </c>
      <c r="M1627" s="311">
        <v>2486000.0000000009</v>
      </c>
      <c r="N1627" s="311">
        <v>3276634.9000000004</v>
      </c>
      <c r="O1627" s="311">
        <v>2293644.4300000002</v>
      </c>
      <c r="P1627" s="68">
        <f>SUM(K1627:O1627)</f>
        <v>38316964.839999996</v>
      </c>
      <c r="Q1627" s="68">
        <f>D1627*P1627</f>
        <v>76633929.679999992</v>
      </c>
      <c r="R1627" s="127">
        <f>F1627*P1627</f>
        <v>76633929.679999992</v>
      </c>
      <c r="S1627" s="331"/>
    </row>
    <row r="1628" spans="1:19" ht="30">
      <c r="A1628" s="24"/>
      <c r="B1628" s="25" t="s">
        <v>326</v>
      </c>
      <c r="C1628" s="26" t="s">
        <v>8</v>
      </c>
      <c r="D1628" s="351">
        <v>1</v>
      </c>
      <c r="E1628" s="46"/>
      <c r="F1628" s="351">
        <v>1</v>
      </c>
      <c r="G1628" s="334"/>
      <c r="H1628" s="334"/>
      <c r="I1628" s="334"/>
      <c r="J1628" s="334"/>
      <c r="K1628" s="334"/>
      <c r="L1628" s="334"/>
      <c r="M1628" s="334"/>
      <c r="N1628" s="334"/>
      <c r="O1628" s="334"/>
      <c r="P1628" s="334"/>
      <c r="Q1628" s="66"/>
      <c r="R1628" s="66"/>
      <c r="S1628" s="334"/>
    </row>
    <row r="1629" spans="1:19">
      <c r="A1629" s="24"/>
      <c r="B1629" s="25" t="s">
        <v>161</v>
      </c>
      <c r="C1629" s="26"/>
      <c r="D1629" s="351"/>
      <c r="E1629" s="47"/>
      <c r="F1629" s="351"/>
      <c r="G1629" s="330"/>
      <c r="H1629" s="330"/>
      <c r="I1629" s="330"/>
      <c r="J1629" s="330"/>
      <c r="K1629" s="330"/>
      <c r="L1629" s="330"/>
      <c r="M1629" s="330"/>
      <c r="N1629" s="330"/>
      <c r="O1629" s="330"/>
      <c r="P1629" s="330"/>
      <c r="Q1629" s="66"/>
      <c r="R1629" s="66"/>
      <c r="S1629" s="330"/>
    </row>
    <row r="1630" spans="1:19">
      <c r="A1630" s="24"/>
      <c r="B1630" s="25" t="s">
        <v>252</v>
      </c>
      <c r="C1630" s="26" t="s">
        <v>8</v>
      </c>
      <c r="D1630" s="351">
        <v>1</v>
      </c>
      <c r="E1630" s="50"/>
      <c r="F1630" s="351">
        <v>1</v>
      </c>
      <c r="G1630" s="335"/>
      <c r="H1630" s="335"/>
      <c r="I1630" s="335"/>
      <c r="J1630" s="335"/>
      <c r="K1630" s="335"/>
      <c r="L1630" s="335"/>
      <c r="M1630" s="335"/>
      <c r="N1630" s="335"/>
      <c r="O1630" s="335"/>
      <c r="P1630" s="335"/>
      <c r="Q1630" s="66"/>
      <c r="R1630" s="66"/>
      <c r="S1630" s="335"/>
    </row>
    <row r="1631" spans="1:19">
      <c r="A1631" s="24"/>
      <c r="B1631" s="25" t="s">
        <v>24</v>
      </c>
      <c r="C1631" s="26" t="s">
        <v>8</v>
      </c>
      <c r="D1631" s="351">
        <v>3</v>
      </c>
      <c r="E1631" s="43"/>
      <c r="F1631" s="351">
        <v>3</v>
      </c>
      <c r="G1631" s="330"/>
      <c r="H1631" s="330"/>
      <c r="I1631" s="330"/>
      <c r="J1631" s="330"/>
      <c r="K1631" s="330"/>
      <c r="L1631" s="330"/>
      <c r="M1631" s="330"/>
      <c r="N1631" s="330"/>
      <c r="O1631" s="330"/>
      <c r="P1631" s="330"/>
      <c r="Q1631" s="66"/>
      <c r="R1631" s="66"/>
      <c r="S1631" s="330"/>
    </row>
    <row r="1632" spans="1:19">
      <c r="A1632" s="24"/>
      <c r="B1632" s="25" t="s">
        <v>163</v>
      </c>
      <c r="C1632" s="26" t="s">
        <v>8</v>
      </c>
      <c r="D1632" s="351">
        <v>3</v>
      </c>
      <c r="E1632" s="55"/>
      <c r="F1632" s="351">
        <v>3</v>
      </c>
      <c r="G1632" s="337"/>
      <c r="H1632" s="337"/>
      <c r="I1632" s="337"/>
      <c r="J1632" s="337"/>
      <c r="K1632" s="337"/>
      <c r="L1632" s="337"/>
      <c r="M1632" s="337"/>
      <c r="N1632" s="337"/>
      <c r="O1632" s="337"/>
      <c r="P1632" s="337"/>
      <c r="Q1632" s="66"/>
      <c r="R1632" s="66"/>
      <c r="S1632" s="337"/>
    </row>
    <row r="1633" spans="1:19">
      <c r="A1633" s="24"/>
      <c r="B1633" s="25" t="s">
        <v>164</v>
      </c>
      <c r="C1633" s="26"/>
      <c r="D1633" s="351"/>
      <c r="E1633" s="50"/>
      <c r="F1633" s="351"/>
      <c r="G1633" s="335"/>
      <c r="H1633" s="335"/>
      <c r="I1633" s="335"/>
      <c r="J1633" s="335"/>
      <c r="K1633" s="335"/>
      <c r="L1633" s="335"/>
      <c r="M1633" s="335"/>
      <c r="N1633" s="335"/>
      <c r="O1633" s="335"/>
      <c r="P1633" s="335"/>
      <c r="Q1633" s="66"/>
      <c r="R1633" s="66"/>
      <c r="S1633" s="335"/>
    </row>
    <row r="1634" spans="1:19">
      <c r="A1634" s="24"/>
      <c r="B1634" s="25" t="s">
        <v>165</v>
      </c>
      <c r="C1634" s="26" t="s">
        <v>8</v>
      </c>
      <c r="D1634" s="351">
        <v>1</v>
      </c>
      <c r="E1634" s="50"/>
      <c r="F1634" s="351">
        <v>1</v>
      </c>
      <c r="G1634" s="335"/>
      <c r="H1634" s="335"/>
      <c r="I1634" s="335"/>
      <c r="J1634" s="335"/>
      <c r="K1634" s="335"/>
      <c r="L1634" s="335"/>
      <c r="M1634" s="335"/>
      <c r="N1634" s="335"/>
      <c r="O1634" s="335"/>
      <c r="P1634" s="335"/>
      <c r="Q1634" s="66"/>
      <c r="R1634" s="66"/>
      <c r="S1634" s="335"/>
    </row>
    <row r="1635" spans="1:19">
      <c r="A1635" s="24"/>
      <c r="B1635" s="25" t="s">
        <v>166</v>
      </c>
      <c r="C1635" s="26" t="s">
        <v>8</v>
      </c>
      <c r="D1635" s="351">
        <v>3</v>
      </c>
      <c r="E1635" s="50"/>
      <c r="F1635" s="351">
        <v>3</v>
      </c>
      <c r="G1635" s="335"/>
      <c r="H1635" s="335"/>
      <c r="I1635" s="335"/>
      <c r="J1635" s="335"/>
      <c r="K1635" s="335"/>
      <c r="L1635" s="335"/>
      <c r="M1635" s="335"/>
      <c r="N1635" s="335"/>
      <c r="O1635" s="335"/>
      <c r="P1635" s="335"/>
      <c r="Q1635" s="66"/>
      <c r="R1635" s="66"/>
      <c r="S1635" s="335"/>
    </row>
    <row r="1636" spans="1:19">
      <c r="A1636" s="24"/>
      <c r="B1636" s="25" t="s">
        <v>167</v>
      </c>
      <c r="C1636" s="26" t="s">
        <v>8</v>
      </c>
      <c r="D1636" s="351">
        <v>12</v>
      </c>
      <c r="E1636" s="50"/>
      <c r="F1636" s="351">
        <v>12</v>
      </c>
      <c r="G1636" s="335"/>
      <c r="H1636" s="335"/>
      <c r="I1636" s="335"/>
      <c r="J1636" s="335"/>
      <c r="K1636" s="335"/>
      <c r="L1636" s="335"/>
      <c r="M1636" s="335"/>
      <c r="N1636" s="335"/>
      <c r="O1636" s="335"/>
      <c r="P1636" s="335"/>
      <c r="Q1636" s="66"/>
      <c r="R1636" s="66"/>
      <c r="S1636" s="335"/>
    </row>
    <row r="1637" spans="1:19">
      <c r="A1637" s="24"/>
      <c r="B1637" s="25" t="s">
        <v>168</v>
      </c>
      <c r="C1637" s="26" t="s">
        <v>8</v>
      </c>
      <c r="D1637" s="351">
        <v>1</v>
      </c>
      <c r="E1637" s="50"/>
      <c r="F1637" s="351">
        <v>1</v>
      </c>
      <c r="G1637" s="335"/>
      <c r="H1637" s="335"/>
      <c r="I1637" s="335"/>
      <c r="J1637" s="335"/>
      <c r="K1637" s="335"/>
      <c r="L1637" s="335"/>
      <c r="M1637" s="335"/>
      <c r="N1637" s="335"/>
      <c r="O1637" s="335"/>
      <c r="P1637" s="335"/>
      <c r="Q1637" s="66"/>
      <c r="R1637" s="66"/>
      <c r="S1637" s="335"/>
    </row>
    <row r="1638" spans="1:19">
      <c r="A1638" s="24"/>
      <c r="B1638" s="25" t="s">
        <v>169</v>
      </c>
      <c r="C1638" s="26"/>
      <c r="D1638" s="351"/>
      <c r="E1638" s="50"/>
      <c r="F1638" s="351"/>
      <c r="G1638" s="335"/>
      <c r="H1638" s="335"/>
      <c r="I1638" s="335"/>
      <c r="J1638" s="335"/>
      <c r="K1638" s="335"/>
      <c r="L1638" s="335"/>
      <c r="M1638" s="335"/>
      <c r="N1638" s="335"/>
      <c r="O1638" s="335"/>
      <c r="P1638" s="335"/>
      <c r="Q1638" s="66"/>
      <c r="R1638" s="66"/>
      <c r="S1638" s="335"/>
    </row>
    <row r="1639" spans="1:19">
      <c r="A1639" s="24"/>
      <c r="B1639" s="25" t="s">
        <v>170</v>
      </c>
      <c r="C1639" s="26" t="s">
        <v>8</v>
      </c>
      <c r="D1639" s="351">
        <v>28</v>
      </c>
      <c r="E1639" s="45"/>
      <c r="F1639" s="351">
        <v>28</v>
      </c>
      <c r="G1639" s="333"/>
      <c r="H1639" s="333"/>
      <c r="I1639" s="333"/>
      <c r="J1639" s="333"/>
      <c r="K1639" s="333"/>
      <c r="L1639" s="333"/>
      <c r="M1639" s="333"/>
      <c r="N1639" s="333"/>
      <c r="O1639" s="333"/>
      <c r="P1639" s="333"/>
      <c r="Q1639" s="66"/>
      <c r="R1639" s="66"/>
      <c r="S1639" s="333"/>
    </row>
    <row r="1640" spans="1:19">
      <c r="A1640" s="24"/>
      <c r="B1640" s="25" t="s">
        <v>171</v>
      </c>
      <c r="C1640" s="26" t="s">
        <v>8</v>
      </c>
      <c r="D1640" s="351">
        <v>1</v>
      </c>
      <c r="E1640" s="306"/>
      <c r="F1640" s="351">
        <v>1</v>
      </c>
      <c r="G1640" s="336"/>
      <c r="H1640" s="336"/>
      <c r="I1640" s="336"/>
      <c r="J1640" s="336"/>
      <c r="K1640" s="336"/>
      <c r="L1640" s="336"/>
      <c r="M1640" s="336"/>
      <c r="N1640" s="336"/>
      <c r="O1640" s="336"/>
      <c r="P1640" s="336"/>
      <c r="Q1640" s="66"/>
      <c r="R1640" s="66"/>
      <c r="S1640" s="336"/>
    </row>
    <row r="1641" spans="1:19">
      <c r="A1641" s="24"/>
      <c r="B1641" s="25" t="s">
        <v>172</v>
      </c>
      <c r="C1641" s="26" t="s">
        <v>78</v>
      </c>
      <c r="D1641" s="351">
        <v>1</v>
      </c>
      <c r="E1641" s="92"/>
      <c r="F1641" s="351">
        <v>1</v>
      </c>
      <c r="G1641" s="329"/>
      <c r="H1641" s="329"/>
      <c r="I1641" s="329"/>
      <c r="J1641" s="329"/>
      <c r="K1641" s="329"/>
      <c r="L1641" s="329"/>
      <c r="M1641" s="329"/>
      <c r="N1641" s="329"/>
      <c r="O1641" s="329"/>
      <c r="P1641" s="329"/>
      <c r="Q1641" s="65"/>
      <c r="R1641" s="65"/>
      <c r="S1641" s="329"/>
    </row>
    <row r="1642" spans="1:19">
      <c r="A1642" s="24"/>
      <c r="B1642" s="25" t="s">
        <v>173</v>
      </c>
      <c r="C1642" s="26" t="s">
        <v>8</v>
      </c>
      <c r="D1642" s="351">
        <v>1</v>
      </c>
      <c r="E1642" s="303"/>
      <c r="F1642" s="351">
        <v>1</v>
      </c>
      <c r="G1642" s="26"/>
      <c r="H1642" s="26"/>
      <c r="I1642" s="26"/>
      <c r="J1642" s="26"/>
      <c r="K1642" s="26"/>
      <c r="L1642" s="26"/>
      <c r="M1642" s="26"/>
      <c r="N1642" s="26"/>
      <c r="O1642" s="26"/>
      <c r="P1642" s="26"/>
      <c r="Q1642" s="66"/>
      <c r="R1642" s="66"/>
      <c r="S1642" s="26"/>
    </row>
    <row r="1643" spans="1:19">
      <c r="A1643" s="24"/>
      <c r="B1643" s="25" t="s">
        <v>199</v>
      </c>
      <c r="C1643" s="26" t="s">
        <v>17</v>
      </c>
      <c r="D1643" s="351">
        <v>1</v>
      </c>
      <c r="E1643" s="303"/>
      <c r="F1643" s="351">
        <v>1</v>
      </c>
      <c r="G1643" s="26"/>
      <c r="H1643" s="26"/>
      <c r="I1643" s="26"/>
      <c r="J1643" s="26"/>
      <c r="K1643" s="26"/>
      <c r="L1643" s="26"/>
      <c r="M1643" s="26"/>
      <c r="N1643" s="26"/>
      <c r="O1643" s="26"/>
      <c r="P1643" s="26"/>
      <c r="Q1643" s="66"/>
      <c r="R1643" s="66"/>
      <c r="S1643" s="26"/>
    </row>
    <row r="1644" spans="1:19" ht="30">
      <c r="A1644" s="24"/>
      <c r="B1644" s="25" t="s">
        <v>176</v>
      </c>
      <c r="C1644" s="26" t="s">
        <v>78</v>
      </c>
      <c r="D1644" s="351">
        <v>1</v>
      </c>
      <c r="E1644" s="303"/>
      <c r="F1644" s="351">
        <v>1</v>
      </c>
      <c r="G1644" s="26"/>
      <c r="H1644" s="26"/>
      <c r="I1644" s="26"/>
      <c r="J1644" s="26"/>
      <c r="K1644" s="26"/>
      <c r="L1644" s="26"/>
      <c r="M1644" s="26"/>
      <c r="N1644" s="26"/>
      <c r="O1644" s="26"/>
      <c r="P1644" s="26"/>
      <c r="Q1644" s="66"/>
      <c r="R1644" s="66"/>
      <c r="S1644" s="26"/>
    </row>
    <row r="1645" spans="1:19" ht="60">
      <c r="A1645" s="24">
        <v>59</v>
      </c>
      <c r="B1645" s="25" t="s">
        <v>409</v>
      </c>
      <c r="C1645" s="26" t="s">
        <v>7</v>
      </c>
      <c r="D1645" s="351">
        <v>1</v>
      </c>
      <c r="E1645" s="303"/>
      <c r="F1645" s="351">
        <v>1</v>
      </c>
      <c r="G1645" s="26" t="s">
        <v>2326</v>
      </c>
      <c r="H1645" s="26"/>
      <c r="I1645" s="26" t="s">
        <v>2327</v>
      </c>
      <c r="J1645" s="26" t="s">
        <v>2328</v>
      </c>
      <c r="K1645" s="311">
        <v>34526178.719999999</v>
      </c>
      <c r="L1645" s="311">
        <v>0</v>
      </c>
      <c r="M1645" s="311">
        <v>2486000.0000000009</v>
      </c>
      <c r="N1645" s="311">
        <v>3707492.8000000003</v>
      </c>
      <c r="O1645" s="311">
        <v>2595244.9600000004</v>
      </c>
      <c r="P1645" s="68">
        <f>SUM(K1645:O1645)</f>
        <v>43314916.479999997</v>
      </c>
      <c r="Q1645" s="68">
        <f>D1645*P1645</f>
        <v>43314916.479999997</v>
      </c>
      <c r="R1645" s="127">
        <f>F1645*P1645</f>
        <v>43314916.479999997</v>
      </c>
      <c r="S1645" s="26"/>
    </row>
    <row r="1646" spans="1:19" ht="30">
      <c r="A1646" s="24"/>
      <c r="B1646" s="25" t="s">
        <v>326</v>
      </c>
      <c r="C1646" s="26" t="s">
        <v>8</v>
      </c>
      <c r="D1646" s="351">
        <v>1</v>
      </c>
      <c r="E1646" s="303"/>
      <c r="F1646" s="351">
        <v>1</v>
      </c>
      <c r="G1646" s="26"/>
      <c r="H1646" s="26"/>
      <c r="I1646" s="26"/>
      <c r="J1646" s="26"/>
      <c r="K1646" s="26"/>
      <c r="L1646" s="26"/>
      <c r="M1646" s="26"/>
      <c r="N1646" s="26"/>
      <c r="O1646" s="26"/>
      <c r="P1646" s="26"/>
      <c r="Q1646" s="66"/>
      <c r="R1646" s="66"/>
      <c r="S1646" s="26"/>
    </row>
    <row r="1647" spans="1:19">
      <c r="A1647" s="24"/>
      <c r="B1647" s="25" t="s">
        <v>161</v>
      </c>
      <c r="C1647" s="26"/>
      <c r="D1647" s="351"/>
      <c r="E1647" s="303"/>
      <c r="F1647" s="351"/>
      <c r="G1647" s="26"/>
      <c r="H1647" s="26"/>
      <c r="I1647" s="26"/>
      <c r="J1647" s="26"/>
      <c r="K1647" s="26"/>
      <c r="L1647" s="26"/>
      <c r="M1647" s="26"/>
      <c r="N1647" s="26"/>
      <c r="O1647" s="26"/>
      <c r="P1647" s="26"/>
      <c r="Q1647" s="66"/>
      <c r="R1647" s="66"/>
      <c r="S1647" s="26"/>
    </row>
    <row r="1648" spans="1:19">
      <c r="A1648" s="24"/>
      <c r="B1648" s="25" t="s">
        <v>222</v>
      </c>
      <c r="C1648" s="26" t="s">
        <v>8</v>
      </c>
      <c r="D1648" s="351">
        <v>1</v>
      </c>
      <c r="E1648" s="303"/>
      <c r="F1648" s="351">
        <v>1</v>
      </c>
      <c r="G1648" s="26"/>
      <c r="H1648" s="26"/>
      <c r="I1648" s="26"/>
      <c r="J1648" s="26"/>
      <c r="K1648" s="26"/>
      <c r="L1648" s="26"/>
      <c r="M1648" s="26"/>
      <c r="N1648" s="26"/>
      <c r="O1648" s="26"/>
      <c r="P1648" s="26"/>
      <c r="Q1648" s="66"/>
      <c r="R1648" s="66"/>
      <c r="S1648" s="26"/>
    </row>
    <row r="1649" spans="1:19">
      <c r="A1649" s="24"/>
      <c r="B1649" s="25" t="s">
        <v>24</v>
      </c>
      <c r="C1649" s="26" t="s">
        <v>8</v>
      </c>
      <c r="D1649" s="351">
        <v>3</v>
      </c>
      <c r="E1649" s="303"/>
      <c r="F1649" s="351">
        <v>3</v>
      </c>
      <c r="G1649" s="26"/>
      <c r="H1649" s="26"/>
      <c r="I1649" s="26"/>
      <c r="J1649" s="26"/>
      <c r="K1649" s="26"/>
      <c r="L1649" s="26"/>
      <c r="M1649" s="26"/>
      <c r="N1649" s="26"/>
      <c r="O1649" s="26"/>
      <c r="P1649" s="26"/>
      <c r="Q1649" s="66"/>
      <c r="R1649" s="66"/>
      <c r="S1649" s="26"/>
    </row>
    <row r="1650" spans="1:19">
      <c r="A1650" s="24"/>
      <c r="B1650" s="25" t="s">
        <v>163</v>
      </c>
      <c r="C1650" s="26" t="s">
        <v>8</v>
      </c>
      <c r="D1650" s="351">
        <v>3</v>
      </c>
      <c r="E1650" s="303"/>
      <c r="F1650" s="351">
        <v>3</v>
      </c>
      <c r="G1650" s="26"/>
      <c r="H1650" s="26"/>
      <c r="I1650" s="26"/>
      <c r="J1650" s="26"/>
      <c r="K1650" s="26"/>
      <c r="L1650" s="26"/>
      <c r="M1650" s="26"/>
      <c r="N1650" s="26"/>
      <c r="O1650" s="26"/>
      <c r="P1650" s="26"/>
      <c r="Q1650" s="66"/>
      <c r="R1650" s="66"/>
      <c r="S1650" s="26"/>
    </row>
    <row r="1651" spans="1:19">
      <c r="A1651" s="24"/>
      <c r="B1651" s="25" t="s">
        <v>164</v>
      </c>
      <c r="C1651" s="26"/>
      <c r="D1651" s="351"/>
      <c r="E1651" s="303"/>
      <c r="F1651" s="351"/>
      <c r="G1651" s="26"/>
      <c r="H1651" s="26"/>
      <c r="I1651" s="26"/>
      <c r="J1651" s="26"/>
      <c r="K1651" s="26"/>
      <c r="L1651" s="26"/>
      <c r="M1651" s="26"/>
      <c r="N1651" s="26"/>
      <c r="O1651" s="26"/>
      <c r="P1651" s="26"/>
      <c r="Q1651" s="66"/>
      <c r="R1651" s="66"/>
      <c r="S1651" s="26"/>
    </row>
    <row r="1652" spans="1:19">
      <c r="A1652" s="24"/>
      <c r="B1652" s="25" t="s">
        <v>165</v>
      </c>
      <c r="C1652" s="26" t="s">
        <v>8</v>
      </c>
      <c r="D1652" s="351">
        <v>1</v>
      </c>
      <c r="E1652" s="303"/>
      <c r="F1652" s="351">
        <v>1</v>
      </c>
      <c r="G1652" s="26"/>
      <c r="H1652" s="26"/>
      <c r="I1652" s="26"/>
      <c r="J1652" s="26"/>
      <c r="K1652" s="26"/>
      <c r="L1652" s="26"/>
      <c r="M1652" s="26"/>
      <c r="N1652" s="26"/>
      <c r="O1652" s="26"/>
      <c r="P1652" s="26"/>
      <c r="Q1652" s="66"/>
      <c r="R1652" s="66"/>
      <c r="S1652" s="26"/>
    </row>
    <row r="1653" spans="1:19">
      <c r="A1653" s="24"/>
      <c r="B1653" s="25" t="s">
        <v>252</v>
      </c>
      <c r="C1653" s="26" t="s">
        <v>8</v>
      </c>
      <c r="D1653" s="351">
        <v>1</v>
      </c>
      <c r="E1653" s="303"/>
      <c r="F1653" s="351">
        <v>1</v>
      </c>
      <c r="G1653" s="26"/>
      <c r="H1653" s="26"/>
      <c r="I1653" s="26"/>
      <c r="J1653" s="26"/>
      <c r="K1653" s="26"/>
      <c r="L1653" s="26"/>
      <c r="M1653" s="26"/>
      <c r="N1653" s="26"/>
      <c r="O1653" s="26"/>
      <c r="P1653" s="26"/>
      <c r="Q1653" s="66"/>
      <c r="R1653" s="66"/>
      <c r="S1653" s="26"/>
    </row>
    <row r="1654" spans="1:19">
      <c r="A1654" s="24"/>
      <c r="B1654" s="25" t="s">
        <v>166</v>
      </c>
      <c r="C1654" s="26" t="s">
        <v>8</v>
      </c>
      <c r="D1654" s="351">
        <v>3</v>
      </c>
      <c r="E1654" s="303"/>
      <c r="F1654" s="351">
        <v>3</v>
      </c>
      <c r="G1654" s="26"/>
      <c r="H1654" s="26"/>
      <c r="I1654" s="26"/>
      <c r="J1654" s="26"/>
      <c r="K1654" s="26"/>
      <c r="L1654" s="26"/>
      <c r="M1654" s="26"/>
      <c r="N1654" s="26"/>
      <c r="O1654" s="26"/>
      <c r="P1654" s="26"/>
      <c r="Q1654" s="66"/>
      <c r="R1654" s="66"/>
      <c r="S1654" s="26"/>
    </row>
    <row r="1655" spans="1:19">
      <c r="A1655" s="24"/>
      <c r="B1655" s="25" t="s">
        <v>167</v>
      </c>
      <c r="C1655" s="26" t="s">
        <v>8</v>
      </c>
      <c r="D1655" s="351">
        <v>15</v>
      </c>
      <c r="E1655" s="303"/>
      <c r="F1655" s="351">
        <v>15</v>
      </c>
      <c r="G1655" s="26"/>
      <c r="H1655" s="26"/>
      <c r="I1655" s="26"/>
      <c r="J1655" s="26"/>
      <c r="K1655" s="26"/>
      <c r="L1655" s="26"/>
      <c r="M1655" s="26"/>
      <c r="N1655" s="26"/>
      <c r="O1655" s="26"/>
      <c r="P1655" s="26"/>
      <c r="Q1655" s="66"/>
      <c r="R1655" s="66"/>
      <c r="S1655" s="26"/>
    </row>
    <row r="1656" spans="1:19">
      <c r="A1656" s="24"/>
      <c r="B1656" s="25" t="s">
        <v>168</v>
      </c>
      <c r="C1656" s="26" t="s">
        <v>8</v>
      </c>
      <c r="D1656" s="351">
        <v>1</v>
      </c>
      <c r="E1656" s="303"/>
      <c r="F1656" s="351">
        <v>1</v>
      </c>
      <c r="G1656" s="26"/>
      <c r="H1656" s="26"/>
      <c r="I1656" s="26"/>
      <c r="J1656" s="26"/>
      <c r="K1656" s="26"/>
      <c r="L1656" s="26"/>
      <c r="M1656" s="26"/>
      <c r="N1656" s="26"/>
      <c r="O1656" s="26"/>
      <c r="P1656" s="26"/>
      <c r="Q1656" s="66"/>
      <c r="R1656" s="66"/>
      <c r="S1656" s="26"/>
    </row>
    <row r="1657" spans="1:19">
      <c r="A1657" s="24"/>
      <c r="B1657" s="25" t="s">
        <v>169</v>
      </c>
      <c r="C1657" s="26"/>
      <c r="D1657" s="351"/>
      <c r="E1657" s="303"/>
      <c r="F1657" s="351"/>
      <c r="G1657" s="26"/>
      <c r="H1657" s="26"/>
      <c r="I1657" s="26"/>
      <c r="J1657" s="26"/>
      <c r="K1657" s="26"/>
      <c r="L1657" s="26"/>
      <c r="M1657" s="26"/>
      <c r="N1657" s="26"/>
      <c r="O1657" s="26"/>
      <c r="P1657" s="26"/>
      <c r="Q1657" s="66"/>
      <c r="R1657" s="66"/>
      <c r="S1657" s="26"/>
    </row>
    <row r="1658" spans="1:19">
      <c r="A1658" s="24"/>
      <c r="B1658" s="25" t="s">
        <v>170</v>
      </c>
      <c r="C1658" s="26" t="s">
        <v>8</v>
      </c>
      <c r="D1658" s="351">
        <v>37</v>
      </c>
      <c r="E1658" s="303"/>
      <c r="F1658" s="351">
        <v>37</v>
      </c>
      <c r="G1658" s="26"/>
      <c r="H1658" s="26"/>
      <c r="I1658" s="26"/>
      <c r="J1658" s="26"/>
      <c r="K1658" s="26"/>
      <c r="L1658" s="26"/>
      <c r="M1658" s="26"/>
      <c r="N1658" s="26"/>
      <c r="O1658" s="26"/>
      <c r="P1658" s="26"/>
      <c r="Q1658" s="66"/>
      <c r="R1658" s="66"/>
      <c r="S1658" s="26"/>
    </row>
    <row r="1659" spans="1:19">
      <c r="A1659" s="24"/>
      <c r="B1659" s="25" t="s">
        <v>171</v>
      </c>
      <c r="C1659" s="26" t="s">
        <v>8</v>
      </c>
      <c r="D1659" s="351">
        <v>1</v>
      </c>
      <c r="E1659" s="303"/>
      <c r="F1659" s="351">
        <v>1</v>
      </c>
      <c r="G1659" s="26"/>
      <c r="H1659" s="26"/>
      <c r="I1659" s="26"/>
      <c r="J1659" s="26"/>
      <c r="K1659" s="26"/>
      <c r="L1659" s="26"/>
      <c r="M1659" s="26"/>
      <c r="N1659" s="26"/>
      <c r="O1659" s="26"/>
      <c r="P1659" s="26"/>
      <c r="Q1659" s="66"/>
      <c r="R1659" s="66"/>
      <c r="S1659" s="26"/>
    </row>
    <row r="1660" spans="1:19">
      <c r="A1660" s="24"/>
      <c r="B1660" s="25" t="s">
        <v>172</v>
      </c>
      <c r="C1660" s="26" t="s">
        <v>78</v>
      </c>
      <c r="D1660" s="351">
        <v>1</v>
      </c>
      <c r="E1660" s="303"/>
      <c r="F1660" s="351">
        <v>1</v>
      </c>
      <c r="G1660" s="26"/>
      <c r="H1660" s="26"/>
      <c r="I1660" s="26"/>
      <c r="J1660" s="26"/>
      <c r="K1660" s="26"/>
      <c r="L1660" s="26"/>
      <c r="M1660" s="26"/>
      <c r="N1660" s="26"/>
      <c r="O1660" s="26"/>
      <c r="P1660" s="26"/>
      <c r="Q1660" s="66"/>
      <c r="R1660" s="66"/>
      <c r="S1660" s="26"/>
    </row>
    <row r="1661" spans="1:19">
      <c r="A1661" s="24"/>
      <c r="B1661" s="25" t="s">
        <v>173</v>
      </c>
      <c r="C1661" s="26" t="s">
        <v>8</v>
      </c>
      <c r="D1661" s="351">
        <v>1</v>
      </c>
      <c r="E1661" s="303"/>
      <c r="F1661" s="351">
        <v>1</v>
      </c>
      <c r="G1661" s="26"/>
      <c r="H1661" s="26"/>
      <c r="I1661" s="26"/>
      <c r="J1661" s="26"/>
      <c r="K1661" s="26"/>
      <c r="L1661" s="26"/>
      <c r="M1661" s="26"/>
      <c r="N1661" s="26"/>
      <c r="O1661" s="26"/>
      <c r="P1661" s="26"/>
      <c r="Q1661" s="66"/>
      <c r="R1661" s="66"/>
      <c r="S1661" s="26"/>
    </row>
    <row r="1662" spans="1:19">
      <c r="A1662" s="24"/>
      <c r="B1662" s="25" t="s">
        <v>174</v>
      </c>
      <c r="C1662" s="26" t="s">
        <v>17</v>
      </c>
      <c r="D1662" s="351">
        <v>1</v>
      </c>
      <c r="E1662" s="303"/>
      <c r="F1662" s="351">
        <v>1</v>
      </c>
      <c r="G1662" s="26"/>
      <c r="H1662" s="26"/>
      <c r="I1662" s="26"/>
      <c r="J1662" s="26"/>
      <c r="K1662" s="26"/>
      <c r="L1662" s="26"/>
      <c r="M1662" s="26"/>
      <c r="N1662" s="26"/>
      <c r="O1662" s="26"/>
      <c r="P1662" s="26"/>
      <c r="Q1662" s="66"/>
      <c r="R1662" s="66"/>
      <c r="S1662" s="26"/>
    </row>
    <row r="1663" spans="1:19">
      <c r="A1663" s="24"/>
      <c r="B1663" s="25" t="s">
        <v>175</v>
      </c>
      <c r="C1663" s="26" t="s">
        <v>17</v>
      </c>
      <c r="D1663" s="351">
        <v>1</v>
      </c>
      <c r="E1663" s="303"/>
      <c r="F1663" s="351">
        <v>1</v>
      </c>
      <c r="G1663" s="26"/>
      <c r="H1663" s="26"/>
      <c r="I1663" s="26"/>
      <c r="J1663" s="26"/>
      <c r="K1663" s="26"/>
      <c r="L1663" s="26"/>
      <c r="M1663" s="26"/>
      <c r="N1663" s="26"/>
      <c r="O1663" s="26"/>
      <c r="P1663" s="26"/>
      <c r="Q1663" s="66"/>
      <c r="R1663" s="66"/>
      <c r="S1663" s="26"/>
    </row>
    <row r="1664" spans="1:19" ht="30">
      <c r="A1664" s="24"/>
      <c r="B1664" s="25" t="s">
        <v>176</v>
      </c>
      <c r="C1664" s="26" t="s">
        <v>78</v>
      </c>
      <c r="D1664" s="351">
        <v>1</v>
      </c>
      <c r="E1664" s="303"/>
      <c r="F1664" s="351">
        <v>1</v>
      </c>
      <c r="G1664" s="26"/>
      <c r="H1664" s="26"/>
      <c r="I1664" s="26"/>
      <c r="J1664" s="26"/>
      <c r="K1664" s="26"/>
      <c r="L1664" s="26"/>
      <c r="M1664" s="26"/>
      <c r="N1664" s="26"/>
      <c r="O1664" s="26"/>
      <c r="P1664" s="26"/>
      <c r="Q1664" s="66"/>
      <c r="R1664" s="66"/>
      <c r="S1664" s="26"/>
    </row>
    <row r="1665" spans="1:19" ht="60">
      <c r="A1665" s="24">
        <v>60</v>
      </c>
      <c r="B1665" s="25" t="s">
        <v>410</v>
      </c>
      <c r="C1665" s="26" t="s">
        <v>7</v>
      </c>
      <c r="D1665" s="351">
        <v>1</v>
      </c>
      <c r="E1665" s="303"/>
      <c r="F1665" s="351">
        <v>1</v>
      </c>
      <c r="G1665" s="26" t="s">
        <v>2326</v>
      </c>
      <c r="H1665" s="26"/>
      <c r="I1665" s="26" t="s">
        <v>2327</v>
      </c>
      <c r="J1665" s="26" t="s">
        <v>2328</v>
      </c>
      <c r="K1665" s="311">
        <v>32416611.479999997</v>
      </c>
      <c r="L1665" s="311">
        <v>0</v>
      </c>
      <c r="M1665" s="311">
        <v>2486000.0000000009</v>
      </c>
      <c r="N1665" s="311">
        <v>3494405.2</v>
      </c>
      <c r="O1665" s="311">
        <v>2446083.64</v>
      </c>
      <c r="P1665" s="68">
        <f>SUM(K1665:O1665)</f>
        <v>40843100.32</v>
      </c>
      <c r="Q1665" s="68">
        <f>D1665*P1665</f>
        <v>40843100.32</v>
      </c>
      <c r="R1665" s="127">
        <f>F1665*P1665</f>
        <v>40843100.32</v>
      </c>
      <c r="S1665" s="26"/>
    </row>
    <row r="1666" spans="1:19" ht="30">
      <c r="A1666" s="24"/>
      <c r="B1666" s="25" t="s">
        <v>326</v>
      </c>
      <c r="C1666" s="26" t="s">
        <v>8</v>
      </c>
      <c r="D1666" s="351">
        <v>1</v>
      </c>
      <c r="E1666" s="303"/>
      <c r="F1666" s="351">
        <v>1</v>
      </c>
      <c r="G1666" s="26"/>
      <c r="H1666" s="26"/>
      <c r="I1666" s="26"/>
      <c r="J1666" s="26"/>
      <c r="K1666" s="26"/>
      <c r="L1666" s="26"/>
      <c r="M1666" s="26"/>
      <c r="N1666" s="26"/>
      <c r="O1666" s="26"/>
      <c r="P1666" s="26"/>
      <c r="Q1666" s="66"/>
      <c r="R1666" s="66"/>
      <c r="S1666" s="26"/>
    </row>
    <row r="1667" spans="1:19">
      <c r="A1667" s="24"/>
      <c r="B1667" s="25" t="s">
        <v>161</v>
      </c>
      <c r="C1667" s="26"/>
      <c r="D1667" s="351"/>
      <c r="E1667" s="92"/>
      <c r="F1667" s="351"/>
      <c r="G1667" s="329"/>
      <c r="H1667" s="329"/>
      <c r="I1667" s="329"/>
      <c r="J1667" s="329"/>
      <c r="K1667" s="329"/>
      <c r="L1667" s="329"/>
      <c r="M1667" s="329"/>
      <c r="N1667" s="329"/>
      <c r="O1667" s="329"/>
      <c r="P1667" s="329"/>
      <c r="Q1667" s="65"/>
      <c r="R1667" s="65"/>
      <c r="S1667" s="329"/>
    </row>
    <row r="1668" spans="1:19">
      <c r="A1668" s="24"/>
      <c r="B1668" s="25" t="s">
        <v>411</v>
      </c>
      <c r="C1668" s="26" t="s">
        <v>8</v>
      </c>
      <c r="D1668" s="351">
        <v>1</v>
      </c>
      <c r="E1668" s="57"/>
      <c r="F1668" s="351">
        <v>1</v>
      </c>
      <c r="G1668" s="36"/>
      <c r="H1668" s="36"/>
      <c r="I1668" s="36"/>
      <c r="J1668" s="36"/>
      <c r="K1668" s="36"/>
      <c r="L1668" s="36"/>
      <c r="M1668" s="36"/>
      <c r="N1668" s="36"/>
      <c r="O1668" s="36"/>
      <c r="P1668" s="36"/>
      <c r="Q1668" s="65"/>
      <c r="R1668" s="65"/>
      <c r="S1668" s="36"/>
    </row>
    <row r="1669" spans="1:19">
      <c r="A1669" s="24"/>
      <c r="B1669" s="25" t="s">
        <v>24</v>
      </c>
      <c r="C1669" s="26" t="s">
        <v>8</v>
      </c>
      <c r="D1669" s="351">
        <v>3</v>
      </c>
      <c r="E1669" s="53"/>
      <c r="F1669" s="351">
        <v>3</v>
      </c>
      <c r="G1669" s="15"/>
      <c r="H1669" s="15"/>
      <c r="I1669" s="15"/>
      <c r="J1669" s="15"/>
      <c r="K1669" s="15"/>
      <c r="L1669" s="15"/>
      <c r="M1669" s="15"/>
      <c r="N1669" s="15"/>
      <c r="O1669" s="15"/>
      <c r="P1669" s="15"/>
      <c r="Q1669" s="66"/>
      <c r="R1669" s="66"/>
      <c r="S1669" s="15"/>
    </row>
    <row r="1670" spans="1:19">
      <c r="A1670" s="24"/>
      <c r="B1670" s="25" t="s">
        <v>163</v>
      </c>
      <c r="C1670" s="26" t="s">
        <v>8</v>
      </c>
      <c r="D1670" s="351">
        <v>3</v>
      </c>
      <c r="E1670" s="58"/>
      <c r="F1670" s="351">
        <v>3</v>
      </c>
      <c r="G1670" s="18"/>
      <c r="H1670" s="18"/>
      <c r="I1670" s="18"/>
      <c r="J1670" s="18"/>
      <c r="K1670" s="18"/>
      <c r="L1670" s="18"/>
      <c r="M1670" s="18"/>
      <c r="N1670" s="18"/>
      <c r="O1670" s="18"/>
      <c r="P1670" s="18"/>
      <c r="Q1670" s="65"/>
      <c r="R1670" s="65"/>
      <c r="S1670" s="18"/>
    </row>
    <row r="1671" spans="1:19">
      <c r="A1671" s="24"/>
      <c r="B1671" s="25" t="s">
        <v>164</v>
      </c>
      <c r="C1671" s="26"/>
      <c r="D1671" s="351"/>
      <c r="E1671" s="53"/>
      <c r="F1671" s="351"/>
      <c r="G1671" s="15"/>
      <c r="H1671" s="15"/>
      <c r="I1671" s="15"/>
      <c r="J1671" s="15"/>
      <c r="K1671" s="15"/>
      <c r="L1671" s="15"/>
      <c r="M1671" s="15"/>
      <c r="N1671" s="15"/>
      <c r="O1671" s="15"/>
      <c r="P1671" s="15"/>
      <c r="Q1671" s="66"/>
      <c r="R1671" s="66"/>
      <c r="S1671" s="15"/>
    </row>
    <row r="1672" spans="1:19">
      <c r="A1672" s="24"/>
      <c r="B1672" s="25" t="s">
        <v>165</v>
      </c>
      <c r="C1672" s="26" t="s">
        <v>8</v>
      </c>
      <c r="D1672" s="351">
        <v>1</v>
      </c>
      <c r="E1672" s="53"/>
      <c r="F1672" s="351">
        <v>1</v>
      </c>
      <c r="G1672" s="15"/>
      <c r="H1672" s="15"/>
      <c r="I1672" s="15"/>
      <c r="J1672" s="15"/>
      <c r="K1672" s="15"/>
      <c r="L1672" s="15"/>
      <c r="M1672" s="15"/>
      <c r="N1672" s="15"/>
      <c r="O1672" s="15"/>
      <c r="P1672" s="15"/>
      <c r="Q1672" s="66"/>
      <c r="R1672" s="66"/>
      <c r="S1672" s="15"/>
    </row>
    <row r="1673" spans="1:19">
      <c r="A1673" s="24"/>
      <c r="B1673" s="25" t="s">
        <v>166</v>
      </c>
      <c r="C1673" s="26" t="s">
        <v>8</v>
      </c>
      <c r="D1673" s="351">
        <v>3</v>
      </c>
      <c r="E1673" s="53"/>
      <c r="F1673" s="351">
        <v>3</v>
      </c>
      <c r="G1673" s="15"/>
      <c r="H1673" s="15"/>
      <c r="I1673" s="15"/>
      <c r="J1673" s="15"/>
      <c r="K1673" s="15"/>
      <c r="L1673" s="15"/>
      <c r="M1673" s="15"/>
      <c r="N1673" s="15"/>
      <c r="O1673" s="15"/>
      <c r="P1673" s="15"/>
      <c r="Q1673" s="66"/>
      <c r="R1673" s="66"/>
      <c r="S1673" s="15"/>
    </row>
    <row r="1674" spans="1:19">
      <c r="A1674" s="24"/>
      <c r="B1674" s="25" t="s">
        <v>167</v>
      </c>
      <c r="C1674" s="26" t="s">
        <v>8</v>
      </c>
      <c r="D1674" s="351">
        <v>15</v>
      </c>
      <c r="E1674" s="53"/>
      <c r="F1674" s="351">
        <v>15</v>
      </c>
      <c r="G1674" s="15"/>
      <c r="H1674" s="15"/>
      <c r="I1674" s="15"/>
      <c r="J1674" s="15"/>
      <c r="K1674" s="15"/>
      <c r="L1674" s="15"/>
      <c r="M1674" s="15"/>
      <c r="N1674" s="15"/>
      <c r="O1674" s="15"/>
      <c r="P1674" s="15"/>
      <c r="Q1674" s="66"/>
      <c r="R1674" s="66"/>
      <c r="S1674" s="15"/>
    </row>
    <row r="1675" spans="1:19">
      <c r="A1675" s="24"/>
      <c r="B1675" s="25" t="s">
        <v>168</v>
      </c>
      <c r="C1675" s="26" t="s">
        <v>8</v>
      </c>
      <c r="D1675" s="351">
        <v>1</v>
      </c>
      <c r="E1675" s="59"/>
      <c r="F1675" s="351">
        <v>1</v>
      </c>
      <c r="G1675" s="37"/>
      <c r="H1675" s="37"/>
      <c r="I1675" s="37"/>
      <c r="J1675" s="37"/>
      <c r="K1675" s="37"/>
      <c r="L1675" s="37"/>
      <c r="M1675" s="37"/>
      <c r="N1675" s="37"/>
      <c r="O1675" s="37"/>
      <c r="P1675" s="37"/>
      <c r="Q1675" s="66"/>
      <c r="R1675" s="66"/>
      <c r="S1675" s="37"/>
    </row>
    <row r="1676" spans="1:19">
      <c r="A1676" s="24"/>
      <c r="B1676" s="25" t="s">
        <v>169</v>
      </c>
      <c r="C1676" s="26"/>
      <c r="D1676" s="351"/>
      <c r="E1676" s="59"/>
      <c r="F1676" s="351"/>
      <c r="G1676" s="37"/>
      <c r="H1676" s="37"/>
      <c r="I1676" s="37"/>
      <c r="J1676" s="37"/>
      <c r="K1676" s="37"/>
      <c r="L1676" s="37"/>
      <c r="M1676" s="37"/>
      <c r="N1676" s="37"/>
      <c r="O1676" s="37"/>
      <c r="P1676" s="37"/>
      <c r="Q1676" s="66"/>
      <c r="R1676" s="66"/>
      <c r="S1676" s="37"/>
    </row>
    <row r="1677" spans="1:19">
      <c r="A1677" s="24"/>
      <c r="B1677" s="25" t="s">
        <v>170</v>
      </c>
      <c r="C1677" s="26" t="s">
        <v>8</v>
      </c>
      <c r="D1677" s="351">
        <v>37</v>
      </c>
      <c r="E1677" s="59"/>
      <c r="F1677" s="351">
        <v>37</v>
      </c>
      <c r="G1677" s="37"/>
      <c r="H1677" s="37"/>
      <c r="I1677" s="37"/>
      <c r="J1677" s="37"/>
      <c r="K1677" s="37"/>
      <c r="L1677" s="37"/>
      <c r="M1677" s="37"/>
      <c r="N1677" s="37"/>
      <c r="O1677" s="37"/>
      <c r="P1677" s="37"/>
      <c r="Q1677" s="66"/>
      <c r="R1677" s="66"/>
      <c r="S1677" s="37"/>
    </row>
    <row r="1678" spans="1:19">
      <c r="A1678" s="24"/>
      <c r="B1678" s="25" t="s">
        <v>171</v>
      </c>
      <c r="C1678" s="26" t="s">
        <v>8</v>
      </c>
      <c r="D1678" s="351">
        <v>1</v>
      </c>
      <c r="E1678" s="59"/>
      <c r="F1678" s="351">
        <v>1</v>
      </c>
      <c r="G1678" s="37"/>
      <c r="H1678" s="37"/>
      <c r="I1678" s="37"/>
      <c r="J1678" s="37"/>
      <c r="K1678" s="37"/>
      <c r="L1678" s="37"/>
      <c r="M1678" s="37"/>
      <c r="N1678" s="37"/>
      <c r="O1678" s="37"/>
      <c r="P1678" s="37"/>
      <c r="Q1678" s="66"/>
      <c r="R1678" s="66"/>
      <c r="S1678" s="37"/>
    </row>
    <row r="1679" spans="1:19">
      <c r="A1679" s="24"/>
      <c r="B1679" s="25" t="s">
        <v>172</v>
      </c>
      <c r="C1679" s="26" t="s">
        <v>78</v>
      </c>
      <c r="D1679" s="351">
        <v>1</v>
      </c>
      <c r="E1679" s="59"/>
      <c r="F1679" s="351">
        <v>1</v>
      </c>
      <c r="G1679" s="37"/>
      <c r="H1679" s="37"/>
      <c r="I1679" s="37"/>
      <c r="J1679" s="37"/>
      <c r="K1679" s="37"/>
      <c r="L1679" s="37"/>
      <c r="M1679" s="37"/>
      <c r="N1679" s="37"/>
      <c r="O1679" s="37"/>
      <c r="P1679" s="37"/>
      <c r="Q1679" s="66"/>
      <c r="R1679" s="66"/>
      <c r="S1679" s="37"/>
    </row>
    <row r="1680" spans="1:19">
      <c r="A1680" s="24"/>
      <c r="B1680" s="25" t="s">
        <v>173</v>
      </c>
      <c r="C1680" s="26" t="s">
        <v>8</v>
      </c>
      <c r="D1680" s="351">
        <v>1</v>
      </c>
      <c r="E1680" s="59"/>
      <c r="F1680" s="351">
        <v>1</v>
      </c>
      <c r="G1680" s="37"/>
      <c r="H1680" s="37"/>
      <c r="I1680" s="37"/>
      <c r="J1680" s="37"/>
      <c r="K1680" s="37"/>
      <c r="L1680" s="37"/>
      <c r="M1680" s="37"/>
      <c r="N1680" s="37"/>
      <c r="O1680" s="37"/>
      <c r="P1680" s="37"/>
      <c r="Q1680" s="66"/>
      <c r="R1680" s="66"/>
      <c r="S1680" s="37"/>
    </row>
    <row r="1681" spans="1:19">
      <c r="A1681" s="24"/>
      <c r="B1681" s="25" t="s">
        <v>199</v>
      </c>
      <c r="C1681" s="26" t="s">
        <v>17</v>
      </c>
      <c r="D1681" s="351">
        <v>1</v>
      </c>
      <c r="E1681" s="57"/>
      <c r="F1681" s="351">
        <v>1</v>
      </c>
      <c r="G1681" s="36"/>
      <c r="H1681" s="36"/>
      <c r="I1681" s="36"/>
      <c r="J1681" s="36"/>
      <c r="K1681" s="36"/>
      <c r="L1681" s="36"/>
      <c r="M1681" s="36"/>
      <c r="N1681" s="36"/>
      <c r="O1681" s="36"/>
      <c r="P1681" s="36"/>
      <c r="Q1681" s="65"/>
      <c r="R1681" s="65"/>
      <c r="S1681" s="36"/>
    </row>
    <row r="1682" spans="1:19" ht="30">
      <c r="A1682" s="24"/>
      <c r="B1682" s="25" t="s">
        <v>176</v>
      </c>
      <c r="C1682" s="26" t="s">
        <v>78</v>
      </c>
      <c r="D1682" s="351">
        <v>1</v>
      </c>
      <c r="E1682" s="59"/>
      <c r="F1682" s="351">
        <v>1</v>
      </c>
      <c r="G1682" s="37"/>
      <c r="H1682" s="37"/>
      <c r="I1682" s="37"/>
      <c r="J1682" s="37"/>
      <c r="K1682" s="37"/>
      <c r="L1682" s="37"/>
      <c r="M1682" s="37"/>
      <c r="N1682" s="37"/>
      <c r="O1682" s="37"/>
      <c r="P1682" s="37"/>
      <c r="Q1682" s="66"/>
      <c r="R1682" s="66"/>
      <c r="S1682" s="37"/>
    </row>
    <row r="1683" spans="1:19" ht="60">
      <c r="A1683" s="24">
        <v>61</v>
      </c>
      <c r="B1683" s="25" t="s">
        <v>412</v>
      </c>
      <c r="C1683" s="26" t="s">
        <v>7</v>
      </c>
      <c r="D1683" s="351">
        <v>1</v>
      </c>
      <c r="E1683" s="59"/>
      <c r="F1683" s="351">
        <v>1</v>
      </c>
      <c r="G1683" s="26" t="s">
        <v>2326</v>
      </c>
      <c r="H1683" s="26"/>
      <c r="I1683" s="26" t="s">
        <v>2327</v>
      </c>
      <c r="J1683" s="26" t="s">
        <v>2328</v>
      </c>
      <c r="K1683" s="311">
        <v>11991915.539999999</v>
      </c>
      <c r="L1683" s="311">
        <v>0</v>
      </c>
      <c r="M1683" s="311">
        <v>1318333.3333333335</v>
      </c>
      <c r="N1683" s="311">
        <v>1327971.2666666666</v>
      </c>
      <c r="O1683" s="311">
        <v>929579.88666666672</v>
      </c>
      <c r="P1683" s="68">
        <f>SUM(K1683:O1683)</f>
        <v>15567800.026666667</v>
      </c>
      <c r="Q1683" s="68">
        <f>D1683*P1683</f>
        <v>15567800.026666667</v>
      </c>
      <c r="R1683" s="127">
        <f>F1683*P1683</f>
        <v>15567800.026666667</v>
      </c>
      <c r="S1683" s="37"/>
    </row>
    <row r="1684" spans="1:19" ht="30">
      <c r="A1684" s="24"/>
      <c r="B1684" s="25" t="s">
        <v>413</v>
      </c>
      <c r="C1684" s="26" t="s">
        <v>8</v>
      </c>
      <c r="D1684" s="351">
        <v>1</v>
      </c>
      <c r="E1684" s="59"/>
      <c r="F1684" s="351">
        <v>1</v>
      </c>
      <c r="G1684" s="37"/>
      <c r="H1684" s="37"/>
      <c r="I1684" s="37"/>
      <c r="J1684" s="37"/>
      <c r="K1684" s="37"/>
      <c r="L1684" s="37"/>
      <c r="M1684" s="37"/>
      <c r="N1684" s="37"/>
      <c r="O1684" s="37"/>
      <c r="P1684" s="37"/>
      <c r="Q1684" s="66"/>
      <c r="R1684" s="66"/>
      <c r="S1684" s="37"/>
    </row>
    <row r="1685" spans="1:19">
      <c r="A1685" s="24"/>
      <c r="B1685" s="25" t="s">
        <v>161</v>
      </c>
      <c r="C1685" s="26"/>
      <c r="D1685" s="351"/>
      <c r="E1685" s="59"/>
      <c r="F1685" s="351"/>
      <c r="G1685" s="37"/>
      <c r="H1685" s="37"/>
      <c r="I1685" s="37"/>
      <c r="J1685" s="37"/>
      <c r="K1685" s="37"/>
      <c r="L1685" s="37"/>
      <c r="M1685" s="37"/>
      <c r="N1685" s="37"/>
      <c r="O1685" s="37"/>
      <c r="P1685" s="37"/>
      <c r="Q1685" s="66"/>
      <c r="R1685" s="66"/>
      <c r="S1685" s="37"/>
    </row>
    <row r="1686" spans="1:19">
      <c r="A1686" s="24"/>
      <c r="B1686" s="25" t="s">
        <v>356</v>
      </c>
      <c r="C1686" s="26" t="s">
        <v>8</v>
      </c>
      <c r="D1686" s="351">
        <v>1</v>
      </c>
      <c r="E1686" s="60"/>
      <c r="F1686" s="351">
        <v>1</v>
      </c>
      <c r="G1686" s="38"/>
      <c r="H1686" s="38"/>
      <c r="I1686" s="38"/>
      <c r="J1686" s="38"/>
      <c r="K1686" s="38"/>
      <c r="L1686" s="38"/>
      <c r="M1686" s="38"/>
      <c r="N1686" s="38"/>
      <c r="O1686" s="38"/>
      <c r="P1686" s="38"/>
      <c r="Q1686" s="65"/>
      <c r="R1686" s="65"/>
      <c r="S1686" s="38"/>
    </row>
    <row r="1687" spans="1:19">
      <c r="A1687" s="24"/>
      <c r="B1687" s="25" t="s">
        <v>24</v>
      </c>
      <c r="C1687" s="26" t="s">
        <v>8</v>
      </c>
      <c r="D1687" s="351">
        <v>3</v>
      </c>
      <c r="E1687" s="57"/>
      <c r="F1687" s="351">
        <v>3</v>
      </c>
      <c r="G1687" s="36"/>
      <c r="H1687" s="36"/>
      <c r="I1687" s="36"/>
      <c r="J1687" s="36"/>
      <c r="K1687" s="36"/>
      <c r="L1687" s="36"/>
      <c r="M1687" s="36"/>
      <c r="N1687" s="36"/>
      <c r="O1687" s="36"/>
      <c r="P1687" s="36"/>
      <c r="Q1687" s="65"/>
      <c r="R1687" s="65"/>
      <c r="S1687" s="36"/>
    </row>
    <row r="1688" spans="1:19">
      <c r="A1688" s="24"/>
      <c r="B1688" s="25" t="s">
        <v>163</v>
      </c>
      <c r="C1688" s="26" t="s">
        <v>8</v>
      </c>
      <c r="D1688" s="351">
        <v>3</v>
      </c>
      <c r="E1688" s="53"/>
      <c r="F1688" s="351">
        <v>3</v>
      </c>
      <c r="G1688" s="15"/>
      <c r="H1688" s="15"/>
      <c r="I1688" s="15"/>
      <c r="J1688" s="15"/>
      <c r="K1688" s="15"/>
      <c r="L1688" s="15"/>
      <c r="M1688" s="15"/>
      <c r="N1688" s="15"/>
      <c r="O1688" s="15"/>
      <c r="P1688" s="15"/>
      <c r="Q1688" s="66"/>
      <c r="R1688" s="66"/>
      <c r="S1688" s="15"/>
    </row>
    <row r="1689" spans="1:19">
      <c r="A1689" s="24"/>
      <c r="B1689" s="25" t="s">
        <v>164</v>
      </c>
      <c r="C1689" s="26"/>
      <c r="D1689" s="351"/>
      <c r="E1689" s="58"/>
      <c r="F1689" s="351"/>
      <c r="G1689" s="18"/>
      <c r="H1689" s="18"/>
      <c r="I1689" s="18"/>
      <c r="J1689" s="18"/>
      <c r="K1689" s="18"/>
      <c r="L1689" s="18"/>
      <c r="M1689" s="18"/>
      <c r="N1689" s="18"/>
      <c r="O1689" s="18"/>
      <c r="P1689" s="18"/>
      <c r="Q1689" s="65"/>
      <c r="R1689" s="65"/>
      <c r="S1689" s="18"/>
    </row>
    <row r="1690" spans="1:19">
      <c r="A1690" s="24"/>
      <c r="B1690" s="25" t="s">
        <v>165</v>
      </c>
      <c r="C1690" s="26" t="s">
        <v>8</v>
      </c>
      <c r="D1690" s="351">
        <v>1</v>
      </c>
      <c r="E1690" s="53"/>
      <c r="F1690" s="351">
        <v>1</v>
      </c>
      <c r="G1690" s="15"/>
      <c r="H1690" s="15"/>
      <c r="I1690" s="15"/>
      <c r="J1690" s="15"/>
      <c r="K1690" s="15"/>
      <c r="L1690" s="15"/>
      <c r="M1690" s="15"/>
      <c r="N1690" s="15"/>
      <c r="O1690" s="15"/>
      <c r="P1690" s="15"/>
      <c r="Q1690" s="66"/>
      <c r="R1690" s="66"/>
      <c r="S1690" s="15"/>
    </row>
    <row r="1691" spans="1:19">
      <c r="A1691" s="24"/>
      <c r="B1691" s="25" t="s">
        <v>330</v>
      </c>
      <c r="C1691" s="26" t="s">
        <v>8</v>
      </c>
      <c r="D1691" s="351">
        <v>1</v>
      </c>
      <c r="E1691" s="53"/>
      <c r="F1691" s="351">
        <v>1</v>
      </c>
      <c r="G1691" s="15"/>
      <c r="H1691" s="15"/>
      <c r="I1691" s="15"/>
      <c r="J1691" s="15"/>
      <c r="K1691" s="15"/>
      <c r="L1691" s="15"/>
      <c r="M1691" s="15"/>
      <c r="N1691" s="15"/>
      <c r="O1691" s="15"/>
      <c r="P1691" s="15"/>
      <c r="Q1691" s="66"/>
      <c r="R1691" s="66"/>
      <c r="S1691" s="15"/>
    </row>
    <row r="1692" spans="1:19">
      <c r="A1692" s="24"/>
      <c r="B1692" s="25" t="s">
        <v>414</v>
      </c>
      <c r="C1692" s="26" t="s">
        <v>8</v>
      </c>
      <c r="D1692" s="351">
        <v>1</v>
      </c>
      <c r="E1692" s="53"/>
      <c r="F1692" s="351">
        <v>1</v>
      </c>
      <c r="G1692" s="15"/>
      <c r="H1692" s="15"/>
      <c r="I1692" s="15"/>
      <c r="J1692" s="15"/>
      <c r="K1692" s="15"/>
      <c r="L1692" s="15"/>
      <c r="M1692" s="15"/>
      <c r="N1692" s="15"/>
      <c r="O1692" s="15"/>
      <c r="P1692" s="15"/>
      <c r="Q1692" s="66"/>
      <c r="R1692" s="66"/>
      <c r="S1692" s="15"/>
    </row>
    <row r="1693" spans="1:19">
      <c r="A1693" s="24"/>
      <c r="B1693" s="25" t="s">
        <v>415</v>
      </c>
      <c r="C1693" s="26" t="s">
        <v>8</v>
      </c>
      <c r="D1693" s="351">
        <v>1</v>
      </c>
      <c r="E1693" s="53"/>
      <c r="F1693" s="351">
        <v>1</v>
      </c>
      <c r="G1693" s="15"/>
      <c r="H1693" s="15"/>
      <c r="I1693" s="15"/>
      <c r="J1693" s="15"/>
      <c r="K1693" s="15"/>
      <c r="L1693" s="15"/>
      <c r="M1693" s="15"/>
      <c r="N1693" s="15"/>
      <c r="O1693" s="15"/>
      <c r="P1693" s="15"/>
      <c r="Q1693" s="66"/>
      <c r="R1693" s="66"/>
      <c r="S1693" s="15"/>
    </row>
    <row r="1694" spans="1:19">
      <c r="A1694" s="24"/>
      <c r="B1694" s="25" t="s">
        <v>416</v>
      </c>
      <c r="C1694" s="26" t="s">
        <v>8</v>
      </c>
      <c r="D1694" s="351">
        <v>1</v>
      </c>
      <c r="E1694" s="59"/>
      <c r="F1694" s="351">
        <v>1</v>
      </c>
      <c r="G1694" s="37"/>
      <c r="H1694" s="37"/>
      <c r="I1694" s="37"/>
      <c r="J1694" s="37"/>
      <c r="K1694" s="37"/>
      <c r="L1694" s="37"/>
      <c r="M1694" s="37"/>
      <c r="N1694" s="37"/>
      <c r="O1694" s="37"/>
      <c r="P1694" s="37"/>
      <c r="Q1694" s="66"/>
      <c r="R1694" s="66"/>
      <c r="S1694" s="37"/>
    </row>
    <row r="1695" spans="1:19">
      <c r="A1695" s="24"/>
      <c r="B1695" s="25" t="s">
        <v>166</v>
      </c>
      <c r="C1695" s="26" t="s">
        <v>8</v>
      </c>
      <c r="D1695" s="351">
        <v>2</v>
      </c>
      <c r="E1695" s="59"/>
      <c r="F1695" s="351">
        <v>2</v>
      </c>
      <c r="G1695" s="37"/>
      <c r="H1695" s="37"/>
      <c r="I1695" s="37"/>
      <c r="J1695" s="37"/>
      <c r="K1695" s="37"/>
      <c r="L1695" s="37"/>
      <c r="M1695" s="37"/>
      <c r="N1695" s="37"/>
      <c r="O1695" s="37"/>
      <c r="P1695" s="37"/>
      <c r="Q1695" s="66"/>
      <c r="R1695" s="66"/>
      <c r="S1695" s="37"/>
    </row>
    <row r="1696" spans="1:19">
      <c r="A1696" s="24"/>
      <c r="B1696" s="25" t="s">
        <v>167</v>
      </c>
      <c r="C1696" s="26" t="s">
        <v>8</v>
      </c>
      <c r="D1696" s="351">
        <v>4</v>
      </c>
      <c r="E1696" s="59"/>
      <c r="F1696" s="351">
        <v>4</v>
      </c>
      <c r="G1696" s="37"/>
      <c r="H1696" s="37"/>
      <c r="I1696" s="37"/>
      <c r="J1696" s="37"/>
      <c r="K1696" s="37"/>
      <c r="L1696" s="37"/>
      <c r="M1696" s="37"/>
      <c r="N1696" s="37"/>
      <c r="O1696" s="37"/>
      <c r="P1696" s="37"/>
      <c r="Q1696" s="66"/>
      <c r="R1696" s="66"/>
      <c r="S1696" s="37"/>
    </row>
    <row r="1697" spans="1:19">
      <c r="A1697" s="24"/>
      <c r="B1697" s="25" t="s">
        <v>168</v>
      </c>
      <c r="C1697" s="26" t="s">
        <v>8</v>
      </c>
      <c r="D1697" s="351">
        <v>1</v>
      </c>
      <c r="E1697" s="59"/>
      <c r="F1697" s="351">
        <v>1</v>
      </c>
      <c r="G1697" s="37"/>
      <c r="H1697" s="37"/>
      <c r="I1697" s="37"/>
      <c r="J1697" s="37"/>
      <c r="K1697" s="37"/>
      <c r="L1697" s="37"/>
      <c r="M1697" s="37"/>
      <c r="N1697" s="37"/>
      <c r="O1697" s="37"/>
      <c r="P1697" s="37"/>
      <c r="Q1697" s="66"/>
      <c r="R1697" s="66"/>
      <c r="S1697" s="37"/>
    </row>
    <row r="1698" spans="1:19">
      <c r="A1698" s="24"/>
      <c r="B1698" s="25" t="s">
        <v>169</v>
      </c>
      <c r="C1698" s="26"/>
      <c r="D1698" s="351"/>
      <c r="E1698" s="59"/>
      <c r="F1698" s="351"/>
      <c r="G1698" s="37"/>
      <c r="H1698" s="37"/>
      <c r="I1698" s="37"/>
      <c r="J1698" s="37"/>
      <c r="K1698" s="37"/>
      <c r="L1698" s="37"/>
      <c r="M1698" s="37"/>
      <c r="N1698" s="37"/>
      <c r="O1698" s="37"/>
      <c r="P1698" s="37"/>
      <c r="Q1698" s="66"/>
      <c r="R1698" s="66"/>
      <c r="S1698" s="37"/>
    </row>
    <row r="1699" spans="1:19">
      <c r="A1699" s="24"/>
      <c r="B1699" s="25" t="s">
        <v>317</v>
      </c>
      <c r="C1699" s="26" t="s">
        <v>8</v>
      </c>
      <c r="D1699" s="351">
        <v>1</v>
      </c>
      <c r="E1699" s="57"/>
      <c r="F1699" s="351">
        <v>1</v>
      </c>
      <c r="G1699" s="36"/>
      <c r="H1699" s="36"/>
      <c r="I1699" s="36"/>
      <c r="J1699" s="36"/>
      <c r="K1699" s="36"/>
      <c r="L1699" s="36"/>
      <c r="M1699" s="36"/>
      <c r="N1699" s="36"/>
      <c r="O1699" s="36"/>
      <c r="P1699" s="36"/>
      <c r="Q1699" s="65"/>
      <c r="R1699" s="65"/>
      <c r="S1699" s="36"/>
    </row>
    <row r="1700" spans="1:19">
      <c r="A1700" s="24"/>
      <c r="B1700" s="25" t="s">
        <v>171</v>
      </c>
      <c r="C1700" s="26" t="s">
        <v>8</v>
      </c>
      <c r="D1700" s="351">
        <v>1</v>
      </c>
      <c r="E1700" s="59"/>
      <c r="F1700" s="351">
        <v>1</v>
      </c>
      <c r="G1700" s="37"/>
      <c r="H1700" s="37"/>
      <c r="I1700" s="37"/>
      <c r="J1700" s="37"/>
      <c r="K1700" s="37"/>
      <c r="L1700" s="37"/>
      <c r="M1700" s="37"/>
      <c r="N1700" s="37"/>
      <c r="O1700" s="37"/>
      <c r="P1700" s="37"/>
      <c r="Q1700" s="66"/>
      <c r="R1700" s="66"/>
      <c r="S1700" s="37"/>
    </row>
    <row r="1701" spans="1:19">
      <c r="A1701" s="24"/>
      <c r="B1701" s="25" t="s">
        <v>172</v>
      </c>
      <c r="C1701" s="26" t="s">
        <v>78</v>
      </c>
      <c r="D1701" s="351">
        <v>1</v>
      </c>
      <c r="E1701" s="59"/>
      <c r="F1701" s="351">
        <v>1</v>
      </c>
      <c r="G1701" s="37"/>
      <c r="H1701" s="37"/>
      <c r="I1701" s="37"/>
      <c r="J1701" s="37"/>
      <c r="K1701" s="37"/>
      <c r="L1701" s="37"/>
      <c r="M1701" s="37"/>
      <c r="N1701" s="37"/>
      <c r="O1701" s="37"/>
      <c r="P1701" s="37"/>
      <c r="Q1701" s="66"/>
      <c r="R1701" s="66"/>
      <c r="S1701" s="37"/>
    </row>
    <row r="1702" spans="1:19">
      <c r="A1702" s="24"/>
      <c r="B1702" s="25" t="s">
        <v>173</v>
      </c>
      <c r="C1702" s="26" t="s">
        <v>8</v>
      </c>
      <c r="D1702" s="351">
        <v>1</v>
      </c>
      <c r="E1702" s="59"/>
      <c r="F1702" s="351">
        <v>1</v>
      </c>
      <c r="G1702" s="37"/>
      <c r="H1702" s="37"/>
      <c r="I1702" s="37"/>
      <c r="J1702" s="37"/>
      <c r="K1702" s="37"/>
      <c r="L1702" s="37"/>
      <c r="M1702" s="37"/>
      <c r="N1702" s="37"/>
      <c r="O1702" s="37"/>
      <c r="P1702" s="37"/>
      <c r="Q1702" s="66"/>
      <c r="R1702" s="66"/>
      <c r="S1702" s="37"/>
    </row>
    <row r="1703" spans="1:19">
      <c r="A1703" s="24"/>
      <c r="B1703" s="25" t="s">
        <v>297</v>
      </c>
      <c r="C1703" s="26" t="s">
        <v>17</v>
      </c>
      <c r="D1703" s="351">
        <v>1</v>
      </c>
      <c r="E1703" s="59"/>
      <c r="F1703" s="351">
        <v>1</v>
      </c>
      <c r="G1703" s="37"/>
      <c r="H1703" s="37"/>
      <c r="I1703" s="37"/>
      <c r="J1703" s="37"/>
      <c r="K1703" s="37"/>
      <c r="L1703" s="37"/>
      <c r="M1703" s="37"/>
      <c r="N1703" s="37"/>
      <c r="O1703" s="37"/>
      <c r="P1703" s="37"/>
      <c r="Q1703" s="66"/>
      <c r="R1703" s="66"/>
      <c r="S1703" s="37"/>
    </row>
    <row r="1704" spans="1:19">
      <c r="A1704" s="24"/>
      <c r="B1704" s="25" t="s">
        <v>175</v>
      </c>
      <c r="C1704" s="26" t="s">
        <v>17</v>
      </c>
      <c r="D1704" s="351">
        <v>1</v>
      </c>
      <c r="E1704" s="59"/>
      <c r="F1704" s="351">
        <v>1</v>
      </c>
      <c r="G1704" s="37"/>
      <c r="H1704" s="37"/>
      <c r="I1704" s="37"/>
      <c r="J1704" s="37"/>
      <c r="K1704" s="37"/>
      <c r="L1704" s="37"/>
      <c r="M1704" s="37"/>
      <c r="N1704" s="37"/>
      <c r="O1704" s="37"/>
      <c r="P1704" s="37"/>
      <c r="Q1704" s="66"/>
      <c r="R1704" s="66"/>
      <c r="S1704" s="37"/>
    </row>
    <row r="1705" spans="1:19" ht="30">
      <c r="A1705" s="24"/>
      <c r="B1705" s="25" t="s">
        <v>176</v>
      </c>
      <c r="C1705" s="26" t="s">
        <v>78</v>
      </c>
      <c r="D1705" s="351">
        <v>1</v>
      </c>
      <c r="E1705" s="59"/>
      <c r="F1705" s="351">
        <v>1</v>
      </c>
      <c r="G1705" s="37"/>
      <c r="H1705" s="37"/>
      <c r="I1705" s="37"/>
      <c r="J1705" s="37"/>
      <c r="K1705" s="37"/>
      <c r="L1705" s="37"/>
      <c r="M1705" s="37"/>
      <c r="N1705" s="37"/>
      <c r="O1705" s="37"/>
      <c r="P1705" s="37"/>
      <c r="Q1705" s="66"/>
      <c r="R1705" s="66"/>
      <c r="S1705" s="37"/>
    </row>
    <row r="1706" spans="1:19" ht="60">
      <c r="A1706" s="24">
        <v>62</v>
      </c>
      <c r="B1706" s="25" t="s">
        <v>417</v>
      </c>
      <c r="C1706" s="26" t="s">
        <v>7</v>
      </c>
      <c r="D1706" s="351">
        <v>1</v>
      </c>
      <c r="E1706" s="59"/>
      <c r="F1706" s="351">
        <v>1</v>
      </c>
      <c r="G1706" s="26" t="s">
        <v>2326</v>
      </c>
      <c r="H1706" s="26"/>
      <c r="I1706" s="26" t="s">
        <v>2327</v>
      </c>
      <c r="J1706" s="26" t="s">
        <v>2328</v>
      </c>
      <c r="K1706" s="311">
        <v>16804108.529999997</v>
      </c>
      <c r="L1706" s="311">
        <v>0</v>
      </c>
      <c r="M1706" s="311">
        <v>1356000.0000000002</v>
      </c>
      <c r="N1706" s="311">
        <v>1817384.7000000002</v>
      </c>
      <c r="O1706" s="311">
        <v>1272169.29</v>
      </c>
      <c r="P1706" s="68">
        <f>SUM(K1706:O1706)</f>
        <v>21249662.519999996</v>
      </c>
      <c r="Q1706" s="68">
        <f>D1706*P1706</f>
        <v>21249662.519999996</v>
      </c>
      <c r="R1706" s="127">
        <f>F1706*P1706</f>
        <v>21249662.519999996</v>
      </c>
      <c r="S1706" s="37"/>
    </row>
    <row r="1707" spans="1:19" ht="30">
      <c r="A1707" s="24"/>
      <c r="B1707" s="25" t="s">
        <v>413</v>
      </c>
      <c r="C1707" s="26" t="s">
        <v>8</v>
      </c>
      <c r="D1707" s="351">
        <v>1</v>
      </c>
      <c r="E1707" s="59"/>
      <c r="F1707" s="351">
        <v>1</v>
      </c>
      <c r="G1707" s="37"/>
      <c r="H1707" s="37"/>
      <c r="I1707" s="37"/>
      <c r="J1707" s="37"/>
      <c r="K1707" s="37"/>
      <c r="L1707" s="37"/>
      <c r="M1707" s="37"/>
      <c r="N1707" s="37"/>
      <c r="O1707" s="37"/>
      <c r="P1707" s="37"/>
      <c r="Q1707" s="66"/>
      <c r="R1707" s="66"/>
      <c r="S1707" s="37"/>
    </row>
    <row r="1708" spans="1:19">
      <c r="A1708" s="24"/>
      <c r="B1708" s="25" t="s">
        <v>161</v>
      </c>
      <c r="C1708" s="26"/>
      <c r="D1708" s="351"/>
      <c r="E1708" s="59"/>
      <c r="F1708" s="351"/>
      <c r="G1708" s="37"/>
      <c r="H1708" s="37"/>
      <c r="I1708" s="37"/>
      <c r="J1708" s="37"/>
      <c r="K1708" s="37"/>
      <c r="L1708" s="37"/>
      <c r="M1708" s="37"/>
      <c r="N1708" s="37"/>
      <c r="O1708" s="37"/>
      <c r="P1708" s="37"/>
      <c r="Q1708" s="66"/>
      <c r="R1708" s="66"/>
      <c r="S1708" s="37"/>
    </row>
    <row r="1709" spans="1:19">
      <c r="A1709" s="24"/>
      <c r="B1709" s="25" t="s">
        <v>162</v>
      </c>
      <c r="C1709" s="26" t="s">
        <v>8</v>
      </c>
      <c r="D1709" s="351">
        <v>1</v>
      </c>
      <c r="E1709" s="59"/>
      <c r="F1709" s="351">
        <v>1</v>
      </c>
      <c r="G1709" s="37"/>
      <c r="H1709" s="37"/>
      <c r="I1709" s="37"/>
      <c r="J1709" s="37"/>
      <c r="K1709" s="37"/>
      <c r="L1709" s="37"/>
      <c r="M1709" s="37"/>
      <c r="N1709" s="37"/>
      <c r="O1709" s="37"/>
      <c r="P1709" s="37"/>
      <c r="Q1709" s="66"/>
      <c r="R1709" s="66"/>
      <c r="S1709" s="37"/>
    </row>
    <row r="1710" spans="1:19">
      <c r="A1710" s="24"/>
      <c r="B1710" s="25" t="s">
        <v>24</v>
      </c>
      <c r="C1710" s="26" t="s">
        <v>8</v>
      </c>
      <c r="D1710" s="351">
        <v>3</v>
      </c>
      <c r="E1710" s="59"/>
      <c r="F1710" s="351">
        <v>3</v>
      </c>
      <c r="G1710" s="37"/>
      <c r="H1710" s="37"/>
      <c r="I1710" s="37"/>
      <c r="J1710" s="37"/>
      <c r="K1710" s="37"/>
      <c r="L1710" s="37"/>
      <c r="M1710" s="37"/>
      <c r="N1710" s="37"/>
      <c r="O1710" s="37"/>
      <c r="P1710" s="37"/>
      <c r="Q1710" s="66"/>
      <c r="R1710" s="66"/>
      <c r="S1710" s="37"/>
    </row>
    <row r="1711" spans="1:19">
      <c r="A1711" s="24"/>
      <c r="B1711" s="25" t="s">
        <v>163</v>
      </c>
      <c r="C1711" s="26" t="s">
        <v>8</v>
      </c>
      <c r="D1711" s="351">
        <v>3</v>
      </c>
      <c r="E1711" s="60"/>
      <c r="F1711" s="351">
        <v>3</v>
      </c>
      <c r="G1711" s="38"/>
      <c r="H1711" s="38"/>
      <c r="I1711" s="38"/>
      <c r="J1711" s="38"/>
      <c r="K1711" s="38"/>
      <c r="L1711" s="38"/>
      <c r="M1711" s="38"/>
      <c r="N1711" s="38"/>
      <c r="O1711" s="38"/>
      <c r="P1711" s="38"/>
      <c r="Q1711" s="65"/>
      <c r="R1711" s="65"/>
      <c r="S1711" s="38"/>
    </row>
    <row r="1712" spans="1:19">
      <c r="A1712" s="24"/>
      <c r="B1712" s="25" t="s">
        <v>164</v>
      </c>
      <c r="C1712" s="26"/>
      <c r="D1712" s="351"/>
      <c r="E1712" s="57"/>
      <c r="F1712" s="351"/>
      <c r="G1712" s="36"/>
      <c r="H1712" s="36"/>
      <c r="I1712" s="36"/>
      <c r="J1712" s="36"/>
      <c r="K1712" s="36"/>
      <c r="L1712" s="36"/>
      <c r="M1712" s="36"/>
      <c r="N1712" s="36"/>
      <c r="O1712" s="36"/>
      <c r="P1712" s="36"/>
      <c r="Q1712" s="65"/>
      <c r="R1712" s="65"/>
      <c r="S1712" s="36"/>
    </row>
    <row r="1713" spans="1:19">
      <c r="A1713" s="24"/>
      <c r="B1713" s="25" t="s">
        <v>165</v>
      </c>
      <c r="C1713" s="26" t="s">
        <v>8</v>
      </c>
      <c r="D1713" s="351">
        <v>1</v>
      </c>
      <c r="E1713" s="53"/>
      <c r="F1713" s="351">
        <v>1</v>
      </c>
      <c r="G1713" s="15"/>
      <c r="H1713" s="15"/>
      <c r="I1713" s="15"/>
      <c r="J1713" s="15"/>
      <c r="K1713" s="15"/>
      <c r="L1713" s="15"/>
      <c r="M1713" s="15"/>
      <c r="N1713" s="15"/>
      <c r="O1713" s="15"/>
      <c r="P1713" s="15"/>
      <c r="Q1713" s="66"/>
      <c r="R1713" s="66"/>
      <c r="S1713" s="15"/>
    </row>
    <row r="1714" spans="1:19">
      <c r="A1714" s="24"/>
      <c r="B1714" s="25" t="s">
        <v>414</v>
      </c>
      <c r="C1714" s="26" t="s">
        <v>8</v>
      </c>
      <c r="D1714" s="351">
        <v>1</v>
      </c>
      <c r="E1714" s="58"/>
      <c r="F1714" s="351">
        <v>1</v>
      </c>
      <c r="G1714" s="18"/>
      <c r="H1714" s="18"/>
      <c r="I1714" s="18"/>
      <c r="J1714" s="18"/>
      <c r="K1714" s="18"/>
      <c r="L1714" s="18"/>
      <c r="M1714" s="18"/>
      <c r="N1714" s="18"/>
      <c r="O1714" s="18"/>
      <c r="P1714" s="18"/>
      <c r="Q1714" s="65"/>
      <c r="R1714" s="65"/>
      <c r="S1714" s="18"/>
    </row>
    <row r="1715" spans="1:19">
      <c r="A1715" s="24"/>
      <c r="B1715" s="25" t="s">
        <v>415</v>
      </c>
      <c r="C1715" s="26" t="s">
        <v>8</v>
      </c>
      <c r="D1715" s="351">
        <v>1</v>
      </c>
      <c r="E1715" s="53"/>
      <c r="F1715" s="351">
        <v>1</v>
      </c>
      <c r="G1715" s="15"/>
      <c r="H1715" s="15"/>
      <c r="I1715" s="15"/>
      <c r="J1715" s="15"/>
      <c r="K1715" s="15"/>
      <c r="L1715" s="15"/>
      <c r="M1715" s="15"/>
      <c r="N1715" s="15"/>
      <c r="O1715" s="15"/>
      <c r="P1715" s="15"/>
      <c r="Q1715" s="66"/>
      <c r="R1715" s="66"/>
      <c r="S1715" s="15"/>
    </row>
    <row r="1716" spans="1:19">
      <c r="A1716" s="24"/>
      <c r="B1716" s="25" t="s">
        <v>293</v>
      </c>
      <c r="C1716" s="26" t="s">
        <v>8</v>
      </c>
      <c r="D1716" s="351">
        <v>1</v>
      </c>
      <c r="E1716" s="53"/>
      <c r="F1716" s="351">
        <v>1</v>
      </c>
      <c r="G1716" s="15"/>
      <c r="H1716" s="15"/>
      <c r="I1716" s="15"/>
      <c r="J1716" s="15"/>
      <c r="K1716" s="15"/>
      <c r="L1716" s="15"/>
      <c r="M1716" s="15"/>
      <c r="N1716" s="15"/>
      <c r="O1716" s="15"/>
      <c r="P1716" s="15"/>
      <c r="Q1716" s="66"/>
      <c r="R1716" s="66"/>
      <c r="S1716" s="15"/>
    </row>
    <row r="1717" spans="1:19">
      <c r="A1717" s="24"/>
      <c r="B1717" s="25" t="s">
        <v>166</v>
      </c>
      <c r="C1717" s="26" t="s">
        <v>8</v>
      </c>
      <c r="D1717" s="351">
        <v>2</v>
      </c>
      <c r="E1717" s="53"/>
      <c r="F1717" s="351">
        <v>2</v>
      </c>
      <c r="G1717" s="15"/>
      <c r="H1717" s="15"/>
      <c r="I1717" s="15"/>
      <c r="J1717" s="15"/>
      <c r="K1717" s="15"/>
      <c r="L1717" s="15"/>
      <c r="M1717" s="15"/>
      <c r="N1717" s="15"/>
      <c r="O1717" s="15"/>
      <c r="P1717" s="15"/>
      <c r="Q1717" s="66"/>
      <c r="R1717" s="66"/>
      <c r="S1717" s="15"/>
    </row>
    <row r="1718" spans="1:19">
      <c r="A1718" s="24"/>
      <c r="B1718" s="25" t="s">
        <v>167</v>
      </c>
      <c r="C1718" s="26" t="s">
        <v>8</v>
      </c>
      <c r="D1718" s="351">
        <v>6</v>
      </c>
      <c r="E1718" s="53"/>
      <c r="F1718" s="351">
        <v>6</v>
      </c>
      <c r="G1718" s="15"/>
      <c r="H1718" s="15"/>
      <c r="I1718" s="15"/>
      <c r="J1718" s="15"/>
      <c r="K1718" s="15"/>
      <c r="L1718" s="15"/>
      <c r="M1718" s="15"/>
      <c r="N1718" s="15"/>
      <c r="O1718" s="15"/>
      <c r="P1718" s="15"/>
      <c r="Q1718" s="66"/>
      <c r="R1718" s="66"/>
      <c r="S1718" s="15"/>
    </row>
    <row r="1719" spans="1:19">
      <c r="A1719" s="24"/>
      <c r="B1719" s="25" t="s">
        <v>168</v>
      </c>
      <c r="C1719" s="26" t="s">
        <v>8</v>
      </c>
      <c r="D1719" s="351">
        <v>1</v>
      </c>
      <c r="E1719" s="59"/>
      <c r="F1719" s="351">
        <v>1</v>
      </c>
      <c r="G1719" s="37"/>
      <c r="H1719" s="37"/>
      <c r="I1719" s="37"/>
      <c r="J1719" s="37"/>
      <c r="K1719" s="37"/>
      <c r="L1719" s="37"/>
      <c r="M1719" s="37"/>
      <c r="N1719" s="37"/>
      <c r="O1719" s="37"/>
      <c r="P1719" s="37"/>
      <c r="Q1719" s="66"/>
      <c r="R1719" s="66"/>
      <c r="S1719" s="37"/>
    </row>
    <row r="1720" spans="1:19">
      <c r="A1720" s="24"/>
      <c r="B1720" s="25" t="s">
        <v>169</v>
      </c>
      <c r="C1720" s="26"/>
      <c r="D1720" s="351"/>
      <c r="E1720" s="59"/>
      <c r="F1720" s="351"/>
      <c r="G1720" s="37"/>
      <c r="H1720" s="37"/>
      <c r="I1720" s="37"/>
      <c r="J1720" s="37"/>
      <c r="K1720" s="37"/>
      <c r="L1720" s="37"/>
      <c r="M1720" s="37"/>
      <c r="N1720" s="37"/>
      <c r="O1720" s="37"/>
      <c r="P1720" s="37"/>
      <c r="Q1720" s="66"/>
      <c r="R1720" s="66"/>
      <c r="S1720" s="37"/>
    </row>
    <row r="1721" spans="1:19">
      <c r="A1721" s="24"/>
      <c r="B1721" s="25" t="s">
        <v>317</v>
      </c>
      <c r="C1721" s="26" t="s">
        <v>8</v>
      </c>
      <c r="D1721" s="351">
        <v>8</v>
      </c>
      <c r="E1721" s="53"/>
      <c r="F1721" s="351">
        <v>8</v>
      </c>
      <c r="G1721" s="15"/>
      <c r="H1721" s="15"/>
      <c r="I1721" s="15"/>
      <c r="J1721" s="15"/>
      <c r="K1721" s="15"/>
      <c r="L1721" s="15"/>
      <c r="M1721" s="15"/>
      <c r="N1721" s="15"/>
      <c r="O1721" s="15"/>
      <c r="P1721" s="15"/>
      <c r="Q1721" s="66"/>
      <c r="R1721" s="66"/>
      <c r="S1721" s="15"/>
    </row>
    <row r="1722" spans="1:19">
      <c r="A1722" s="24"/>
      <c r="B1722" s="25" t="s">
        <v>171</v>
      </c>
      <c r="C1722" s="26" t="s">
        <v>8</v>
      </c>
      <c r="D1722" s="351">
        <v>1</v>
      </c>
      <c r="E1722" s="307"/>
      <c r="F1722" s="351">
        <v>1</v>
      </c>
      <c r="G1722" s="308"/>
      <c r="H1722" s="308"/>
      <c r="I1722" s="308"/>
      <c r="J1722" s="308"/>
      <c r="K1722" s="308"/>
      <c r="L1722" s="308"/>
      <c r="M1722" s="308"/>
      <c r="N1722" s="308"/>
      <c r="O1722" s="308"/>
      <c r="P1722" s="308"/>
      <c r="Q1722" s="66"/>
      <c r="R1722" s="66"/>
      <c r="S1722" s="308"/>
    </row>
    <row r="1723" spans="1:19">
      <c r="A1723" s="24"/>
      <c r="B1723" s="25" t="s">
        <v>172</v>
      </c>
      <c r="C1723" s="26" t="s">
        <v>78</v>
      </c>
      <c r="D1723" s="351">
        <v>1</v>
      </c>
      <c r="E1723" s="60"/>
      <c r="F1723" s="351">
        <v>1</v>
      </c>
      <c r="G1723" s="38"/>
      <c r="H1723" s="38"/>
      <c r="I1723" s="38"/>
      <c r="J1723" s="38"/>
      <c r="K1723" s="38"/>
      <c r="L1723" s="38"/>
      <c r="M1723" s="38"/>
      <c r="N1723" s="38"/>
      <c r="O1723" s="38"/>
      <c r="P1723" s="38"/>
      <c r="Q1723" s="65"/>
      <c r="R1723" s="65"/>
      <c r="S1723" s="38"/>
    </row>
    <row r="1724" spans="1:19">
      <c r="A1724" s="24"/>
      <c r="B1724" s="25" t="s">
        <v>173</v>
      </c>
      <c r="C1724" s="26" t="s">
        <v>8</v>
      </c>
      <c r="D1724" s="351">
        <v>1</v>
      </c>
      <c r="E1724" s="57"/>
      <c r="F1724" s="351">
        <v>1</v>
      </c>
      <c r="G1724" s="36"/>
      <c r="H1724" s="36"/>
      <c r="I1724" s="36"/>
      <c r="J1724" s="36"/>
      <c r="K1724" s="36"/>
      <c r="L1724" s="36"/>
      <c r="M1724" s="36"/>
      <c r="N1724" s="36"/>
      <c r="O1724" s="36"/>
      <c r="P1724" s="36"/>
      <c r="Q1724" s="65"/>
      <c r="R1724" s="65"/>
      <c r="S1724" s="36"/>
    </row>
    <row r="1725" spans="1:19">
      <c r="A1725" s="24"/>
      <c r="B1725" s="25" t="s">
        <v>174</v>
      </c>
      <c r="C1725" s="26" t="s">
        <v>17</v>
      </c>
      <c r="D1725" s="351">
        <v>1</v>
      </c>
      <c r="E1725" s="53"/>
      <c r="F1725" s="351">
        <v>1</v>
      </c>
      <c r="G1725" s="15"/>
      <c r="H1725" s="15"/>
      <c r="I1725" s="15"/>
      <c r="J1725" s="15"/>
      <c r="K1725" s="15"/>
      <c r="L1725" s="15"/>
      <c r="M1725" s="15"/>
      <c r="N1725" s="15"/>
      <c r="O1725" s="15"/>
      <c r="P1725" s="15"/>
      <c r="Q1725" s="66"/>
      <c r="R1725" s="66"/>
      <c r="S1725" s="15"/>
    </row>
    <row r="1726" spans="1:19">
      <c r="A1726" s="24"/>
      <c r="B1726" s="25" t="s">
        <v>175</v>
      </c>
      <c r="C1726" s="26" t="s">
        <v>17</v>
      </c>
      <c r="D1726" s="351">
        <v>1</v>
      </c>
      <c r="E1726" s="58"/>
      <c r="F1726" s="351">
        <v>1</v>
      </c>
      <c r="G1726" s="18"/>
      <c r="H1726" s="18"/>
      <c r="I1726" s="18"/>
      <c r="J1726" s="18"/>
      <c r="K1726" s="18"/>
      <c r="L1726" s="18"/>
      <c r="M1726" s="18"/>
      <c r="N1726" s="18"/>
      <c r="O1726" s="18"/>
      <c r="P1726" s="18"/>
      <c r="Q1726" s="65"/>
      <c r="R1726" s="65"/>
      <c r="S1726" s="18"/>
    </row>
    <row r="1727" spans="1:19" ht="30">
      <c r="A1727" s="24"/>
      <c r="B1727" s="25" t="s">
        <v>176</v>
      </c>
      <c r="C1727" s="26" t="s">
        <v>78</v>
      </c>
      <c r="D1727" s="351">
        <v>1</v>
      </c>
      <c r="E1727" s="53"/>
      <c r="F1727" s="351">
        <v>1</v>
      </c>
      <c r="G1727" s="15"/>
      <c r="H1727" s="15"/>
      <c r="I1727" s="15"/>
      <c r="J1727" s="15"/>
      <c r="K1727" s="15"/>
      <c r="L1727" s="15"/>
      <c r="M1727" s="15"/>
      <c r="N1727" s="15"/>
      <c r="O1727" s="15"/>
      <c r="P1727" s="15"/>
      <c r="Q1727" s="66"/>
      <c r="R1727" s="66"/>
      <c r="S1727" s="15"/>
    </row>
    <row r="1728" spans="1:19" ht="60">
      <c r="A1728" s="24">
        <v>63</v>
      </c>
      <c r="B1728" s="25" t="s">
        <v>418</v>
      </c>
      <c r="C1728" s="26" t="s">
        <v>7</v>
      </c>
      <c r="D1728" s="351">
        <v>1</v>
      </c>
      <c r="E1728" s="53"/>
      <c r="F1728" s="351">
        <v>1</v>
      </c>
      <c r="G1728" s="26" t="s">
        <v>2326</v>
      </c>
      <c r="H1728" s="26"/>
      <c r="I1728" s="26" t="s">
        <v>2327</v>
      </c>
      <c r="J1728" s="26" t="s">
        <v>2328</v>
      </c>
      <c r="K1728" s="311">
        <v>12436684.919999998</v>
      </c>
      <c r="L1728" s="311">
        <v>0</v>
      </c>
      <c r="M1728" s="311">
        <v>1318333.3333333335</v>
      </c>
      <c r="N1728" s="311">
        <v>1372897.4666666668</v>
      </c>
      <c r="O1728" s="311">
        <v>961028.22666666668</v>
      </c>
      <c r="P1728" s="68">
        <f>SUM(K1728:O1728)</f>
        <v>16088943.946666665</v>
      </c>
      <c r="Q1728" s="68">
        <f>D1728*P1728</f>
        <v>16088943.946666665</v>
      </c>
      <c r="R1728" s="127">
        <f>F1728*P1728</f>
        <v>16088943.946666665</v>
      </c>
      <c r="S1728" s="15"/>
    </row>
    <row r="1729" spans="1:19" ht="30">
      <c r="A1729" s="24"/>
      <c r="B1729" s="25" t="s">
        <v>192</v>
      </c>
      <c r="C1729" s="26" t="s">
        <v>8</v>
      </c>
      <c r="D1729" s="351">
        <v>1</v>
      </c>
      <c r="E1729" s="53"/>
      <c r="F1729" s="351">
        <v>1</v>
      </c>
      <c r="G1729" s="15"/>
      <c r="H1729" s="15"/>
      <c r="I1729" s="15"/>
      <c r="J1729" s="15"/>
      <c r="K1729" s="15"/>
      <c r="L1729" s="15"/>
      <c r="M1729" s="15"/>
      <c r="N1729" s="15"/>
      <c r="O1729" s="15"/>
      <c r="P1729" s="15"/>
      <c r="Q1729" s="66"/>
      <c r="R1729" s="66"/>
      <c r="S1729" s="15"/>
    </row>
    <row r="1730" spans="1:19">
      <c r="A1730" s="24"/>
      <c r="B1730" s="25" t="s">
        <v>161</v>
      </c>
      <c r="C1730" s="26"/>
      <c r="D1730" s="351"/>
      <c r="E1730" s="53"/>
      <c r="F1730" s="351"/>
      <c r="G1730" s="15"/>
      <c r="H1730" s="15"/>
      <c r="I1730" s="15"/>
      <c r="J1730" s="15"/>
      <c r="K1730" s="15"/>
      <c r="L1730" s="15"/>
      <c r="M1730" s="15"/>
      <c r="N1730" s="15"/>
      <c r="O1730" s="15"/>
      <c r="P1730" s="15"/>
      <c r="Q1730" s="66"/>
      <c r="R1730" s="66"/>
      <c r="S1730" s="15"/>
    </row>
    <row r="1731" spans="1:19">
      <c r="A1731" s="24"/>
      <c r="B1731" s="25" t="s">
        <v>415</v>
      </c>
      <c r="C1731" s="26" t="s">
        <v>8</v>
      </c>
      <c r="D1731" s="351">
        <v>1</v>
      </c>
      <c r="E1731" s="59"/>
      <c r="F1731" s="351">
        <v>1</v>
      </c>
      <c r="G1731" s="37"/>
      <c r="H1731" s="37"/>
      <c r="I1731" s="37"/>
      <c r="J1731" s="37"/>
      <c r="K1731" s="37"/>
      <c r="L1731" s="37"/>
      <c r="M1731" s="37"/>
      <c r="N1731" s="37"/>
      <c r="O1731" s="37"/>
      <c r="P1731" s="37"/>
      <c r="Q1731" s="66"/>
      <c r="R1731" s="66"/>
      <c r="S1731" s="37"/>
    </row>
    <row r="1732" spans="1:19">
      <c r="A1732" s="24"/>
      <c r="B1732" s="25" t="s">
        <v>202</v>
      </c>
      <c r="C1732" s="26" t="s">
        <v>20</v>
      </c>
      <c r="D1732" s="351">
        <v>3</v>
      </c>
      <c r="E1732" s="59"/>
      <c r="F1732" s="351">
        <v>3</v>
      </c>
      <c r="G1732" s="37"/>
      <c r="H1732" s="37"/>
      <c r="I1732" s="37"/>
      <c r="J1732" s="37"/>
      <c r="K1732" s="37"/>
      <c r="L1732" s="37"/>
      <c r="M1732" s="37"/>
      <c r="N1732" s="37"/>
      <c r="O1732" s="37"/>
      <c r="P1732" s="37"/>
      <c r="Q1732" s="66"/>
      <c r="R1732" s="66"/>
      <c r="S1732" s="37"/>
    </row>
    <row r="1733" spans="1:19">
      <c r="A1733" s="24"/>
      <c r="B1733" s="25" t="s">
        <v>21</v>
      </c>
      <c r="C1733" s="26" t="s">
        <v>8</v>
      </c>
      <c r="D1733" s="351">
        <v>1</v>
      </c>
      <c r="E1733" s="59"/>
      <c r="F1733" s="351">
        <v>1</v>
      </c>
      <c r="G1733" s="37"/>
      <c r="H1733" s="37"/>
      <c r="I1733" s="37"/>
      <c r="J1733" s="37"/>
      <c r="K1733" s="37"/>
      <c r="L1733" s="37"/>
      <c r="M1733" s="37"/>
      <c r="N1733" s="37"/>
      <c r="O1733" s="37"/>
      <c r="P1733" s="37"/>
      <c r="Q1733" s="66"/>
      <c r="R1733" s="66"/>
      <c r="S1733" s="37"/>
    </row>
    <row r="1734" spans="1:19">
      <c r="A1734" s="24"/>
      <c r="B1734" s="25" t="s">
        <v>22</v>
      </c>
      <c r="C1734" s="26" t="s">
        <v>8</v>
      </c>
      <c r="D1734" s="351">
        <v>1</v>
      </c>
      <c r="E1734" s="59"/>
      <c r="F1734" s="351">
        <v>1</v>
      </c>
      <c r="G1734" s="37"/>
      <c r="H1734" s="37"/>
      <c r="I1734" s="37"/>
      <c r="J1734" s="37"/>
      <c r="K1734" s="37"/>
      <c r="L1734" s="37"/>
      <c r="M1734" s="37"/>
      <c r="N1734" s="37"/>
      <c r="O1734" s="37"/>
      <c r="P1734" s="37"/>
      <c r="Q1734" s="66"/>
      <c r="R1734" s="66"/>
      <c r="S1734" s="37"/>
    </row>
    <row r="1735" spans="1:19">
      <c r="A1735" s="24"/>
      <c r="B1735" s="25" t="s">
        <v>203</v>
      </c>
      <c r="C1735" s="26" t="s">
        <v>8</v>
      </c>
      <c r="D1735" s="351">
        <v>3</v>
      </c>
      <c r="E1735" s="53"/>
      <c r="F1735" s="351">
        <v>3</v>
      </c>
      <c r="G1735" s="15"/>
      <c r="H1735" s="15"/>
      <c r="I1735" s="15"/>
      <c r="J1735" s="15"/>
      <c r="K1735" s="15"/>
      <c r="L1735" s="15"/>
      <c r="M1735" s="15"/>
      <c r="N1735" s="15"/>
      <c r="O1735" s="15"/>
      <c r="P1735" s="15"/>
      <c r="Q1735" s="66"/>
      <c r="R1735" s="66"/>
      <c r="S1735" s="15"/>
    </row>
    <row r="1736" spans="1:19">
      <c r="A1736" s="24"/>
      <c r="B1736" s="25" t="s">
        <v>24</v>
      </c>
      <c r="C1736" s="26" t="s">
        <v>8</v>
      </c>
      <c r="D1736" s="351">
        <v>3</v>
      </c>
      <c r="E1736" s="307"/>
      <c r="F1736" s="351">
        <v>3</v>
      </c>
      <c r="G1736" s="308"/>
      <c r="H1736" s="308"/>
      <c r="I1736" s="308"/>
      <c r="J1736" s="308"/>
      <c r="K1736" s="308"/>
      <c r="L1736" s="308"/>
      <c r="M1736" s="308"/>
      <c r="N1736" s="308"/>
      <c r="O1736" s="308"/>
      <c r="P1736" s="308"/>
      <c r="Q1736" s="66"/>
      <c r="R1736" s="66"/>
      <c r="S1736" s="308"/>
    </row>
    <row r="1737" spans="1:19">
      <c r="A1737" s="24"/>
      <c r="B1737" s="25" t="s">
        <v>163</v>
      </c>
      <c r="C1737" s="26" t="s">
        <v>8</v>
      </c>
      <c r="D1737" s="351">
        <v>3</v>
      </c>
      <c r="E1737" s="60"/>
      <c r="F1737" s="351">
        <v>3</v>
      </c>
      <c r="G1737" s="38"/>
      <c r="H1737" s="38"/>
      <c r="I1737" s="38"/>
      <c r="J1737" s="38"/>
      <c r="K1737" s="38"/>
      <c r="L1737" s="38"/>
      <c r="M1737" s="38"/>
      <c r="N1737" s="38"/>
      <c r="O1737" s="38"/>
      <c r="P1737" s="38"/>
      <c r="Q1737" s="65"/>
      <c r="R1737" s="65"/>
      <c r="S1737" s="38"/>
    </row>
    <row r="1738" spans="1:19">
      <c r="A1738" s="24"/>
      <c r="B1738" s="25" t="s">
        <v>164</v>
      </c>
      <c r="C1738" s="26"/>
      <c r="D1738" s="351"/>
      <c r="E1738" s="57"/>
      <c r="F1738" s="351"/>
      <c r="G1738" s="36"/>
      <c r="H1738" s="36"/>
      <c r="I1738" s="36"/>
      <c r="J1738" s="36"/>
      <c r="K1738" s="36"/>
      <c r="L1738" s="36"/>
      <c r="M1738" s="36"/>
      <c r="N1738" s="36"/>
      <c r="O1738" s="36"/>
      <c r="P1738" s="36"/>
      <c r="Q1738" s="65"/>
      <c r="R1738" s="65"/>
      <c r="S1738" s="36"/>
    </row>
    <row r="1739" spans="1:19">
      <c r="A1739" s="24"/>
      <c r="B1739" s="25" t="s">
        <v>419</v>
      </c>
      <c r="C1739" s="26" t="s">
        <v>8</v>
      </c>
      <c r="D1739" s="351">
        <v>2</v>
      </c>
      <c r="E1739" s="53"/>
      <c r="F1739" s="351">
        <v>2</v>
      </c>
      <c r="G1739" s="15"/>
      <c r="H1739" s="15"/>
      <c r="I1739" s="15"/>
      <c r="J1739" s="15"/>
      <c r="K1739" s="15"/>
      <c r="L1739" s="15"/>
      <c r="M1739" s="15"/>
      <c r="N1739" s="15"/>
      <c r="O1739" s="15"/>
      <c r="P1739" s="15"/>
      <c r="Q1739" s="66"/>
      <c r="R1739" s="66"/>
      <c r="S1739" s="15"/>
    </row>
    <row r="1740" spans="1:19">
      <c r="A1740" s="24"/>
      <c r="B1740" s="25" t="s">
        <v>168</v>
      </c>
      <c r="C1740" s="26" t="s">
        <v>8</v>
      </c>
      <c r="D1740" s="351">
        <v>1</v>
      </c>
      <c r="E1740" s="58"/>
      <c r="F1740" s="351">
        <v>1</v>
      </c>
      <c r="G1740" s="18"/>
      <c r="H1740" s="18"/>
      <c r="I1740" s="18"/>
      <c r="J1740" s="18"/>
      <c r="K1740" s="18"/>
      <c r="L1740" s="18"/>
      <c r="M1740" s="18"/>
      <c r="N1740" s="18"/>
      <c r="O1740" s="18"/>
      <c r="P1740" s="18"/>
      <c r="Q1740" s="65"/>
      <c r="R1740" s="65"/>
      <c r="S1740" s="18"/>
    </row>
    <row r="1741" spans="1:19">
      <c r="A1741" s="24"/>
      <c r="B1741" s="25" t="s">
        <v>420</v>
      </c>
      <c r="C1741" s="26" t="s">
        <v>17</v>
      </c>
      <c r="D1741" s="351">
        <v>2</v>
      </c>
      <c r="E1741" s="53"/>
      <c r="F1741" s="351">
        <v>2</v>
      </c>
      <c r="G1741" s="15"/>
      <c r="H1741" s="15"/>
      <c r="I1741" s="15"/>
      <c r="J1741" s="15"/>
      <c r="K1741" s="15"/>
      <c r="L1741" s="15"/>
      <c r="M1741" s="15"/>
      <c r="N1741" s="15"/>
      <c r="O1741" s="15"/>
      <c r="P1741" s="15"/>
      <c r="Q1741" s="66"/>
      <c r="R1741" s="66"/>
      <c r="S1741" s="15"/>
    </row>
    <row r="1742" spans="1:19">
      <c r="A1742" s="24"/>
      <c r="B1742" s="25" t="s">
        <v>182</v>
      </c>
      <c r="C1742" s="26" t="s">
        <v>8</v>
      </c>
      <c r="D1742" s="351">
        <v>2</v>
      </c>
      <c r="E1742" s="53"/>
      <c r="F1742" s="351">
        <v>2</v>
      </c>
      <c r="G1742" s="15"/>
      <c r="H1742" s="15"/>
      <c r="I1742" s="15"/>
      <c r="J1742" s="15"/>
      <c r="K1742" s="15"/>
      <c r="L1742" s="15"/>
      <c r="M1742" s="15"/>
      <c r="N1742" s="15"/>
      <c r="O1742" s="15"/>
      <c r="P1742" s="15"/>
      <c r="Q1742" s="66"/>
      <c r="R1742" s="66"/>
      <c r="S1742" s="15"/>
    </row>
    <row r="1743" spans="1:19">
      <c r="A1743" s="24"/>
      <c r="B1743" s="25" t="s">
        <v>183</v>
      </c>
      <c r="C1743" s="26" t="s">
        <v>8</v>
      </c>
      <c r="D1743" s="351">
        <v>2</v>
      </c>
      <c r="E1743" s="53"/>
      <c r="F1743" s="351">
        <v>2</v>
      </c>
      <c r="G1743" s="15"/>
      <c r="H1743" s="15"/>
      <c r="I1743" s="15"/>
      <c r="J1743" s="15"/>
      <c r="K1743" s="15"/>
      <c r="L1743" s="15"/>
      <c r="M1743" s="15"/>
      <c r="N1743" s="15"/>
      <c r="O1743" s="15"/>
      <c r="P1743" s="15"/>
      <c r="Q1743" s="66"/>
      <c r="R1743" s="66"/>
      <c r="S1743" s="15"/>
    </row>
    <row r="1744" spans="1:19">
      <c r="A1744" s="24"/>
      <c r="B1744" s="25" t="s">
        <v>184</v>
      </c>
      <c r="C1744" s="26" t="s">
        <v>8</v>
      </c>
      <c r="D1744" s="351">
        <v>2</v>
      </c>
      <c r="E1744" s="53"/>
      <c r="F1744" s="351">
        <v>2</v>
      </c>
      <c r="G1744" s="15"/>
      <c r="H1744" s="15"/>
      <c r="I1744" s="15"/>
      <c r="J1744" s="15"/>
      <c r="K1744" s="15"/>
      <c r="L1744" s="15"/>
      <c r="M1744" s="15"/>
      <c r="N1744" s="15"/>
      <c r="O1744" s="15"/>
      <c r="P1744" s="15"/>
      <c r="Q1744" s="66"/>
      <c r="R1744" s="66"/>
      <c r="S1744" s="15"/>
    </row>
    <row r="1745" spans="1:19">
      <c r="A1745" s="24"/>
      <c r="B1745" s="25" t="s">
        <v>185</v>
      </c>
      <c r="C1745" s="26" t="s">
        <v>8</v>
      </c>
      <c r="D1745" s="351">
        <v>2</v>
      </c>
      <c r="E1745" s="59"/>
      <c r="F1745" s="351">
        <v>2</v>
      </c>
      <c r="G1745" s="37"/>
      <c r="H1745" s="37"/>
      <c r="I1745" s="37"/>
      <c r="J1745" s="37"/>
      <c r="K1745" s="37"/>
      <c r="L1745" s="37"/>
      <c r="M1745" s="37"/>
      <c r="N1745" s="37"/>
      <c r="O1745" s="37"/>
      <c r="P1745" s="37"/>
      <c r="Q1745" s="66"/>
      <c r="R1745" s="66"/>
      <c r="S1745" s="37"/>
    </row>
    <row r="1746" spans="1:19">
      <c r="A1746" s="24"/>
      <c r="B1746" s="25" t="s">
        <v>186</v>
      </c>
      <c r="C1746" s="26" t="s">
        <v>8</v>
      </c>
      <c r="D1746" s="351">
        <v>4</v>
      </c>
      <c r="E1746" s="59"/>
      <c r="F1746" s="351">
        <v>4</v>
      </c>
      <c r="G1746" s="37"/>
      <c r="H1746" s="37"/>
      <c r="I1746" s="37"/>
      <c r="J1746" s="37"/>
      <c r="K1746" s="37"/>
      <c r="L1746" s="37"/>
      <c r="M1746" s="37"/>
      <c r="N1746" s="37"/>
      <c r="O1746" s="37"/>
      <c r="P1746" s="37"/>
      <c r="Q1746" s="66"/>
      <c r="R1746" s="66"/>
      <c r="S1746" s="37"/>
    </row>
    <row r="1747" spans="1:19">
      <c r="A1747" s="24"/>
      <c r="B1747" s="25" t="s">
        <v>187</v>
      </c>
      <c r="C1747" s="26" t="s">
        <v>78</v>
      </c>
      <c r="D1747" s="351">
        <v>1</v>
      </c>
      <c r="E1747" s="59"/>
      <c r="F1747" s="351">
        <v>1</v>
      </c>
      <c r="G1747" s="37"/>
      <c r="H1747" s="37"/>
      <c r="I1747" s="37"/>
      <c r="J1747" s="37"/>
      <c r="K1747" s="37"/>
      <c r="L1747" s="37"/>
      <c r="M1747" s="37"/>
      <c r="N1747" s="37"/>
      <c r="O1747" s="37"/>
      <c r="P1747" s="37"/>
      <c r="Q1747" s="66"/>
      <c r="R1747" s="66"/>
      <c r="S1747" s="37"/>
    </row>
    <row r="1748" spans="1:19">
      <c r="A1748" s="24"/>
      <c r="B1748" s="25" t="s">
        <v>173</v>
      </c>
      <c r="C1748" s="26" t="s">
        <v>8</v>
      </c>
      <c r="D1748" s="351">
        <v>1</v>
      </c>
      <c r="E1748" s="59"/>
      <c r="F1748" s="351">
        <v>1</v>
      </c>
      <c r="G1748" s="37"/>
      <c r="H1748" s="37"/>
      <c r="I1748" s="37"/>
      <c r="J1748" s="37"/>
      <c r="K1748" s="37"/>
      <c r="L1748" s="37"/>
      <c r="M1748" s="37"/>
      <c r="N1748" s="37"/>
      <c r="O1748" s="37"/>
      <c r="P1748" s="37"/>
      <c r="Q1748" s="66"/>
      <c r="R1748" s="66"/>
      <c r="S1748" s="37"/>
    </row>
    <row r="1749" spans="1:19">
      <c r="A1749" s="24"/>
      <c r="B1749" s="25" t="s">
        <v>199</v>
      </c>
      <c r="C1749" s="26" t="s">
        <v>17</v>
      </c>
      <c r="D1749" s="351">
        <v>1</v>
      </c>
      <c r="E1749" s="59"/>
      <c r="F1749" s="351">
        <v>1</v>
      </c>
      <c r="G1749" s="37"/>
      <c r="H1749" s="37"/>
      <c r="I1749" s="37"/>
      <c r="J1749" s="37"/>
      <c r="K1749" s="37"/>
      <c r="L1749" s="37"/>
      <c r="M1749" s="37"/>
      <c r="N1749" s="37"/>
      <c r="O1749" s="37"/>
      <c r="P1749" s="37"/>
      <c r="Q1749" s="66"/>
      <c r="R1749" s="66"/>
      <c r="S1749" s="37"/>
    </row>
    <row r="1750" spans="1:19" ht="30">
      <c r="A1750" s="24"/>
      <c r="B1750" s="25" t="s">
        <v>176</v>
      </c>
      <c r="C1750" s="26" t="s">
        <v>78</v>
      </c>
      <c r="D1750" s="351">
        <v>1</v>
      </c>
      <c r="E1750" s="59"/>
      <c r="F1750" s="351">
        <v>1</v>
      </c>
      <c r="G1750" s="37"/>
      <c r="H1750" s="37"/>
      <c r="I1750" s="37"/>
      <c r="J1750" s="37"/>
      <c r="K1750" s="37"/>
      <c r="L1750" s="37"/>
      <c r="M1750" s="37"/>
      <c r="N1750" s="37"/>
      <c r="O1750" s="37"/>
      <c r="P1750" s="37"/>
      <c r="Q1750" s="66"/>
      <c r="R1750" s="66"/>
      <c r="S1750" s="37"/>
    </row>
    <row r="1751" spans="1:19" ht="60">
      <c r="A1751" s="24">
        <v>64</v>
      </c>
      <c r="B1751" s="25" t="s">
        <v>421</v>
      </c>
      <c r="C1751" s="26" t="s">
        <v>7</v>
      </c>
      <c r="D1751" s="351">
        <v>1</v>
      </c>
      <c r="E1751" s="57"/>
      <c r="F1751" s="351">
        <v>1</v>
      </c>
      <c r="G1751" s="26" t="s">
        <v>2326</v>
      </c>
      <c r="H1751" s="26"/>
      <c r="I1751" s="26" t="s">
        <v>2327</v>
      </c>
      <c r="J1751" s="26" t="s">
        <v>2328</v>
      </c>
      <c r="K1751" s="311">
        <v>12436684.919999998</v>
      </c>
      <c r="L1751" s="311">
        <v>0</v>
      </c>
      <c r="M1751" s="311">
        <v>1318333.3333333335</v>
      </c>
      <c r="N1751" s="311">
        <v>1372897.4666666668</v>
      </c>
      <c r="O1751" s="311">
        <v>961028.22666666668</v>
      </c>
      <c r="P1751" s="68">
        <f>SUM(K1751:O1751)</f>
        <v>16088943.946666665</v>
      </c>
      <c r="Q1751" s="68">
        <f>D1751*P1751</f>
        <v>16088943.946666665</v>
      </c>
      <c r="R1751" s="127">
        <f>F1751*P1751</f>
        <v>16088943.946666665</v>
      </c>
      <c r="S1751" s="36"/>
    </row>
    <row r="1752" spans="1:19" ht="30">
      <c r="A1752" s="24"/>
      <c r="B1752" s="25" t="s">
        <v>192</v>
      </c>
      <c r="C1752" s="26" t="s">
        <v>8</v>
      </c>
      <c r="D1752" s="351">
        <v>1</v>
      </c>
      <c r="E1752" s="59"/>
      <c r="F1752" s="351">
        <v>1</v>
      </c>
      <c r="G1752" s="37"/>
      <c r="H1752" s="37"/>
      <c r="I1752" s="37"/>
      <c r="J1752" s="37"/>
      <c r="K1752" s="37"/>
      <c r="L1752" s="37"/>
      <c r="M1752" s="37"/>
      <c r="N1752" s="37"/>
      <c r="O1752" s="37"/>
      <c r="P1752" s="37"/>
      <c r="Q1752" s="66"/>
      <c r="R1752" s="66"/>
      <c r="S1752" s="37"/>
    </row>
    <row r="1753" spans="1:19">
      <c r="A1753" s="24"/>
      <c r="B1753" s="25" t="s">
        <v>161</v>
      </c>
      <c r="C1753" s="26"/>
      <c r="D1753" s="351"/>
      <c r="E1753" s="59"/>
      <c r="F1753" s="351"/>
      <c r="G1753" s="37"/>
      <c r="H1753" s="37"/>
      <c r="I1753" s="37"/>
      <c r="J1753" s="37"/>
      <c r="K1753" s="37"/>
      <c r="L1753" s="37"/>
      <c r="M1753" s="37"/>
      <c r="N1753" s="37"/>
      <c r="O1753" s="37"/>
      <c r="P1753" s="37"/>
      <c r="Q1753" s="66"/>
      <c r="R1753" s="66"/>
      <c r="S1753" s="37"/>
    </row>
    <row r="1754" spans="1:19">
      <c r="A1754" s="24"/>
      <c r="B1754" s="25" t="s">
        <v>415</v>
      </c>
      <c r="C1754" s="26" t="s">
        <v>8</v>
      </c>
      <c r="D1754" s="351">
        <v>1</v>
      </c>
      <c r="E1754" s="59"/>
      <c r="F1754" s="351">
        <v>1</v>
      </c>
      <c r="G1754" s="37"/>
      <c r="H1754" s="37"/>
      <c r="I1754" s="37"/>
      <c r="J1754" s="37"/>
      <c r="K1754" s="37"/>
      <c r="L1754" s="37"/>
      <c r="M1754" s="37"/>
      <c r="N1754" s="37"/>
      <c r="O1754" s="37"/>
      <c r="P1754" s="37"/>
      <c r="Q1754" s="66"/>
      <c r="R1754" s="66"/>
      <c r="S1754" s="37"/>
    </row>
    <row r="1755" spans="1:19">
      <c r="A1755" s="24"/>
      <c r="B1755" s="25" t="s">
        <v>202</v>
      </c>
      <c r="C1755" s="26" t="s">
        <v>20</v>
      </c>
      <c r="D1755" s="351">
        <v>3</v>
      </c>
      <c r="E1755" s="59"/>
      <c r="F1755" s="351">
        <v>3</v>
      </c>
      <c r="G1755" s="37"/>
      <c r="H1755" s="37"/>
      <c r="I1755" s="37"/>
      <c r="J1755" s="37"/>
      <c r="K1755" s="37"/>
      <c r="L1755" s="37"/>
      <c r="M1755" s="37"/>
      <c r="N1755" s="37"/>
      <c r="O1755" s="37"/>
      <c r="P1755" s="37"/>
      <c r="Q1755" s="66"/>
      <c r="R1755" s="66"/>
      <c r="S1755" s="37"/>
    </row>
    <row r="1756" spans="1:19">
      <c r="A1756" s="24"/>
      <c r="B1756" s="25" t="s">
        <v>21</v>
      </c>
      <c r="C1756" s="26" t="s">
        <v>8</v>
      </c>
      <c r="D1756" s="351">
        <v>1</v>
      </c>
      <c r="E1756" s="60"/>
      <c r="F1756" s="351">
        <v>1</v>
      </c>
      <c r="G1756" s="38"/>
      <c r="H1756" s="38"/>
      <c r="I1756" s="38"/>
      <c r="J1756" s="38"/>
      <c r="K1756" s="38"/>
      <c r="L1756" s="38"/>
      <c r="M1756" s="38"/>
      <c r="N1756" s="38"/>
      <c r="O1756" s="38"/>
      <c r="P1756" s="38"/>
      <c r="Q1756" s="65"/>
      <c r="R1756" s="65"/>
      <c r="S1756" s="38"/>
    </row>
    <row r="1757" spans="1:19">
      <c r="A1757" s="24"/>
      <c r="B1757" s="25" t="s">
        <v>22</v>
      </c>
      <c r="C1757" s="26" t="s">
        <v>8</v>
      </c>
      <c r="D1757" s="351">
        <v>1</v>
      </c>
      <c r="E1757" s="57"/>
      <c r="F1757" s="351">
        <v>1</v>
      </c>
      <c r="G1757" s="36"/>
      <c r="H1757" s="36"/>
      <c r="I1757" s="36"/>
      <c r="J1757" s="36"/>
      <c r="K1757" s="36"/>
      <c r="L1757" s="36"/>
      <c r="M1757" s="36"/>
      <c r="N1757" s="36"/>
      <c r="O1757" s="36"/>
      <c r="P1757" s="36"/>
      <c r="Q1757" s="65"/>
      <c r="R1757" s="65"/>
      <c r="S1757" s="36"/>
    </row>
    <row r="1758" spans="1:19">
      <c r="A1758" s="24"/>
      <c r="B1758" s="25" t="s">
        <v>203</v>
      </c>
      <c r="C1758" s="26" t="s">
        <v>8</v>
      </c>
      <c r="D1758" s="351">
        <v>3</v>
      </c>
      <c r="E1758" s="53"/>
      <c r="F1758" s="351">
        <v>3</v>
      </c>
      <c r="G1758" s="15"/>
      <c r="H1758" s="15"/>
      <c r="I1758" s="15"/>
      <c r="J1758" s="15"/>
      <c r="K1758" s="15"/>
      <c r="L1758" s="15"/>
      <c r="M1758" s="15"/>
      <c r="N1758" s="15"/>
      <c r="O1758" s="15"/>
      <c r="P1758" s="15"/>
      <c r="Q1758" s="66"/>
      <c r="R1758" s="66"/>
      <c r="S1758" s="15"/>
    </row>
    <row r="1759" spans="1:19">
      <c r="A1759" s="24"/>
      <c r="B1759" s="25" t="s">
        <v>24</v>
      </c>
      <c r="C1759" s="26" t="s">
        <v>8</v>
      </c>
      <c r="D1759" s="351">
        <v>3</v>
      </c>
      <c r="E1759" s="58"/>
      <c r="F1759" s="351">
        <v>3</v>
      </c>
      <c r="G1759" s="18"/>
      <c r="H1759" s="18"/>
      <c r="I1759" s="18"/>
      <c r="J1759" s="18"/>
      <c r="K1759" s="18"/>
      <c r="L1759" s="18"/>
      <c r="M1759" s="18"/>
      <c r="N1759" s="18"/>
      <c r="O1759" s="18"/>
      <c r="P1759" s="18"/>
      <c r="Q1759" s="65"/>
      <c r="R1759" s="65"/>
      <c r="S1759" s="18"/>
    </row>
    <row r="1760" spans="1:19">
      <c r="A1760" s="24"/>
      <c r="B1760" s="25" t="s">
        <v>163</v>
      </c>
      <c r="C1760" s="26" t="s">
        <v>8</v>
      </c>
      <c r="D1760" s="351">
        <v>3</v>
      </c>
      <c r="E1760" s="53"/>
      <c r="F1760" s="351">
        <v>3</v>
      </c>
      <c r="G1760" s="15"/>
      <c r="H1760" s="15"/>
      <c r="I1760" s="15"/>
      <c r="J1760" s="15"/>
      <c r="K1760" s="15"/>
      <c r="L1760" s="15"/>
      <c r="M1760" s="15"/>
      <c r="N1760" s="15"/>
      <c r="O1760" s="15"/>
      <c r="P1760" s="15"/>
      <c r="Q1760" s="66"/>
      <c r="R1760" s="66"/>
      <c r="S1760" s="15"/>
    </row>
    <row r="1761" spans="1:19">
      <c r="A1761" s="24"/>
      <c r="B1761" s="25" t="s">
        <v>164</v>
      </c>
      <c r="C1761" s="26"/>
      <c r="D1761" s="351"/>
      <c r="E1761" s="53"/>
      <c r="F1761" s="351"/>
      <c r="G1761" s="15"/>
      <c r="H1761" s="15"/>
      <c r="I1761" s="15"/>
      <c r="J1761" s="15"/>
      <c r="K1761" s="15"/>
      <c r="L1761" s="15"/>
      <c r="M1761" s="15"/>
      <c r="N1761" s="15"/>
      <c r="O1761" s="15"/>
      <c r="P1761" s="15"/>
      <c r="Q1761" s="66"/>
      <c r="R1761" s="66"/>
      <c r="S1761" s="15"/>
    </row>
    <row r="1762" spans="1:19">
      <c r="A1762" s="24"/>
      <c r="B1762" s="25" t="s">
        <v>419</v>
      </c>
      <c r="C1762" s="26" t="s">
        <v>8</v>
      </c>
      <c r="D1762" s="351">
        <v>2</v>
      </c>
      <c r="E1762" s="53"/>
      <c r="F1762" s="351">
        <v>2</v>
      </c>
      <c r="G1762" s="15"/>
      <c r="H1762" s="15"/>
      <c r="I1762" s="15"/>
      <c r="J1762" s="15"/>
      <c r="K1762" s="15"/>
      <c r="L1762" s="15"/>
      <c r="M1762" s="15"/>
      <c r="N1762" s="15"/>
      <c r="O1762" s="15"/>
      <c r="P1762" s="15"/>
      <c r="Q1762" s="66"/>
      <c r="R1762" s="66"/>
      <c r="S1762" s="15"/>
    </row>
    <row r="1763" spans="1:19">
      <c r="A1763" s="24"/>
      <c r="B1763" s="25" t="s">
        <v>168</v>
      </c>
      <c r="C1763" s="26" t="s">
        <v>8</v>
      </c>
      <c r="D1763" s="351">
        <v>1</v>
      </c>
      <c r="E1763" s="53"/>
      <c r="F1763" s="351">
        <v>1</v>
      </c>
      <c r="G1763" s="15"/>
      <c r="H1763" s="15"/>
      <c r="I1763" s="15"/>
      <c r="J1763" s="15"/>
      <c r="K1763" s="15"/>
      <c r="L1763" s="15"/>
      <c r="M1763" s="15"/>
      <c r="N1763" s="15"/>
      <c r="O1763" s="15"/>
      <c r="P1763" s="15"/>
      <c r="Q1763" s="66"/>
      <c r="R1763" s="66"/>
      <c r="S1763" s="15"/>
    </row>
    <row r="1764" spans="1:19">
      <c r="A1764" s="24"/>
      <c r="B1764" s="25" t="s">
        <v>226</v>
      </c>
      <c r="C1764" s="26" t="s">
        <v>17</v>
      </c>
      <c r="D1764" s="351">
        <v>2</v>
      </c>
      <c r="E1764" s="59"/>
      <c r="F1764" s="351">
        <v>2</v>
      </c>
      <c r="G1764" s="37"/>
      <c r="H1764" s="37"/>
      <c r="I1764" s="37"/>
      <c r="J1764" s="37"/>
      <c r="K1764" s="37"/>
      <c r="L1764" s="37"/>
      <c r="M1764" s="37"/>
      <c r="N1764" s="37"/>
      <c r="O1764" s="37"/>
      <c r="P1764" s="37"/>
      <c r="Q1764" s="66"/>
      <c r="R1764" s="66"/>
      <c r="S1764" s="37"/>
    </row>
    <row r="1765" spans="1:19">
      <c r="A1765" s="24"/>
      <c r="B1765" s="25" t="s">
        <v>182</v>
      </c>
      <c r="C1765" s="26" t="s">
        <v>8</v>
      </c>
      <c r="D1765" s="351">
        <v>2</v>
      </c>
      <c r="E1765" s="59"/>
      <c r="F1765" s="351">
        <v>2</v>
      </c>
      <c r="G1765" s="37"/>
      <c r="H1765" s="37"/>
      <c r="I1765" s="37"/>
      <c r="J1765" s="37"/>
      <c r="K1765" s="37"/>
      <c r="L1765" s="37"/>
      <c r="M1765" s="37"/>
      <c r="N1765" s="37"/>
      <c r="O1765" s="37"/>
      <c r="P1765" s="37"/>
      <c r="Q1765" s="66"/>
      <c r="R1765" s="66"/>
      <c r="S1765" s="37"/>
    </row>
    <row r="1766" spans="1:19">
      <c r="A1766" s="24"/>
      <c r="B1766" s="25" t="s">
        <v>183</v>
      </c>
      <c r="C1766" s="26" t="s">
        <v>8</v>
      </c>
      <c r="D1766" s="351">
        <v>2</v>
      </c>
      <c r="E1766" s="59"/>
      <c r="F1766" s="351">
        <v>2</v>
      </c>
      <c r="G1766" s="37"/>
      <c r="H1766" s="37"/>
      <c r="I1766" s="37"/>
      <c r="J1766" s="37"/>
      <c r="K1766" s="37"/>
      <c r="L1766" s="37"/>
      <c r="M1766" s="37"/>
      <c r="N1766" s="37"/>
      <c r="O1766" s="37"/>
      <c r="P1766" s="37"/>
      <c r="Q1766" s="66"/>
      <c r="R1766" s="66"/>
      <c r="S1766" s="37"/>
    </row>
    <row r="1767" spans="1:19">
      <c r="A1767" s="24"/>
      <c r="B1767" s="25" t="s">
        <v>190</v>
      </c>
      <c r="C1767" s="26" t="s">
        <v>8</v>
      </c>
      <c r="D1767" s="351">
        <v>2</v>
      </c>
      <c r="E1767" s="59"/>
      <c r="F1767" s="351">
        <v>2</v>
      </c>
      <c r="G1767" s="37"/>
      <c r="H1767" s="37"/>
      <c r="I1767" s="37"/>
      <c r="J1767" s="37"/>
      <c r="K1767" s="37"/>
      <c r="L1767" s="37"/>
      <c r="M1767" s="37"/>
      <c r="N1767" s="37"/>
      <c r="O1767" s="37"/>
      <c r="P1767" s="37"/>
      <c r="Q1767" s="66"/>
      <c r="R1767" s="66"/>
      <c r="S1767" s="37"/>
    </row>
    <row r="1768" spans="1:19">
      <c r="A1768" s="24"/>
      <c r="B1768" s="25" t="s">
        <v>185</v>
      </c>
      <c r="C1768" s="26" t="s">
        <v>8</v>
      </c>
      <c r="D1768" s="351">
        <v>2</v>
      </c>
      <c r="E1768" s="53"/>
      <c r="F1768" s="351">
        <v>2</v>
      </c>
      <c r="G1768" s="15"/>
      <c r="H1768" s="15"/>
      <c r="I1768" s="15"/>
      <c r="J1768" s="15"/>
      <c r="K1768" s="15"/>
      <c r="L1768" s="15"/>
      <c r="M1768" s="15"/>
      <c r="N1768" s="15"/>
      <c r="O1768" s="15"/>
      <c r="P1768" s="15"/>
      <c r="Q1768" s="66"/>
      <c r="R1768" s="66"/>
      <c r="S1768" s="15"/>
    </row>
    <row r="1769" spans="1:19">
      <c r="A1769" s="24"/>
      <c r="B1769" s="25" t="s">
        <v>186</v>
      </c>
      <c r="C1769" s="26" t="s">
        <v>8</v>
      </c>
      <c r="D1769" s="351">
        <v>4</v>
      </c>
      <c r="E1769" s="307"/>
      <c r="F1769" s="351">
        <v>4</v>
      </c>
      <c r="G1769" s="308"/>
      <c r="H1769" s="308"/>
      <c r="I1769" s="308"/>
      <c r="J1769" s="308"/>
      <c r="K1769" s="308"/>
      <c r="L1769" s="308"/>
      <c r="M1769" s="308"/>
      <c r="N1769" s="308"/>
      <c r="O1769" s="308"/>
      <c r="P1769" s="308"/>
      <c r="Q1769" s="66"/>
      <c r="R1769" s="66"/>
      <c r="S1769" s="308"/>
    </row>
    <row r="1770" spans="1:19">
      <c r="A1770" s="24"/>
      <c r="B1770" s="25" t="s">
        <v>187</v>
      </c>
      <c r="C1770" s="26" t="s">
        <v>78</v>
      </c>
      <c r="D1770" s="351">
        <v>1</v>
      </c>
      <c r="E1770" s="60"/>
      <c r="F1770" s="351">
        <v>1</v>
      </c>
      <c r="G1770" s="38"/>
      <c r="H1770" s="38"/>
      <c r="I1770" s="38"/>
      <c r="J1770" s="38"/>
      <c r="K1770" s="38"/>
      <c r="L1770" s="38"/>
      <c r="M1770" s="38"/>
      <c r="N1770" s="38"/>
      <c r="O1770" s="38"/>
      <c r="P1770" s="38"/>
      <c r="Q1770" s="65"/>
      <c r="R1770" s="65"/>
      <c r="S1770" s="38"/>
    </row>
    <row r="1771" spans="1:19">
      <c r="A1771" s="24"/>
      <c r="B1771" s="25" t="s">
        <v>173</v>
      </c>
      <c r="C1771" s="26" t="s">
        <v>8</v>
      </c>
      <c r="D1771" s="351">
        <v>1</v>
      </c>
      <c r="E1771" s="57"/>
      <c r="F1771" s="351">
        <v>1</v>
      </c>
      <c r="G1771" s="36"/>
      <c r="H1771" s="36"/>
      <c r="I1771" s="36"/>
      <c r="J1771" s="36"/>
      <c r="K1771" s="36"/>
      <c r="L1771" s="36"/>
      <c r="M1771" s="36"/>
      <c r="N1771" s="36"/>
      <c r="O1771" s="36"/>
      <c r="P1771" s="36"/>
      <c r="Q1771" s="65"/>
      <c r="R1771" s="65"/>
      <c r="S1771" s="36"/>
    </row>
    <row r="1772" spans="1:19">
      <c r="A1772" s="24"/>
      <c r="B1772" s="25" t="s">
        <v>199</v>
      </c>
      <c r="C1772" s="26" t="s">
        <v>17</v>
      </c>
      <c r="D1772" s="351">
        <v>1</v>
      </c>
      <c r="E1772" s="53"/>
      <c r="F1772" s="351">
        <v>1</v>
      </c>
      <c r="G1772" s="15"/>
      <c r="H1772" s="15"/>
      <c r="I1772" s="15"/>
      <c r="J1772" s="15"/>
      <c r="K1772" s="15"/>
      <c r="L1772" s="15"/>
      <c r="M1772" s="15"/>
      <c r="N1772" s="15"/>
      <c r="O1772" s="15"/>
      <c r="P1772" s="15"/>
      <c r="Q1772" s="66"/>
      <c r="R1772" s="66"/>
      <c r="S1772" s="15"/>
    </row>
    <row r="1773" spans="1:19" ht="30">
      <c r="A1773" s="24"/>
      <c r="B1773" s="25" t="s">
        <v>176</v>
      </c>
      <c r="C1773" s="26" t="s">
        <v>78</v>
      </c>
      <c r="D1773" s="351">
        <v>1</v>
      </c>
      <c r="E1773" s="58"/>
      <c r="F1773" s="351">
        <v>1</v>
      </c>
      <c r="G1773" s="18"/>
      <c r="H1773" s="18"/>
      <c r="I1773" s="18"/>
      <c r="J1773" s="18"/>
      <c r="K1773" s="18"/>
      <c r="L1773" s="18"/>
      <c r="M1773" s="18"/>
      <c r="N1773" s="18"/>
      <c r="O1773" s="18"/>
      <c r="P1773" s="18"/>
      <c r="Q1773" s="65"/>
      <c r="R1773" s="65"/>
      <c r="S1773" s="18"/>
    </row>
    <row r="1774" spans="1:19" ht="60">
      <c r="A1774" s="24">
        <v>65</v>
      </c>
      <c r="B1774" s="25" t="s">
        <v>422</v>
      </c>
      <c r="C1774" s="26" t="s">
        <v>7</v>
      </c>
      <c r="D1774" s="351">
        <v>1</v>
      </c>
      <c r="E1774" s="53"/>
      <c r="F1774" s="351">
        <v>1</v>
      </c>
      <c r="G1774" s="26" t="s">
        <v>2326</v>
      </c>
      <c r="H1774" s="26"/>
      <c r="I1774" s="26" t="s">
        <v>2327</v>
      </c>
      <c r="J1774" s="26" t="s">
        <v>2328</v>
      </c>
      <c r="K1774" s="311">
        <v>6008601.0599999996</v>
      </c>
      <c r="L1774" s="311">
        <v>0</v>
      </c>
      <c r="M1774" s="311">
        <v>904000.00000000012</v>
      </c>
      <c r="N1774" s="311">
        <v>686929.4</v>
      </c>
      <c r="O1774" s="311">
        <v>480850.58000000007</v>
      </c>
      <c r="P1774" s="68">
        <f>SUM(K1774:O1774)</f>
        <v>8080381.04</v>
      </c>
      <c r="Q1774" s="68">
        <f>D1774*P1774</f>
        <v>8080381.04</v>
      </c>
      <c r="R1774" s="127">
        <f>F1774*P1774</f>
        <v>8080381.04</v>
      </c>
      <c r="S1774" s="15"/>
    </row>
    <row r="1775" spans="1:19" ht="30">
      <c r="A1775" s="24"/>
      <c r="B1775" s="25" t="s">
        <v>229</v>
      </c>
      <c r="C1775" s="26" t="s">
        <v>8</v>
      </c>
      <c r="D1775" s="351">
        <v>1</v>
      </c>
      <c r="E1775" s="53"/>
      <c r="F1775" s="351">
        <v>1</v>
      </c>
      <c r="G1775" s="15"/>
      <c r="H1775" s="15"/>
      <c r="I1775" s="15"/>
      <c r="J1775" s="15"/>
      <c r="K1775" s="15"/>
      <c r="L1775" s="15"/>
      <c r="M1775" s="15"/>
      <c r="N1775" s="15"/>
      <c r="O1775" s="15"/>
      <c r="P1775" s="15"/>
      <c r="Q1775" s="66"/>
      <c r="R1775" s="66"/>
      <c r="S1775" s="15"/>
    </row>
    <row r="1776" spans="1:19">
      <c r="A1776" s="24"/>
      <c r="B1776" s="25" t="s">
        <v>161</v>
      </c>
      <c r="C1776" s="26"/>
      <c r="D1776" s="351"/>
      <c r="E1776" s="53"/>
      <c r="F1776" s="351"/>
      <c r="G1776" s="15"/>
      <c r="H1776" s="15"/>
      <c r="I1776" s="15"/>
      <c r="J1776" s="15"/>
      <c r="K1776" s="15"/>
      <c r="L1776" s="15"/>
      <c r="M1776" s="15"/>
      <c r="N1776" s="15"/>
      <c r="O1776" s="15"/>
      <c r="P1776" s="15"/>
      <c r="Q1776" s="66"/>
      <c r="R1776" s="66"/>
      <c r="S1776" s="15"/>
    </row>
    <row r="1777" spans="1:19">
      <c r="A1777" s="24"/>
      <c r="B1777" s="25" t="s">
        <v>311</v>
      </c>
      <c r="C1777" s="26" t="s">
        <v>8</v>
      </c>
      <c r="D1777" s="351">
        <v>1</v>
      </c>
      <c r="E1777" s="53"/>
      <c r="F1777" s="351">
        <v>1</v>
      </c>
      <c r="G1777" s="15"/>
      <c r="H1777" s="15"/>
      <c r="I1777" s="15"/>
      <c r="J1777" s="15"/>
      <c r="K1777" s="15"/>
      <c r="L1777" s="15"/>
      <c r="M1777" s="15"/>
      <c r="N1777" s="15"/>
      <c r="O1777" s="15"/>
      <c r="P1777" s="15"/>
      <c r="Q1777" s="66"/>
      <c r="R1777" s="66"/>
      <c r="S1777" s="15"/>
    </row>
    <row r="1778" spans="1:19">
      <c r="A1778" s="24"/>
      <c r="B1778" s="25" t="s">
        <v>24</v>
      </c>
      <c r="C1778" s="26" t="s">
        <v>8</v>
      </c>
      <c r="D1778" s="351">
        <v>3</v>
      </c>
      <c r="E1778" s="59"/>
      <c r="F1778" s="351">
        <v>3</v>
      </c>
      <c r="G1778" s="37"/>
      <c r="H1778" s="37"/>
      <c r="I1778" s="37"/>
      <c r="J1778" s="37"/>
      <c r="K1778" s="37"/>
      <c r="L1778" s="37"/>
      <c r="M1778" s="37"/>
      <c r="N1778" s="37"/>
      <c r="O1778" s="37"/>
      <c r="P1778" s="37"/>
      <c r="Q1778" s="66"/>
      <c r="R1778" s="66"/>
      <c r="S1778" s="37"/>
    </row>
    <row r="1779" spans="1:19">
      <c r="A1779" s="24"/>
      <c r="B1779" s="25" t="s">
        <v>163</v>
      </c>
      <c r="C1779" s="26" t="s">
        <v>8</v>
      </c>
      <c r="D1779" s="351">
        <v>3</v>
      </c>
      <c r="E1779" s="59"/>
      <c r="F1779" s="351">
        <v>3</v>
      </c>
      <c r="G1779" s="37"/>
      <c r="H1779" s="37"/>
      <c r="I1779" s="37"/>
      <c r="J1779" s="37"/>
      <c r="K1779" s="37"/>
      <c r="L1779" s="37"/>
      <c r="M1779" s="37"/>
      <c r="N1779" s="37"/>
      <c r="O1779" s="37"/>
      <c r="P1779" s="37"/>
      <c r="Q1779" s="66"/>
      <c r="R1779" s="66"/>
      <c r="S1779" s="37"/>
    </row>
    <row r="1780" spans="1:19">
      <c r="A1780" s="24"/>
      <c r="B1780" s="25" t="s">
        <v>164</v>
      </c>
      <c r="C1780" s="26"/>
      <c r="D1780" s="351"/>
      <c r="E1780" s="59"/>
      <c r="F1780" s="351"/>
      <c r="G1780" s="37"/>
      <c r="H1780" s="37"/>
      <c r="I1780" s="37"/>
      <c r="J1780" s="37"/>
      <c r="K1780" s="37"/>
      <c r="L1780" s="37"/>
      <c r="M1780" s="37"/>
      <c r="N1780" s="37"/>
      <c r="O1780" s="37"/>
      <c r="P1780" s="37"/>
      <c r="Q1780" s="66"/>
      <c r="R1780" s="66"/>
      <c r="S1780" s="37"/>
    </row>
    <row r="1781" spans="1:19">
      <c r="A1781" s="24"/>
      <c r="B1781" s="25" t="s">
        <v>315</v>
      </c>
      <c r="C1781" s="26" t="s">
        <v>8</v>
      </c>
      <c r="D1781" s="351">
        <v>9</v>
      </c>
      <c r="E1781" s="59"/>
      <c r="F1781" s="351">
        <v>9</v>
      </c>
      <c r="G1781" s="37"/>
      <c r="H1781" s="37"/>
      <c r="I1781" s="37"/>
      <c r="J1781" s="37"/>
      <c r="K1781" s="37"/>
      <c r="L1781" s="37"/>
      <c r="M1781" s="37"/>
      <c r="N1781" s="37"/>
      <c r="O1781" s="37"/>
      <c r="P1781" s="37"/>
      <c r="Q1781" s="66"/>
      <c r="R1781" s="66"/>
      <c r="S1781" s="37"/>
    </row>
    <row r="1782" spans="1:19">
      <c r="A1782" s="24"/>
      <c r="B1782" s="25" t="s">
        <v>199</v>
      </c>
      <c r="C1782" s="26" t="s">
        <v>17</v>
      </c>
      <c r="D1782" s="351">
        <v>1</v>
      </c>
      <c r="E1782" s="59"/>
      <c r="F1782" s="351">
        <v>1</v>
      </c>
      <c r="G1782" s="37"/>
      <c r="H1782" s="37"/>
      <c r="I1782" s="37"/>
      <c r="J1782" s="37"/>
      <c r="K1782" s="37"/>
      <c r="L1782" s="37"/>
      <c r="M1782" s="37"/>
      <c r="N1782" s="37"/>
      <c r="O1782" s="37"/>
      <c r="P1782" s="37"/>
      <c r="Q1782" s="66"/>
      <c r="R1782" s="66"/>
      <c r="S1782" s="37"/>
    </row>
    <row r="1783" spans="1:19" ht="30">
      <c r="A1783" s="24"/>
      <c r="B1783" s="25" t="s">
        <v>176</v>
      </c>
      <c r="C1783" s="26" t="s">
        <v>78</v>
      </c>
      <c r="D1783" s="351">
        <v>1</v>
      </c>
      <c r="E1783" s="57"/>
      <c r="F1783" s="351">
        <v>1</v>
      </c>
      <c r="G1783" s="36"/>
      <c r="H1783" s="36"/>
      <c r="I1783" s="36"/>
      <c r="J1783" s="36"/>
      <c r="K1783" s="36"/>
      <c r="L1783" s="36"/>
      <c r="M1783" s="36"/>
      <c r="N1783" s="36"/>
      <c r="O1783" s="36"/>
      <c r="P1783" s="36"/>
      <c r="Q1783" s="65"/>
      <c r="R1783" s="65"/>
      <c r="S1783" s="36"/>
    </row>
    <row r="1784" spans="1:19" ht="60">
      <c r="A1784" s="24">
        <v>66</v>
      </c>
      <c r="B1784" s="25" t="s">
        <v>423</v>
      </c>
      <c r="C1784" s="26" t="s">
        <v>7</v>
      </c>
      <c r="D1784" s="351">
        <v>4</v>
      </c>
      <c r="E1784" s="59"/>
      <c r="F1784" s="351">
        <v>4</v>
      </c>
      <c r="G1784" s="26" t="s">
        <v>2326</v>
      </c>
      <c r="H1784" s="26"/>
      <c r="I1784" s="26" t="s">
        <v>2327</v>
      </c>
      <c r="J1784" s="26" t="s">
        <v>2328</v>
      </c>
      <c r="K1784" s="311">
        <v>3200908.5899999994</v>
      </c>
      <c r="L1784" s="311">
        <v>0</v>
      </c>
      <c r="M1784" s="311">
        <v>678000.00000000012</v>
      </c>
      <c r="N1784" s="311">
        <v>383324.10000000003</v>
      </c>
      <c r="O1784" s="311">
        <v>268326.87000000005</v>
      </c>
      <c r="P1784" s="68">
        <f>SUM(K1784:O1784)</f>
        <v>4530559.5599999996</v>
      </c>
      <c r="Q1784" s="68">
        <f>D1784*P1784</f>
        <v>18122238.239999998</v>
      </c>
      <c r="R1784" s="127">
        <f>F1784*P1784</f>
        <v>18122238.239999998</v>
      </c>
      <c r="S1784" s="37"/>
    </row>
    <row r="1785" spans="1:19" ht="30">
      <c r="A1785" s="24"/>
      <c r="B1785" s="25" t="s">
        <v>424</v>
      </c>
      <c r="C1785" s="26" t="s">
        <v>8</v>
      </c>
      <c r="D1785" s="351">
        <v>1</v>
      </c>
      <c r="E1785" s="59"/>
      <c r="F1785" s="351">
        <v>1</v>
      </c>
      <c r="G1785" s="37"/>
      <c r="H1785" s="37"/>
      <c r="I1785" s="37"/>
      <c r="J1785" s="37"/>
      <c r="K1785" s="37"/>
      <c r="L1785" s="37"/>
      <c r="M1785" s="37"/>
      <c r="N1785" s="37"/>
      <c r="O1785" s="37"/>
      <c r="P1785" s="37"/>
      <c r="Q1785" s="66"/>
      <c r="R1785" s="66"/>
      <c r="S1785" s="37"/>
    </row>
    <row r="1786" spans="1:19">
      <c r="A1786" s="24"/>
      <c r="B1786" s="25" t="s">
        <v>161</v>
      </c>
      <c r="C1786" s="26"/>
      <c r="D1786" s="351"/>
      <c r="E1786" s="59"/>
      <c r="F1786" s="351"/>
      <c r="G1786" s="37"/>
      <c r="H1786" s="37"/>
      <c r="I1786" s="37"/>
      <c r="J1786" s="37"/>
      <c r="K1786" s="37"/>
      <c r="L1786" s="37"/>
      <c r="M1786" s="37"/>
      <c r="N1786" s="37"/>
      <c r="O1786" s="37"/>
      <c r="P1786" s="37"/>
      <c r="Q1786" s="66"/>
      <c r="R1786" s="66"/>
      <c r="S1786" s="37"/>
    </row>
    <row r="1787" spans="1:19">
      <c r="A1787" s="24"/>
      <c r="B1787" s="25" t="s">
        <v>425</v>
      </c>
      <c r="C1787" s="26" t="s">
        <v>8</v>
      </c>
      <c r="D1787" s="351">
        <v>1</v>
      </c>
      <c r="E1787" s="59"/>
      <c r="F1787" s="351">
        <v>1</v>
      </c>
      <c r="G1787" s="37"/>
      <c r="H1787" s="37"/>
      <c r="I1787" s="37"/>
      <c r="J1787" s="37"/>
      <c r="K1787" s="37"/>
      <c r="L1787" s="37"/>
      <c r="M1787" s="37"/>
      <c r="N1787" s="37"/>
      <c r="O1787" s="37"/>
      <c r="P1787" s="37"/>
      <c r="Q1787" s="66"/>
      <c r="R1787" s="66"/>
      <c r="S1787" s="37"/>
    </row>
    <row r="1788" spans="1:19">
      <c r="A1788" s="24"/>
      <c r="B1788" s="25" t="s">
        <v>164</v>
      </c>
      <c r="C1788" s="26"/>
      <c r="D1788" s="351"/>
      <c r="E1788" s="60"/>
      <c r="F1788" s="351"/>
      <c r="G1788" s="38"/>
      <c r="H1788" s="38"/>
      <c r="I1788" s="38"/>
      <c r="J1788" s="38"/>
      <c r="K1788" s="38"/>
      <c r="L1788" s="38"/>
      <c r="M1788" s="38"/>
      <c r="N1788" s="38"/>
      <c r="O1788" s="38"/>
      <c r="P1788" s="38"/>
      <c r="Q1788" s="65"/>
      <c r="R1788" s="65"/>
      <c r="S1788" s="38"/>
    </row>
    <row r="1789" spans="1:19">
      <c r="A1789" s="24"/>
      <c r="B1789" s="25" t="s">
        <v>167</v>
      </c>
      <c r="C1789" s="26" t="s">
        <v>8</v>
      </c>
      <c r="D1789" s="351">
        <v>8</v>
      </c>
      <c r="E1789" s="57"/>
      <c r="F1789" s="351">
        <v>8</v>
      </c>
      <c r="G1789" s="36"/>
      <c r="H1789" s="36"/>
      <c r="I1789" s="36"/>
      <c r="J1789" s="36"/>
      <c r="K1789" s="36"/>
      <c r="L1789" s="36"/>
      <c r="M1789" s="36"/>
      <c r="N1789" s="36"/>
      <c r="O1789" s="36"/>
      <c r="P1789" s="36"/>
      <c r="Q1789" s="65"/>
      <c r="R1789" s="65"/>
      <c r="S1789" s="36"/>
    </row>
    <row r="1790" spans="1:19">
      <c r="A1790" s="24"/>
      <c r="B1790" s="25" t="s">
        <v>371</v>
      </c>
      <c r="C1790" s="26" t="s">
        <v>17</v>
      </c>
      <c r="D1790" s="351">
        <v>1</v>
      </c>
      <c r="E1790" s="53"/>
      <c r="F1790" s="351">
        <v>1</v>
      </c>
      <c r="G1790" s="15"/>
      <c r="H1790" s="15"/>
      <c r="I1790" s="15"/>
      <c r="J1790" s="15"/>
      <c r="K1790" s="15"/>
      <c r="L1790" s="15"/>
      <c r="M1790" s="15"/>
      <c r="N1790" s="15"/>
      <c r="O1790" s="15"/>
      <c r="P1790" s="15"/>
      <c r="Q1790" s="66"/>
      <c r="R1790" s="66"/>
      <c r="S1790" s="15"/>
    </row>
    <row r="1791" spans="1:19" ht="60">
      <c r="A1791" s="24">
        <v>67</v>
      </c>
      <c r="B1791" s="25" t="s">
        <v>426</v>
      </c>
      <c r="C1791" s="26" t="s">
        <v>7</v>
      </c>
      <c r="D1791" s="351">
        <v>1</v>
      </c>
      <c r="E1791" s="58"/>
      <c r="F1791" s="351">
        <v>1</v>
      </c>
      <c r="G1791" s="26" t="s">
        <v>2326</v>
      </c>
      <c r="H1791" s="26"/>
      <c r="I1791" s="26" t="s">
        <v>2327</v>
      </c>
      <c r="J1791" s="26" t="s">
        <v>2328</v>
      </c>
      <c r="K1791" s="311">
        <v>3564623.6999999997</v>
      </c>
      <c r="L1791" s="311">
        <v>0</v>
      </c>
      <c r="M1791" s="311">
        <v>678000.00000000012</v>
      </c>
      <c r="N1791" s="311">
        <v>420063</v>
      </c>
      <c r="O1791" s="311">
        <v>294044.10000000003</v>
      </c>
      <c r="P1791" s="68">
        <f>SUM(K1791:O1791)</f>
        <v>4956730.8</v>
      </c>
      <c r="Q1791" s="68">
        <f>D1791*P1791</f>
        <v>4956730.8</v>
      </c>
      <c r="R1791" s="127">
        <f>F1791*P1791</f>
        <v>4956730.8</v>
      </c>
      <c r="S1791" s="18"/>
    </row>
    <row r="1792" spans="1:19" ht="30">
      <c r="A1792" s="24"/>
      <c r="B1792" s="25" t="s">
        <v>424</v>
      </c>
      <c r="C1792" s="26" t="s">
        <v>8</v>
      </c>
      <c r="D1792" s="351">
        <v>1</v>
      </c>
      <c r="E1792" s="53"/>
      <c r="F1792" s="351">
        <v>1</v>
      </c>
      <c r="G1792" s="15"/>
      <c r="H1792" s="15"/>
      <c r="I1792" s="15"/>
      <c r="J1792" s="15"/>
      <c r="K1792" s="15"/>
      <c r="L1792" s="15"/>
      <c r="M1792" s="15"/>
      <c r="N1792" s="15"/>
      <c r="O1792" s="15"/>
      <c r="P1792" s="15"/>
      <c r="Q1792" s="66"/>
      <c r="R1792" s="66"/>
      <c r="S1792" s="15"/>
    </row>
    <row r="1793" spans="1:19">
      <c r="A1793" s="24"/>
      <c r="B1793" s="25" t="s">
        <v>161</v>
      </c>
      <c r="C1793" s="26"/>
      <c r="D1793" s="351"/>
      <c r="E1793" s="53"/>
      <c r="F1793" s="351"/>
      <c r="G1793" s="15"/>
      <c r="H1793" s="15"/>
      <c r="I1793" s="15"/>
      <c r="J1793" s="15"/>
      <c r="K1793" s="15"/>
      <c r="L1793" s="15"/>
      <c r="M1793" s="15"/>
      <c r="N1793" s="15"/>
      <c r="O1793" s="15"/>
      <c r="P1793" s="15"/>
      <c r="Q1793" s="66"/>
      <c r="R1793" s="66"/>
      <c r="S1793" s="15"/>
    </row>
    <row r="1794" spans="1:19">
      <c r="A1794" s="24"/>
      <c r="B1794" s="25" t="s">
        <v>425</v>
      </c>
      <c r="C1794" s="26" t="s">
        <v>8</v>
      </c>
      <c r="D1794" s="351">
        <v>1</v>
      </c>
      <c r="E1794" s="53"/>
      <c r="F1794" s="351">
        <v>1</v>
      </c>
      <c r="G1794" s="15"/>
      <c r="H1794" s="15"/>
      <c r="I1794" s="15"/>
      <c r="J1794" s="15"/>
      <c r="K1794" s="15"/>
      <c r="L1794" s="15"/>
      <c r="M1794" s="15"/>
      <c r="N1794" s="15"/>
      <c r="O1794" s="15"/>
      <c r="P1794" s="15"/>
      <c r="Q1794" s="66"/>
      <c r="R1794" s="66"/>
      <c r="S1794" s="15"/>
    </row>
    <row r="1795" spans="1:19">
      <c r="A1795" s="24"/>
      <c r="B1795" s="25" t="s">
        <v>164</v>
      </c>
      <c r="C1795" s="26"/>
      <c r="D1795" s="351"/>
      <c r="E1795" s="53"/>
      <c r="F1795" s="351"/>
      <c r="G1795" s="15"/>
      <c r="H1795" s="15"/>
      <c r="I1795" s="15"/>
      <c r="J1795" s="15"/>
      <c r="K1795" s="15"/>
      <c r="L1795" s="15"/>
      <c r="M1795" s="15"/>
      <c r="N1795" s="15"/>
      <c r="O1795" s="15"/>
      <c r="P1795" s="15"/>
      <c r="Q1795" s="66"/>
      <c r="R1795" s="66"/>
      <c r="S1795" s="15"/>
    </row>
    <row r="1796" spans="1:19">
      <c r="A1796" s="24"/>
      <c r="B1796" s="25" t="s">
        <v>167</v>
      </c>
      <c r="C1796" s="26" t="s">
        <v>8</v>
      </c>
      <c r="D1796" s="351">
        <v>11</v>
      </c>
      <c r="E1796" s="59"/>
      <c r="F1796" s="351">
        <v>11</v>
      </c>
      <c r="G1796" s="37"/>
      <c r="H1796" s="37"/>
      <c r="I1796" s="37"/>
      <c r="J1796" s="37"/>
      <c r="K1796" s="37"/>
      <c r="L1796" s="37"/>
      <c r="M1796" s="37"/>
      <c r="N1796" s="37"/>
      <c r="O1796" s="37"/>
      <c r="P1796" s="37"/>
      <c r="Q1796" s="66"/>
      <c r="R1796" s="66"/>
      <c r="S1796" s="37"/>
    </row>
    <row r="1797" spans="1:19">
      <c r="A1797" s="24"/>
      <c r="B1797" s="25" t="s">
        <v>371</v>
      </c>
      <c r="C1797" s="26" t="s">
        <v>17</v>
      </c>
      <c r="D1797" s="351">
        <v>1</v>
      </c>
      <c r="E1797" s="59"/>
      <c r="F1797" s="351">
        <v>1</v>
      </c>
      <c r="G1797" s="37"/>
      <c r="H1797" s="37"/>
      <c r="I1797" s="37"/>
      <c r="J1797" s="37"/>
      <c r="K1797" s="37"/>
      <c r="L1797" s="37"/>
      <c r="M1797" s="37"/>
      <c r="N1797" s="37"/>
      <c r="O1797" s="37"/>
      <c r="P1797" s="37"/>
      <c r="Q1797" s="66"/>
      <c r="R1797" s="66"/>
      <c r="S1797" s="37"/>
    </row>
    <row r="1798" spans="1:19" ht="60">
      <c r="A1798" s="24">
        <v>68</v>
      </c>
      <c r="B1798" s="25" t="s">
        <v>427</v>
      </c>
      <c r="C1798" s="26" t="s">
        <v>7</v>
      </c>
      <c r="D1798" s="351">
        <v>1</v>
      </c>
      <c r="E1798" s="59"/>
      <c r="F1798" s="351">
        <v>1</v>
      </c>
      <c r="G1798" s="26" t="s">
        <v>2326</v>
      </c>
      <c r="H1798" s="26"/>
      <c r="I1798" s="26" t="s">
        <v>2327</v>
      </c>
      <c r="J1798" s="26" t="s">
        <v>2328</v>
      </c>
      <c r="K1798" s="311">
        <v>2997733.86</v>
      </c>
      <c r="L1798" s="311">
        <v>0</v>
      </c>
      <c r="M1798" s="311">
        <v>678000.00000000012</v>
      </c>
      <c r="N1798" s="311">
        <v>362801.4</v>
      </c>
      <c r="O1798" s="311">
        <v>253960.98</v>
      </c>
      <c r="P1798" s="68">
        <f>SUM(K1798:O1798)</f>
        <v>4292496.24</v>
      </c>
      <c r="Q1798" s="68">
        <f>D1798*P1798</f>
        <v>4292496.24</v>
      </c>
      <c r="R1798" s="127">
        <f>F1798*P1798</f>
        <v>4292496.24</v>
      </c>
      <c r="S1798" s="37"/>
    </row>
    <row r="1799" spans="1:19" ht="30">
      <c r="A1799" s="24"/>
      <c r="B1799" s="25" t="s">
        <v>424</v>
      </c>
      <c r="C1799" s="26" t="s">
        <v>8</v>
      </c>
      <c r="D1799" s="351">
        <v>1</v>
      </c>
      <c r="E1799" s="59"/>
      <c r="F1799" s="351">
        <v>1</v>
      </c>
      <c r="G1799" s="37"/>
      <c r="H1799" s="37"/>
      <c r="I1799" s="37"/>
      <c r="J1799" s="37"/>
      <c r="K1799" s="37"/>
      <c r="L1799" s="37"/>
      <c r="M1799" s="37"/>
      <c r="N1799" s="37"/>
      <c r="O1799" s="37"/>
      <c r="P1799" s="37"/>
      <c r="Q1799" s="66"/>
      <c r="R1799" s="66"/>
      <c r="S1799" s="37"/>
    </row>
    <row r="1800" spans="1:19">
      <c r="A1800" s="24"/>
      <c r="B1800" s="25" t="s">
        <v>161</v>
      </c>
      <c r="C1800" s="26"/>
      <c r="D1800" s="351"/>
      <c r="E1800" s="59"/>
      <c r="F1800" s="351"/>
      <c r="G1800" s="37"/>
      <c r="H1800" s="37"/>
      <c r="I1800" s="37"/>
      <c r="J1800" s="37"/>
      <c r="K1800" s="37"/>
      <c r="L1800" s="37"/>
      <c r="M1800" s="37"/>
      <c r="N1800" s="37"/>
      <c r="O1800" s="37"/>
      <c r="P1800" s="37"/>
      <c r="Q1800" s="66"/>
      <c r="R1800" s="66"/>
      <c r="S1800" s="37"/>
    </row>
    <row r="1801" spans="1:19">
      <c r="A1801" s="24"/>
      <c r="B1801" s="25" t="s">
        <v>425</v>
      </c>
      <c r="C1801" s="26" t="s">
        <v>8</v>
      </c>
      <c r="D1801" s="351">
        <v>1</v>
      </c>
      <c r="E1801" s="59"/>
      <c r="F1801" s="351">
        <v>1</v>
      </c>
      <c r="G1801" s="37"/>
      <c r="H1801" s="37"/>
      <c r="I1801" s="37"/>
      <c r="J1801" s="37"/>
      <c r="K1801" s="37"/>
      <c r="L1801" s="37"/>
      <c r="M1801" s="37"/>
      <c r="N1801" s="37"/>
      <c r="O1801" s="37"/>
      <c r="P1801" s="37"/>
      <c r="Q1801" s="66"/>
      <c r="R1801" s="66"/>
      <c r="S1801" s="37"/>
    </row>
    <row r="1802" spans="1:19">
      <c r="A1802" s="24"/>
      <c r="B1802" s="25" t="s">
        <v>164</v>
      </c>
      <c r="C1802" s="26"/>
      <c r="D1802" s="351"/>
      <c r="E1802" s="59"/>
      <c r="F1802" s="351"/>
      <c r="G1802" s="37"/>
      <c r="H1802" s="37"/>
      <c r="I1802" s="37"/>
      <c r="J1802" s="37"/>
      <c r="K1802" s="37"/>
      <c r="L1802" s="37"/>
      <c r="M1802" s="37"/>
      <c r="N1802" s="37"/>
      <c r="O1802" s="37"/>
      <c r="P1802" s="37"/>
      <c r="Q1802" s="66"/>
      <c r="R1802" s="66"/>
      <c r="S1802" s="37"/>
    </row>
    <row r="1803" spans="1:19">
      <c r="A1803" s="24"/>
      <c r="B1803" s="25" t="s">
        <v>167</v>
      </c>
      <c r="C1803" s="26" t="s">
        <v>8</v>
      </c>
      <c r="D1803" s="351">
        <v>6</v>
      </c>
      <c r="E1803" s="59"/>
      <c r="F1803" s="351">
        <v>6</v>
      </c>
      <c r="G1803" s="37"/>
      <c r="H1803" s="37"/>
      <c r="I1803" s="37"/>
      <c r="J1803" s="37"/>
      <c r="K1803" s="37"/>
      <c r="L1803" s="37"/>
      <c r="M1803" s="37"/>
      <c r="N1803" s="37"/>
      <c r="O1803" s="37"/>
      <c r="P1803" s="37"/>
      <c r="Q1803" s="66"/>
      <c r="R1803" s="66"/>
      <c r="S1803" s="37"/>
    </row>
    <row r="1804" spans="1:19">
      <c r="A1804" s="24"/>
      <c r="B1804" s="25" t="s">
        <v>371</v>
      </c>
      <c r="C1804" s="26" t="s">
        <v>17</v>
      </c>
      <c r="D1804" s="351">
        <v>1</v>
      </c>
      <c r="E1804" s="59"/>
      <c r="F1804" s="351">
        <v>1</v>
      </c>
      <c r="G1804" s="37"/>
      <c r="H1804" s="37"/>
      <c r="I1804" s="37"/>
      <c r="J1804" s="37"/>
      <c r="K1804" s="37"/>
      <c r="L1804" s="37"/>
      <c r="M1804" s="37"/>
      <c r="N1804" s="37"/>
      <c r="O1804" s="37"/>
      <c r="P1804" s="37"/>
      <c r="Q1804" s="66"/>
      <c r="R1804" s="66"/>
      <c r="S1804" s="37"/>
    </row>
    <row r="1805" spans="1:19" ht="60">
      <c r="A1805" s="24">
        <v>69</v>
      </c>
      <c r="B1805" s="25" t="s">
        <v>428</v>
      </c>
      <c r="C1805" s="26" t="s">
        <v>7</v>
      </c>
      <c r="D1805" s="351">
        <v>1</v>
      </c>
      <c r="E1805" s="59"/>
      <c r="F1805" s="351">
        <v>1</v>
      </c>
      <c r="G1805" s="26" t="s">
        <v>2326</v>
      </c>
      <c r="H1805" s="26"/>
      <c r="I1805" s="26" t="s">
        <v>2327</v>
      </c>
      <c r="J1805" s="26" t="s">
        <v>2328</v>
      </c>
      <c r="K1805" s="311">
        <v>2837291.4899999998</v>
      </c>
      <c r="L1805" s="311">
        <v>0</v>
      </c>
      <c r="M1805" s="311">
        <v>678000.00000000012</v>
      </c>
      <c r="N1805" s="311">
        <v>346595.10000000003</v>
      </c>
      <c r="O1805" s="311">
        <v>242616.57000000004</v>
      </c>
      <c r="P1805" s="68">
        <f>SUM(K1805:O1805)</f>
        <v>4104503.1599999997</v>
      </c>
      <c r="Q1805" s="68">
        <f>D1805*P1805</f>
        <v>4104503.1599999997</v>
      </c>
      <c r="R1805" s="127">
        <f>F1805*P1805</f>
        <v>4104503.1599999997</v>
      </c>
      <c r="S1805" s="37"/>
    </row>
    <row r="1806" spans="1:19" ht="30">
      <c r="A1806" s="24"/>
      <c r="B1806" s="25" t="s">
        <v>424</v>
      </c>
      <c r="C1806" s="26" t="s">
        <v>8</v>
      </c>
      <c r="D1806" s="351">
        <v>1</v>
      </c>
      <c r="E1806" s="59"/>
      <c r="F1806" s="351">
        <v>1</v>
      </c>
      <c r="G1806" s="37"/>
      <c r="H1806" s="37"/>
      <c r="I1806" s="37"/>
      <c r="J1806" s="37"/>
      <c r="K1806" s="37"/>
      <c r="L1806" s="37"/>
      <c r="M1806" s="37"/>
      <c r="N1806" s="37"/>
      <c r="O1806" s="37"/>
      <c r="P1806" s="37"/>
      <c r="Q1806" s="66"/>
      <c r="R1806" s="66"/>
      <c r="S1806" s="37"/>
    </row>
    <row r="1807" spans="1:19">
      <c r="A1807" s="24"/>
      <c r="B1807" s="25" t="s">
        <v>161</v>
      </c>
      <c r="C1807" s="26"/>
      <c r="D1807" s="351"/>
      <c r="E1807" s="59"/>
      <c r="F1807" s="351"/>
      <c r="G1807" s="37"/>
      <c r="H1807" s="37"/>
      <c r="I1807" s="37"/>
      <c r="J1807" s="37"/>
      <c r="K1807" s="37"/>
      <c r="L1807" s="37"/>
      <c r="M1807" s="37"/>
      <c r="N1807" s="37"/>
      <c r="O1807" s="37"/>
      <c r="P1807" s="37"/>
      <c r="Q1807" s="66"/>
      <c r="R1807" s="66"/>
      <c r="S1807" s="37"/>
    </row>
    <row r="1808" spans="1:19">
      <c r="A1808" s="24"/>
      <c r="B1808" s="25" t="s">
        <v>425</v>
      </c>
      <c r="C1808" s="26" t="s">
        <v>8</v>
      </c>
      <c r="D1808" s="351">
        <v>1</v>
      </c>
      <c r="E1808" s="59"/>
      <c r="F1808" s="351">
        <v>1</v>
      </c>
      <c r="G1808" s="37"/>
      <c r="H1808" s="37"/>
      <c r="I1808" s="37"/>
      <c r="J1808" s="37"/>
      <c r="K1808" s="37"/>
      <c r="L1808" s="37"/>
      <c r="M1808" s="37"/>
      <c r="N1808" s="37"/>
      <c r="O1808" s="37"/>
      <c r="P1808" s="37"/>
      <c r="Q1808" s="66"/>
      <c r="R1808" s="66"/>
      <c r="S1808" s="37"/>
    </row>
    <row r="1809" spans="1:19">
      <c r="A1809" s="24"/>
      <c r="B1809" s="25" t="s">
        <v>164</v>
      </c>
      <c r="C1809" s="26"/>
      <c r="D1809" s="351"/>
      <c r="E1809" s="59"/>
      <c r="F1809" s="351"/>
      <c r="G1809" s="37"/>
      <c r="H1809" s="37"/>
      <c r="I1809" s="37"/>
      <c r="J1809" s="37"/>
      <c r="K1809" s="37"/>
      <c r="L1809" s="37"/>
      <c r="M1809" s="37"/>
      <c r="N1809" s="37"/>
      <c r="O1809" s="37"/>
      <c r="P1809" s="37"/>
      <c r="Q1809" s="66"/>
      <c r="R1809" s="66"/>
      <c r="S1809" s="37"/>
    </row>
    <row r="1810" spans="1:19">
      <c r="A1810" s="24"/>
      <c r="B1810" s="25" t="s">
        <v>167</v>
      </c>
      <c r="C1810" s="26" t="s">
        <v>8</v>
      </c>
      <c r="D1810" s="351">
        <v>5</v>
      </c>
      <c r="E1810" s="60"/>
      <c r="F1810" s="351">
        <v>5</v>
      </c>
      <c r="G1810" s="38"/>
      <c r="H1810" s="38"/>
      <c r="I1810" s="38"/>
      <c r="J1810" s="38"/>
      <c r="K1810" s="38"/>
      <c r="L1810" s="38"/>
      <c r="M1810" s="38"/>
      <c r="N1810" s="38"/>
      <c r="O1810" s="38"/>
      <c r="P1810" s="38"/>
      <c r="Q1810" s="65"/>
      <c r="R1810" s="65"/>
      <c r="S1810" s="38"/>
    </row>
    <row r="1811" spans="1:19">
      <c r="A1811" s="24"/>
      <c r="B1811" s="25" t="s">
        <v>371</v>
      </c>
      <c r="C1811" s="26" t="s">
        <v>17</v>
      </c>
      <c r="D1811" s="351">
        <v>1</v>
      </c>
      <c r="E1811" s="57"/>
      <c r="F1811" s="351">
        <v>1</v>
      </c>
      <c r="G1811" s="36"/>
      <c r="H1811" s="36"/>
      <c r="I1811" s="36"/>
      <c r="J1811" s="36"/>
      <c r="K1811" s="36"/>
      <c r="L1811" s="36"/>
      <c r="M1811" s="36"/>
      <c r="N1811" s="36"/>
      <c r="O1811" s="36"/>
      <c r="P1811" s="36"/>
      <c r="Q1811" s="65"/>
      <c r="R1811" s="65"/>
      <c r="S1811" s="36"/>
    </row>
    <row r="1812" spans="1:19" ht="60">
      <c r="A1812" s="24">
        <v>70</v>
      </c>
      <c r="B1812" s="25" t="s">
        <v>429</v>
      </c>
      <c r="C1812" s="26" t="s">
        <v>7</v>
      </c>
      <c r="D1812" s="351">
        <v>1</v>
      </c>
      <c r="E1812" s="53"/>
      <c r="F1812" s="351">
        <v>1</v>
      </c>
      <c r="G1812" s="26" t="s">
        <v>2326</v>
      </c>
      <c r="H1812" s="26"/>
      <c r="I1812" s="26" t="s">
        <v>2327</v>
      </c>
      <c r="J1812" s="26" t="s">
        <v>2328</v>
      </c>
      <c r="K1812" s="311">
        <v>3099272.2199999997</v>
      </c>
      <c r="L1812" s="311">
        <v>0</v>
      </c>
      <c r="M1812" s="311">
        <v>678000.00000000012</v>
      </c>
      <c r="N1812" s="311">
        <v>373057.80000000005</v>
      </c>
      <c r="O1812" s="311">
        <v>261140.46000000002</v>
      </c>
      <c r="P1812" s="68">
        <f>SUM(K1812:O1812)</f>
        <v>4411470.4799999995</v>
      </c>
      <c r="Q1812" s="68">
        <f>D1812*P1812</f>
        <v>4411470.4799999995</v>
      </c>
      <c r="R1812" s="127">
        <f>F1812*P1812</f>
        <v>4411470.4799999995</v>
      </c>
      <c r="S1812" s="15"/>
    </row>
    <row r="1813" spans="1:19" ht="30">
      <c r="A1813" s="24"/>
      <c r="B1813" s="25" t="s">
        <v>424</v>
      </c>
      <c r="C1813" s="26" t="s">
        <v>8</v>
      </c>
      <c r="D1813" s="351">
        <v>1</v>
      </c>
      <c r="E1813" s="58"/>
      <c r="F1813" s="351">
        <v>1</v>
      </c>
      <c r="G1813" s="18"/>
      <c r="H1813" s="18"/>
      <c r="I1813" s="18"/>
      <c r="J1813" s="18"/>
      <c r="K1813" s="18"/>
      <c r="L1813" s="18"/>
      <c r="M1813" s="18"/>
      <c r="N1813" s="18"/>
      <c r="O1813" s="18"/>
      <c r="P1813" s="18"/>
      <c r="Q1813" s="65"/>
      <c r="R1813" s="65"/>
      <c r="S1813" s="18"/>
    </row>
    <row r="1814" spans="1:19">
      <c r="A1814" s="24"/>
      <c r="B1814" s="25" t="s">
        <v>161</v>
      </c>
      <c r="C1814" s="26"/>
      <c r="D1814" s="351"/>
      <c r="E1814" s="53"/>
      <c r="F1814" s="351"/>
      <c r="G1814" s="15"/>
      <c r="H1814" s="15"/>
      <c r="I1814" s="15"/>
      <c r="J1814" s="15"/>
      <c r="K1814" s="15"/>
      <c r="L1814" s="15"/>
      <c r="M1814" s="15"/>
      <c r="N1814" s="15"/>
      <c r="O1814" s="15"/>
      <c r="P1814" s="15"/>
      <c r="Q1814" s="66"/>
      <c r="R1814" s="66"/>
      <c r="S1814" s="15"/>
    </row>
    <row r="1815" spans="1:19">
      <c r="A1815" s="24"/>
      <c r="B1815" s="25" t="s">
        <v>425</v>
      </c>
      <c r="C1815" s="26" t="s">
        <v>8</v>
      </c>
      <c r="D1815" s="351">
        <v>1</v>
      </c>
      <c r="E1815" s="53"/>
      <c r="F1815" s="351">
        <v>1</v>
      </c>
      <c r="G1815" s="15"/>
      <c r="H1815" s="15"/>
      <c r="I1815" s="15"/>
      <c r="J1815" s="15"/>
      <c r="K1815" s="15"/>
      <c r="L1815" s="15"/>
      <c r="M1815" s="15"/>
      <c r="N1815" s="15"/>
      <c r="O1815" s="15"/>
      <c r="P1815" s="15"/>
      <c r="Q1815" s="66"/>
      <c r="R1815" s="66"/>
      <c r="S1815" s="15"/>
    </row>
    <row r="1816" spans="1:19">
      <c r="A1816" s="24"/>
      <c r="B1816" s="25" t="s">
        <v>164</v>
      </c>
      <c r="C1816" s="26"/>
      <c r="D1816" s="351"/>
      <c r="E1816" s="59"/>
      <c r="F1816" s="351"/>
      <c r="G1816" s="37"/>
      <c r="H1816" s="37"/>
      <c r="I1816" s="37"/>
      <c r="J1816" s="37"/>
      <c r="K1816" s="37"/>
      <c r="L1816" s="37"/>
      <c r="M1816" s="37"/>
      <c r="N1816" s="37"/>
      <c r="O1816" s="37"/>
      <c r="P1816" s="37"/>
      <c r="Q1816" s="66"/>
      <c r="R1816" s="66"/>
      <c r="S1816" s="37"/>
    </row>
    <row r="1817" spans="1:19">
      <c r="A1817" s="24"/>
      <c r="B1817" s="25" t="s">
        <v>167</v>
      </c>
      <c r="C1817" s="26" t="s">
        <v>8</v>
      </c>
      <c r="D1817" s="351">
        <v>7</v>
      </c>
      <c r="E1817" s="59"/>
      <c r="F1817" s="351">
        <v>7</v>
      </c>
      <c r="G1817" s="37"/>
      <c r="H1817" s="37"/>
      <c r="I1817" s="37"/>
      <c r="J1817" s="37"/>
      <c r="K1817" s="37"/>
      <c r="L1817" s="37"/>
      <c r="M1817" s="37"/>
      <c r="N1817" s="37"/>
      <c r="O1817" s="37"/>
      <c r="P1817" s="37"/>
      <c r="Q1817" s="66"/>
      <c r="R1817" s="66"/>
      <c r="S1817" s="37"/>
    </row>
    <row r="1818" spans="1:19">
      <c r="A1818" s="24"/>
      <c r="B1818" s="25" t="s">
        <v>371</v>
      </c>
      <c r="C1818" s="26" t="s">
        <v>17</v>
      </c>
      <c r="D1818" s="351">
        <v>1</v>
      </c>
      <c r="E1818" s="59"/>
      <c r="F1818" s="351">
        <v>1</v>
      </c>
      <c r="G1818" s="37"/>
      <c r="H1818" s="37"/>
      <c r="I1818" s="37"/>
      <c r="J1818" s="37"/>
      <c r="K1818" s="37"/>
      <c r="L1818" s="37"/>
      <c r="M1818" s="37"/>
      <c r="N1818" s="37"/>
      <c r="O1818" s="37"/>
      <c r="P1818" s="37"/>
      <c r="Q1818" s="66"/>
      <c r="R1818" s="66"/>
      <c r="S1818" s="37"/>
    </row>
    <row r="1819" spans="1:19" ht="60">
      <c r="A1819" s="24">
        <v>71</v>
      </c>
      <c r="B1819" s="25" t="s">
        <v>430</v>
      </c>
      <c r="C1819" s="26" t="s">
        <v>7</v>
      </c>
      <c r="D1819" s="351">
        <v>1</v>
      </c>
      <c r="E1819" s="59"/>
      <c r="F1819" s="351">
        <v>1</v>
      </c>
      <c r="G1819" s="26" t="s">
        <v>2326</v>
      </c>
      <c r="H1819" s="26"/>
      <c r="I1819" s="26" t="s">
        <v>2327</v>
      </c>
      <c r="J1819" s="26" t="s">
        <v>2328</v>
      </c>
      <c r="K1819" s="311">
        <v>69885932.489999995</v>
      </c>
      <c r="L1819" s="311">
        <v>0</v>
      </c>
      <c r="M1819" s="311">
        <v>3164000.0000000005</v>
      </c>
      <c r="N1819" s="311">
        <v>7339185.1000000006</v>
      </c>
      <c r="O1819" s="311">
        <v>5137429.57</v>
      </c>
      <c r="P1819" s="68">
        <f>SUM(K1819:O1819)</f>
        <v>85526547.159999996</v>
      </c>
      <c r="Q1819" s="68">
        <f>D1819*P1819</f>
        <v>85526547.159999996</v>
      </c>
      <c r="R1819" s="127">
        <f>F1819*P1819</f>
        <v>85526547.159999996</v>
      </c>
      <c r="S1819" s="37"/>
    </row>
    <row r="1820" spans="1:19" ht="30">
      <c r="A1820" s="24"/>
      <c r="B1820" s="25" t="s">
        <v>431</v>
      </c>
      <c r="C1820" s="26" t="s">
        <v>8</v>
      </c>
      <c r="D1820" s="351">
        <v>1</v>
      </c>
      <c r="E1820" s="60"/>
      <c r="F1820" s="351">
        <v>1</v>
      </c>
      <c r="G1820" s="38"/>
      <c r="H1820" s="38"/>
      <c r="I1820" s="38"/>
      <c r="J1820" s="38"/>
      <c r="K1820" s="38"/>
      <c r="L1820" s="38"/>
      <c r="M1820" s="38"/>
      <c r="N1820" s="38"/>
      <c r="O1820" s="38"/>
      <c r="P1820" s="38"/>
      <c r="Q1820" s="65"/>
      <c r="R1820" s="65"/>
      <c r="S1820" s="38"/>
    </row>
    <row r="1821" spans="1:19">
      <c r="A1821" s="24"/>
      <c r="B1821" s="25" t="s">
        <v>161</v>
      </c>
      <c r="C1821" s="26"/>
      <c r="D1821" s="351"/>
      <c r="E1821" s="57"/>
      <c r="F1821" s="351"/>
      <c r="G1821" s="36"/>
      <c r="H1821" s="36"/>
      <c r="I1821" s="36"/>
      <c r="J1821" s="36"/>
      <c r="K1821" s="36"/>
      <c r="L1821" s="36"/>
      <c r="M1821" s="36"/>
      <c r="N1821" s="36"/>
      <c r="O1821" s="36"/>
      <c r="P1821" s="36"/>
      <c r="Q1821" s="65"/>
      <c r="R1821" s="65"/>
      <c r="S1821" s="36"/>
    </row>
    <row r="1822" spans="1:19">
      <c r="A1822" s="24"/>
      <c r="B1822" s="25" t="s">
        <v>432</v>
      </c>
      <c r="C1822" s="26" t="s">
        <v>8</v>
      </c>
      <c r="D1822" s="351">
        <v>1</v>
      </c>
      <c r="E1822" s="53"/>
      <c r="F1822" s="351">
        <v>1</v>
      </c>
      <c r="G1822" s="15"/>
      <c r="H1822" s="15"/>
      <c r="I1822" s="15"/>
      <c r="J1822" s="15"/>
      <c r="K1822" s="15"/>
      <c r="L1822" s="15"/>
      <c r="M1822" s="15"/>
      <c r="N1822" s="15"/>
      <c r="O1822" s="15"/>
      <c r="P1822" s="15"/>
      <c r="Q1822" s="66"/>
      <c r="R1822" s="66"/>
      <c r="S1822" s="15"/>
    </row>
    <row r="1823" spans="1:19">
      <c r="A1823" s="24"/>
      <c r="B1823" s="25" t="s">
        <v>45</v>
      </c>
      <c r="C1823" s="26" t="s">
        <v>20</v>
      </c>
      <c r="D1823" s="351">
        <v>3</v>
      </c>
      <c r="E1823" s="58"/>
      <c r="F1823" s="351">
        <v>3</v>
      </c>
      <c r="G1823" s="18"/>
      <c r="H1823" s="18"/>
      <c r="I1823" s="18"/>
      <c r="J1823" s="18"/>
      <c r="K1823" s="18"/>
      <c r="L1823" s="18"/>
      <c r="M1823" s="18"/>
      <c r="N1823" s="18"/>
      <c r="O1823" s="18"/>
      <c r="P1823" s="18"/>
      <c r="Q1823" s="65"/>
      <c r="R1823" s="65"/>
      <c r="S1823" s="18"/>
    </row>
    <row r="1824" spans="1:19">
      <c r="A1824" s="24"/>
      <c r="B1824" s="25" t="s">
        <v>21</v>
      </c>
      <c r="C1824" s="26" t="s">
        <v>8</v>
      </c>
      <c r="D1824" s="351">
        <v>1</v>
      </c>
      <c r="E1824" s="53"/>
      <c r="F1824" s="351">
        <v>1</v>
      </c>
      <c r="G1824" s="15"/>
      <c r="H1824" s="15"/>
      <c r="I1824" s="15"/>
      <c r="J1824" s="15"/>
      <c r="K1824" s="15"/>
      <c r="L1824" s="15"/>
      <c r="M1824" s="15"/>
      <c r="N1824" s="15"/>
      <c r="O1824" s="15"/>
      <c r="P1824" s="15"/>
      <c r="Q1824" s="66"/>
      <c r="R1824" s="66"/>
      <c r="S1824" s="15"/>
    </row>
    <row r="1825" spans="1:19">
      <c r="A1825" s="24"/>
      <c r="B1825" s="25" t="s">
        <v>22</v>
      </c>
      <c r="C1825" s="26" t="s">
        <v>8</v>
      </c>
      <c r="D1825" s="351">
        <v>1</v>
      </c>
      <c r="E1825" s="53"/>
      <c r="F1825" s="351">
        <v>1</v>
      </c>
      <c r="G1825" s="15"/>
      <c r="H1825" s="15"/>
      <c r="I1825" s="15"/>
      <c r="J1825" s="15"/>
      <c r="K1825" s="15"/>
      <c r="L1825" s="15"/>
      <c r="M1825" s="15"/>
      <c r="N1825" s="15"/>
      <c r="O1825" s="15"/>
      <c r="P1825" s="15"/>
      <c r="Q1825" s="66"/>
      <c r="R1825" s="66"/>
      <c r="S1825" s="15"/>
    </row>
    <row r="1826" spans="1:19">
      <c r="A1826" s="24"/>
      <c r="B1826" s="25" t="s">
        <v>433</v>
      </c>
      <c r="C1826" s="26" t="s">
        <v>8</v>
      </c>
      <c r="D1826" s="351">
        <v>3</v>
      </c>
      <c r="E1826" s="53"/>
      <c r="F1826" s="351">
        <v>3</v>
      </c>
      <c r="G1826" s="15"/>
      <c r="H1826" s="15"/>
      <c r="I1826" s="15"/>
      <c r="J1826" s="15"/>
      <c r="K1826" s="15"/>
      <c r="L1826" s="15"/>
      <c r="M1826" s="15"/>
      <c r="N1826" s="15"/>
      <c r="O1826" s="15"/>
      <c r="P1826" s="15"/>
      <c r="Q1826" s="66"/>
      <c r="R1826" s="66"/>
      <c r="S1826" s="15"/>
    </row>
    <row r="1827" spans="1:19">
      <c r="A1827" s="24"/>
      <c r="B1827" s="25" t="s">
        <v>24</v>
      </c>
      <c r="C1827" s="26" t="s">
        <v>8</v>
      </c>
      <c r="D1827" s="351">
        <v>3</v>
      </c>
      <c r="E1827" s="53"/>
      <c r="F1827" s="351">
        <v>3</v>
      </c>
      <c r="G1827" s="15"/>
      <c r="H1827" s="15"/>
      <c r="I1827" s="15"/>
      <c r="J1827" s="15"/>
      <c r="K1827" s="15"/>
      <c r="L1827" s="15"/>
      <c r="M1827" s="15"/>
      <c r="N1827" s="15"/>
      <c r="O1827" s="15"/>
      <c r="P1827" s="15"/>
      <c r="Q1827" s="66"/>
      <c r="R1827" s="66"/>
      <c r="S1827" s="15"/>
    </row>
    <row r="1828" spans="1:19">
      <c r="A1828" s="24"/>
      <c r="B1828" s="25" t="s">
        <v>163</v>
      </c>
      <c r="C1828" s="26" t="s">
        <v>8</v>
      </c>
      <c r="D1828" s="351">
        <v>3</v>
      </c>
      <c r="E1828" s="53"/>
      <c r="F1828" s="351">
        <v>3</v>
      </c>
      <c r="G1828" s="15"/>
      <c r="H1828" s="15"/>
      <c r="I1828" s="15"/>
      <c r="J1828" s="15"/>
      <c r="K1828" s="15"/>
      <c r="L1828" s="15"/>
      <c r="M1828" s="15"/>
      <c r="N1828" s="15"/>
      <c r="O1828" s="15"/>
      <c r="P1828" s="15"/>
      <c r="Q1828" s="66"/>
      <c r="R1828" s="66"/>
      <c r="S1828" s="15"/>
    </row>
    <row r="1829" spans="1:19">
      <c r="A1829" s="24"/>
      <c r="B1829" s="25" t="s">
        <v>164</v>
      </c>
      <c r="C1829" s="26"/>
      <c r="D1829" s="351"/>
      <c r="E1829" s="59"/>
      <c r="F1829" s="351"/>
      <c r="G1829" s="37"/>
      <c r="H1829" s="37"/>
      <c r="I1829" s="37"/>
      <c r="J1829" s="37"/>
      <c r="K1829" s="37"/>
      <c r="L1829" s="37"/>
      <c r="M1829" s="37"/>
      <c r="N1829" s="37"/>
      <c r="O1829" s="37"/>
      <c r="P1829" s="37"/>
      <c r="Q1829" s="66"/>
      <c r="R1829" s="66"/>
      <c r="S1829" s="37"/>
    </row>
    <row r="1830" spans="1:19">
      <c r="A1830" s="24"/>
      <c r="B1830" s="25" t="s">
        <v>251</v>
      </c>
      <c r="C1830" s="26" t="s">
        <v>8</v>
      </c>
      <c r="D1830" s="351">
        <v>2</v>
      </c>
      <c r="E1830" s="59"/>
      <c r="F1830" s="351">
        <v>2</v>
      </c>
      <c r="G1830" s="37"/>
      <c r="H1830" s="37"/>
      <c r="I1830" s="37"/>
      <c r="J1830" s="37"/>
      <c r="K1830" s="37"/>
      <c r="L1830" s="37"/>
      <c r="M1830" s="37"/>
      <c r="N1830" s="37"/>
      <c r="O1830" s="37"/>
      <c r="P1830" s="37"/>
      <c r="Q1830" s="66"/>
      <c r="R1830" s="66"/>
      <c r="S1830" s="37"/>
    </row>
    <row r="1831" spans="1:19">
      <c r="A1831" s="24"/>
      <c r="B1831" s="25" t="s">
        <v>268</v>
      </c>
      <c r="C1831" s="26" t="s">
        <v>8</v>
      </c>
      <c r="D1831" s="351">
        <v>4</v>
      </c>
      <c r="E1831" s="59"/>
      <c r="F1831" s="351">
        <v>4</v>
      </c>
      <c r="G1831" s="37"/>
      <c r="H1831" s="37"/>
      <c r="I1831" s="37"/>
      <c r="J1831" s="37"/>
      <c r="K1831" s="37"/>
      <c r="L1831" s="37"/>
      <c r="M1831" s="37"/>
      <c r="N1831" s="37"/>
      <c r="O1831" s="37"/>
      <c r="P1831" s="37"/>
      <c r="Q1831" s="66"/>
      <c r="R1831" s="66"/>
      <c r="S1831" s="37"/>
    </row>
    <row r="1832" spans="1:19">
      <c r="A1832" s="24"/>
      <c r="B1832" s="25" t="s">
        <v>209</v>
      </c>
      <c r="C1832" s="26" t="s">
        <v>8</v>
      </c>
      <c r="D1832" s="351">
        <v>1</v>
      </c>
      <c r="E1832" s="59"/>
      <c r="F1832" s="351">
        <v>1</v>
      </c>
      <c r="G1832" s="37"/>
      <c r="H1832" s="37"/>
      <c r="I1832" s="37"/>
      <c r="J1832" s="37"/>
      <c r="K1832" s="37"/>
      <c r="L1832" s="37"/>
      <c r="M1832" s="37"/>
      <c r="N1832" s="37"/>
      <c r="O1832" s="37"/>
      <c r="P1832" s="37"/>
      <c r="Q1832" s="66"/>
      <c r="R1832" s="66"/>
      <c r="S1832" s="37"/>
    </row>
    <row r="1833" spans="1:19">
      <c r="A1833" s="24"/>
      <c r="B1833" s="25" t="s">
        <v>195</v>
      </c>
      <c r="C1833" s="26" t="s">
        <v>8</v>
      </c>
      <c r="D1833" s="351">
        <v>1</v>
      </c>
      <c r="E1833" s="59"/>
      <c r="F1833" s="351">
        <v>1</v>
      </c>
      <c r="G1833" s="37"/>
      <c r="H1833" s="37"/>
      <c r="I1833" s="37"/>
      <c r="J1833" s="37"/>
      <c r="K1833" s="37"/>
      <c r="L1833" s="37"/>
      <c r="M1833" s="37"/>
      <c r="N1833" s="37"/>
      <c r="O1833" s="37"/>
      <c r="P1833" s="37"/>
      <c r="Q1833" s="66"/>
      <c r="R1833" s="66"/>
      <c r="S1833" s="37"/>
    </row>
    <row r="1834" spans="1:19">
      <c r="A1834" s="24"/>
      <c r="B1834" s="25" t="s">
        <v>168</v>
      </c>
      <c r="C1834" s="26" t="s">
        <v>8</v>
      </c>
      <c r="D1834" s="351">
        <v>1</v>
      </c>
      <c r="E1834" s="59"/>
      <c r="F1834" s="351">
        <v>1</v>
      </c>
      <c r="G1834" s="37"/>
      <c r="H1834" s="37"/>
      <c r="I1834" s="37"/>
      <c r="J1834" s="37"/>
      <c r="K1834" s="37"/>
      <c r="L1834" s="37"/>
      <c r="M1834" s="37"/>
      <c r="N1834" s="37"/>
      <c r="O1834" s="37"/>
      <c r="P1834" s="37"/>
      <c r="Q1834" s="66"/>
      <c r="R1834" s="66"/>
      <c r="S1834" s="37"/>
    </row>
    <row r="1835" spans="1:19">
      <c r="A1835" s="24"/>
      <c r="B1835" s="25" t="s">
        <v>434</v>
      </c>
      <c r="C1835" s="26" t="s">
        <v>17</v>
      </c>
      <c r="D1835" s="351">
        <v>1</v>
      </c>
      <c r="E1835" s="59"/>
      <c r="F1835" s="351">
        <v>1</v>
      </c>
      <c r="G1835" s="37"/>
      <c r="H1835" s="37"/>
      <c r="I1835" s="37"/>
      <c r="J1835" s="37"/>
      <c r="K1835" s="37"/>
      <c r="L1835" s="37"/>
      <c r="M1835" s="37"/>
      <c r="N1835" s="37"/>
      <c r="O1835" s="37"/>
      <c r="P1835" s="37"/>
      <c r="Q1835" s="66"/>
      <c r="R1835" s="66"/>
      <c r="S1835" s="37"/>
    </row>
    <row r="1836" spans="1:19">
      <c r="A1836" s="24"/>
      <c r="B1836" s="25" t="s">
        <v>254</v>
      </c>
      <c r="C1836" s="26" t="s">
        <v>8</v>
      </c>
      <c r="D1836" s="351">
        <v>2</v>
      </c>
      <c r="E1836" s="59"/>
      <c r="F1836" s="351">
        <v>2</v>
      </c>
      <c r="G1836" s="37"/>
      <c r="H1836" s="37"/>
      <c r="I1836" s="37"/>
      <c r="J1836" s="37"/>
      <c r="K1836" s="37"/>
      <c r="L1836" s="37"/>
      <c r="M1836" s="37"/>
      <c r="N1836" s="37"/>
      <c r="O1836" s="37"/>
      <c r="P1836" s="37"/>
      <c r="Q1836" s="66"/>
      <c r="R1836" s="66"/>
      <c r="S1836" s="37"/>
    </row>
    <row r="1837" spans="1:19">
      <c r="A1837" s="24"/>
      <c r="B1837" s="25" t="s">
        <v>255</v>
      </c>
      <c r="C1837" s="26" t="s">
        <v>8</v>
      </c>
      <c r="D1837" s="351">
        <v>1</v>
      </c>
      <c r="E1837" s="59"/>
      <c r="F1837" s="351">
        <v>1</v>
      </c>
      <c r="G1837" s="37"/>
      <c r="H1837" s="37"/>
      <c r="I1837" s="37"/>
      <c r="J1837" s="37"/>
      <c r="K1837" s="37"/>
      <c r="L1837" s="37"/>
      <c r="M1837" s="37"/>
      <c r="N1837" s="37"/>
      <c r="O1837" s="37"/>
      <c r="P1837" s="37"/>
      <c r="Q1837" s="66"/>
      <c r="R1837" s="66"/>
      <c r="S1837" s="37"/>
    </row>
    <row r="1838" spans="1:19">
      <c r="A1838" s="24"/>
      <c r="B1838" s="25" t="s">
        <v>183</v>
      </c>
      <c r="C1838" s="26" t="s">
        <v>8</v>
      </c>
      <c r="D1838" s="351">
        <v>1</v>
      </c>
      <c r="E1838" s="59"/>
      <c r="F1838" s="351">
        <v>1</v>
      </c>
      <c r="G1838" s="37"/>
      <c r="H1838" s="37"/>
      <c r="I1838" s="37"/>
      <c r="J1838" s="37"/>
      <c r="K1838" s="37"/>
      <c r="L1838" s="37"/>
      <c r="M1838" s="37"/>
      <c r="N1838" s="37"/>
      <c r="O1838" s="37"/>
      <c r="P1838" s="37"/>
      <c r="Q1838" s="66"/>
      <c r="R1838" s="66"/>
      <c r="S1838" s="37"/>
    </row>
    <row r="1839" spans="1:19">
      <c r="A1839" s="24"/>
      <c r="B1839" s="25" t="s">
        <v>211</v>
      </c>
      <c r="C1839" s="26" t="s">
        <v>8</v>
      </c>
      <c r="D1839" s="351">
        <v>1</v>
      </c>
      <c r="E1839" s="59"/>
      <c r="F1839" s="351">
        <v>1</v>
      </c>
      <c r="G1839" s="37"/>
      <c r="H1839" s="37"/>
      <c r="I1839" s="37"/>
      <c r="J1839" s="37"/>
      <c r="K1839" s="37"/>
      <c r="L1839" s="37"/>
      <c r="M1839" s="37"/>
      <c r="N1839" s="37"/>
      <c r="O1839" s="37"/>
      <c r="P1839" s="37"/>
      <c r="Q1839" s="66"/>
      <c r="R1839" s="66"/>
      <c r="S1839" s="37"/>
    </row>
    <row r="1840" spans="1:19">
      <c r="A1840" s="24"/>
      <c r="B1840" s="25" t="s">
        <v>361</v>
      </c>
      <c r="C1840" s="26" t="s">
        <v>8</v>
      </c>
      <c r="D1840" s="351">
        <v>1</v>
      </c>
      <c r="E1840" s="59"/>
      <c r="F1840" s="351">
        <v>1</v>
      </c>
      <c r="G1840" s="37"/>
      <c r="H1840" s="37"/>
      <c r="I1840" s="37"/>
      <c r="J1840" s="37"/>
      <c r="K1840" s="37"/>
      <c r="L1840" s="37"/>
      <c r="M1840" s="37"/>
      <c r="N1840" s="37"/>
      <c r="O1840" s="37"/>
      <c r="P1840" s="37"/>
      <c r="Q1840" s="66"/>
      <c r="R1840" s="66"/>
      <c r="S1840" s="37"/>
    </row>
    <row r="1841" spans="1:19">
      <c r="A1841" s="24"/>
      <c r="B1841" s="25" t="s">
        <v>185</v>
      </c>
      <c r="C1841" s="26" t="s">
        <v>8</v>
      </c>
      <c r="D1841" s="351">
        <v>1</v>
      </c>
      <c r="E1841" s="59"/>
      <c r="F1841" s="351">
        <v>1</v>
      </c>
      <c r="G1841" s="37"/>
      <c r="H1841" s="37"/>
      <c r="I1841" s="37"/>
      <c r="J1841" s="37"/>
      <c r="K1841" s="37"/>
      <c r="L1841" s="37"/>
      <c r="M1841" s="37"/>
      <c r="N1841" s="37"/>
      <c r="O1841" s="37"/>
      <c r="P1841" s="37"/>
      <c r="Q1841" s="66"/>
      <c r="R1841" s="66"/>
      <c r="S1841" s="37"/>
    </row>
    <row r="1842" spans="1:19">
      <c r="A1842" s="24"/>
      <c r="B1842" s="25" t="s">
        <v>212</v>
      </c>
      <c r="C1842" s="26" t="s">
        <v>8</v>
      </c>
      <c r="D1842" s="351">
        <v>1</v>
      </c>
      <c r="E1842" s="59"/>
      <c r="F1842" s="351">
        <v>1</v>
      </c>
      <c r="G1842" s="37"/>
      <c r="H1842" s="37"/>
      <c r="I1842" s="37"/>
      <c r="J1842" s="37"/>
      <c r="K1842" s="37"/>
      <c r="L1842" s="37"/>
      <c r="M1842" s="37"/>
      <c r="N1842" s="37"/>
      <c r="O1842" s="37"/>
      <c r="P1842" s="37"/>
      <c r="Q1842" s="66"/>
      <c r="R1842" s="66"/>
      <c r="S1842" s="37"/>
    </row>
    <row r="1843" spans="1:19">
      <c r="A1843" s="24"/>
      <c r="B1843" s="25" t="s">
        <v>186</v>
      </c>
      <c r="C1843" s="26" t="s">
        <v>8</v>
      </c>
      <c r="D1843" s="351">
        <v>2</v>
      </c>
      <c r="E1843" s="59"/>
      <c r="F1843" s="351">
        <v>2</v>
      </c>
      <c r="G1843" s="37"/>
      <c r="H1843" s="37"/>
      <c r="I1843" s="37"/>
      <c r="J1843" s="37"/>
      <c r="K1843" s="37"/>
      <c r="L1843" s="37"/>
      <c r="M1843" s="37"/>
      <c r="N1843" s="37"/>
      <c r="O1843" s="37"/>
      <c r="P1843" s="37"/>
      <c r="Q1843" s="66"/>
      <c r="R1843" s="66"/>
      <c r="S1843" s="37"/>
    </row>
    <row r="1844" spans="1:19">
      <c r="A1844" s="24"/>
      <c r="B1844" s="25" t="s">
        <v>171</v>
      </c>
      <c r="C1844" s="26" t="s">
        <v>8</v>
      </c>
      <c r="D1844" s="351">
        <v>1</v>
      </c>
      <c r="E1844" s="59"/>
      <c r="F1844" s="351">
        <v>1</v>
      </c>
      <c r="G1844" s="37"/>
      <c r="H1844" s="37"/>
      <c r="I1844" s="37"/>
      <c r="J1844" s="37"/>
      <c r="K1844" s="37"/>
      <c r="L1844" s="37"/>
      <c r="M1844" s="37"/>
      <c r="N1844" s="37"/>
      <c r="O1844" s="37"/>
      <c r="P1844" s="37"/>
      <c r="Q1844" s="66"/>
      <c r="R1844" s="66"/>
      <c r="S1844" s="37"/>
    </row>
    <row r="1845" spans="1:19">
      <c r="A1845" s="24"/>
      <c r="B1845" s="25" t="s">
        <v>187</v>
      </c>
      <c r="C1845" s="26" t="s">
        <v>78</v>
      </c>
      <c r="D1845" s="351">
        <v>1</v>
      </c>
      <c r="E1845" s="59"/>
      <c r="F1845" s="351">
        <v>1</v>
      </c>
      <c r="G1845" s="37"/>
      <c r="H1845" s="37"/>
      <c r="I1845" s="37"/>
      <c r="J1845" s="37"/>
      <c r="K1845" s="37"/>
      <c r="L1845" s="37"/>
      <c r="M1845" s="37"/>
      <c r="N1845" s="37"/>
      <c r="O1845" s="37"/>
      <c r="P1845" s="37"/>
      <c r="Q1845" s="66"/>
      <c r="R1845" s="66"/>
      <c r="S1845" s="37"/>
    </row>
    <row r="1846" spans="1:19">
      <c r="A1846" s="24"/>
      <c r="B1846" s="25" t="s">
        <v>435</v>
      </c>
      <c r="C1846" s="26" t="s">
        <v>17</v>
      </c>
      <c r="D1846" s="351">
        <v>1</v>
      </c>
      <c r="E1846" s="59"/>
      <c r="F1846" s="351">
        <v>1</v>
      </c>
      <c r="G1846" s="37"/>
      <c r="H1846" s="37"/>
      <c r="I1846" s="37"/>
      <c r="J1846" s="37"/>
      <c r="K1846" s="37"/>
      <c r="L1846" s="37"/>
      <c r="M1846" s="37"/>
      <c r="N1846" s="37"/>
      <c r="O1846" s="37"/>
      <c r="P1846" s="37"/>
      <c r="Q1846" s="66"/>
      <c r="R1846" s="66"/>
      <c r="S1846" s="37"/>
    </row>
    <row r="1847" spans="1:19">
      <c r="A1847" s="24"/>
      <c r="B1847" s="25" t="s">
        <v>254</v>
      </c>
      <c r="C1847" s="26" t="s">
        <v>8</v>
      </c>
      <c r="D1847" s="351">
        <v>2</v>
      </c>
      <c r="E1847" s="59"/>
      <c r="F1847" s="351">
        <v>2</v>
      </c>
      <c r="G1847" s="37"/>
      <c r="H1847" s="37"/>
      <c r="I1847" s="37"/>
      <c r="J1847" s="37"/>
      <c r="K1847" s="37"/>
      <c r="L1847" s="37"/>
      <c r="M1847" s="37"/>
      <c r="N1847" s="37"/>
      <c r="O1847" s="37"/>
      <c r="P1847" s="37"/>
      <c r="Q1847" s="66"/>
      <c r="R1847" s="66"/>
      <c r="S1847" s="37"/>
    </row>
    <row r="1848" spans="1:19">
      <c r="A1848" s="24"/>
      <c r="B1848" s="25" t="s">
        <v>255</v>
      </c>
      <c r="C1848" s="26" t="s">
        <v>8</v>
      </c>
      <c r="D1848" s="351">
        <v>1</v>
      </c>
      <c r="E1848" s="59"/>
      <c r="F1848" s="351">
        <v>1</v>
      </c>
      <c r="G1848" s="37"/>
      <c r="H1848" s="37"/>
      <c r="I1848" s="37"/>
      <c r="J1848" s="37"/>
      <c r="K1848" s="37"/>
      <c r="L1848" s="37"/>
      <c r="M1848" s="37"/>
      <c r="N1848" s="37"/>
      <c r="O1848" s="37"/>
      <c r="P1848" s="37"/>
      <c r="Q1848" s="66"/>
      <c r="R1848" s="66"/>
      <c r="S1848" s="37"/>
    </row>
    <row r="1849" spans="1:19">
      <c r="A1849" s="24"/>
      <c r="B1849" s="25" t="s">
        <v>183</v>
      </c>
      <c r="C1849" s="26" t="s">
        <v>8</v>
      </c>
      <c r="D1849" s="351">
        <v>1</v>
      </c>
      <c r="E1849" s="59"/>
      <c r="F1849" s="351">
        <v>1</v>
      </c>
      <c r="G1849" s="37"/>
      <c r="H1849" s="37"/>
      <c r="I1849" s="37"/>
      <c r="J1849" s="37"/>
      <c r="K1849" s="37"/>
      <c r="L1849" s="37"/>
      <c r="M1849" s="37"/>
      <c r="N1849" s="37"/>
      <c r="O1849" s="37"/>
      <c r="P1849" s="37"/>
      <c r="Q1849" s="66"/>
      <c r="R1849" s="66"/>
      <c r="S1849" s="37"/>
    </row>
    <row r="1850" spans="1:19">
      <c r="A1850" s="24"/>
      <c r="B1850" s="25" t="s">
        <v>211</v>
      </c>
      <c r="C1850" s="26" t="s">
        <v>8</v>
      </c>
      <c r="D1850" s="351">
        <v>1</v>
      </c>
      <c r="E1850" s="59"/>
      <c r="F1850" s="351">
        <v>1</v>
      </c>
      <c r="G1850" s="37"/>
      <c r="H1850" s="37"/>
      <c r="I1850" s="37"/>
      <c r="J1850" s="37"/>
      <c r="K1850" s="37"/>
      <c r="L1850" s="37"/>
      <c r="M1850" s="37"/>
      <c r="N1850" s="37"/>
      <c r="O1850" s="37"/>
      <c r="P1850" s="37"/>
      <c r="Q1850" s="66"/>
      <c r="R1850" s="66"/>
      <c r="S1850" s="37"/>
    </row>
    <row r="1851" spans="1:19">
      <c r="A1851" s="24"/>
      <c r="B1851" s="25" t="s">
        <v>361</v>
      </c>
      <c r="C1851" s="26" t="s">
        <v>8</v>
      </c>
      <c r="D1851" s="351">
        <v>1</v>
      </c>
      <c r="E1851" s="59"/>
      <c r="F1851" s="351">
        <v>1</v>
      </c>
      <c r="G1851" s="37"/>
      <c r="H1851" s="37"/>
      <c r="I1851" s="37"/>
      <c r="J1851" s="37"/>
      <c r="K1851" s="37"/>
      <c r="L1851" s="37"/>
      <c r="M1851" s="37"/>
      <c r="N1851" s="37"/>
      <c r="O1851" s="37"/>
      <c r="P1851" s="37"/>
      <c r="Q1851" s="66"/>
      <c r="R1851" s="66"/>
      <c r="S1851" s="37"/>
    </row>
    <row r="1852" spans="1:19">
      <c r="A1852" s="24"/>
      <c r="B1852" s="25" t="s">
        <v>185</v>
      </c>
      <c r="C1852" s="26" t="s">
        <v>8</v>
      </c>
      <c r="D1852" s="351">
        <v>1</v>
      </c>
      <c r="E1852" s="59"/>
      <c r="F1852" s="351">
        <v>1</v>
      </c>
      <c r="G1852" s="37"/>
      <c r="H1852" s="37"/>
      <c r="I1852" s="37"/>
      <c r="J1852" s="37"/>
      <c r="K1852" s="37"/>
      <c r="L1852" s="37"/>
      <c r="M1852" s="37"/>
      <c r="N1852" s="37"/>
      <c r="O1852" s="37"/>
      <c r="P1852" s="37"/>
      <c r="Q1852" s="66"/>
      <c r="R1852" s="66"/>
      <c r="S1852" s="37"/>
    </row>
    <row r="1853" spans="1:19">
      <c r="A1853" s="24"/>
      <c r="B1853" s="25" t="s">
        <v>212</v>
      </c>
      <c r="C1853" s="26" t="s">
        <v>8</v>
      </c>
      <c r="D1853" s="351">
        <v>1</v>
      </c>
      <c r="E1853" s="59"/>
      <c r="F1853" s="351">
        <v>1</v>
      </c>
      <c r="G1853" s="37"/>
      <c r="H1853" s="37"/>
      <c r="I1853" s="37"/>
      <c r="J1853" s="37"/>
      <c r="K1853" s="37"/>
      <c r="L1853" s="37"/>
      <c r="M1853" s="37"/>
      <c r="N1853" s="37"/>
      <c r="O1853" s="37"/>
      <c r="P1853" s="37"/>
      <c r="Q1853" s="66"/>
      <c r="R1853" s="66"/>
      <c r="S1853" s="37"/>
    </row>
    <row r="1854" spans="1:19">
      <c r="A1854" s="24"/>
      <c r="B1854" s="25" t="s">
        <v>186</v>
      </c>
      <c r="C1854" s="26" t="s">
        <v>8</v>
      </c>
      <c r="D1854" s="351">
        <v>2</v>
      </c>
      <c r="E1854" s="59"/>
      <c r="F1854" s="351">
        <v>2</v>
      </c>
      <c r="G1854" s="37"/>
      <c r="H1854" s="37"/>
      <c r="I1854" s="37"/>
      <c r="J1854" s="37"/>
      <c r="K1854" s="37"/>
      <c r="L1854" s="37"/>
      <c r="M1854" s="37"/>
      <c r="N1854" s="37"/>
      <c r="O1854" s="37"/>
      <c r="P1854" s="37"/>
      <c r="Q1854" s="66"/>
      <c r="R1854" s="66"/>
      <c r="S1854" s="37"/>
    </row>
    <row r="1855" spans="1:19">
      <c r="A1855" s="24"/>
      <c r="B1855" s="25" t="s">
        <v>171</v>
      </c>
      <c r="C1855" s="26" t="s">
        <v>8</v>
      </c>
      <c r="D1855" s="351">
        <v>1</v>
      </c>
      <c r="E1855" s="59"/>
      <c r="F1855" s="351">
        <v>1</v>
      </c>
      <c r="G1855" s="37"/>
      <c r="H1855" s="37"/>
      <c r="I1855" s="37"/>
      <c r="J1855" s="37"/>
      <c r="K1855" s="37"/>
      <c r="L1855" s="37"/>
      <c r="M1855" s="37"/>
      <c r="N1855" s="37"/>
      <c r="O1855" s="37"/>
      <c r="P1855" s="37"/>
      <c r="Q1855" s="66"/>
      <c r="R1855" s="66"/>
      <c r="S1855" s="37"/>
    </row>
    <row r="1856" spans="1:19">
      <c r="A1856" s="24"/>
      <c r="B1856" s="25" t="s">
        <v>187</v>
      </c>
      <c r="C1856" s="26" t="s">
        <v>78</v>
      </c>
      <c r="D1856" s="351">
        <v>1</v>
      </c>
      <c r="E1856" s="59"/>
      <c r="F1856" s="351">
        <v>1</v>
      </c>
      <c r="G1856" s="37"/>
      <c r="H1856" s="37"/>
      <c r="I1856" s="37"/>
      <c r="J1856" s="37"/>
      <c r="K1856" s="37"/>
      <c r="L1856" s="37"/>
      <c r="M1856" s="37"/>
      <c r="N1856" s="37"/>
      <c r="O1856" s="37"/>
      <c r="P1856" s="37"/>
      <c r="Q1856" s="66"/>
      <c r="R1856" s="66"/>
      <c r="S1856" s="37"/>
    </row>
    <row r="1857" spans="1:19">
      <c r="A1857" s="24"/>
      <c r="B1857" s="25" t="s">
        <v>436</v>
      </c>
      <c r="C1857" s="26" t="s">
        <v>17</v>
      </c>
      <c r="D1857" s="351">
        <v>4</v>
      </c>
      <c r="E1857" s="59"/>
      <c r="F1857" s="351">
        <v>4</v>
      </c>
      <c r="G1857" s="37"/>
      <c r="H1857" s="37"/>
      <c r="I1857" s="37"/>
      <c r="J1857" s="37"/>
      <c r="K1857" s="37"/>
      <c r="L1857" s="37"/>
      <c r="M1857" s="37"/>
      <c r="N1857" s="37"/>
      <c r="O1857" s="37"/>
      <c r="P1857" s="37"/>
      <c r="Q1857" s="66"/>
      <c r="R1857" s="66"/>
      <c r="S1857" s="37"/>
    </row>
    <row r="1858" spans="1:19">
      <c r="A1858" s="24"/>
      <c r="B1858" s="25" t="s">
        <v>197</v>
      </c>
      <c r="C1858" s="26" t="s">
        <v>8</v>
      </c>
      <c r="D1858" s="351">
        <v>8</v>
      </c>
      <c r="E1858" s="59"/>
      <c r="F1858" s="351">
        <v>8</v>
      </c>
      <c r="G1858" s="37"/>
      <c r="H1858" s="37"/>
      <c r="I1858" s="37"/>
      <c r="J1858" s="37"/>
      <c r="K1858" s="37"/>
      <c r="L1858" s="37"/>
      <c r="M1858" s="37"/>
      <c r="N1858" s="37"/>
      <c r="O1858" s="37"/>
      <c r="P1858" s="37"/>
      <c r="Q1858" s="66"/>
      <c r="R1858" s="66"/>
      <c r="S1858" s="37"/>
    </row>
    <row r="1859" spans="1:19">
      <c r="A1859" s="24"/>
      <c r="B1859" s="25" t="s">
        <v>206</v>
      </c>
      <c r="C1859" s="26" t="s">
        <v>8</v>
      </c>
      <c r="D1859" s="351">
        <v>4</v>
      </c>
      <c r="E1859" s="59"/>
      <c r="F1859" s="351">
        <v>4</v>
      </c>
      <c r="G1859" s="37"/>
      <c r="H1859" s="37"/>
      <c r="I1859" s="37"/>
      <c r="J1859" s="37"/>
      <c r="K1859" s="37"/>
      <c r="L1859" s="37"/>
      <c r="M1859" s="37"/>
      <c r="N1859" s="37"/>
      <c r="O1859" s="37"/>
      <c r="P1859" s="37"/>
      <c r="Q1859" s="66"/>
      <c r="R1859" s="66"/>
      <c r="S1859" s="37"/>
    </row>
    <row r="1860" spans="1:19">
      <c r="A1860" s="24"/>
      <c r="B1860" s="25" t="s">
        <v>183</v>
      </c>
      <c r="C1860" s="26" t="s">
        <v>8</v>
      </c>
      <c r="D1860" s="351">
        <v>5</v>
      </c>
      <c r="E1860" s="60"/>
      <c r="F1860" s="351">
        <v>5</v>
      </c>
      <c r="G1860" s="38"/>
      <c r="H1860" s="38"/>
      <c r="I1860" s="38"/>
      <c r="J1860" s="38"/>
      <c r="K1860" s="38"/>
      <c r="L1860" s="38"/>
      <c r="M1860" s="38"/>
      <c r="N1860" s="38"/>
      <c r="O1860" s="38"/>
      <c r="P1860" s="38"/>
      <c r="Q1860" s="65"/>
      <c r="R1860" s="65"/>
      <c r="S1860" s="38"/>
    </row>
    <row r="1861" spans="1:19">
      <c r="A1861" s="24"/>
      <c r="B1861" s="25" t="s">
        <v>211</v>
      </c>
      <c r="C1861" s="26" t="s">
        <v>8</v>
      </c>
      <c r="D1861" s="351">
        <v>4</v>
      </c>
      <c r="E1861" s="57"/>
      <c r="F1861" s="351">
        <v>4</v>
      </c>
      <c r="G1861" s="36"/>
      <c r="H1861" s="36"/>
      <c r="I1861" s="36"/>
      <c r="J1861" s="36"/>
      <c r="K1861" s="36"/>
      <c r="L1861" s="36"/>
      <c r="M1861" s="36"/>
      <c r="N1861" s="36"/>
      <c r="O1861" s="36"/>
      <c r="P1861" s="36"/>
      <c r="Q1861" s="65"/>
      <c r="R1861" s="65"/>
      <c r="S1861" s="36"/>
    </row>
    <row r="1862" spans="1:19">
      <c r="A1862" s="24"/>
      <c r="B1862" s="25" t="s">
        <v>437</v>
      </c>
      <c r="C1862" s="26" t="s">
        <v>8</v>
      </c>
      <c r="D1862" s="351">
        <v>4</v>
      </c>
      <c r="E1862" s="53"/>
      <c r="F1862" s="351">
        <v>4</v>
      </c>
      <c r="G1862" s="15"/>
      <c r="H1862" s="15"/>
      <c r="I1862" s="15"/>
      <c r="J1862" s="15"/>
      <c r="K1862" s="15"/>
      <c r="L1862" s="15"/>
      <c r="M1862" s="15"/>
      <c r="N1862" s="15"/>
      <c r="O1862" s="15"/>
      <c r="P1862" s="15"/>
      <c r="Q1862" s="66"/>
      <c r="R1862" s="66"/>
      <c r="S1862" s="15"/>
    </row>
    <row r="1863" spans="1:19">
      <c r="A1863" s="24"/>
      <c r="B1863" s="25" t="s">
        <v>185</v>
      </c>
      <c r="C1863" s="26" t="s">
        <v>8</v>
      </c>
      <c r="D1863" s="351">
        <v>4</v>
      </c>
      <c r="E1863" s="58"/>
      <c r="F1863" s="351">
        <v>4</v>
      </c>
      <c r="G1863" s="18"/>
      <c r="H1863" s="18"/>
      <c r="I1863" s="18"/>
      <c r="J1863" s="18"/>
      <c r="K1863" s="18"/>
      <c r="L1863" s="18"/>
      <c r="M1863" s="18"/>
      <c r="N1863" s="18"/>
      <c r="O1863" s="18"/>
      <c r="P1863" s="18"/>
      <c r="Q1863" s="65"/>
      <c r="R1863" s="65"/>
      <c r="S1863" s="18"/>
    </row>
    <row r="1864" spans="1:19">
      <c r="A1864" s="24"/>
      <c r="B1864" s="25" t="s">
        <v>212</v>
      </c>
      <c r="C1864" s="26" t="s">
        <v>8</v>
      </c>
      <c r="D1864" s="351">
        <v>4</v>
      </c>
      <c r="E1864" s="53"/>
      <c r="F1864" s="351">
        <v>4</v>
      </c>
      <c r="G1864" s="15"/>
      <c r="H1864" s="15"/>
      <c r="I1864" s="15"/>
      <c r="J1864" s="15"/>
      <c r="K1864" s="15"/>
      <c r="L1864" s="15"/>
      <c r="M1864" s="15"/>
      <c r="N1864" s="15"/>
      <c r="O1864" s="15"/>
      <c r="P1864" s="15"/>
      <c r="Q1864" s="66"/>
      <c r="R1864" s="66"/>
      <c r="S1864" s="15"/>
    </row>
    <row r="1865" spans="1:19">
      <c r="A1865" s="24"/>
      <c r="B1865" s="25" t="s">
        <v>186</v>
      </c>
      <c r="C1865" s="26" t="s">
        <v>8</v>
      </c>
      <c r="D1865" s="351">
        <v>8</v>
      </c>
      <c r="E1865" s="53"/>
      <c r="F1865" s="351">
        <v>8</v>
      </c>
      <c r="G1865" s="15"/>
      <c r="H1865" s="15"/>
      <c r="I1865" s="15"/>
      <c r="J1865" s="15"/>
      <c r="K1865" s="15"/>
      <c r="L1865" s="15"/>
      <c r="M1865" s="15"/>
      <c r="N1865" s="15"/>
      <c r="O1865" s="15"/>
      <c r="P1865" s="15"/>
      <c r="Q1865" s="66"/>
      <c r="R1865" s="66"/>
      <c r="S1865" s="15"/>
    </row>
    <row r="1866" spans="1:19">
      <c r="A1866" s="24"/>
      <c r="B1866" s="25" t="s">
        <v>171</v>
      </c>
      <c r="C1866" s="26" t="s">
        <v>8</v>
      </c>
      <c r="D1866" s="351">
        <v>4</v>
      </c>
      <c r="E1866" s="53"/>
      <c r="F1866" s="351">
        <v>4</v>
      </c>
      <c r="G1866" s="15"/>
      <c r="H1866" s="15"/>
      <c r="I1866" s="15"/>
      <c r="J1866" s="15"/>
      <c r="K1866" s="15"/>
      <c r="L1866" s="15"/>
      <c r="M1866" s="15"/>
      <c r="N1866" s="15"/>
      <c r="O1866" s="15"/>
      <c r="P1866" s="15"/>
      <c r="Q1866" s="66"/>
      <c r="R1866" s="66"/>
      <c r="S1866" s="15"/>
    </row>
    <row r="1867" spans="1:19">
      <c r="A1867" s="24"/>
      <c r="B1867" s="25" t="s">
        <v>187</v>
      </c>
      <c r="C1867" s="26" t="s">
        <v>78</v>
      </c>
      <c r="D1867" s="351">
        <v>1</v>
      </c>
      <c r="E1867" s="53"/>
      <c r="F1867" s="351">
        <v>1</v>
      </c>
      <c r="G1867" s="15"/>
      <c r="H1867" s="15"/>
      <c r="I1867" s="15"/>
      <c r="J1867" s="15"/>
      <c r="K1867" s="15"/>
      <c r="L1867" s="15"/>
      <c r="M1867" s="15"/>
      <c r="N1867" s="15"/>
      <c r="O1867" s="15"/>
      <c r="P1867" s="15"/>
      <c r="Q1867" s="66"/>
      <c r="R1867" s="66"/>
      <c r="S1867" s="15"/>
    </row>
    <row r="1868" spans="1:19">
      <c r="A1868" s="24"/>
      <c r="B1868" s="25" t="s">
        <v>210</v>
      </c>
      <c r="C1868" s="26" t="s">
        <v>17</v>
      </c>
      <c r="D1868" s="351">
        <v>1</v>
      </c>
      <c r="E1868" s="59"/>
      <c r="F1868" s="351">
        <v>1</v>
      </c>
      <c r="G1868" s="37"/>
      <c r="H1868" s="37"/>
      <c r="I1868" s="37"/>
      <c r="J1868" s="37"/>
      <c r="K1868" s="37"/>
      <c r="L1868" s="37"/>
      <c r="M1868" s="37"/>
      <c r="N1868" s="37"/>
      <c r="O1868" s="37"/>
      <c r="P1868" s="37"/>
      <c r="Q1868" s="66"/>
      <c r="R1868" s="66"/>
      <c r="S1868" s="37"/>
    </row>
    <row r="1869" spans="1:19">
      <c r="A1869" s="24"/>
      <c r="B1869" s="25" t="s">
        <v>197</v>
      </c>
      <c r="C1869" s="26" t="s">
        <v>8</v>
      </c>
      <c r="D1869" s="351">
        <v>2</v>
      </c>
      <c r="E1869" s="59"/>
      <c r="F1869" s="351">
        <v>2</v>
      </c>
      <c r="G1869" s="37"/>
      <c r="H1869" s="37"/>
      <c r="I1869" s="37"/>
      <c r="J1869" s="37"/>
      <c r="K1869" s="37"/>
      <c r="L1869" s="37"/>
      <c r="M1869" s="37"/>
      <c r="N1869" s="37"/>
      <c r="O1869" s="37"/>
      <c r="P1869" s="37"/>
      <c r="Q1869" s="66"/>
      <c r="R1869" s="66"/>
      <c r="S1869" s="37"/>
    </row>
    <row r="1870" spans="1:19">
      <c r="A1870" s="24"/>
      <c r="B1870" s="25" t="s">
        <v>206</v>
      </c>
      <c r="C1870" s="26" t="s">
        <v>8</v>
      </c>
      <c r="D1870" s="351">
        <v>1</v>
      </c>
      <c r="E1870" s="61"/>
      <c r="F1870" s="351">
        <v>1</v>
      </c>
      <c r="G1870" s="39"/>
      <c r="H1870" s="39"/>
      <c r="I1870" s="39"/>
      <c r="J1870" s="39"/>
      <c r="K1870" s="39"/>
      <c r="L1870" s="39"/>
      <c r="M1870" s="39"/>
      <c r="N1870" s="39"/>
      <c r="O1870" s="39"/>
      <c r="P1870" s="39"/>
      <c r="Q1870" s="65"/>
      <c r="R1870" s="65"/>
      <c r="S1870" s="39"/>
    </row>
    <row r="1871" spans="1:19">
      <c r="A1871" s="24"/>
      <c r="B1871" s="25" t="s">
        <v>183</v>
      </c>
      <c r="C1871" s="26" t="s">
        <v>8</v>
      </c>
      <c r="D1871" s="351">
        <v>3</v>
      </c>
      <c r="E1871" s="57"/>
      <c r="F1871" s="351">
        <v>3</v>
      </c>
      <c r="G1871" s="36"/>
      <c r="H1871" s="36"/>
      <c r="I1871" s="36"/>
      <c r="J1871" s="36"/>
      <c r="K1871" s="36"/>
      <c r="L1871" s="36"/>
      <c r="M1871" s="36"/>
      <c r="N1871" s="36"/>
      <c r="O1871" s="36"/>
      <c r="P1871" s="36"/>
      <c r="Q1871" s="65"/>
      <c r="R1871" s="65"/>
      <c r="S1871" s="36"/>
    </row>
    <row r="1872" spans="1:19">
      <c r="A1872" s="24"/>
      <c r="B1872" s="25" t="s">
        <v>211</v>
      </c>
      <c r="C1872" s="26" t="s">
        <v>8</v>
      </c>
      <c r="D1872" s="351">
        <v>1</v>
      </c>
      <c r="E1872" s="53"/>
      <c r="F1872" s="351">
        <v>1</v>
      </c>
      <c r="G1872" s="15"/>
      <c r="H1872" s="15"/>
      <c r="I1872" s="15"/>
      <c r="J1872" s="15"/>
      <c r="K1872" s="15"/>
      <c r="L1872" s="15"/>
      <c r="M1872" s="15"/>
      <c r="N1872" s="15"/>
      <c r="O1872" s="15"/>
      <c r="P1872" s="15"/>
      <c r="Q1872" s="66"/>
      <c r="R1872" s="66"/>
      <c r="S1872" s="15"/>
    </row>
    <row r="1873" spans="1:19">
      <c r="A1873" s="24"/>
      <c r="B1873" s="25" t="s">
        <v>198</v>
      </c>
      <c r="C1873" s="26" t="s">
        <v>8</v>
      </c>
      <c r="D1873" s="351">
        <v>1</v>
      </c>
      <c r="E1873" s="58"/>
      <c r="F1873" s="351">
        <v>1</v>
      </c>
      <c r="G1873" s="18"/>
      <c r="H1873" s="18"/>
      <c r="I1873" s="18"/>
      <c r="J1873" s="18"/>
      <c r="K1873" s="18"/>
      <c r="L1873" s="18"/>
      <c r="M1873" s="18"/>
      <c r="N1873" s="18"/>
      <c r="O1873" s="18"/>
      <c r="P1873" s="18"/>
      <c r="Q1873" s="65"/>
      <c r="R1873" s="65"/>
      <c r="S1873" s="18"/>
    </row>
    <row r="1874" spans="1:19">
      <c r="A1874" s="24"/>
      <c r="B1874" s="25" t="s">
        <v>185</v>
      </c>
      <c r="C1874" s="26" t="s">
        <v>8</v>
      </c>
      <c r="D1874" s="351">
        <v>1</v>
      </c>
      <c r="E1874" s="53"/>
      <c r="F1874" s="351">
        <v>1</v>
      </c>
      <c r="G1874" s="15"/>
      <c r="H1874" s="15"/>
      <c r="I1874" s="15"/>
      <c r="J1874" s="15"/>
      <c r="K1874" s="15"/>
      <c r="L1874" s="15"/>
      <c r="M1874" s="15"/>
      <c r="N1874" s="15"/>
      <c r="O1874" s="15"/>
      <c r="P1874" s="15"/>
      <c r="Q1874" s="66"/>
      <c r="R1874" s="66"/>
      <c r="S1874" s="15"/>
    </row>
    <row r="1875" spans="1:19">
      <c r="A1875" s="24"/>
      <c r="B1875" s="25" t="s">
        <v>212</v>
      </c>
      <c r="C1875" s="26" t="s">
        <v>8</v>
      </c>
      <c r="D1875" s="351">
        <v>1</v>
      </c>
      <c r="E1875" s="53"/>
      <c r="F1875" s="351">
        <v>1</v>
      </c>
      <c r="G1875" s="15"/>
      <c r="H1875" s="15"/>
      <c r="I1875" s="15"/>
      <c r="J1875" s="15"/>
      <c r="K1875" s="15"/>
      <c r="L1875" s="15"/>
      <c r="M1875" s="15"/>
      <c r="N1875" s="15"/>
      <c r="O1875" s="15"/>
      <c r="P1875" s="15"/>
      <c r="Q1875" s="66"/>
      <c r="R1875" s="66"/>
      <c r="S1875" s="15"/>
    </row>
    <row r="1876" spans="1:19">
      <c r="A1876" s="24"/>
      <c r="B1876" s="25" t="s">
        <v>186</v>
      </c>
      <c r="C1876" s="26" t="s">
        <v>8</v>
      </c>
      <c r="D1876" s="351">
        <v>2</v>
      </c>
      <c r="E1876" s="53"/>
      <c r="F1876" s="351">
        <v>2</v>
      </c>
      <c r="G1876" s="15"/>
      <c r="H1876" s="15"/>
      <c r="I1876" s="15"/>
      <c r="J1876" s="15"/>
      <c r="K1876" s="15"/>
      <c r="L1876" s="15"/>
      <c r="M1876" s="15"/>
      <c r="N1876" s="15"/>
      <c r="O1876" s="15"/>
      <c r="P1876" s="15"/>
      <c r="Q1876" s="66"/>
      <c r="R1876" s="66"/>
      <c r="S1876" s="15"/>
    </row>
    <row r="1877" spans="1:19">
      <c r="A1877" s="24"/>
      <c r="B1877" s="25" t="s">
        <v>171</v>
      </c>
      <c r="C1877" s="26" t="s">
        <v>8</v>
      </c>
      <c r="D1877" s="351">
        <v>1</v>
      </c>
      <c r="E1877" s="53"/>
      <c r="F1877" s="351">
        <v>1</v>
      </c>
      <c r="G1877" s="15"/>
      <c r="H1877" s="15"/>
      <c r="I1877" s="15"/>
      <c r="J1877" s="15"/>
      <c r="K1877" s="15"/>
      <c r="L1877" s="15"/>
      <c r="M1877" s="15"/>
      <c r="N1877" s="15"/>
      <c r="O1877" s="15"/>
      <c r="P1877" s="15"/>
      <c r="Q1877" s="66"/>
      <c r="R1877" s="66"/>
      <c r="S1877" s="15"/>
    </row>
    <row r="1878" spans="1:19">
      <c r="A1878" s="24"/>
      <c r="B1878" s="25" t="s">
        <v>187</v>
      </c>
      <c r="C1878" s="26" t="s">
        <v>78</v>
      </c>
      <c r="D1878" s="351">
        <v>1</v>
      </c>
      <c r="E1878" s="59"/>
      <c r="F1878" s="351">
        <v>1</v>
      </c>
      <c r="G1878" s="37"/>
      <c r="H1878" s="37"/>
      <c r="I1878" s="37"/>
      <c r="J1878" s="37"/>
      <c r="K1878" s="37"/>
      <c r="L1878" s="37"/>
      <c r="M1878" s="37"/>
      <c r="N1878" s="37"/>
      <c r="O1878" s="37"/>
      <c r="P1878" s="37"/>
      <c r="Q1878" s="66"/>
      <c r="R1878" s="66"/>
      <c r="S1878" s="37"/>
    </row>
    <row r="1879" spans="1:19">
      <c r="A1879" s="24"/>
      <c r="B1879" s="25" t="s">
        <v>196</v>
      </c>
      <c r="C1879" s="26" t="s">
        <v>17</v>
      </c>
      <c r="D1879" s="351">
        <v>1</v>
      </c>
      <c r="E1879" s="61"/>
      <c r="F1879" s="351">
        <v>1</v>
      </c>
      <c r="G1879" s="39"/>
      <c r="H1879" s="39"/>
      <c r="I1879" s="39"/>
      <c r="J1879" s="39"/>
      <c r="K1879" s="39"/>
      <c r="L1879" s="39"/>
      <c r="M1879" s="39"/>
      <c r="N1879" s="39"/>
      <c r="O1879" s="39"/>
      <c r="P1879" s="39"/>
      <c r="Q1879" s="65"/>
      <c r="R1879" s="65"/>
      <c r="S1879" s="39"/>
    </row>
    <row r="1880" spans="1:19">
      <c r="A1880" s="24"/>
      <c r="B1880" s="25" t="s">
        <v>197</v>
      </c>
      <c r="C1880" s="26" t="s">
        <v>8</v>
      </c>
      <c r="D1880" s="351">
        <v>1</v>
      </c>
      <c r="E1880" s="57"/>
      <c r="F1880" s="351">
        <v>1</v>
      </c>
      <c r="G1880" s="36"/>
      <c r="H1880" s="36"/>
      <c r="I1880" s="36"/>
      <c r="J1880" s="36"/>
      <c r="K1880" s="36"/>
      <c r="L1880" s="36"/>
      <c r="M1880" s="36"/>
      <c r="N1880" s="36"/>
      <c r="O1880" s="36"/>
      <c r="P1880" s="36"/>
      <c r="Q1880" s="65"/>
      <c r="R1880" s="65"/>
      <c r="S1880" s="36"/>
    </row>
    <row r="1881" spans="1:19">
      <c r="A1881" s="24"/>
      <c r="B1881" s="25" t="s">
        <v>183</v>
      </c>
      <c r="C1881" s="26" t="s">
        <v>8</v>
      </c>
      <c r="D1881" s="351">
        <v>1</v>
      </c>
      <c r="E1881" s="53"/>
      <c r="F1881" s="351">
        <v>1</v>
      </c>
      <c r="G1881" s="15"/>
      <c r="H1881" s="15"/>
      <c r="I1881" s="15"/>
      <c r="J1881" s="15"/>
      <c r="K1881" s="15"/>
      <c r="L1881" s="15"/>
      <c r="M1881" s="15"/>
      <c r="N1881" s="15"/>
      <c r="O1881" s="15"/>
      <c r="P1881" s="15"/>
      <c r="Q1881" s="66"/>
      <c r="R1881" s="66"/>
      <c r="S1881" s="15"/>
    </row>
    <row r="1882" spans="1:19">
      <c r="A1882" s="24"/>
      <c r="B1882" s="25" t="s">
        <v>198</v>
      </c>
      <c r="C1882" s="26" t="s">
        <v>8</v>
      </c>
      <c r="D1882" s="351">
        <v>1</v>
      </c>
      <c r="E1882" s="58"/>
      <c r="F1882" s="351">
        <v>1</v>
      </c>
      <c r="G1882" s="18"/>
      <c r="H1882" s="18"/>
      <c r="I1882" s="18"/>
      <c r="J1882" s="18"/>
      <c r="K1882" s="18"/>
      <c r="L1882" s="18"/>
      <c r="M1882" s="18"/>
      <c r="N1882" s="18"/>
      <c r="O1882" s="18"/>
      <c r="P1882" s="18"/>
      <c r="Q1882" s="65"/>
      <c r="R1882" s="65"/>
      <c r="S1882" s="18"/>
    </row>
    <row r="1883" spans="1:19">
      <c r="A1883" s="24"/>
      <c r="B1883" s="25" t="s">
        <v>185</v>
      </c>
      <c r="C1883" s="26" t="s">
        <v>8</v>
      </c>
      <c r="D1883" s="351">
        <v>1</v>
      </c>
      <c r="E1883" s="53"/>
      <c r="F1883" s="351">
        <v>1</v>
      </c>
      <c r="G1883" s="15"/>
      <c r="H1883" s="15"/>
      <c r="I1883" s="15"/>
      <c r="J1883" s="15"/>
      <c r="K1883" s="15"/>
      <c r="L1883" s="15"/>
      <c r="M1883" s="15"/>
      <c r="N1883" s="15"/>
      <c r="O1883" s="15"/>
      <c r="P1883" s="15"/>
      <c r="Q1883" s="66"/>
      <c r="R1883" s="66"/>
      <c r="S1883" s="15"/>
    </row>
    <row r="1884" spans="1:19">
      <c r="A1884" s="24"/>
      <c r="B1884" s="25" t="s">
        <v>186</v>
      </c>
      <c r="C1884" s="26" t="s">
        <v>8</v>
      </c>
      <c r="D1884" s="351">
        <v>2</v>
      </c>
      <c r="E1884" s="53"/>
      <c r="F1884" s="351">
        <v>2</v>
      </c>
      <c r="G1884" s="15"/>
      <c r="H1884" s="15"/>
      <c r="I1884" s="15"/>
      <c r="J1884" s="15"/>
      <c r="K1884" s="15"/>
      <c r="L1884" s="15"/>
      <c r="M1884" s="15"/>
      <c r="N1884" s="15"/>
      <c r="O1884" s="15"/>
      <c r="P1884" s="15"/>
      <c r="Q1884" s="66"/>
      <c r="R1884" s="66"/>
      <c r="S1884" s="15"/>
    </row>
    <row r="1885" spans="1:19">
      <c r="A1885" s="24"/>
      <c r="B1885" s="25" t="s">
        <v>187</v>
      </c>
      <c r="C1885" s="26" t="s">
        <v>78</v>
      </c>
      <c r="D1885" s="351">
        <v>1</v>
      </c>
      <c r="E1885" s="53"/>
      <c r="F1885" s="351">
        <v>1</v>
      </c>
      <c r="G1885" s="15"/>
      <c r="H1885" s="15"/>
      <c r="I1885" s="15"/>
      <c r="J1885" s="15"/>
      <c r="K1885" s="15"/>
      <c r="L1885" s="15"/>
      <c r="M1885" s="15"/>
      <c r="N1885" s="15"/>
      <c r="O1885" s="15"/>
      <c r="P1885" s="15"/>
      <c r="Q1885" s="66"/>
      <c r="R1885" s="66"/>
      <c r="S1885" s="15"/>
    </row>
    <row r="1886" spans="1:19">
      <c r="A1886" s="24"/>
      <c r="B1886" s="25" t="s">
        <v>173</v>
      </c>
      <c r="C1886" s="26" t="s">
        <v>8</v>
      </c>
      <c r="D1886" s="351">
        <v>1</v>
      </c>
      <c r="E1886" s="312"/>
      <c r="F1886" s="351">
        <v>1</v>
      </c>
      <c r="G1886" s="26"/>
      <c r="H1886" s="26"/>
      <c r="I1886" s="26"/>
      <c r="J1886" s="26"/>
      <c r="K1886" s="26"/>
      <c r="L1886" s="26"/>
      <c r="M1886" s="26"/>
      <c r="N1886" s="26"/>
      <c r="O1886" s="26"/>
      <c r="P1886" s="26"/>
      <c r="Q1886" s="66"/>
      <c r="R1886" s="66"/>
      <c r="S1886" s="26"/>
    </row>
    <row r="1887" spans="1:19">
      <c r="A1887" s="24"/>
      <c r="B1887" s="25" t="s">
        <v>438</v>
      </c>
      <c r="C1887" s="26" t="s">
        <v>17</v>
      </c>
      <c r="D1887" s="351">
        <v>1</v>
      </c>
      <c r="E1887" s="62"/>
      <c r="F1887" s="351">
        <v>1</v>
      </c>
      <c r="G1887" s="40"/>
      <c r="H1887" s="40"/>
      <c r="I1887" s="40"/>
      <c r="J1887" s="40"/>
      <c r="K1887" s="40"/>
      <c r="L1887" s="40"/>
      <c r="M1887" s="40"/>
      <c r="N1887" s="40"/>
      <c r="O1887" s="40"/>
      <c r="P1887" s="40"/>
      <c r="Q1887" s="66"/>
      <c r="R1887" s="66"/>
      <c r="S1887" s="40"/>
    </row>
    <row r="1888" spans="1:19">
      <c r="A1888" s="24"/>
      <c r="B1888" s="25" t="s">
        <v>217</v>
      </c>
      <c r="C1888" s="26" t="s">
        <v>17</v>
      </c>
      <c r="D1888" s="351">
        <v>1</v>
      </c>
      <c r="E1888" s="62"/>
      <c r="F1888" s="351">
        <v>1</v>
      </c>
      <c r="G1888" s="40"/>
      <c r="H1888" s="40"/>
      <c r="I1888" s="40"/>
      <c r="J1888" s="40"/>
      <c r="K1888" s="40"/>
      <c r="L1888" s="40"/>
      <c r="M1888" s="40"/>
      <c r="N1888" s="40"/>
      <c r="O1888" s="40"/>
      <c r="P1888" s="40"/>
      <c r="Q1888" s="66"/>
      <c r="R1888" s="66"/>
      <c r="S1888" s="40"/>
    </row>
    <row r="1889" spans="1:19" ht="30">
      <c r="A1889" s="24"/>
      <c r="B1889" s="25" t="s">
        <v>176</v>
      </c>
      <c r="C1889" s="26" t="s">
        <v>78</v>
      </c>
      <c r="D1889" s="351">
        <v>1</v>
      </c>
      <c r="E1889" s="53"/>
      <c r="F1889" s="351">
        <v>1</v>
      </c>
      <c r="G1889" s="15"/>
      <c r="H1889" s="15"/>
      <c r="I1889" s="15"/>
      <c r="J1889" s="15"/>
      <c r="K1889" s="15"/>
      <c r="L1889" s="15"/>
      <c r="M1889" s="15"/>
      <c r="N1889" s="15"/>
      <c r="O1889" s="15"/>
      <c r="P1889" s="15"/>
      <c r="Q1889" s="66"/>
      <c r="R1889" s="66"/>
      <c r="S1889" s="15"/>
    </row>
    <row r="1890" spans="1:19" ht="60">
      <c r="A1890" s="24">
        <v>72</v>
      </c>
      <c r="B1890" s="25" t="s">
        <v>439</v>
      </c>
      <c r="C1890" s="26" t="s">
        <v>7</v>
      </c>
      <c r="D1890" s="351">
        <v>1</v>
      </c>
      <c r="E1890" s="59"/>
      <c r="F1890" s="351">
        <v>1</v>
      </c>
      <c r="G1890" s="26" t="s">
        <v>2326</v>
      </c>
      <c r="H1890" s="26"/>
      <c r="I1890" s="26" t="s">
        <v>2327</v>
      </c>
      <c r="J1890" s="26" t="s">
        <v>2328</v>
      </c>
      <c r="K1890" s="311">
        <v>27389776.589999996</v>
      </c>
      <c r="L1890" s="311">
        <v>0</v>
      </c>
      <c r="M1890" s="311">
        <v>1582000.0000000002</v>
      </c>
      <c r="N1890" s="311">
        <v>2906644.1</v>
      </c>
      <c r="O1890" s="311">
        <v>2034650.87</v>
      </c>
      <c r="P1890" s="68">
        <f>SUM(K1890:O1890)</f>
        <v>33913071.559999995</v>
      </c>
      <c r="Q1890" s="68">
        <f>D1890*P1890</f>
        <v>33913071.559999995</v>
      </c>
      <c r="R1890" s="127">
        <f>F1890*P1890</f>
        <v>33913071.559999995</v>
      </c>
      <c r="S1890" s="37"/>
    </row>
    <row r="1891" spans="1:19" ht="30">
      <c r="A1891" s="24"/>
      <c r="B1891" s="25" t="s">
        <v>319</v>
      </c>
      <c r="C1891" s="26" t="s">
        <v>8</v>
      </c>
      <c r="D1891" s="351">
        <v>1</v>
      </c>
      <c r="E1891" s="59"/>
      <c r="F1891" s="351">
        <v>1</v>
      </c>
      <c r="G1891" s="37"/>
      <c r="H1891" s="37"/>
      <c r="I1891" s="37"/>
      <c r="J1891" s="37"/>
      <c r="K1891" s="37"/>
      <c r="L1891" s="37"/>
      <c r="M1891" s="37"/>
      <c r="N1891" s="37"/>
      <c r="O1891" s="37"/>
      <c r="P1891" s="37"/>
      <c r="Q1891" s="66"/>
      <c r="R1891" s="66"/>
      <c r="S1891" s="37"/>
    </row>
    <row r="1892" spans="1:19">
      <c r="A1892" s="24"/>
      <c r="B1892" s="25" t="s">
        <v>161</v>
      </c>
      <c r="C1892" s="26"/>
      <c r="D1892" s="351"/>
      <c r="E1892" s="59"/>
      <c r="F1892" s="351"/>
      <c r="G1892" s="37"/>
      <c r="H1892" s="37"/>
      <c r="I1892" s="37"/>
      <c r="J1892" s="37"/>
      <c r="K1892" s="37"/>
      <c r="L1892" s="37"/>
      <c r="M1892" s="37"/>
      <c r="N1892" s="37"/>
      <c r="O1892" s="37"/>
      <c r="P1892" s="37"/>
      <c r="Q1892" s="66"/>
      <c r="R1892" s="66"/>
      <c r="S1892" s="37"/>
    </row>
    <row r="1893" spans="1:19">
      <c r="A1893" s="24"/>
      <c r="B1893" s="25" t="s">
        <v>284</v>
      </c>
      <c r="C1893" s="26" t="s">
        <v>8</v>
      </c>
      <c r="D1893" s="351">
        <v>1</v>
      </c>
      <c r="E1893" s="59"/>
      <c r="F1893" s="351">
        <v>1</v>
      </c>
      <c r="G1893" s="37"/>
      <c r="H1893" s="37"/>
      <c r="I1893" s="37"/>
      <c r="J1893" s="37"/>
      <c r="K1893" s="37"/>
      <c r="L1893" s="37"/>
      <c r="M1893" s="37"/>
      <c r="N1893" s="37"/>
      <c r="O1893" s="37"/>
      <c r="P1893" s="37"/>
      <c r="Q1893" s="66"/>
      <c r="R1893" s="66"/>
      <c r="S1893" s="37"/>
    </row>
    <row r="1894" spans="1:19">
      <c r="A1894" s="24"/>
      <c r="B1894" s="25" t="s">
        <v>363</v>
      </c>
      <c r="C1894" s="26" t="s">
        <v>20</v>
      </c>
      <c r="D1894" s="351">
        <v>3</v>
      </c>
      <c r="E1894" s="59"/>
      <c r="F1894" s="351">
        <v>3</v>
      </c>
      <c r="G1894" s="37"/>
      <c r="H1894" s="37"/>
      <c r="I1894" s="37"/>
      <c r="J1894" s="37"/>
      <c r="K1894" s="37"/>
      <c r="L1894" s="37"/>
      <c r="M1894" s="37"/>
      <c r="N1894" s="37"/>
      <c r="O1894" s="37"/>
      <c r="P1894" s="37"/>
      <c r="Q1894" s="66"/>
      <c r="R1894" s="66"/>
      <c r="S1894" s="37"/>
    </row>
    <row r="1895" spans="1:19">
      <c r="A1895" s="24"/>
      <c r="B1895" s="25" t="s">
        <v>21</v>
      </c>
      <c r="C1895" s="26" t="s">
        <v>8</v>
      </c>
      <c r="D1895" s="351">
        <v>1</v>
      </c>
      <c r="E1895" s="59"/>
      <c r="F1895" s="351">
        <v>1</v>
      </c>
      <c r="G1895" s="37"/>
      <c r="H1895" s="37"/>
      <c r="I1895" s="37"/>
      <c r="J1895" s="37"/>
      <c r="K1895" s="37"/>
      <c r="L1895" s="37"/>
      <c r="M1895" s="37"/>
      <c r="N1895" s="37"/>
      <c r="O1895" s="37"/>
      <c r="P1895" s="37"/>
      <c r="Q1895" s="66"/>
      <c r="R1895" s="66"/>
      <c r="S1895" s="37"/>
    </row>
    <row r="1896" spans="1:19">
      <c r="A1896" s="24"/>
      <c r="B1896" s="25" t="s">
        <v>22</v>
      </c>
      <c r="C1896" s="26" t="s">
        <v>8</v>
      </c>
      <c r="D1896" s="351">
        <v>1</v>
      </c>
      <c r="E1896" s="59"/>
      <c r="F1896" s="351">
        <v>1</v>
      </c>
      <c r="G1896" s="37"/>
      <c r="H1896" s="37"/>
      <c r="I1896" s="37"/>
      <c r="J1896" s="37"/>
      <c r="K1896" s="37"/>
      <c r="L1896" s="37"/>
      <c r="M1896" s="37"/>
      <c r="N1896" s="37"/>
      <c r="O1896" s="37"/>
      <c r="P1896" s="37"/>
      <c r="Q1896" s="66"/>
      <c r="R1896" s="66"/>
      <c r="S1896" s="37"/>
    </row>
    <row r="1897" spans="1:19">
      <c r="A1897" s="24"/>
      <c r="B1897" s="25" t="s">
        <v>364</v>
      </c>
      <c r="C1897" s="26" t="s">
        <v>8</v>
      </c>
      <c r="D1897" s="351">
        <v>3</v>
      </c>
      <c r="E1897" s="59"/>
      <c r="F1897" s="351">
        <v>3</v>
      </c>
      <c r="G1897" s="37"/>
      <c r="H1897" s="37"/>
      <c r="I1897" s="37"/>
      <c r="J1897" s="37"/>
      <c r="K1897" s="37"/>
      <c r="L1897" s="37"/>
      <c r="M1897" s="37"/>
      <c r="N1897" s="37"/>
      <c r="O1897" s="37"/>
      <c r="P1897" s="37"/>
      <c r="Q1897" s="66"/>
      <c r="R1897" s="66"/>
      <c r="S1897" s="37"/>
    </row>
    <row r="1898" spans="1:19">
      <c r="A1898" s="24"/>
      <c r="B1898" s="25" t="s">
        <v>24</v>
      </c>
      <c r="C1898" s="26" t="s">
        <v>8</v>
      </c>
      <c r="D1898" s="351">
        <v>3</v>
      </c>
      <c r="E1898" s="59"/>
      <c r="F1898" s="351">
        <v>3</v>
      </c>
      <c r="G1898" s="37"/>
      <c r="H1898" s="37"/>
      <c r="I1898" s="37"/>
      <c r="J1898" s="37"/>
      <c r="K1898" s="37"/>
      <c r="L1898" s="37"/>
      <c r="M1898" s="37"/>
      <c r="N1898" s="37"/>
      <c r="O1898" s="37"/>
      <c r="P1898" s="37"/>
      <c r="Q1898" s="66"/>
      <c r="R1898" s="66"/>
      <c r="S1898" s="37"/>
    </row>
    <row r="1899" spans="1:19">
      <c r="A1899" s="24"/>
      <c r="B1899" s="25" t="s">
        <v>163</v>
      </c>
      <c r="C1899" s="26" t="s">
        <v>8</v>
      </c>
      <c r="D1899" s="351">
        <v>3</v>
      </c>
      <c r="E1899" s="59"/>
      <c r="F1899" s="351">
        <v>3</v>
      </c>
      <c r="G1899" s="37"/>
      <c r="H1899" s="37"/>
      <c r="I1899" s="37"/>
      <c r="J1899" s="37"/>
      <c r="K1899" s="37"/>
      <c r="L1899" s="37"/>
      <c r="M1899" s="37"/>
      <c r="N1899" s="37"/>
      <c r="O1899" s="37"/>
      <c r="P1899" s="37"/>
      <c r="Q1899" s="66"/>
      <c r="R1899" s="66"/>
      <c r="S1899" s="37"/>
    </row>
    <row r="1900" spans="1:19">
      <c r="A1900" s="24"/>
      <c r="B1900" s="25" t="s">
        <v>164</v>
      </c>
      <c r="C1900" s="26"/>
      <c r="D1900" s="351"/>
      <c r="E1900" s="59"/>
      <c r="F1900" s="351"/>
      <c r="G1900" s="37"/>
      <c r="H1900" s="37"/>
      <c r="I1900" s="37"/>
      <c r="J1900" s="37"/>
      <c r="K1900" s="37"/>
      <c r="L1900" s="37"/>
      <c r="M1900" s="37"/>
      <c r="N1900" s="37"/>
      <c r="O1900" s="37"/>
      <c r="P1900" s="37"/>
      <c r="Q1900" s="66"/>
      <c r="R1900" s="66"/>
      <c r="S1900" s="37"/>
    </row>
    <row r="1901" spans="1:19">
      <c r="A1901" s="24"/>
      <c r="B1901" s="25" t="s">
        <v>251</v>
      </c>
      <c r="C1901" s="26" t="s">
        <v>8</v>
      </c>
      <c r="D1901" s="351">
        <v>2</v>
      </c>
      <c r="E1901" s="59"/>
      <c r="F1901" s="351">
        <v>2</v>
      </c>
      <c r="G1901" s="37"/>
      <c r="H1901" s="37"/>
      <c r="I1901" s="37"/>
      <c r="J1901" s="37"/>
      <c r="K1901" s="37"/>
      <c r="L1901" s="37"/>
      <c r="M1901" s="37"/>
      <c r="N1901" s="37"/>
      <c r="O1901" s="37"/>
      <c r="P1901" s="37"/>
      <c r="Q1901" s="66"/>
      <c r="R1901" s="66"/>
      <c r="S1901" s="37"/>
    </row>
    <row r="1902" spans="1:19">
      <c r="A1902" s="24"/>
      <c r="B1902" s="25" t="s">
        <v>168</v>
      </c>
      <c r="C1902" s="26" t="s">
        <v>8</v>
      </c>
      <c r="D1902" s="351">
        <v>1</v>
      </c>
      <c r="E1902" s="61"/>
      <c r="F1902" s="351">
        <v>1</v>
      </c>
      <c r="G1902" s="39"/>
      <c r="H1902" s="39"/>
      <c r="I1902" s="39"/>
      <c r="J1902" s="39"/>
      <c r="K1902" s="39"/>
      <c r="L1902" s="39"/>
      <c r="M1902" s="39"/>
      <c r="N1902" s="39"/>
      <c r="O1902" s="39"/>
      <c r="P1902" s="39"/>
      <c r="Q1902" s="65"/>
      <c r="R1902" s="65"/>
      <c r="S1902" s="39"/>
    </row>
    <row r="1903" spans="1:19">
      <c r="A1903" s="24"/>
      <c r="B1903" s="25" t="s">
        <v>360</v>
      </c>
      <c r="C1903" s="26" t="s">
        <v>17</v>
      </c>
      <c r="D1903" s="351">
        <v>2</v>
      </c>
      <c r="E1903" s="57"/>
      <c r="F1903" s="351">
        <v>2</v>
      </c>
      <c r="G1903" s="36"/>
      <c r="H1903" s="36"/>
      <c r="I1903" s="36"/>
      <c r="J1903" s="36"/>
      <c r="K1903" s="36"/>
      <c r="L1903" s="36"/>
      <c r="M1903" s="36"/>
      <c r="N1903" s="36"/>
      <c r="O1903" s="36"/>
      <c r="P1903" s="36"/>
      <c r="Q1903" s="65"/>
      <c r="R1903" s="65"/>
      <c r="S1903" s="36"/>
    </row>
    <row r="1904" spans="1:19">
      <c r="A1904" s="24"/>
      <c r="B1904" s="25" t="s">
        <v>254</v>
      </c>
      <c r="C1904" s="26" t="s">
        <v>8</v>
      </c>
      <c r="D1904" s="351">
        <v>4</v>
      </c>
      <c r="E1904" s="53"/>
      <c r="F1904" s="351">
        <v>4</v>
      </c>
      <c r="G1904" s="15"/>
      <c r="H1904" s="15"/>
      <c r="I1904" s="15"/>
      <c r="J1904" s="15"/>
      <c r="K1904" s="15"/>
      <c r="L1904" s="15"/>
      <c r="M1904" s="15"/>
      <c r="N1904" s="15"/>
      <c r="O1904" s="15"/>
      <c r="P1904" s="15"/>
      <c r="Q1904" s="66"/>
      <c r="R1904" s="66"/>
      <c r="S1904" s="15"/>
    </row>
    <row r="1905" spans="1:19">
      <c r="A1905" s="24"/>
      <c r="B1905" s="25" t="s">
        <v>255</v>
      </c>
      <c r="C1905" s="26" t="s">
        <v>8</v>
      </c>
      <c r="D1905" s="351">
        <v>2</v>
      </c>
      <c r="E1905" s="58"/>
      <c r="F1905" s="351">
        <v>2</v>
      </c>
      <c r="G1905" s="18"/>
      <c r="H1905" s="18"/>
      <c r="I1905" s="18"/>
      <c r="J1905" s="18"/>
      <c r="K1905" s="18"/>
      <c r="L1905" s="18"/>
      <c r="M1905" s="18"/>
      <c r="N1905" s="18"/>
      <c r="O1905" s="18"/>
      <c r="P1905" s="18"/>
      <c r="Q1905" s="65"/>
      <c r="R1905" s="65"/>
      <c r="S1905" s="18"/>
    </row>
    <row r="1906" spans="1:19">
      <c r="A1906" s="24"/>
      <c r="B1906" s="25" t="s">
        <v>183</v>
      </c>
      <c r="C1906" s="26" t="s">
        <v>8</v>
      </c>
      <c r="D1906" s="351">
        <v>5</v>
      </c>
      <c r="E1906" s="53"/>
      <c r="F1906" s="351">
        <v>5</v>
      </c>
      <c r="G1906" s="15"/>
      <c r="H1906" s="15"/>
      <c r="I1906" s="15"/>
      <c r="J1906" s="15"/>
      <c r="K1906" s="15"/>
      <c r="L1906" s="15"/>
      <c r="M1906" s="15"/>
      <c r="N1906" s="15"/>
      <c r="O1906" s="15"/>
      <c r="P1906" s="15"/>
      <c r="Q1906" s="66"/>
      <c r="R1906" s="66"/>
      <c r="S1906" s="15"/>
    </row>
    <row r="1907" spans="1:19">
      <c r="A1907" s="24"/>
      <c r="B1907" s="25" t="s">
        <v>211</v>
      </c>
      <c r="C1907" s="26" t="s">
        <v>8</v>
      </c>
      <c r="D1907" s="351">
        <v>2</v>
      </c>
      <c r="E1907" s="53"/>
      <c r="F1907" s="351">
        <v>2</v>
      </c>
      <c r="G1907" s="15"/>
      <c r="H1907" s="15"/>
      <c r="I1907" s="15"/>
      <c r="J1907" s="15"/>
      <c r="K1907" s="15"/>
      <c r="L1907" s="15"/>
      <c r="M1907" s="15"/>
      <c r="N1907" s="15"/>
      <c r="O1907" s="15"/>
      <c r="P1907" s="15"/>
      <c r="Q1907" s="66"/>
      <c r="R1907" s="66"/>
      <c r="S1907" s="15"/>
    </row>
    <row r="1908" spans="1:19">
      <c r="A1908" s="24"/>
      <c r="B1908" s="25" t="s">
        <v>361</v>
      </c>
      <c r="C1908" s="26" t="s">
        <v>8</v>
      </c>
      <c r="D1908" s="351">
        <v>2</v>
      </c>
      <c r="E1908" s="53"/>
      <c r="F1908" s="351">
        <v>2</v>
      </c>
      <c r="G1908" s="15"/>
      <c r="H1908" s="15"/>
      <c r="I1908" s="15"/>
      <c r="J1908" s="15"/>
      <c r="K1908" s="15"/>
      <c r="L1908" s="15"/>
      <c r="M1908" s="15"/>
      <c r="N1908" s="15"/>
      <c r="O1908" s="15"/>
      <c r="P1908" s="15"/>
      <c r="Q1908" s="66"/>
      <c r="R1908" s="66"/>
      <c r="S1908" s="15"/>
    </row>
    <row r="1909" spans="1:19">
      <c r="A1909" s="24"/>
      <c r="B1909" s="25" t="s">
        <v>185</v>
      </c>
      <c r="C1909" s="26" t="s">
        <v>8</v>
      </c>
      <c r="D1909" s="351">
        <v>2</v>
      </c>
      <c r="E1909" s="312"/>
      <c r="F1909" s="351">
        <v>2</v>
      </c>
      <c r="G1909" s="26"/>
      <c r="H1909" s="26"/>
      <c r="I1909" s="26"/>
      <c r="J1909" s="26"/>
      <c r="K1909" s="26"/>
      <c r="L1909" s="26"/>
      <c r="M1909" s="26"/>
      <c r="N1909" s="26"/>
      <c r="O1909" s="26"/>
      <c r="P1909" s="26"/>
      <c r="Q1909" s="66"/>
      <c r="R1909" s="66"/>
      <c r="S1909" s="26"/>
    </row>
    <row r="1910" spans="1:19">
      <c r="A1910" s="24"/>
      <c r="B1910" s="25" t="s">
        <v>212</v>
      </c>
      <c r="C1910" s="26" t="s">
        <v>8</v>
      </c>
      <c r="D1910" s="351">
        <v>2</v>
      </c>
      <c r="E1910" s="62"/>
      <c r="F1910" s="351">
        <v>2</v>
      </c>
      <c r="G1910" s="40"/>
      <c r="H1910" s="40"/>
      <c r="I1910" s="40"/>
      <c r="J1910" s="40"/>
      <c r="K1910" s="40"/>
      <c r="L1910" s="40"/>
      <c r="M1910" s="40"/>
      <c r="N1910" s="40"/>
      <c r="O1910" s="40"/>
      <c r="P1910" s="40"/>
      <c r="Q1910" s="66"/>
      <c r="R1910" s="66"/>
      <c r="S1910" s="40"/>
    </row>
    <row r="1911" spans="1:19">
      <c r="A1911" s="24"/>
      <c r="B1911" s="25" t="s">
        <v>186</v>
      </c>
      <c r="C1911" s="26" t="s">
        <v>8</v>
      </c>
      <c r="D1911" s="351">
        <v>4</v>
      </c>
      <c r="E1911" s="62"/>
      <c r="F1911" s="351">
        <v>4</v>
      </c>
      <c r="G1911" s="40"/>
      <c r="H1911" s="40"/>
      <c r="I1911" s="40"/>
      <c r="J1911" s="40"/>
      <c r="K1911" s="40"/>
      <c r="L1911" s="40"/>
      <c r="M1911" s="40"/>
      <c r="N1911" s="40"/>
      <c r="O1911" s="40"/>
      <c r="P1911" s="40"/>
      <c r="Q1911" s="66"/>
      <c r="R1911" s="66"/>
      <c r="S1911" s="40"/>
    </row>
    <row r="1912" spans="1:19">
      <c r="A1912" s="24"/>
      <c r="B1912" s="25" t="s">
        <v>171</v>
      </c>
      <c r="C1912" s="26" t="s">
        <v>8</v>
      </c>
      <c r="D1912" s="351">
        <v>2</v>
      </c>
      <c r="E1912" s="53"/>
      <c r="F1912" s="351">
        <v>2</v>
      </c>
      <c r="G1912" s="15"/>
      <c r="H1912" s="15"/>
      <c r="I1912" s="15"/>
      <c r="J1912" s="15"/>
      <c r="K1912" s="15"/>
      <c r="L1912" s="15"/>
      <c r="M1912" s="15"/>
      <c r="N1912" s="15"/>
      <c r="O1912" s="15"/>
      <c r="P1912" s="15"/>
      <c r="Q1912" s="66"/>
      <c r="R1912" s="66"/>
      <c r="S1912" s="15"/>
    </row>
    <row r="1913" spans="1:19">
      <c r="A1913" s="24"/>
      <c r="B1913" s="25" t="s">
        <v>187</v>
      </c>
      <c r="C1913" s="26" t="s">
        <v>78</v>
      </c>
      <c r="D1913" s="351">
        <v>1</v>
      </c>
      <c r="E1913" s="59"/>
      <c r="F1913" s="351">
        <v>1</v>
      </c>
      <c r="G1913" s="37"/>
      <c r="H1913" s="37"/>
      <c r="I1913" s="37"/>
      <c r="J1913" s="37"/>
      <c r="K1913" s="37"/>
      <c r="L1913" s="37"/>
      <c r="M1913" s="37"/>
      <c r="N1913" s="37"/>
      <c r="O1913" s="37"/>
      <c r="P1913" s="37"/>
      <c r="Q1913" s="66"/>
      <c r="R1913" s="66"/>
      <c r="S1913" s="37"/>
    </row>
    <row r="1914" spans="1:19">
      <c r="A1914" s="24"/>
      <c r="B1914" s="25" t="s">
        <v>173</v>
      </c>
      <c r="C1914" s="26" t="s">
        <v>8</v>
      </c>
      <c r="D1914" s="351">
        <v>1</v>
      </c>
      <c r="E1914" s="59"/>
      <c r="F1914" s="351">
        <v>1</v>
      </c>
      <c r="G1914" s="37"/>
      <c r="H1914" s="37"/>
      <c r="I1914" s="37"/>
      <c r="J1914" s="37"/>
      <c r="K1914" s="37"/>
      <c r="L1914" s="37"/>
      <c r="M1914" s="37"/>
      <c r="N1914" s="37"/>
      <c r="O1914" s="37"/>
      <c r="P1914" s="37"/>
      <c r="Q1914" s="66"/>
      <c r="R1914" s="66"/>
      <c r="S1914" s="37"/>
    </row>
    <row r="1915" spans="1:19">
      <c r="A1915" s="24"/>
      <c r="B1915" s="25" t="s">
        <v>366</v>
      </c>
      <c r="C1915" s="26" t="s">
        <v>17</v>
      </c>
      <c r="D1915" s="351">
        <v>1</v>
      </c>
      <c r="E1915" s="59"/>
      <c r="F1915" s="351">
        <v>1</v>
      </c>
      <c r="G1915" s="37"/>
      <c r="H1915" s="37"/>
      <c r="I1915" s="37"/>
      <c r="J1915" s="37"/>
      <c r="K1915" s="37"/>
      <c r="L1915" s="37"/>
      <c r="M1915" s="37"/>
      <c r="N1915" s="37"/>
      <c r="O1915" s="37"/>
      <c r="P1915" s="37"/>
      <c r="Q1915" s="66"/>
      <c r="R1915" s="66"/>
      <c r="S1915" s="37"/>
    </row>
    <row r="1916" spans="1:19">
      <c r="A1916" s="24"/>
      <c r="B1916" s="25" t="s">
        <v>217</v>
      </c>
      <c r="C1916" s="26" t="s">
        <v>17</v>
      </c>
      <c r="D1916" s="351">
        <v>1</v>
      </c>
      <c r="E1916" s="59"/>
      <c r="F1916" s="351">
        <v>1</v>
      </c>
      <c r="G1916" s="37"/>
      <c r="H1916" s="37"/>
      <c r="I1916" s="37"/>
      <c r="J1916" s="37"/>
      <c r="K1916" s="37"/>
      <c r="L1916" s="37"/>
      <c r="M1916" s="37"/>
      <c r="N1916" s="37"/>
      <c r="O1916" s="37"/>
      <c r="P1916" s="37"/>
      <c r="Q1916" s="66"/>
      <c r="R1916" s="66"/>
      <c r="S1916" s="37"/>
    </row>
    <row r="1917" spans="1:19" ht="30">
      <c r="A1917" s="24"/>
      <c r="B1917" s="25" t="s">
        <v>176</v>
      </c>
      <c r="C1917" s="26" t="s">
        <v>78</v>
      </c>
      <c r="D1917" s="351">
        <v>1</v>
      </c>
      <c r="E1917" s="61"/>
      <c r="F1917" s="351">
        <v>1</v>
      </c>
      <c r="G1917" s="39"/>
      <c r="H1917" s="39"/>
      <c r="I1917" s="39"/>
      <c r="J1917" s="39"/>
      <c r="K1917" s="39"/>
      <c r="L1917" s="39"/>
      <c r="M1917" s="39"/>
      <c r="N1917" s="39"/>
      <c r="O1917" s="39"/>
      <c r="P1917" s="39"/>
      <c r="Q1917" s="65"/>
      <c r="R1917" s="65"/>
      <c r="S1917" s="39"/>
    </row>
    <row r="1918" spans="1:19" ht="60">
      <c r="A1918" s="24">
        <v>73</v>
      </c>
      <c r="B1918" s="25" t="s">
        <v>440</v>
      </c>
      <c r="C1918" s="26" t="s">
        <v>7</v>
      </c>
      <c r="D1918" s="351">
        <v>1</v>
      </c>
      <c r="E1918" s="92"/>
      <c r="F1918" s="351">
        <v>1</v>
      </c>
      <c r="G1918" s="26" t="s">
        <v>2326</v>
      </c>
      <c r="H1918" s="26"/>
      <c r="I1918" s="26" t="s">
        <v>2327</v>
      </c>
      <c r="J1918" s="26" t="s">
        <v>2328</v>
      </c>
      <c r="K1918" s="311">
        <v>65264662.979999989</v>
      </c>
      <c r="L1918" s="311">
        <v>0</v>
      </c>
      <c r="M1918" s="311">
        <v>3164000.0000000005</v>
      </c>
      <c r="N1918" s="311">
        <v>6872390.2000000002</v>
      </c>
      <c r="O1918" s="311">
        <v>4810673.1400000006</v>
      </c>
      <c r="P1918" s="68">
        <f>SUM(K1918:O1918)</f>
        <v>80111726.319999993</v>
      </c>
      <c r="Q1918" s="68">
        <f>D1918*P1918</f>
        <v>80111726.319999993</v>
      </c>
      <c r="R1918" s="127">
        <f>F1918*P1918</f>
        <v>80111726.319999993</v>
      </c>
      <c r="S1918" s="329"/>
    </row>
    <row r="1919" spans="1:19" ht="30">
      <c r="A1919" s="24"/>
      <c r="B1919" s="25" t="s">
        <v>431</v>
      </c>
      <c r="C1919" s="26" t="s">
        <v>8</v>
      </c>
      <c r="D1919" s="351">
        <v>1</v>
      </c>
      <c r="E1919" s="303"/>
      <c r="F1919" s="351">
        <v>1</v>
      </c>
      <c r="G1919" s="26"/>
      <c r="H1919" s="26"/>
      <c r="I1919" s="26"/>
      <c r="J1919" s="26"/>
      <c r="K1919" s="26"/>
      <c r="L1919" s="26"/>
      <c r="M1919" s="26"/>
      <c r="N1919" s="26"/>
      <c r="O1919" s="26"/>
      <c r="P1919" s="26"/>
      <c r="Q1919" s="66"/>
      <c r="R1919" s="66"/>
      <c r="S1919" s="26"/>
    </row>
    <row r="1920" spans="1:19">
      <c r="A1920" s="24"/>
      <c r="B1920" s="25" t="s">
        <v>161</v>
      </c>
      <c r="C1920" s="26"/>
      <c r="D1920" s="351"/>
      <c r="E1920" s="303"/>
      <c r="F1920" s="351"/>
      <c r="G1920" s="26"/>
      <c r="H1920" s="26"/>
      <c r="I1920" s="26"/>
      <c r="J1920" s="26"/>
      <c r="K1920" s="26"/>
      <c r="L1920" s="26"/>
      <c r="M1920" s="26"/>
      <c r="N1920" s="26"/>
      <c r="O1920" s="26"/>
      <c r="P1920" s="26"/>
      <c r="Q1920" s="66"/>
      <c r="R1920" s="66"/>
      <c r="S1920" s="26"/>
    </row>
    <row r="1921" spans="1:19">
      <c r="A1921" s="24"/>
      <c r="B1921" s="25" t="s">
        <v>432</v>
      </c>
      <c r="C1921" s="26" t="s">
        <v>8</v>
      </c>
      <c r="D1921" s="351">
        <v>1</v>
      </c>
      <c r="E1921" s="303"/>
      <c r="F1921" s="351">
        <v>1</v>
      </c>
      <c r="G1921" s="26"/>
      <c r="H1921" s="26"/>
      <c r="I1921" s="26"/>
      <c r="J1921" s="26"/>
      <c r="K1921" s="26"/>
      <c r="L1921" s="26"/>
      <c r="M1921" s="26"/>
      <c r="N1921" s="26"/>
      <c r="O1921" s="26"/>
      <c r="P1921" s="26"/>
      <c r="Q1921" s="66"/>
      <c r="R1921" s="66"/>
      <c r="S1921" s="26"/>
    </row>
    <row r="1922" spans="1:19">
      <c r="A1922" s="24"/>
      <c r="B1922" s="25" t="s">
        <v>45</v>
      </c>
      <c r="C1922" s="26" t="s">
        <v>20</v>
      </c>
      <c r="D1922" s="351">
        <v>3</v>
      </c>
      <c r="E1922" s="303"/>
      <c r="F1922" s="351">
        <v>3</v>
      </c>
      <c r="G1922" s="26"/>
      <c r="H1922" s="26"/>
      <c r="I1922" s="26"/>
      <c r="J1922" s="26"/>
      <c r="K1922" s="26"/>
      <c r="L1922" s="26"/>
      <c r="M1922" s="26"/>
      <c r="N1922" s="26"/>
      <c r="O1922" s="26"/>
      <c r="P1922" s="26"/>
      <c r="Q1922" s="66"/>
      <c r="R1922" s="66"/>
      <c r="S1922" s="26"/>
    </row>
    <row r="1923" spans="1:19">
      <c r="A1923" s="24"/>
      <c r="B1923" s="25" t="s">
        <v>21</v>
      </c>
      <c r="C1923" s="26" t="s">
        <v>8</v>
      </c>
      <c r="D1923" s="351">
        <v>1</v>
      </c>
      <c r="E1923" s="303"/>
      <c r="F1923" s="351">
        <v>1</v>
      </c>
      <c r="G1923" s="26"/>
      <c r="H1923" s="26"/>
      <c r="I1923" s="26"/>
      <c r="J1923" s="26"/>
      <c r="K1923" s="26"/>
      <c r="L1923" s="26"/>
      <c r="M1923" s="26"/>
      <c r="N1923" s="26"/>
      <c r="O1923" s="26"/>
      <c r="P1923" s="26"/>
      <c r="Q1923" s="66"/>
      <c r="R1923" s="66"/>
      <c r="S1923" s="26"/>
    </row>
    <row r="1924" spans="1:19">
      <c r="A1924" s="24"/>
      <c r="B1924" s="25" t="s">
        <v>22</v>
      </c>
      <c r="C1924" s="26" t="s">
        <v>8</v>
      </c>
      <c r="D1924" s="351">
        <v>1</v>
      </c>
      <c r="E1924" s="303"/>
      <c r="F1924" s="351">
        <v>1</v>
      </c>
      <c r="G1924" s="26"/>
      <c r="H1924" s="26"/>
      <c r="I1924" s="26"/>
      <c r="J1924" s="26"/>
      <c r="K1924" s="26"/>
      <c r="L1924" s="26"/>
      <c r="M1924" s="26"/>
      <c r="N1924" s="26"/>
      <c r="O1924" s="26"/>
      <c r="P1924" s="26"/>
      <c r="Q1924" s="66"/>
      <c r="R1924" s="66"/>
      <c r="S1924" s="26"/>
    </row>
    <row r="1925" spans="1:19">
      <c r="A1925" s="24"/>
      <c r="B1925" s="25" t="s">
        <v>433</v>
      </c>
      <c r="C1925" s="26" t="s">
        <v>8</v>
      </c>
      <c r="D1925" s="351">
        <v>3</v>
      </c>
      <c r="E1925" s="303"/>
      <c r="F1925" s="351">
        <v>3</v>
      </c>
      <c r="G1925" s="26"/>
      <c r="H1925" s="26"/>
      <c r="I1925" s="26"/>
      <c r="J1925" s="26"/>
      <c r="K1925" s="26"/>
      <c r="L1925" s="26"/>
      <c r="M1925" s="26"/>
      <c r="N1925" s="26"/>
      <c r="O1925" s="26"/>
      <c r="P1925" s="26"/>
      <c r="Q1925" s="66"/>
      <c r="R1925" s="66"/>
      <c r="S1925" s="26"/>
    </row>
    <row r="1926" spans="1:19">
      <c r="A1926" s="24"/>
      <c r="B1926" s="25" t="s">
        <v>24</v>
      </c>
      <c r="C1926" s="26" t="s">
        <v>8</v>
      </c>
      <c r="D1926" s="351">
        <v>3</v>
      </c>
      <c r="E1926" s="303"/>
      <c r="F1926" s="351">
        <v>3</v>
      </c>
      <c r="G1926" s="26"/>
      <c r="H1926" s="26"/>
      <c r="I1926" s="26"/>
      <c r="J1926" s="26"/>
      <c r="K1926" s="26"/>
      <c r="L1926" s="26"/>
      <c r="M1926" s="26"/>
      <c r="N1926" s="26"/>
      <c r="O1926" s="26"/>
      <c r="P1926" s="26"/>
      <c r="Q1926" s="66"/>
      <c r="R1926" s="66"/>
      <c r="S1926" s="26"/>
    </row>
    <row r="1927" spans="1:19">
      <c r="A1927" s="24"/>
      <c r="B1927" s="25" t="s">
        <v>163</v>
      </c>
      <c r="C1927" s="26" t="s">
        <v>8</v>
      </c>
      <c r="D1927" s="351">
        <v>3</v>
      </c>
      <c r="E1927" s="303"/>
      <c r="F1927" s="351">
        <v>3</v>
      </c>
      <c r="G1927" s="26"/>
      <c r="H1927" s="26"/>
      <c r="I1927" s="26"/>
      <c r="J1927" s="26"/>
      <c r="K1927" s="26"/>
      <c r="L1927" s="26"/>
      <c r="M1927" s="26"/>
      <c r="N1927" s="26"/>
      <c r="O1927" s="26"/>
      <c r="P1927" s="26"/>
      <c r="Q1927" s="66"/>
      <c r="R1927" s="66"/>
      <c r="S1927" s="26"/>
    </row>
    <row r="1928" spans="1:19">
      <c r="A1928" s="24"/>
      <c r="B1928" s="25" t="s">
        <v>164</v>
      </c>
      <c r="C1928" s="26"/>
      <c r="D1928" s="351"/>
      <c r="E1928" s="303"/>
      <c r="F1928" s="351"/>
      <c r="G1928" s="26"/>
      <c r="H1928" s="26"/>
      <c r="I1928" s="26"/>
      <c r="J1928" s="26"/>
      <c r="K1928" s="26"/>
      <c r="L1928" s="26"/>
      <c r="M1928" s="26"/>
      <c r="N1928" s="26"/>
      <c r="O1928" s="26"/>
      <c r="P1928" s="26"/>
      <c r="Q1928" s="66"/>
      <c r="R1928" s="66"/>
      <c r="S1928" s="26"/>
    </row>
    <row r="1929" spans="1:19">
      <c r="A1929" s="24"/>
      <c r="B1929" s="25" t="s">
        <v>251</v>
      </c>
      <c r="C1929" s="26" t="s">
        <v>8</v>
      </c>
      <c r="D1929" s="351">
        <v>3</v>
      </c>
      <c r="E1929" s="303"/>
      <c r="F1929" s="351">
        <v>3</v>
      </c>
      <c r="G1929" s="26"/>
      <c r="H1929" s="26"/>
      <c r="I1929" s="26"/>
      <c r="J1929" s="26"/>
      <c r="K1929" s="26"/>
      <c r="L1929" s="26"/>
      <c r="M1929" s="26"/>
      <c r="N1929" s="26"/>
      <c r="O1929" s="26"/>
      <c r="P1929" s="26"/>
      <c r="Q1929" s="66"/>
      <c r="R1929" s="66"/>
      <c r="S1929" s="26"/>
    </row>
    <row r="1930" spans="1:19">
      <c r="A1930" s="24"/>
      <c r="B1930" s="25" t="s">
        <v>268</v>
      </c>
      <c r="C1930" s="26" t="s">
        <v>8</v>
      </c>
      <c r="D1930" s="351">
        <v>3</v>
      </c>
      <c r="E1930" s="303"/>
      <c r="F1930" s="351">
        <v>3</v>
      </c>
      <c r="G1930" s="26"/>
      <c r="H1930" s="26"/>
      <c r="I1930" s="26"/>
      <c r="J1930" s="26"/>
      <c r="K1930" s="26"/>
      <c r="L1930" s="26"/>
      <c r="M1930" s="26"/>
      <c r="N1930" s="26"/>
      <c r="O1930" s="26"/>
      <c r="P1930" s="26"/>
      <c r="Q1930" s="66"/>
      <c r="R1930" s="66"/>
      <c r="S1930" s="26"/>
    </row>
    <row r="1931" spans="1:19">
      <c r="A1931" s="24"/>
      <c r="B1931" s="25" t="s">
        <v>252</v>
      </c>
      <c r="C1931" s="26" t="s">
        <v>8</v>
      </c>
      <c r="D1931" s="351">
        <v>1</v>
      </c>
      <c r="E1931" s="303"/>
      <c r="F1931" s="351">
        <v>1</v>
      </c>
      <c r="G1931" s="26"/>
      <c r="H1931" s="26"/>
      <c r="I1931" s="26"/>
      <c r="J1931" s="26"/>
      <c r="K1931" s="26"/>
      <c r="L1931" s="26"/>
      <c r="M1931" s="26"/>
      <c r="N1931" s="26"/>
      <c r="O1931" s="26"/>
      <c r="P1931" s="26"/>
      <c r="Q1931" s="66"/>
      <c r="R1931" s="66"/>
      <c r="S1931" s="26"/>
    </row>
    <row r="1932" spans="1:19">
      <c r="A1932" s="24"/>
      <c r="B1932" s="25" t="s">
        <v>168</v>
      </c>
      <c r="C1932" s="26" t="s">
        <v>8</v>
      </c>
      <c r="D1932" s="351">
        <v>1</v>
      </c>
      <c r="E1932" s="303"/>
      <c r="F1932" s="351">
        <v>1</v>
      </c>
      <c r="G1932" s="26"/>
      <c r="H1932" s="26"/>
      <c r="I1932" s="26"/>
      <c r="J1932" s="26"/>
      <c r="K1932" s="26"/>
      <c r="L1932" s="26"/>
      <c r="M1932" s="26"/>
      <c r="N1932" s="26"/>
      <c r="O1932" s="26"/>
      <c r="P1932" s="26"/>
      <c r="Q1932" s="66"/>
      <c r="R1932" s="66"/>
      <c r="S1932" s="26"/>
    </row>
    <row r="1933" spans="1:19">
      <c r="A1933" s="24"/>
      <c r="B1933" s="25" t="s">
        <v>435</v>
      </c>
      <c r="C1933" s="26" t="s">
        <v>17</v>
      </c>
      <c r="D1933" s="351">
        <v>2</v>
      </c>
      <c r="E1933" s="303"/>
      <c r="F1933" s="351">
        <v>2</v>
      </c>
      <c r="G1933" s="26"/>
      <c r="H1933" s="26"/>
      <c r="I1933" s="26"/>
      <c r="J1933" s="26"/>
      <c r="K1933" s="26"/>
      <c r="L1933" s="26"/>
      <c r="M1933" s="26"/>
      <c r="N1933" s="26"/>
      <c r="O1933" s="26"/>
      <c r="P1933" s="26"/>
      <c r="Q1933" s="66"/>
      <c r="R1933" s="66"/>
      <c r="S1933" s="26"/>
    </row>
    <row r="1934" spans="1:19">
      <c r="A1934" s="24"/>
      <c r="B1934" s="25" t="s">
        <v>254</v>
      </c>
      <c r="C1934" s="26" t="s">
        <v>8</v>
      </c>
      <c r="D1934" s="351">
        <v>4</v>
      </c>
      <c r="E1934" s="303"/>
      <c r="F1934" s="351">
        <v>4</v>
      </c>
      <c r="G1934" s="26"/>
      <c r="H1934" s="26"/>
      <c r="I1934" s="26"/>
      <c r="J1934" s="26"/>
      <c r="K1934" s="26"/>
      <c r="L1934" s="26"/>
      <c r="M1934" s="26"/>
      <c r="N1934" s="26"/>
      <c r="O1934" s="26"/>
      <c r="P1934" s="26"/>
      <c r="Q1934" s="66"/>
      <c r="R1934" s="66"/>
      <c r="S1934" s="26"/>
    </row>
    <row r="1935" spans="1:19">
      <c r="A1935" s="24"/>
      <c r="B1935" s="25" t="s">
        <v>255</v>
      </c>
      <c r="C1935" s="26" t="s">
        <v>8</v>
      </c>
      <c r="D1935" s="351">
        <v>2</v>
      </c>
      <c r="E1935" s="303"/>
      <c r="F1935" s="351">
        <v>2</v>
      </c>
      <c r="G1935" s="26"/>
      <c r="H1935" s="26"/>
      <c r="I1935" s="26"/>
      <c r="J1935" s="26"/>
      <c r="K1935" s="26"/>
      <c r="L1935" s="26"/>
      <c r="M1935" s="26"/>
      <c r="N1935" s="26"/>
      <c r="O1935" s="26"/>
      <c r="P1935" s="26"/>
      <c r="Q1935" s="66"/>
      <c r="R1935" s="66"/>
      <c r="S1935" s="26"/>
    </row>
    <row r="1936" spans="1:19">
      <c r="A1936" s="24"/>
      <c r="B1936" s="25" t="s">
        <v>183</v>
      </c>
      <c r="C1936" s="26" t="s">
        <v>8</v>
      </c>
      <c r="D1936" s="351">
        <v>1</v>
      </c>
      <c r="E1936" s="303"/>
      <c r="F1936" s="351">
        <v>1</v>
      </c>
      <c r="G1936" s="26"/>
      <c r="H1936" s="26"/>
      <c r="I1936" s="26"/>
      <c r="J1936" s="26"/>
      <c r="K1936" s="26"/>
      <c r="L1936" s="26"/>
      <c r="M1936" s="26"/>
      <c r="N1936" s="26"/>
      <c r="O1936" s="26"/>
      <c r="P1936" s="26"/>
      <c r="Q1936" s="66"/>
      <c r="R1936" s="66"/>
      <c r="S1936" s="26"/>
    </row>
    <row r="1937" spans="1:19">
      <c r="A1937" s="24"/>
      <c r="B1937" s="25" t="s">
        <v>211</v>
      </c>
      <c r="C1937" s="26" t="s">
        <v>8</v>
      </c>
      <c r="D1937" s="351">
        <v>2</v>
      </c>
      <c r="E1937" s="303"/>
      <c r="F1937" s="351">
        <v>2</v>
      </c>
      <c r="G1937" s="26"/>
      <c r="H1937" s="26"/>
      <c r="I1937" s="26"/>
      <c r="J1937" s="26"/>
      <c r="K1937" s="26"/>
      <c r="L1937" s="26"/>
      <c r="M1937" s="26"/>
      <c r="N1937" s="26"/>
      <c r="O1937" s="26"/>
      <c r="P1937" s="26"/>
      <c r="Q1937" s="66"/>
      <c r="R1937" s="66"/>
      <c r="S1937" s="26"/>
    </row>
    <row r="1938" spans="1:19">
      <c r="A1938" s="24"/>
      <c r="B1938" s="25" t="s">
        <v>361</v>
      </c>
      <c r="C1938" s="26" t="s">
        <v>8</v>
      </c>
      <c r="D1938" s="351">
        <v>2</v>
      </c>
      <c r="E1938" s="303"/>
      <c r="F1938" s="351">
        <v>2</v>
      </c>
      <c r="G1938" s="26"/>
      <c r="H1938" s="26"/>
      <c r="I1938" s="26"/>
      <c r="J1938" s="26"/>
      <c r="K1938" s="26"/>
      <c r="L1938" s="26"/>
      <c r="M1938" s="26"/>
      <c r="N1938" s="26"/>
      <c r="O1938" s="26"/>
      <c r="P1938" s="26"/>
      <c r="Q1938" s="66"/>
      <c r="R1938" s="66"/>
      <c r="S1938" s="26"/>
    </row>
    <row r="1939" spans="1:19">
      <c r="A1939" s="24"/>
      <c r="B1939" s="25" t="s">
        <v>185</v>
      </c>
      <c r="C1939" s="26" t="s">
        <v>8</v>
      </c>
      <c r="D1939" s="351">
        <v>2</v>
      </c>
      <c r="E1939" s="303"/>
      <c r="F1939" s="351">
        <v>2</v>
      </c>
      <c r="G1939" s="26"/>
      <c r="H1939" s="26"/>
      <c r="I1939" s="26"/>
      <c r="J1939" s="26"/>
      <c r="K1939" s="26"/>
      <c r="L1939" s="26"/>
      <c r="M1939" s="26"/>
      <c r="N1939" s="26"/>
      <c r="O1939" s="26"/>
      <c r="P1939" s="26"/>
      <c r="Q1939" s="66"/>
      <c r="R1939" s="66"/>
      <c r="S1939" s="26"/>
    </row>
    <row r="1940" spans="1:19">
      <c r="A1940" s="24"/>
      <c r="B1940" s="25" t="s">
        <v>212</v>
      </c>
      <c r="C1940" s="26" t="s">
        <v>8</v>
      </c>
      <c r="D1940" s="351">
        <v>2</v>
      </c>
      <c r="E1940" s="303"/>
      <c r="F1940" s="351">
        <v>2</v>
      </c>
      <c r="G1940" s="26"/>
      <c r="H1940" s="26"/>
      <c r="I1940" s="26"/>
      <c r="J1940" s="26"/>
      <c r="K1940" s="26"/>
      <c r="L1940" s="26"/>
      <c r="M1940" s="26"/>
      <c r="N1940" s="26"/>
      <c r="O1940" s="26"/>
      <c r="P1940" s="26"/>
      <c r="Q1940" s="66"/>
      <c r="R1940" s="66"/>
      <c r="S1940" s="26"/>
    </row>
    <row r="1941" spans="1:19">
      <c r="A1941" s="24"/>
      <c r="B1941" s="25" t="s">
        <v>186</v>
      </c>
      <c r="C1941" s="26" t="s">
        <v>8</v>
      </c>
      <c r="D1941" s="351">
        <v>4</v>
      </c>
      <c r="E1941" s="303"/>
      <c r="F1941" s="351">
        <v>4</v>
      </c>
      <c r="G1941" s="26"/>
      <c r="H1941" s="26"/>
      <c r="I1941" s="26"/>
      <c r="J1941" s="26"/>
      <c r="K1941" s="26"/>
      <c r="L1941" s="26"/>
      <c r="M1941" s="26"/>
      <c r="N1941" s="26"/>
      <c r="O1941" s="26"/>
      <c r="P1941" s="26"/>
      <c r="Q1941" s="66"/>
      <c r="R1941" s="66"/>
      <c r="S1941" s="26"/>
    </row>
    <row r="1942" spans="1:19">
      <c r="A1942" s="24"/>
      <c r="B1942" s="25" t="s">
        <v>171</v>
      </c>
      <c r="C1942" s="26" t="s">
        <v>8</v>
      </c>
      <c r="D1942" s="351">
        <v>2</v>
      </c>
      <c r="E1942" s="303"/>
      <c r="F1942" s="351">
        <v>2</v>
      </c>
      <c r="G1942" s="26"/>
      <c r="H1942" s="26"/>
      <c r="I1942" s="26"/>
      <c r="J1942" s="26"/>
      <c r="K1942" s="26"/>
      <c r="L1942" s="26"/>
      <c r="M1942" s="26"/>
      <c r="N1942" s="26"/>
      <c r="O1942" s="26"/>
      <c r="P1942" s="26"/>
      <c r="Q1942" s="66"/>
      <c r="R1942" s="66"/>
      <c r="S1942" s="26"/>
    </row>
    <row r="1943" spans="1:19">
      <c r="A1943" s="24"/>
      <c r="B1943" s="25" t="s">
        <v>187</v>
      </c>
      <c r="C1943" s="26" t="s">
        <v>78</v>
      </c>
      <c r="D1943" s="351">
        <v>1</v>
      </c>
      <c r="E1943" s="303"/>
      <c r="F1943" s="351">
        <v>1</v>
      </c>
      <c r="G1943" s="26"/>
      <c r="H1943" s="26"/>
      <c r="I1943" s="26"/>
      <c r="J1943" s="26"/>
      <c r="K1943" s="26"/>
      <c r="L1943" s="26"/>
      <c r="M1943" s="26"/>
      <c r="N1943" s="26"/>
      <c r="O1943" s="26"/>
      <c r="P1943" s="26"/>
      <c r="Q1943" s="66"/>
      <c r="R1943" s="66"/>
      <c r="S1943" s="26"/>
    </row>
    <row r="1944" spans="1:19">
      <c r="A1944" s="24"/>
      <c r="B1944" s="25" t="s">
        <v>360</v>
      </c>
      <c r="C1944" s="26" t="s">
        <v>17</v>
      </c>
      <c r="D1944" s="351">
        <v>1</v>
      </c>
      <c r="E1944" s="303"/>
      <c r="F1944" s="351">
        <v>1</v>
      </c>
      <c r="G1944" s="26"/>
      <c r="H1944" s="26"/>
      <c r="I1944" s="26"/>
      <c r="J1944" s="26"/>
      <c r="K1944" s="26"/>
      <c r="L1944" s="26"/>
      <c r="M1944" s="26"/>
      <c r="N1944" s="26"/>
      <c r="O1944" s="26"/>
      <c r="P1944" s="26"/>
      <c r="Q1944" s="66"/>
      <c r="R1944" s="66"/>
      <c r="S1944" s="26"/>
    </row>
    <row r="1945" spans="1:19">
      <c r="A1945" s="24"/>
      <c r="B1945" s="25" t="s">
        <v>254</v>
      </c>
      <c r="C1945" s="26" t="s">
        <v>8</v>
      </c>
      <c r="D1945" s="351">
        <v>2</v>
      </c>
      <c r="E1945" s="303"/>
      <c r="F1945" s="351">
        <v>2</v>
      </c>
      <c r="G1945" s="26"/>
      <c r="H1945" s="26"/>
      <c r="I1945" s="26"/>
      <c r="J1945" s="26"/>
      <c r="K1945" s="26"/>
      <c r="L1945" s="26"/>
      <c r="M1945" s="26"/>
      <c r="N1945" s="26"/>
      <c r="O1945" s="26"/>
      <c r="P1945" s="26"/>
      <c r="Q1945" s="66"/>
      <c r="R1945" s="66"/>
      <c r="S1945" s="26"/>
    </row>
    <row r="1946" spans="1:19">
      <c r="A1946" s="24"/>
      <c r="B1946" s="25" t="s">
        <v>255</v>
      </c>
      <c r="C1946" s="26" t="s">
        <v>8</v>
      </c>
      <c r="D1946" s="351">
        <v>1</v>
      </c>
      <c r="E1946" s="303"/>
      <c r="F1946" s="351">
        <v>1</v>
      </c>
      <c r="G1946" s="26"/>
      <c r="H1946" s="26"/>
      <c r="I1946" s="26"/>
      <c r="J1946" s="26"/>
      <c r="K1946" s="26"/>
      <c r="L1946" s="26"/>
      <c r="M1946" s="26"/>
      <c r="N1946" s="26"/>
      <c r="O1946" s="26"/>
      <c r="P1946" s="26"/>
      <c r="Q1946" s="66"/>
      <c r="R1946" s="66"/>
      <c r="S1946" s="26"/>
    </row>
    <row r="1947" spans="1:19">
      <c r="A1947" s="24"/>
      <c r="B1947" s="25" t="s">
        <v>183</v>
      </c>
      <c r="C1947" s="26" t="s">
        <v>8</v>
      </c>
      <c r="D1947" s="351">
        <v>1</v>
      </c>
      <c r="E1947" s="303"/>
      <c r="F1947" s="351">
        <v>1</v>
      </c>
      <c r="G1947" s="26"/>
      <c r="H1947" s="26"/>
      <c r="I1947" s="26"/>
      <c r="J1947" s="26"/>
      <c r="K1947" s="26"/>
      <c r="L1947" s="26"/>
      <c r="M1947" s="26"/>
      <c r="N1947" s="26"/>
      <c r="O1947" s="26"/>
      <c r="P1947" s="26"/>
      <c r="Q1947" s="66"/>
      <c r="R1947" s="66"/>
      <c r="S1947" s="26"/>
    </row>
    <row r="1948" spans="1:19">
      <c r="A1948" s="24"/>
      <c r="B1948" s="25" t="s">
        <v>211</v>
      </c>
      <c r="C1948" s="26" t="s">
        <v>8</v>
      </c>
      <c r="D1948" s="351">
        <v>1</v>
      </c>
      <c r="E1948" s="303"/>
      <c r="F1948" s="351">
        <v>1</v>
      </c>
      <c r="G1948" s="26"/>
      <c r="H1948" s="26"/>
      <c r="I1948" s="26"/>
      <c r="J1948" s="26"/>
      <c r="K1948" s="26"/>
      <c r="L1948" s="26"/>
      <c r="M1948" s="26"/>
      <c r="N1948" s="26"/>
      <c r="O1948" s="26"/>
      <c r="P1948" s="26"/>
      <c r="Q1948" s="66"/>
      <c r="R1948" s="66"/>
      <c r="S1948" s="26"/>
    </row>
    <row r="1949" spans="1:19">
      <c r="A1949" s="24"/>
      <c r="B1949" s="25" t="s">
        <v>361</v>
      </c>
      <c r="C1949" s="26" t="s">
        <v>8</v>
      </c>
      <c r="D1949" s="351">
        <v>1</v>
      </c>
      <c r="E1949" s="92"/>
      <c r="F1949" s="351">
        <v>1</v>
      </c>
      <c r="G1949" s="329"/>
      <c r="H1949" s="329"/>
      <c r="I1949" s="329"/>
      <c r="J1949" s="329"/>
      <c r="K1949" s="329"/>
      <c r="L1949" s="329"/>
      <c r="M1949" s="329"/>
      <c r="N1949" s="329"/>
      <c r="O1949" s="329"/>
      <c r="P1949" s="329"/>
      <c r="Q1949" s="65"/>
      <c r="R1949" s="65"/>
      <c r="S1949" s="329"/>
    </row>
    <row r="1950" spans="1:19">
      <c r="A1950" s="24"/>
      <c r="B1950" s="25" t="s">
        <v>185</v>
      </c>
      <c r="C1950" s="26" t="s">
        <v>8</v>
      </c>
      <c r="D1950" s="351">
        <v>1</v>
      </c>
      <c r="E1950" s="303"/>
      <c r="F1950" s="351">
        <v>1</v>
      </c>
      <c r="G1950" s="26"/>
      <c r="H1950" s="26"/>
      <c r="I1950" s="26"/>
      <c r="J1950" s="26"/>
      <c r="K1950" s="26"/>
      <c r="L1950" s="26"/>
      <c r="M1950" s="26"/>
      <c r="N1950" s="26"/>
      <c r="O1950" s="26"/>
      <c r="P1950" s="26"/>
      <c r="Q1950" s="66"/>
      <c r="R1950" s="66"/>
      <c r="S1950" s="26"/>
    </row>
    <row r="1951" spans="1:19">
      <c r="A1951" s="24"/>
      <c r="B1951" s="25" t="s">
        <v>212</v>
      </c>
      <c r="C1951" s="26" t="s">
        <v>8</v>
      </c>
      <c r="D1951" s="351">
        <v>1</v>
      </c>
      <c r="E1951" s="303"/>
      <c r="F1951" s="351">
        <v>1</v>
      </c>
      <c r="G1951" s="26"/>
      <c r="H1951" s="26"/>
      <c r="I1951" s="26"/>
      <c r="J1951" s="26"/>
      <c r="K1951" s="26"/>
      <c r="L1951" s="26"/>
      <c r="M1951" s="26"/>
      <c r="N1951" s="26"/>
      <c r="O1951" s="26"/>
      <c r="P1951" s="26"/>
      <c r="Q1951" s="66"/>
      <c r="R1951" s="66"/>
      <c r="S1951" s="26"/>
    </row>
    <row r="1952" spans="1:19">
      <c r="A1952" s="24"/>
      <c r="B1952" s="25" t="s">
        <v>186</v>
      </c>
      <c r="C1952" s="26" t="s">
        <v>8</v>
      </c>
      <c r="D1952" s="351">
        <v>2</v>
      </c>
      <c r="E1952" s="303"/>
      <c r="F1952" s="351">
        <v>2</v>
      </c>
      <c r="G1952" s="26"/>
      <c r="H1952" s="26"/>
      <c r="I1952" s="26"/>
      <c r="J1952" s="26"/>
      <c r="K1952" s="26"/>
      <c r="L1952" s="26"/>
      <c r="M1952" s="26"/>
      <c r="N1952" s="26"/>
      <c r="O1952" s="26"/>
      <c r="P1952" s="26"/>
      <c r="Q1952" s="66"/>
      <c r="R1952" s="66"/>
      <c r="S1952" s="26"/>
    </row>
    <row r="1953" spans="1:19">
      <c r="A1953" s="24"/>
      <c r="B1953" s="25" t="s">
        <v>171</v>
      </c>
      <c r="C1953" s="26" t="s">
        <v>8</v>
      </c>
      <c r="D1953" s="351">
        <v>1</v>
      </c>
      <c r="E1953" s="303"/>
      <c r="F1953" s="351">
        <v>1</v>
      </c>
      <c r="G1953" s="26"/>
      <c r="H1953" s="26"/>
      <c r="I1953" s="26"/>
      <c r="J1953" s="26"/>
      <c r="K1953" s="26"/>
      <c r="L1953" s="26"/>
      <c r="M1953" s="26"/>
      <c r="N1953" s="26"/>
      <c r="O1953" s="26"/>
      <c r="P1953" s="26"/>
      <c r="Q1953" s="66"/>
      <c r="R1953" s="66"/>
      <c r="S1953" s="26"/>
    </row>
    <row r="1954" spans="1:19">
      <c r="A1954" s="24"/>
      <c r="B1954" s="25" t="s">
        <v>187</v>
      </c>
      <c r="C1954" s="26" t="s">
        <v>78</v>
      </c>
      <c r="D1954" s="351">
        <v>1</v>
      </c>
      <c r="E1954" s="303"/>
      <c r="F1954" s="351">
        <v>1</v>
      </c>
      <c r="G1954" s="26"/>
      <c r="H1954" s="26"/>
      <c r="I1954" s="26"/>
      <c r="J1954" s="26"/>
      <c r="K1954" s="26"/>
      <c r="L1954" s="26"/>
      <c r="M1954" s="26"/>
      <c r="N1954" s="26"/>
      <c r="O1954" s="26"/>
      <c r="P1954" s="26"/>
      <c r="Q1954" s="66"/>
      <c r="R1954" s="66"/>
      <c r="S1954" s="26"/>
    </row>
    <row r="1955" spans="1:19">
      <c r="A1955" s="24"/>
      <c r="B1955" s="25" t="s">
        <v>436</v>
      </c>
      <c r="C1955" s="26" t="s">
        <v>17</v>
      </c>
      <c r="D1955" s="351">
        <v>3</v>
      </c>
      <c r="E1955" s="303"/>
      <c r="F1955" s="351">
        <v>3</v>
      </c>
      <c r="G1955" s="26"/>
      <c r="H1955" s="26"/>
      <c r="I1955" s="26"/>
      <c r="J1955" s="26"/>
      <c r="K1955" s="26"/>
      <c r="L1955" s="26"/>
      <c r="M1955" s="26"/>
      <c r="N1955" s="26"/>
      <c r="O1955" s="26"/>
      <c r="P1955" s="26"/>
      <c r="Q1955" s="66"/>
      <c r="R1955" s="66"/>
      <c r="S1955" s="26"/>
    </row>
    <row r="1956" spans="1:19">
      <c r="A1956" s="24"/>
      <c r="B1956" s="25" t="s">
        <v>197</v>
      </c>
      <c r="C1956" s="26" t="s">
        <v>8</v>
      </c>
      <c r="D1956" s="351">
        <v>6</v>
      </c>
      <c r="E1956" s="303"/>
      <c r="F1956" s="351">
        <v>6</v>
      </c>
      <c r="G1956" s="26"/>
      <c r="H1956" s="26"/>
      <c r="I1956" s="26"/>
      <c r="J1956" s="26"/>
      <c r="K1956" s="26"/>
      <c r="L1956" s="26"/>
      <c r="M1956" s="26"/>
      <c r="N1956" s="26"/>
      <c r="O1956" s="26"/>
      <c r="P1956" s="26"/>
      <c r="Q1956" s="66"/>
      <c r="R1956" s="66"/>
      <c r="S1956" s="26"/>
    </row>
    <row r="1957" spans="1:19">
      <c r="A1957" s="24"/>
      <c r="B1957" s="25" t="s">
        <v>206</v>
      </c>
      <c r="C1957" s="26" t="s">
        <v>8</v>
      </c>
      <c r="D1957" s="351">
        <v>3</v>
      </c>
      <c r="E1957" s="303"/>
      <c r="F1957" s="351">
        <v>3</v>
      </c>
      <c r="G1957" s="26"/>
      <c r="H1957" s="26"/>
      <c r="I1957" s="26"/>
      <c r="J1957" s="26"/>
      <c r="K1957" s="26"/>
      <c r="L1957" s="26"/>
      <c r="M1957" s="26"/>
      <c r="N1957" s="26"/>
      <c r="O1957" s="26"/>
      <c r="P1957" s="26"/>
      <c r="Q1957" s="66"/>
      <c r="R1957" s="66"/>
      <c r="S1957" s="26"/>
    </row>
    <row r="1958" spans="1:19">
      <c r="A1958" s="24"/>
      <c r="B1958" s="25" t="s">
        <v>183</v>
      </c>
      <c r="C1958" s="26" t="s">
        <v>8</v>
      </c>
      <c r="D1958" s="351">
        <v>5</v>
      </c>
      <c r="E1958" s="303"/>
      <c r="F1958" s="351">
        <v>5</v>
      </c>
      <c r="G1958" s="26"/>
      <c r="H1958" s="26"/>
      <c r="I1958" s="26"/>
      <c r="J1958" s="26"/>
      <c r="K1958" s="26"/>
      <c r="L1958" s="26"/>
      <c r="M1958" s="26"/>
      <c r="N1958" s="26"/>
      <c r="O1958" s="26"/>
      <c r="P1958" s="26"/>
      <c r="Q1958" s="66"/>
      <c r="R1958" s="66"/>
      <c r="S1958" s="26"/>
    </row>
    <row r="1959" spans="1:19">
      <c r="A1959" s="24"/>
      <c r="B1959" s="25" t="s">
        <v>211</v>
      </c>
      <c r="C1959" s="26" t="s">
        <v>8</v>
      </c>
      <c r="D1959" s="351">
        <v>3</v>
      </c>
      <c r="E1959" s="303"/>
      <c r="F1959" s="351">
        <v>3</v>
      </c>
      <c r="G1959" s="26"/>
      <c r="H1959" s="26"/>
      <c r="I1959" s="26"/>
      <c r="J1959" s="26"/>
      <c r="K1959" s="26"/>
      <c r="L1959" s="26"/>
      <c r="M1959" s="26"/>
      <c r="N1959" s="26"/>
      <c r="O1959" s="26"/>
      <c r="P1959" s="26"/>
      <c r="Q1959" s="66"/>
      <c r="R1959" s="66"/>
      <c r="S1959" s="26"/>
    </row>
    <row r="1960" spans="1:19">
      <c r="A1960" s="24"/>
      <c r="B1960" s="25" t="s">
        <v>437</v>
      </c>
      <c r="C1960" s="26" t="s">
        <v>8</v>
      </c>
      <c r="D1960" s="351">
        <v>3</v>
      </c>
      <c r="E1960" s="303"/>
      <c r="F1960" s="351">
        <v>3</v>
      </c>
      <c r="G1960" s="26"/>
      <c r="H1960" s="26"/>
      <c r="I1960" s="26"/>
      <c r="J1960" s="26"/>
      <c r="K1960" s="26"/>
      <c r="L1960" s="26"/>
      <c r="M1960" s="26"/>
      <c r="N1960" s="26"/>
      <c r="O1960" s="26"/>
      <c r="P1960" s="26"/>
      <c r="Q1960" s="66"/>
      <c r="R1960" s="66"/>
      <c r="S1960" s="26"/>
    </row>
    <row r="1961" spans="1:19">
      <c r="A1961" s="24"/>
      <c r="B1961" s="25" t="s">
        <v>185</v>
      </c>
      <c r="C1961" s="26" t="s">
        <v>8</v>
      </c>
      <c r="D1961" s="351">
        <v>3</v>
      </c>
      <c r="E1961" s="303"/>
      <c r="F1961" s="351">
        <v>3</v>
      </c>
      <c r="G1961" s="26"/>
      <c r="H1961" s="26"/>
      <c r="I1961" s="26"/>
      <c r="J1961" s="26"/>
      <c r="K1961" s="26"/>
      <c r="L1961" s="26"/>
      <c r="M1961" s="26"/>
      <c r="N1961" s="26"/>
      <c r="O1961" s="26"/>
      <c r="P1961" s="26"/>
      <c r="Q1961" s="66"/>
      <c r="R1961" s="66"/>
      <c r="S1961" s="26"/>
    </row>
    <row r="1962" spans="1:19">
      <c r="A1962" s="24"/>
      <c r="B1962" s="25" t="s">
        <v>212</v>
      </c>
      <c r="C1962" s="26" t="s">
        <v>8</v>
      </c>
      <c r="D1962" s="351">
        <v>3</v>
      </c>
      <c r="E1962" s="303"/>
      <c r="F1962" s="351">
        <v>3</v>
      </c>
      <c r="G1962" s="26"/>
      <c r="H1962" s="26"/>
      <c r="I1962" s="26"/>
      <c r="J1962" s="26"/>
      <c r="K1962" s="26"/>
      <c r="L1962" s="26"/>
      <c r="M1962" s="26"/>
      <c r="N1962" s="26"/>
      <c r="O1962" s="26"/>
      <c r="P1962" s="26"/>
      <c r="Q1962" s="66"/>
      <c r="R1962" s="66"/>
      <c r="S1962" s="26"/>
    </row>
    <row r="1963" spans="1:19">
      <c r="A1963" s="24"/>
      <c r="B1963" s="25" t="s">
        <v>186</v>
      </c>
      <c r="C1963" s="26" t="s">
        <v>8</v>
      </c>
      <c r="D1963" s="351">
        <v>6</v>
      </c>
      <c r="E1963" s="303"/>
      <c r="F1963" s="351">
        <v>6</v>
      </c>
      <c r="G1963" s="26"/>
      <c r="H1963" s="26"/>
      <c r="I1963" s="26"/>
      <c r="J1963" s="26"/>
      <c r="K1963" s="26"/>
      <c r="L1963" s="26"/>
      <c r="M1963" s="26"/>
      <c r="N1963" s="26"/>
      <c r="O1963" s="26"/>
      <c r="P1963" s="26"/>
      <c r="Q1963" s="66"/>
      <c r="R1963" s="66"/>
      <c r="S1963" s="26"/>
    </row>
    <row r="1964" spans="1:19">
      <c r="A1964" s="24"/>
      <c r="B1964" s="25" t="s">
        <v>171</v>
      </c>
      <c r="C1964" s="26" t="s">
        <v>8</v>
      </c>
      <c r="D1964" s="351">
        <v>3</v>
      </c>
      <c r="E1964" s="303"/>
      <c r="F1964" s="351">
        <v>3</v>
      </c>
      <c r="G1964" s="26"/>
      <c r="H1964" s="26"/>
      <c r="I1964" s="26"/>
      <c r="J1964" s="26"/>
      <c r="K1964" s="26"/>
      <c r="L1964" s="26"/>
      <c r="M1964" s="26"/>
      <c r="N1964" s="26"/>
      <c r="O1964" s="26"/>
      <c r="P1964" s="26"/>
      <c r="Q1964" s="66"/>
      <c r="R1964" s="66"/>
      <c r="S1964" s="26"/>
    </row>
    <row r="1965" spans="1:19">
      <c r="A1965" s="24"/>
      <c r="B1965" s="25" t="s">
        <v>187</v>
      </c>
      <c r="C1965" s="26" t="s">
        <v>78</v>
      </c>
      <c r="D1965" s="351">
        <v>1</v>
      </c>
      <c r="E1965" s="303"/>
      <c r="F1965" s="351">
        <v>1</v>
      </c>
      <c r="G1965" s="26"/>
      <c r="H1965" s="26"/>
      <c r="I1965" s="26"/>
      <c r="J1965" s="26"/>
      <c r="K1965" s="26"/>
      <c r="L1965" s="26"/>
      <c r="M1965" s="26"/>
      <c r="N1965" s="26"/>
      <c r="O1965" s="26"/>
      <c r="P1965" s="26"/>
      <c r="Q1965" s="66"/>
      <c r="R1965" s="66"/>
      <c r="S1965" s="26"/>
    </row>
    <row r="1966" spans="1:19">
      <c r="A1966" s="24"/>
      <c r="B1966" s="25" t="s">
        <v>374</v>
      </c>
      <c r="C1966" s="26" t="s">
        <v>17</v>
      </c>
      <c r="D1966" s="351">
        <v>1</v>
      </c>
      <c r="E1966" s="303"/>
      <c r="F1966" s="351">
        <v>1</v>
      </c>
      <c r="G1966" s="26"/>
      <c r="H1966" s="26"/>
      <c r="I1966" s="26"/>
      <c r="J1966" s="26"/>
      <c r="K1966" s="26"/>
      <c r="L1966" s="26"/>
      <c r="M1966" s="26"/>
      <c r="N1966" s="26"/>
      <c r="O1966" s="26"/>
      <c r="P1966" s="26"/>
      <c r="Q1966" s="66"/>
      <c r="R1966" s="66"/>
      <c r="S1966" s="26"/>
    </row>
    <row r="1967" spans="1:19">
      <c r="A1967" s="24"/>
      <c r="B1967" s="25" t="s">
        <v>206</v>
      </c>
      <c r="C1967" s="26" t="s">
        <v>8</v>
      </c>
      <c r="D1967" s="351">
        <v>1</v>
      </c>
      <c r="E1967" s="303"/>
      <c r="F1967" s="351">
        <v>1</v>
      </c>
      <c r="G1967" s="26"/>
      <c r="H1967" s="26"/>
      <c r="I1967" s="26"/>
      <c r="J1967" s="26"/>
      <c r="K1967" s="26"/>
      <c r="L1967" s="26"/>
      <c r="M1967" s="26"/>
      <c r="N1967" s="26"/>
      <c r="O1967" s="26"/>
      <c r="P1967" s="26"/>
      <c r="Q1967" s="66"/>
      <c r="R1967" s="66"/>
      <c r="S1967" s="26"/>
    </row>
    <row r="1968" spans="1:19">
      <c r="A1968" s="24"/>
      <c r="B1968" s="25" t="s">
        <v>183</v>
      </c>
      <c r="C1968" s="26" t="s">
        <v>8</v>
      </c>
      <c r="D1968" s="351">
        <v>1</v>
      </c>
      <c r="E1968" s="303"/>
      <c r="F1968" s="351">
        <v>1</v>
      </c>
      <c r="G1968" s="26"/>
      <c r="H1968" s="26"/>
      <c r="I1968" s="26"/>
      <c r="J1968" s="26"/>
      <c r="K1968" s="26"/>
      <c r="L1968" s="26"/>
      <c r="M1968" s="26"/>
      <c r="N1968" s="26"/>
      <c r="O1968" s="26"/>
      <c r="P1968" s="26"/>
      <c r="Q1968" s="66"/>
      <c r="R1968" s="66"/>
      <c r="S1968" s="26"/>
    </row>
    <row r="1969" spans="1:19">
      <c r="A1969" s="24"/>
      <c r="B1969" s="25" t="s">
        <v>257</v>
      </c>
      <c r="C1969" s="26" t="s">
        <v>8</v>
      </c>
      <c r="D1969" s="351">
        <v>1</v>
      </c>
      <c r="E1969" s="303"/>
      <c r="F1969" s="351">
        <v>1</v>
      </c>
      <c r="G1969" s="26"/>
      <c r="H1969" s="26"/>
      <c r="I1969" s="26"/>
      <c r="J1969" s="26"/>
      <c r="K1969" s="26"/>
      <c r="L1969" s="26"/>
      <c r="M1969" s="26"/>
      <c r="N1969" s="26"/>
      <c r="O1969" s="26"/>
      <c r="P1969" s="26"/>
      <c r="Q1969" s="66"/>
      <c r="R1969" s="66"/>
      <c r="S1969" s="26"/>
    </row>
    <row r="1970" spans="1:19">
      <c r="A1970" s="24"/>
      <c r="B1970" s="25" t="s">
        <v>185</v>
      </c>
      <c r="C1970" s="26" t="s">
        <v>8</v>
      </c>
      <c r="D1970" s="351">
        <v>1</v>
      </c>
      <c r="E1970" s="303"/>
      <c r="F1970" s="351">
        <v>1</v>
      </c>
      <c r="G1970" s="26"/>
      <c r="H1970" s="26"/>
      <c r="I1970" s="26"/>
      <c r="J1970" s="26"/>
      <c r="K1970" s="26"/>
      <c r="L1970" s="26"/>
      <c r="M1970" s="26"/>
      <c r="N1970" s="26"/>
      <c r="O1970" s="26"/>
      <c r="P1970" s="26"/>
      <c r="Q1970" s="66"/>
      <c r="R1970" s="66"/>
      <c r="S1970" s="26"/>
    </row>
    <row r="1971" spans="1:19">
      <c r="A1971" s="24"/>
      <c r="B1971" s="25" t="s">
        <v>186</v>
      </c>
      <c r="C1971" s="26" t="s">
        <v>8</v>
      </c>
      <c r="D1971" s="351">
        <v>2</v>
      </c>
      <c r="E1971" s="303"/>
      <c r="F1971" s="351">
        <v>2</v>
      </c>
      <c r="G1971" s="26"/>
      <c r="H1971" s="26"/>
      <c r="I1971" s="26"/>
      <c r="J1971" s="26"/>
      <c r="K1971" s="26"/>
      <c r="L1971" s="26"/>
      <c r="M1971" s="26"/>
      <c r="N1971" s="26"/>
      <c r="O1971" s="26"/>
      <c r="P1971" s="26"/>
      <c r="Q1971" s="66"/>
      <c r="R1971" s="66"/>
      <c r="S1971" s="26"/>
    </row>
    <row r="1972" spans="1:19">
      <c r="A1972" s="24"/>
      <c r="B1972" s="25" t="s">
        <v>187</v>
      </c>
      <c r="C1972" s="26" t="s">
        <v>78</v>
      </c>
      <c r="D1972" s="351">
        <v>1</v>
      </c>
      <c r="E1972" s="303"/>
      <c r="F1972" s="351">
        <v>1</v>
      </c>
      <c r="G1972" s="26"/>
      <c r="H1972" s="26"/>
      <c r="I1972" s="26"/>
      <c r="J1972" s="26"/>
      <c r="K1972" s="26"/>
      <c r="L1972" s="26"/>
      <c r="M1972" s="26"/>
      <c r="N1972" s="26"/>
      <c r="O1972" s="26"/>
      <c r="P1972" s="26"/>
      <c r="Q1972" s="66"/>
      <c r="R1972" s="66"/>
      <c r="S1972" s="26"/>
    </row>
    <row r="1973" spans="1:19">
      <c r="A1973" s="24"/>
      <c r="B1973" s="25" t="s">
        <v>173</v>
      </c>
      <c r="C1973" s="26" t="s">
        <v>8</v>
      </c>
      <c r="D1973" s="351">
        <v>1</v>
      </c>
      <c r="E1973" s="303"/>
      <c r="F1973" s="351">
        <v>1</v>
      </c>
      <c r="G1973" s="26"/>
      <c r="H1973" s="26"/>
      <c r="I1973" s="26"/>
      <c r="J1973" s="26"/>
      <c r="K1973" s="26"/>
      <c r="L1973" s="26"/>
      <c r="M1973" s="26"/>
      <c r="N1973" s="26"/>
      <c r="O1973" s="26"/>
      <c r="P1973" s="26"/>
      <c r="Q1973" s="66"/>
      <c r="R1973" s="66"/>
      <c r="S1973" s="26"/>
    </row>
    <row r="1974" spans="1:19">
      <c r="A1974" s="24"/>
      <c r="B1974" s="25" t="s">
        <v>438</v>
      </c>
      <c r="C1974" s="26" t="s">
        <v>17</v>
      </c>
      <c r="D1974" s="351">
        <v>1</v>
      </c>
      <c r="E1974" s="303"/>
      <c r="F1974" s="351">
        <v>1</v>
      </c>
      <c r="G1974" s="26"/>
      <c r="H1974" s="26"/>
      <c r="I1974" s="26"/>
      <c r="J1974" s="26"/>
      <c r="K1974" s="26"/>
      <c r="L1974" s="26"/>
      <c r="M1974" s="26"/>
      <c r="N1974" s="26"/>
      <c r="O1974" s="26"/>
      <c r="P1974" s="26"/>
      <c r="Q1974" s="66"/>
      <c r="R1974" s="66"/>
      <c r="S1974" s="26"/>
    </row>
    <row r="1975" spans="1:19">
      <c r="A1975" s="24"/>
      <c r="B1975" s="25" t="s">
        <v>217</v>
      </c>
      <c r="C1975" s="26" t="s">
        <v>17</v>
      </c>
      <c r="D1975" s="351">
        <v>1</v>
      </c>
      <c r="E1975" s="303"/>
      <c r="F1975" s="351">
        <v>1</v>
      </c>
      <c r="G1975" s="26"/>
      <c r="H1975" s="26"/>
      <c r="I1975" s="26"/>
      <c r="J1975" s="26"/>
      <c r="K1975" s="26"/>
      <c r="L1975" s="26"/>
      <c r="M1975" s="26"/>
      <c r="N1975" s="26"/>
      <c r="O1975" s="26"/>
      <c r="P1975" s="26"/>
      <c r="Q1975" s="66"/>
      <c r="R1975" s="66"/>
      <c r="S1975" s="26"/>
    </row>
    <row r="1976" spans="1:19" ht="30">
      <c r="A1976" s="24"/>
      <c r="B1976" s="25" t="s">
        <v>176</v>
      </c>
      <c r="C1976" s="26" t="s">
        <v>78</v>
      </c>
      <c r="D1976" s="351">
        <v>1</v>
      </c>
      <c r="E1976" s="303"/>
      <c r="F1976" s="351">
        <v>1</v>
      </c>
      <c r="G1976" s="26"/>
      <c r="H1976" s="26"/>
      <c r="I1976" s="26"/>
      <c r="J1976" s="26"/>
      <c r="K1976" s="26"/>
      <c r="L1976" s="26"/>
      <c r="M1976" s="26"/>
      <c r="N1976" s="26"/>
      <c r="O1976" s="26"/>
      <c r="P1976" s="26"/>
      <c r="Q1976" s="66"/>
      <c r="R1976" s="66"/>
      <c r="S1976" s="26"/>
    </row>
    <row r="1977" spans="1:19" ht="60">
      <c r="A1977" s="24">
        <v>74</v>
      </c>
      <c r="B1977" s="25" t="s">
        <v>441</v>
      </c>
      <c r="C1977" s="26" t="s">
        <v>7</v>
      </c>
      <c r="D1977" s="351">
        <v>1</v>
      </c>
      <c r="E1977" s="303"/>
      <c r="F1977" s="351">
        <v>1</v>
      </c>
      <c r="G1977" s="26" t="s">
        <v>2326</v>
      </c>
      <c r="H1977" s="26"/>
      <c r="I1977" s="26" t="s">
        <v>2327</v>
      </c>
      <c r="J1977" s="26" t="s">
        <v>2328</v>
      </c>
      <c r="K1977" s="311">
        <v>40481854.379999995</v>
      </c>
      <c r="L1977" s="311">
        <v>0</v>
      </c>
      <c r="M1977" s="311">
        <v>1808000.0000000007</v>
      </c>
      <c r="N1977" s="311">
        <v>4249076.2</v>
      </c>
      <c r="O1977" s="311">
        <v>2974353.3400000003</v>
      </c>
      <c r="P1977" s="68">
        <f>SUM(K1977:O1977)</f>
        <v>49513283.920000002</v>
      </c>
      <c r="Q1977" s="68">
        <f>D1977*P1977</f>
        <v>49513283.920000002</v>
      </c>
      <c r="R1977" s="127">
        <f>F1977*P1977</f>
        <v>49513283.920000002</v>
      </c>
      <c r="S1977" s="26"/>
    </row>
    <row r="1978" spans="1:19" ht="30">
      <c r="A1978" s="24"/>
      <c r="B1978" s="25" t="s">
        <v>339</v>
      </c>
      <c r="C1978" s="26" t="s">
        <v>8</v>
      </c>
      <c r="D1978" s="351">
        <v>1</v>
      </c>
      <c r="E1978" s="303"/>
      <c r="F1978" s="351">
        <v>1</v>
      </c>
      <c r="G1978" s="26"/>
      <c r="H1978" s="26"/>
      <c r="I1978" s="26"/>
      <c r="J1978" s="26"/>
      <c r="K1978" s="26"/>
      <c r="L1978" s="26"/>
      <c r="M1978" s="26"/>
      <c r="N1978" s="26"/>
      <c r="O1978" s="26"/>
      <c r="P1978" s="26"/>
      <c r="Q1978" s="66"/>
      <c r="R1978" s="66"/>
      <c r="S1978" s="26"/>
    </row>
    <row r="1979" spans="1:19">
      <c r="A1979" s="24"/>
      <c r="B1979" s="25" t="s">
        <v>161</v>
      </c>
      <c r="C1979" s="26"/>
      <c r="D1979" s="351"/>
      <c r="E1979" s="303"/>
      <c r="F1979" s="351"/>
      <c r="G1979" s="26"/>
      <c r="H1979" s="26"/>
      <c r="I1979" s="26"/>
      <c r="J1979" s="26"/>
      <c r="K1979" s="26"/>
      <c r="L1979" s="26"/>
      <c r="M1979" s="26"/>
      <c r="N1979" s="26"/>
      <c r="O1979" s="26"/>
      <c r="P1979" s="26"/>
      <c r="Q1979" s="66"/>
      <c r="R1979" s="66"/>
      <c r="S1979" s="26"/>
    </row>
    <row r="1980" spans="1:19">
      <c r="A1980" s="24"/>
      <c r="B1980" s="25" t="s">
        <v>237</v>
      </c>
      <c r="C1980" s="26" t="s">
        <v>8</v>
      </c>
      <c r="D1980" s="351">
        <v>1</v>
      </c>
      <c r="E1980" s="303"/>
      <c r="F1980" s="351">
        <v>1</v>
      </c>
      <c r="G1980" s="26"/>
      <c r="H1980" s="26"/>
      <c r="I1980" s="26"/>
      <c r="J1980" s="26"/>
      <c r="K1980" s="26"/>
      <c r="L1980" s="26"/>
      <c r="M1980" s="26"/>
      <c r="N1980" s="26"/>
      <c r="O1980" s="26"/>
      <c r="P1980" s="26"/>
      <c r="Q1980" s="66"/>
      <c r="R1980" s="66"/>
      <c r="S1980" s="26"/>
    </row>
    <row r="1981" spans="1:19">
      <c r="A1981" s="24"/>
      <c r="B1981" s="25" t="s">
        <v>63</v>
      </c>
      <c r="C1981" s="26" t="s">
        <v>20</v>
      </c>
      <c r="D1981" s="351">
        <v>3</v>
      </c>
      <c r="E1981" s="303"/>
      <c r="F1981" s="351">
        <v>3</v>
      </c>
      <c r="G1981" s="26"/>
      <c r="H1981" s="26"/>
      <c r="I1981" s="26"/>
      <c r="J1981" s="26"/>
      <c r="K1981" s="26"/>
      <c r="L1981" s="26"/>
      <c r="M1981" s="26"/>
      <c r="N1981" s="26"/>
      <c r="O1981" s="26"/>
      <c r="P1981" s="26"/>
      <c r="Q1981" s="66"/>
      <c r="R1981" s="66"/>
      <c r="S1981" s="26"/>
    </row>
    <row r="1982" spans="1:19">
      <c r="A1982" s="24"/>
      <c r="B1982" s="25" t="s">
        <v>21</v>
      </c>
      <c r="C1982" s="26" t="s">
        <v>8</v>
      </c>
      <c r="D1982" s="351">
        <v>1</v>
      </c>
      <c r="E1982" s="303"/>
      <c r="F1982" s="351">
        <v>1</v>
      </c>
      <c r="G1982" s="26"/>
      <c r="H1982" s="26"/>
      <c r="I1982" s="26"/>
      <c r="J1982" s="26"/>
      <c r="K1982" s="26"/>
      <c r="L1982" s="26"/>
      <c r="M1982" s="26"/>
      <c r="N1982" s="26"/>
      <c r="O1982" s="26"/>
      <c r="P1982" s="26"/>
      <c r="Q1982" s="66"/>
      <c r="R1982" s="66"/>
      <c r="S1982" s="26"/>
    </row>
    <row r="1983" spans="1:19">
      <c r="A1983" s="24"/>
      <c r="B1983" s="25" t="s">
        <v>22</v>
      </c>
      <c r="C1983" s="26" t="s">
        <v>8</v>
      </c>
      <c r="D1983" s="351">
        <v>1</v>
      </c>
      <c r="E1983" s="303"/>
      <c r="F1983" s="351">
        <v>1</v>
      </c>
      <c r="G1983" s="26"/>
      <c r="H1983" s="26"/>
      <c r="I1983" s="26"/>
      <c r="J1983" s="26"/>
      <c r="K1983" s="26"/>
      <c r="L1983" s="26"/>
      <c r="M1983" s="26"/>
      <c r="N1983" s="26"/>
      <c r="O1983" s="26"/>
      <c r="P1983" s="26"/>
      <c r="Q1983" s="66"/>
      <c r="R1983" s="66"/>
      <c r="S1983" s="26"/>
    </row>
    <row r="1984" spans="1:19">
      <c r="A1984" s="24"/>
      <c r="B1984" s="25" t="s">
        <v>238</v>
      </c>
      <c r="C1984" s="26" t="s">
        <v>8</v>
      </c>
      <c r="D1984" s="351">
        <v>3</v>
      </c>
      <c r="E1984" s="303"/>
      <c r="F1984" s="351">
        <v>3</v>
      </c>
      <c r="G1984" s="26"/>
      <c r="H1984" s="26"/>
      <c r="I1984" s="26"/>
      <c r="J1984" s="26"/>
      <c r="K1984" s="26"/>
      <c r="L1984" s="26"/>
      <c r="M1984" s="26"/>
      <c r="N1984" s="26"/>
      <c r="O1984" s="26"/>
      <c r="P1984" s="26"/>
      <c r="Q1984" s="66"/>
      <c r="R1984" s="66"/>
      <c r="S1984" s="26"/>
    </row>
    <row r="1985" spans="1:19">
      <c r="A1985" s="24"/>
      <c r="B1985" s="25" t="s">
        <v>24</v>
      </c>
      <c r="C1985" s="26" t="s">
        <v>8</v>
      </c>
      <c r="D1985" s="351">
        <v>3</v>
      </c>
      <c r="E1985" s="303"/>
      <c r="F1985" s="351">
        <v>3</v>
      </c>
      <c r="G1985" s="26"/>
      <c r="H1985" s="26"/>
      <c r="I1985" s="26"/>
      <c r="J1985" s="26"/>
      <c r="K1985" s="26"/>
      <c r="L1985" s="26"/>
      <c r="M1985" s="26"/>
      <c r="N1985" s="26"/>
      <c r="O1985" s="26"/>
      <c r="P1985" s="26"/>
      <c r="Q1985" s="66"/>
      <c r="R1985" s="66"/>
      <c r="S1985" s="26"/>
    </row>
    <row r="1986" spans="1:19">
      <c r="A1986" s="24"/>
      <c r="B1986" s="25" t="s">
        <v>163</v>
      </c>
      <c r="C1986" s="26" t="s">
        <v>8</v>
      </c>
      <c r="D1986" s="351">
        <v>3</v>
      </c>
      <c r="E1986" s="303"/>
      <c r="F1986" s="351">
        <v>3</v>
      </c>
      <c r="G1986" s="26"/>
      <c r="H1986" s="26"/>
      <c r="I1986" s="26"/>
      <c r="J1986" s="26"/>
      <c r="K1986" s="26"/>
      <c r="L1986" s="26"/>
      <c r="M1986" s="26"/>
      <c r="N1986" s="26"/>
      <c r="O1986" s="26"/>
      <c r="P1986" s="26"/>
      <c r="Q1986" s="66"/>
      <c r="R1986" s="66"/>
      <c r="S1986" s="26"/>
    </row>
    <row r="1987" spans="1:19">
      <c r="A1987" s="24"/>
      <c r="B1987" s="25" t="s">
        <v>164</v>
      </c>
      <c r="C1987" s="26"/>
      <c r="D1987" s="351"/>
      <c r="E1987" s="303"/>
      <c r="F1987" s="351"/>
      <c r="G1987" s="26"/>
      <c r="H1987" s="26"/>
      <c r="I1987" s="26"/>
      <c r="J1987" s="26"/>
      <c r="K1987" s="26"/>
      <c r="L1987" s="26"/>
      <c r="M1987" s="26"/>
      <c r="N1987" s="26"/>
      <c r="O1987" s="26"/>
      <c r="P1987" s="26"/>
      <c r="Q1987" s="66"/>
      <c r="R1987" s="66"/>
      <c r="S1987" s="26"/>
    </row>
    <row r="1988" spans="1:19">
      <c r="A1988" s="24"/>
      <c r="B1988" s="25" t="s">
        <v>382</v>
      </c>
      <c r="C1988" s="26" t="s">
        <v>8</v>
      </c>
      <c r="D1988" s="351">
        <v>1</v>
      </c>
      <c r="E1988" s="303"/>
      <c r="F1988" s="351">
        <v>1</v>
      </c>
      <c r="G1988" s="26"/>
      <c r="H1988" s="26"/>
      <c r="I1988" s="26"/>
      <c r="J1988" s="26"/>
      <c r="K1988" s="26"/>
      <c r="L1988" s="26"/>
      <c r="M1988" s="26"/>
      <c r="N1988" s="26"/>
      <c r="O1988" s="26"/>
      <c r="P1988" s="26"/>
      <c r="Q1988" s="66"/>
      <c r="R1988" s="66"/>
      <c r="S1988" s="26"/>
    </row>
    <row r="1989" spans="1:19">
      <c r="A1989" s="24"/>
      <c r="B1989" s="25" t="s">
        <v>251</v>
      </c>
      <c r="C1989" s="26" t="s">
        <v>8</v>
      </c>
      <c r="D1989" s="351">
        <v>2</v>
      </c>
      <c r="E1989" s="303"/>
      <c r="F1989" s="351">
        <v>2</v>
      </c>
      <c r="G1989" s="26"/>
      <c r="H1989" s="26"/>
      <c r="I1989" s="26"/>
      <c r="J1989" s="26"/>
      <c r="K1989" s="26"/>
      <c r="L1989" s="26"/>
      <c r="M1989" s="26"/>
      <c r="N1989" s="26"/>
      <c r="O1989" s="26"/>
      <c r="P1989" s="26"/>
      <c r="Q1989" s="66"/>
      <c r="R1989" s="66"/>
      <c r="S1989" s="26"/>
    </row>
    <row r="1990" spans="1:19">
      <c r="A1990" s="24"/>
      <c r="B1990" s="25" t="s">
        <v>168</v>
      </c>
      <c r="C1990" s="26" t="s">
        <v>8</v>
      </c>
      <c r="D1990" s="351">
        <v>1</v>
      </c>
      <c r="E1990" s="303"/>
      <c r="F1990" s="351">
        <v>1</v>
      </c>
      <c r="G1990" s="26"/>
      <c r="H1990" s="26"/>
      <c r="I1990" s="26"/>
      <c r="J1990" s="26"/>
      <c r="K1990" s="26"/>
      <c r="L1990" s="26"/>
      <c r="M1990" s="26"/>
      <c r="N1990" s="26"/>
      <c r="O1990" s="26"/>
      <c r="P1990" s="26"/>
      <c r="Q1990" s="66"/>
      <c r="R1990" s="66"/>
      <c r="S1990" s="26"/>
    </row>
    <row r="1991" spans="1:19">
      <c r="A1991" s="24"/>
      <c r="B1991" s="25" t="s">
        <v>442</v>
      </c>
      <c r="C1991" s="26" t="s">
        <v>17</v>
      </c>
      <c r="D1991" s="351">
        <v>1</v>
      </c>
      <c r="E1991" s="303"/>
      <c r="F1991" s="351">
        <v>1</v>
      </c>
      <c r="G1991" s="26"/>
      <c r="H1991" s="26"/>
      <c r="I1991" s="26"/>
      <c r="J1991" s="26"/>
      <c r="K1991" s="26"/>
      <c r="L1991" s="26"/>
      <c r="M1991" s="26"/>
      <c r="N1991" s="26"/>
      <c r="O1991" s="26"/>
      <c r="P1991" s="26"/>
      <c r="Q1991" s="66"/>
      <c r="R1991" s="66"/>
      <c r="S1991" s="26"/>
    </row>
    <row r="1992" spans="1:19">
      <c r="A1992" s="24"/>
      <c r="B1992" s="25" t="s">
        <v>241</v>
      </c>
      <c r="C1992" s="26" t="s">
        <v>8</v>
      </c>
      <c r="D1992" s="351">
        <v>2</v>
      </c>
      <c r="E1992" s="303"/>
      <c r="F1992" s="351">
        <v>2</v>
      </c>
      <c r="G1992" s="26"/>
      <c r="H1992" s="26"/>
      <c r="I1992" s="26"/>
      <c r="J1992" s="26"/>
      <c r="K1992" s="26"/>
      <c r="L1992" s="26"/>
      <c r="M1992" s="26"/>
      <c r="N1992" s="26"/>
      <c r="O1992" s="26"/>
      <c r="P1992" s="26"/>
      <c r="Q1992" s="66"/>
      <c r="R1992" s="66"/>
      <c r="S1992" s="26"/>
    </row>
    <row r="1993" spans="1:19">
      <c r="A1993" s="24"/>
      <c r="B1993" s="25" t="s">
        <v>242</v>
      </c>
      <c r="C1993" s="26" t="s">
        <v>8</v>
      </c>
      <c r="D1993" s="351">
        <v>1</v>
      </c>
      <c r="E1993" s="303"/>
      <c r="F1993" s="351">
        <v>1</v>
      </c>
      <c r="G1993" s="26"/>
      <c r="H1993" s="26"/>
      <c r="I1993" s="26"/>
      <c r="J1993" s="26"/>
      <c r="K1993" s="26"/>
      <c r="L1993" s="26"/>
      <c r="M1993" s="26"/>
      <c r="N1993" s="26"/>
      <c r="O1993" s="26"/>
      <c r="P1993" s="26"/>
      <c r="Q1993" s="66"/>
      <c r="R1993" s="66"/>
      <c r="S1993" s="26"/>
    </row>
    <row r="1994" spans="1:19">
      <c r="A1994" s="24"/>
      <c r="B1994" s="25" t="s">
        <v>183</v>
      </c>
      <c r="C1994" s="26" t="s">
        <v>8</v>
      </c>
      <c r="D1994" s="351">
        <v>1</v>
      </c>
      <c r="E1994" s="303"/>
      <c r="F1994" s="351">
        <v>1</v>
      </c>
      <c r="G1994" s="26"/>
      <c r="H1994" s="26"/>
      <c r="I1994" s="26"/>
      <c r="J1994" s="26"/>
      <c r="K1994" s="26"/>
      <c r="L1994" s="26"/>
      <c r="M1994" s="26"/>
      <c r="N1994" s="26"/>
      <c r="O1994" s="26"/>
      <c r="P1994" s="26"/>
      <c r="Q1994" s="66"/>
      <c r="R1994" s="66"/>
      <c r="S1994" s="26"/>
    </row>
    <row r="1995" spans="1:19">
      <c r="A1995" s="24"/>
      <c r="B1995" s="25" t="s">
        <v>211</v>
      </c>
      <c r="C1995" s="26" t="s">
        <v>8</v>
      </c>
      <c r="D1995" s="351">
        <v>1</v>
      </c>
      <c r="E1995" s="303"/>
      <c r="F1995" s="351">
        <v>1</v>
      </c>
      <c r="G1995" s="26"/>
      <c r="H1995" s="26"/>
      <c r="I1995" s="26"/>
      <c r="J1995" s="26"/>
      <c r="K1995" s="26"/>
      <c r="L1995" s="26"/>
      <c r="M1995" s="26"/>
      <c r="N1995" s="26"/>
      <c r="O1995" s="26"/>
      <c r="P1995" s="26"/>
      <c r="Q1995" s="66"/>
      <c r="R1995" s="66"/>
      <c r="S1995" s="26"/>
    </row>
    <row r="1996" spans="1:19">
      <c r="A1996" s="24"/>
      <c r="B1996" s="25" t="s">
        <v>243</v>
      </c>
      <c r="C1996" s="26" t="s">
        <v>8</v>
      </c>
      <c r="D1996" s="351">
        <v>1</v>
      </c>
      <c r="E1996" s="303"/>
      <c r="F1996" s="351">
        <v>1</v>
      </c>
      <c r="G1996" s="26"/>
      <c r="H1996" s="26"/>
      <c r="I1996" s="26"/>
      <c r="J1996" s="26"/>
      <c r="K1996" s="26"/>
      <c r="L1996" s="26"/>
      <c r="M1996" s="26"/>
      <c r="N1996" s="26"/>
      <c r="O1996" s="26"/>
      <c r="P1996" s="26"/>
      <c r="Q1996" s="66"/>
      <c r="R1996" s="66"/>
      <c r="S1996" s="26"/>
    </row>
    <row r="1997" spans="1:19">
      <c r="A1997" s="24"/>
      <c r="B1997" s="25" t="s">
        <v>185</v>
      </c>
      <c r="C1997" s="26" t="s">
        <v>8</v>
      </c>
      <c r="D1997" s="351">
        <v>1</v>
      </c>
      <c r="E1997" s="303"/>
      <c r="F1997" s="351">
        <v>1</v>
      </c>
      <c r="G1997" s="26"/>
      <c r="H1997" s="26"/>
      <c r="I1997" s="26"/>
      <c r="J1997" s="26"/>
      <c r="K1997" s="26"/>
      <c r="L1997" s="26"/>
      <c r="M1997" s="26"/>
      <c r="N1997" s="26"/>
      <c r="O1997" s="26"/>
      <c r="P1997" s="26"/>
      <c r="Q1997" s="66"/>
      <c r="R1997" s="66"/>
      <c r="S1997" s="26"/>
    </row>
    <row r="1998" spans="1:19">
      <c r="A1998" s="24"/>
      <c r="B1998" s="25" t="s">
        <v>212</v>
      </c>
      <c r="C1998" s="26" t="s">
        <v>8</v>
      </c>
      <c r="D1998" s="351">
        <v>1</v>
      </c>
      <c r="E1998" s="303"/>
      <c r="F1998" s="351">
        <v>1</v>
      </c>
      <c r="G1998" s="26"/>
      <c r="H1998" s="26"/>
      <c r="I1998" s="26"/>
      <c r="J1998" s="26"/>
      <c r="K1998" s="26"/>
      <c r="L1998" s="26"/>
      <c r="M1998" s="26"/>
      <c r="N1998" s="26"/>
      <c r="O1998" s="26"/>
      <c r="P1998" s="26"/>
      <c r="Q1998" s="66"/>
      <c r="R1998" s="66"/>
      <c r="S1998" s="26"/>
    </row>
    <row r="1999" spans="1:19">
      <c r="A1999" s="24"/>
      <c r="B1999" s="25" t="s">
        <v>186</v>
      </c>
      <c r="C1999" s="26" t="s">
        <v>8</v>
      </c>
      <c r="D1999" s="351">
        <v>2</v>
      </c>
      <c r="E1999" s="303"/>
      <c r="F1999" s="351">
        <v>2</v>
      </c>
      <c r="G1999" s="26"/>
      <c r="H1999" s="26"/>
      <c r="I1999" s="26"/>
      <c r="J1999" s="26"/>
      <c r="K1999" s="26"/>
      <c r="L1999" s="26"/>
      <c r="M1999" s="26"/>
      <c r="N1999" s="26"/>
      <c r="O1999" s="26"/>
      <c r="P1999" s="26"/>
      <c r="Q1999" s="66"/>
      <c r="R1999" s="66"/>
      <c r="S1999" s="26"/>
    </row>
    <row r="2000" spans="1:19">
      <c r="A2000" s="24"/>
      <c r="B2000" s="25" t="s">
        <v>171</v>
      </c>
      <c r="C2000" s="26" t="s">
        <v>8</v>
      </c>
      <c r="D2000" s="351">
        <v>1</v>
      </c>
      <c r="E2000" s="303"/>
      <c r="F2000" s="351">
        <v>1</v>
      </c>
      <c r="G2000" s="26"/>
      <c r="H2000" s="26"/>
      <c r="I2000" s="26"/>
      <c r="J2000" s="26"/>
      <c r="K2000" s="26"/>
      <c r="L2000" s="26"/>
      <c r="M2000" s="26"/>
      <c r="N2000" s="26"/>
      <c r="O2000" s="26"/>
      <c r="P2000" s="26"/>
      <c r="Q2000" s="66"/>
      <c r="R2000" s="66"/>
      <c r="S2000" s="26"/>
    </row>
    <row r="2001" spans="1:19">
      <c r="A2001" s="24"/>
      <c r="B2001" s="25" t="s">
        <v>187</v>
      </c>
      <c r="C2001" s="26" t="s">
        <v>78</v>
      </c>
      <c r="D2001" s="351">
        <v>1</v>
      </c>
      <c r="E2001" s="303"/>
      <c r="F2001" s="351">
        <v>1</v>
      </c>
      <c r="G2001" s="26"/>
      <c r="H2001" s="26"/>
      <c r="I2001" s="26"/>
      <c r="J2001" s="26"/>
      <c r="K2001" s="26"/>
      <c r="L2001" s="26"/>
      <c r="M2001" s="26"/>
      <c r="N2001" s="26"/>
      <c r="O2001" s="26"/>
      <c r="P2001" s="26"/>
      <c r="Q2001" s="66"/>
      <c r="R2001" s="66"/>
      <c r="S2001" s="26"/>
    </row>
    <row r="2002" spans="1:19">
      <c r="A2002" s="24"/>
      <c r="B2002" s="25" t="s">
        <v>360</v>
      </c>
      <c r="C2002" s="26" t="s">
        <v>17</v>
      </c>
      <c r="D2002" s="351">
        <v>2</v>
      </c>
      <c r="E2002" s="303"/>
      <c r="F2002" s="351">
        <v>2</v>
      </c>
      <c r="G2002" s="26"/>
      <c r="H2002" s="26"/>
      <c r="I2002" s="26"/>
      <c r="J2002" s="26"/>
      <c r="K2002" s="26"/>
      <c r="L2002" s="26"/>
      <c r="M2002" s="26"/>
      <c r="N2002" s="26"/>
      <c r="O2002" s="26"/>
      <c r="P2002" s="26"/>
      <c r="Q2002" s="66"/>
      <c r="R2002" s="66"/>
      <c r="S2002" s="26"/>
    </row>
    <row r="2003" spans="1:19">
      <c r="A2003" s="24"/>
      <c r="B2003" s="25" t="s">
        <v>254</v>
      </c>
      <c r="C2003" s="26" t="s">
        <v>8</v>
      </c>
      <c r="D2003" s="351">
        <v>4</v>
      </c>
      <c r="E2003" s="303"/>
      <c r="F2003" s="351">
        <v>4</v>
      </c>
      <c r="G2003" s="26"/>
      <c r="H2003" s="26"/>
      <c r="I2003" s="26"/>
      <c r="J2003" s="26"/>
      <c r="K2003" s="26"/>
      <c r="L2003" s="26"/>
      <c r="M2003" s="26"/>
      <c r="N2003" s="26"/>
      <c r="O2003" s="26"/>
      <c r="P2003" s="26"/>
      <c r="Q2003" s="66"/>
      <c r="R2003" s="66"/>
      <c r="S2003" s="26"/>
    </row>
    <row r="2004" spans="1:19">
      <c r="A2004" s="24"/>
      <c r="B2004" s="25" t="s">
        <v>255</v>
      </c>
      <c r="C2004" s="26" t="s">
        <v>8</v>
      </c>
      <c r="D2004" s="351">
        <v>2</v>
      </c>
      <c r="E2004" s="303"/>
      <c r="F2004" s="351">
        <v>2</v>
      </c>
      <c r="G2004" s="26"/>
      <c r="H2004" s="26"/>
      <c r="I2004" s="26"/>
      <c r="J2004" s="26"/>
      <c r="K2004" s="26"/>
      <c r="L2004" s="26"/>
      <c r="M2004" s="26"/>
      <c r="N2004" s="26"/>
      <c r="O2004" s="26"/>
      <c r="P2004" s="26"/>
      <c r="Q2004" s="66"/>
      <c r="R2004" s="66"/>
      <c r="S2004" s="26"/>
    </row>
    <row r="2005" spans="1:19">
      <c r="A2005" s="24"/>
      <c r="B2005" s="25" t="s">
        <v>183</v>
      </c>
      <c r="C2005" s="26" t="s">
        <v>8</v>
      </c>
      <c r="D2005" s="351">
        <v>4</v>
      </c>
      <c r="E2005" s="303"/>
      <c r="F2005" s="351">
        <v>4</v>
      </c>
      <c r="G2005" s="26"/>
      <c r="H2005" s="26"/>
      <c r="I2005" s="26"/>
      <c r="J2005" s="26"/>
      <c r="K2005" s="26"/>
      <c r="L2005" s="26"/>
      <c r="M2005" s="26"/>
      <c r="N2005" s="26"/>
      <c r="O2005" s="26"/>
      <c r="P2005" s="26"/>
      <c r="Q2005" s="66"/>
      <c r="R2005" s="66"/>
      <c r="S2005" s="26"/>
    </row>
    <row r="2006" spans="1:19">
      <c r="A2006" s="24"/>
      <c r="B2006" s="25" t="s">
        <v>211</v>
      </c>
      <c r="C2006" s="26" t="s">
        <v>8</v>
      </c>
      <c r="D2006" s="351">
        <v>2</v>
      </c>
      <c r="E2006" s="303"/>
      <c r="F2006" s="351">
        <v>2</v>
      </c>
      <c r="G2006" s="26"/>
      <c r="H2006" s="26"/>
      <c r="I2006" s="26"/>
      <c r="J2006" s="26"/>
      <c r="K2006" s="26"/>
      <c r="L2006" s="26"/>
      <c r="M2006" s="26"/>
      <c r="N2006" s="26"/>
      <c r="O2006" s="26"/>
      <c r="P2006" s="26"/>
      <c r="Q2006" s="66"/>
      <c r="R2006" s="66"/>
      <c r="S2006" s="26"/>
    </row>
    <row r="2007" spans="1:19">
      <c r="A2007" s="24"/>
      <c r="B2007" s="25" t="s">
        <v>361</v>
      </c>
      <c r="C2007" s="26" t="s">
        <v>8</v>
      </c>
      <c r="D2007" s="351">
        <v>2</v>
      </c>
      <c r="E2007" s="303"/>
      <c r="F2007" s="351">
        <v>2</v>
      </c>
      <c r="G2007" s="26"/>
      <c r="H2007" s="26"/>
      <c r="I2007" s="26"/>
      <c r="J2007" s="26"/>
      <c r="K2007" s="26"/>
      <c r="L2007" s="26"/>
      <c r="M2007" s="26"/>
      <c r="N2007" s="26"/>
      <c r="O2007" s="26"/>
      <c r="P2007" s="26"/>
      <c r="Q2007" s="66"/>
      <c r="R2007" s="66"/>
      <c r="S2007" s="26"/>
    </row>
    <row r="2008" spans="1:19">
      <c r="A2008" s="24"/>
      <c r="B2008" s="25" t="s">
        <v>185</v>
      </c>
      <c r="C2008" s="26" t="s">
        <v>8</v>
      </c>
      <c r="D2008" s="351">
        <v>2</v>
      </c>
      <c r="E2008" s="303"/>
      <c r="F2008" s="351">
        <v>2</v>
      </c>
      <c r="G2008" s="26"/>
      <c r="H2008" s="26"/>
      <c r="I2008" s="26"/>
      <c r="J2008" s="26"/>
      <c r="K2008" s="26"/>
      <c r="L2008" s="26"/>
      <c r="M2008" s="26"/>
      <c r="N2008" s="26"/>
      <c r="O2008" s="26"/>
      <c r="P2008" s="26"/>
      <c r="Q2008" s="66"/>
      <c r="R2008" s="66"/>
      <c r="S2008" s="26"/>
    </row>
    <row r="2009" spans="1:19">
      <c r="A2009" s="24"/>
      <c r="B2009" s="25" t="s">
        <v>212</v>
      </c>
      <c r="C2009" s="26" t="s">
        <v>8</v>
      </c>
      <c r="D2009" s="351">
        <v>2</v>
      </c>
      <c r="E2009" s="303"/>
      <c r="F2009" s="351">
        <v>2</v>
      </c>
      <c r="G2009" s="26"/>
      <c r="H2009" s="26"/>
      <c r="I2009" s="26"/>
      <c r="J2009" s="26"/>
      <c r="K2009" s="26"/>
      <c r="L2009" s="26"/>
      <c r="M2009" s="26"/>
      <c r="N2009" s="26"/>
      <c r="O2009" s="26"/>
      <c r="P2009" s="26"/>
      <c r="Q2009" s="66"/>
      <c r="R2009" s="66"/>
      <c r="S2009" s="26"/>
    </row>
    <row r="2010" spans="1:19">
      <c r="A2010" s="24"/>
      <c r="B2010" s="25" t="s">
        <v>186</v>
      </c>
      <c r="C2010" s="26" t="s">
        <v>8</v>
      </c>
      <c r="D2010" s="351">
        <v>4</v>
      </c>
      <c r="E2010" s="303"/>
      <c r="F2010" s="351">
        <v>4</v>
      </c>
      <c r="G2010" s="26"/>
      <c r="H2010" s="26"/>
      <c r="I2010" s="26"/>
      <c r="J2010" s="26"/>
      <c r="K2010" s="26"/>
      <c r="L2010" s="26"/>
      <c r="M2010" s="26"/>
      <c r="N2010" s="26"/>
      <c r="O2010" s="26"/>
      <c r="P2010" s="26"/>
      <c r="Q2010" s="66"/>
      <c r="R2010" s="66"/>
      <c r="S2010" s="26"/>
    </row>
    <row r="2011" spans="1:19">
      <c r="A2011" s="24"/>
      <c r="B2011" s="25" t="s">
        <v>171</v>
      </c>
      <c r="C2011" s="26" t="s">
        <v>8</v>
      </c>
      <c r="D2011" s="351">
        <v>2</v>
      </c>
      <c r="E2011" s="303"/>
      <c r="F2011" s="351">
        <v>2</v>
      </c>
      <c r="G2011" s="26"/>
      <c r="H2011" s="26"/>
      <c r="I2011" s="26"/>
      <c r="J2011" s="26"/>
      <c r="K2011" s="26"/>
      <c r="L2011" s="26"/>
      <c r="M2011" s="26"/>
      <c r="N2011" s="26"/>
      <c r="O2011" s="26"/>
      <c r="P2011" s="26"/>
      <c r="Q2011" s="66"/>
      <c r="R2011" s="66"/>
      <c r="S2011" s="26"/>
    </row>
    <row r="2012" spans="1:19">
      <c r="A2012" s="24"/>
      <c r="B2012" s="25" t="s">
        <v>187</v>
      </c>
      <c r="C2012" s="26" t="s">
        <v>78</v>
      </c>
      <c r="D2012" s="351">
        <v>1</v>
      </c>
      <c r="E2012" s="303"/>
      <c r="F2012" s="351">
        <v>1</v>
      </c>
      <c r="G2012" s="26"/>
      <c r="H2012" s="26"/>
      <c r="I2012" s="26"/>
      <c r="J2012" s="26"/>
      <c r="K2012" s="26"/>
      <c r="L2012" s="26"/>
      <c r="M2012" s="26"/>
      <c r="N2012" s="26"/>
      <c r="O2012" s="26"/>
      <c r="P2012" s="26"/>
      <c r="Q2012" s="66"/>
      <c r="R2012" s="66"/>
      <c r="S2012" s="26"/>
    </row>
    <row r="2013" spans="1:19">
      <c r="A2013" s="24"/>
      <c r="B2013" s="25" t="s">
        <v>173</v>
      </c>
      <c r="C2013" s="26" t="s">
        <v>8</v>
      </c>
      <c r="D2013" s="351">
        <v>1</v>
      </c>
      <c r="E2013" s="303"/>
      <c r="F2013" s="351">
        <v>1</v>
      </c>
      <c r="G2013" s="26"/>
      <c r="H2013" s="26"/>
      <c r="I2013" s="26"/>
      <c r="J2013" s="26"/>
      <c r="K2013" s="26"/>
      <c r="L2013" s="26"/>
      <c r="M2013" s="26"/>
      <c r="N2013" s="26"/>
      <c r="O2013" s="26"/>
      <c r="P2013" s="26"/>
      <c r="Q2013" s="66"/>
      <c r="R2013" s="66"/>
      <c r="S2013" s="26"/>
    </row>
    <row r="2014" spans="1:19">
      <c r="A2014" s="24"/>
      <c r="B2014" s="25" t="s">
        <v>443</v>
      </c>
      <c r="C2014" s="26" t="s">
        <v>17</v>
      </c>
      <c r="D2014" s="351">
        <v>1</v>
      </c>
      <c r="E2014" s="303"/>
      <c r="F2014" s="351">
        <v>1</v>
      </c>
      <c r="G2014" s="26"/>
      <c r="H2014" s="26"/>
      <c r="I2014" s="26"/>
      <c r="J2014" s="26"/>
      <c r="K2014" s="26"/>
      <c r="L2014" s="26"/>
      <c r="M2014" s="26"/>
      <c r="N2014" s="26"/>
      <c r="O2014" s="26"/>
      <c r="P2014" s="26"/>
      <c r="Q2014" s="66"/>
      <c r="R2014" s="66"/>
      <c r="S2014" s="26"/>
    </row>
    <row r="2015" spans="1:19">
      <c r="A2015" s="24"/>
      <c r="B2015" s="25" t="s">
        <v>217</v>
      </c>
      <c r="C2015" s="26" t="s">
        <v>17</v>
      </c>
      <c r="D2015" s="351">
        <v>1</v>
      </c>
      <c r="E2015" s="303"/>
      <c r="F2015" s="351">
        <v>1</v>
      </c>
      <c r="G2015" s="26"/>
      <c r="H2015" s="26"/>
      <c r="I2015" s="26"/>
      <c r="J2015" s="26"/>
      <c r="K2015" s="26"/>
      <c r="L2015" s="26"/>
      <c r="M2015" s="26"/>
      <c r="N2015" s="26"/>
      <c r="O2015" s="26"/>
      <c r="P2015" s="26"/>
      <c r="Q2015" s="66"/>
      <c r="R2015" s="66"/>
      <c r="S2015" s="26"/>
    </row>
    <row r="2016" spans="1:19" ht="30">
      <c r="A2016" s="24"/>
      <c r="B2016" s="25" t="s">
        <v>176</v>
      </c>
      <c r="C2016" s="26" t="s">
        <v>78</v>
      </c>
      <c r="D2016" s="351">
        <v>1</v>
      </c>
      <c r="E2016" s="303"/>
      <c r="F2016" s="351">
        <v>1</v>
      </c>
      <c r="G2016" s="26"/>
      <c r="H2016" s="26"/>
      <c r="I2016" s="26"/>
      <c r="J2016" s="26"/>
      <c r="K2016" s="26"/>
      <c r="L2016" s="26"/>
      <c r="M2016" s="26"/>
      <c r="N2016" s="26"/>
      <c r="O2016" s="26"/>
      <c r="P2016" s="26"/>
      <c r="Q2016" s="66"/>
      <c r="R2016" s="66"/>
      <c r="S2016" s="26"/>
    </row>
    <row r="2017" spans="1:19" ht="60">
      <c r="A2017" s="24">
        <v>75</v>
      </c>
      <c r="B2017" s="25" t="s">
        <v>444</v>
      </c>
      <c r="C2017" s="26" t="s">
        <v>7</v>
      </c>
      <c r="D2017" s="351">
        <v>1</v>
      </c>
      <c r="E2017" s="303"/>
      <c r="F2017" s="351">
        <v>1</v>
      </c>
      <c r="G2017" s="26" t="s">
        <v>2326</v>
      </c>
      <c r="H2017" s="26"/>
      <c r="I2017" s="26" t="s">
        <v>2327</v>
      </c>
      <c r="J2017" s="26" t="s">
        <v>2328</v>
      </c>
      <c r="K2017" s="311">
        <v>24589532.879999995</v>
      </c>
      <c r="L2017" s="311">
        <v>0</v>
      </c>
      <c r="M2017" s="311">
        <v>1582000.0000000002</v>
      </c>
      <c r="N2017" s="311">
        <v>2623791.2000000002</v>
      </c>
      <c r="O2017" s="311">
        <v>1836653.84</v>
      </c>
      <c r="P2017" s="68">
        <f>SUM(K2017:O2017)</f>
        <v>30631977.919999994</v>
      </c>
      <c r="Q2017" s="68">
        <f>D2017*P2017</f>
        <v>30631977.919999994</v>
      </c>
      <c r="R2017" s="127">
        <f>F2017*P2017</f>
        <v>30631977.919999994</v>
      </c>
      <c r="S2017" s="26"/>
    </row>
    <row r="2018" spans="1:19" ht="30">
      <c r="A2018" s="24"/>
      <c r="B2018" s="25" t="s">
        <v>445</v>
      </c>
      <c r="C2018" s="26" t="s">
        <v>8</v>
      </c>
      <c r="D2018" s="351">
        <v>1</v>
      </c>
      <c r="E2018" s="303"/>
      <c r="F2018" s="351">
        <v>1</v>
      </c>
      <c r="G2018" s="26"/>
      <c r="H2018" s="26"/>
      <c r="I2018" s="26"/>
      <c r="J2018" s="26"/>
      <c r="K2018" s="26"/>
      <c r="L2018" s="26"/>
      <c r="M2018" s="26"/>
      <c r="N2018" s="26"/>
      <c r="O2018" s="26"/>
      <c r="P2018" s="26"/>
      <c r="Q2018" s="66"/>
      <c r="R2018" s="66"/>
      <c r="S2018" s="26"/>
    </row>
    <row r="2019" spans="1:19">
      <c r="A2019" s="24"/>
      <c r="B2019" s="25" t="s">
        <v>161</v>
      </c>
      <c r="C2019" s="26"/>
      <c r="D2019" s="351"/>
      <c r="E2019" s="303"/>
      <c r="F2019" s="351"/>
      <c r="G2019" s="26"/>
      <c r="H2019" s="26"/>
      <c r="I2019" s="26"/>
      <c r="J2019" s="26"/>
      <c r="K2019" s="26"/>
      <c r="L2019" s="26"/>
      <c r="M2019" s="26"/>
      <c r="N2019" s="26"/>
      <c r="O2019" s="26"/>
      <c r="P2019" s="26"/>
      <c r="Q2019" s="66"/>
      <c r="R2019" s="66"/>
      <c r="S2019" s="26"/>
    </row>
    <row r="2020" spans="1:19">
      <c r="A2020" s="24"/>
      <c r="B2020" s="25" t="s">
        <v>330</v>
      </c>
      <c r="C2020" s="26" t="s">
        <v>8</v>
      </c>
      <c r="D2020" s="351">
        <v>1</v>
      </c>
      <c r="E2020" s="303"/>
      <c r="F2020" s="351">
        <v>1</v>
      </c>
      <c r="G2020" s="26"/>
      <c r="H2020" s="26"/>
      <c r="I2020" s="26"/>
      <c r="J2020" s="26"/>
      <c r="K2020" s="26"/>
      <c r="L2020" s="26"/>
      <c r="M2020" s="26"/>
      <c r="N2020" s="26"/>
      <c r="O2020" s="26"/>
      <c r="P2020" s="26"/>
      <c r="Q2020" s="66"/>
      <c r="R2020" s="66"/>
      <c r="S2020" s="26"/>
    </row>
    <row r="2021" spans="1:19">
      <c r="A2021" s="24"/>
      <c r="B2021" s="25" t="s">
        <v>54</v>
      </c>
      <c r="C2021" s="26" t="s">
        <v>20</v>
      </c>
      <c r="D2021" s="351">
        <v>3</v>
      </c>
      <c r="E2021" s="303"/>
      <c r="F2021" s="351">
        <v>3</v>
      </c>
      <c r="G2021" s="26"/>
      <c r="H2021" s="26"/>
      <c r="I2021" s="26"/>
      <c r="J2021" s="26"/>
      <c r="K2021" s="26"/>
      <c r="L2021" s="26"/>
      <c r="M2021" s="26"/>
      <c r="N2021" s="26"/>
      <c r="O2021" s="26"/>
      <c r="P2021" s="26"/>
      <c r="Q2021" s="66"/>
      <c r="R2021" s="66"/>
      <c r="S2021" s="26"/>
    </row>
    <row r="2022" spans="1:19">
      <c r="A2022" s="24"/>
      <c r="B2022" s="25" t="s">
        <v>21</v>
      </c>
      <c r="C2022" s="26" t="s">
        <v>8</v>
      </c>
      <c r="D2022" s="351">
        <v>1</v>
      </c>
      <c r="E2022" s="303"/>
      <c r="F2022" s="351">
        <v>1</v>
      </c>
      <c r="G2022" s="26"/>
      <c r="H2022" s="26"/>
      <c r="I2022" s="26"/>
      <c r="J2022" s="26"/>
      <c r="K2022" s="26"/>
      <c r="L2022" s="26"/>
      <c r="M2022" s="26"/>
      <c r="N2022" s="26"/>
      <c r="O2022" s="26"/>
      <c r="P2022" s="26"/>
      <c r="Q2022" s="66"/>
      <c r="R2022" s="66"/>
      <c r="S2022" s="26"/>
    </row>
    <row r="2023" spans="1:19">
      <c r="A2023" s="24"/>
      <c r="B2023" s="25" t="s">
        <v>22</v>
      </c>
      <c r="C2023" s="26" t="s">
        <v>8</v>
      </c>
      <c r="D2023" s="351">
        <v>1</v>
      </c>
      <c r="E2023" s="303"/>
      <c r="F2023" s="351">
        <v>1</v>
      </c>
      <c r="G2023" s="26"/>
      <c r="H2023" s="26"/>
      <c r="I2023" s="26"/>
      <c r="J2023" s="26"/>
      <c r="K2023" s="26"/>
      <c r="L2023" s="26"/>
      <c r="M2023" s="26"/>
      <c r="N2023" s="26"/>
      <c r="O2023" s="26"/>
      <c r="P2023" s="26"/>
      <c r="Q2023" s="66"/>
      <c r="R2023" s="66"/>
      <c r="S2023" s="26"/>
    </row>
    <row r="2024" spans="1:19">
      <c r="A2024" s="24"/>
      <c r="B2024" s="25" t="s">
        <v>194</v>
      </c>
      <c r="C2024" s="26" t="s">
        <v>8</v>
      </c>
      <c r="D2024" s="351">
        <v>3</v>
      </c>
      <c r="E2024" s="303"/>
      <c r="F2024" s="351">
        <v>3</v>
      </c>
      <c r="G2024" s="26"/>
      <c r="H2024" s="26"/>
      <c r="I2024" s="26"/>
      <c r="J2024" s="26"/>
      <c r="K2024" s="26"/>
      <c r="L2024" s="26"/>
      <c r="M2024" s="26"/>
      <c r="N2024" s="26"/>
      <c r="O2024" s="26"/>
      <c r="P2024" s="26"/>
      <c r="Q2024" s="66"/>
      <c r="R2024" s="66"/>
      <c r="S2024" s="26"/>
    </row>
    <row r="2025" spans="1:19">
      <c r="A2025" s="24"/>
      <c r="B2025" s="25" t="s">
        <v>24</v>
      </c>
      <c r="C2025" s="26" t="s">
        <v>8</v>
      </c>
      <c r="D2025" s="351">
        <v>3</v>
      </c>
      <c r="E2025" s="303"/>
      <c r="F2025" s="351">
        <v>3</v>
      </c>
      <c r="G2025" s="26"/>
      <c r="H2025" s="26"/>
      <c r="I2025" s="26"/>
      <c r="J2025" s="26"/>
      <c r="K2025" s="26"/>
      <c r="L2025" s="26"/>
      <c r="M2025" s="26"/>
      <c r="N2025" s="26"/>
      <c r="O2025" s="26"/>
      <c r="P2025" s="26"/>
      <c r="Q2025" s="66"/>
      <c r="R2025" s="66"/>
      <c r="S2025" s="26"/>
    </row>
    <row r="2026" spans="1:19">
      <c r="A2026" s="24"/>
      <c r="B2026" s="25" t="s">
        <v>163</v>
      </c>
      <c r="C2026" s="26" t="s">
        <v>8</v>
      </c>
      <c r="D2026" s="351">
        <v>3</v>
      </c>
      <c r="E2026" s="303"/>
      <c r="F2026" s="351">
        <v>3</v>
      </c>
      <c r="G2026" s="26"/>
      <c r="H2026" s="26"/>
      <c r="I2026" s="26"/>
      <c r="J2026" s="26"/>
      <c r="K2026" s="26"/>
      <c r="L2026" s="26"/>
      <c r="M2026" s="26"/>
      <c r="N2026" s="26"/>
      <c r="O2026" s="26"/>
      <c r="P2026" s="26"/>
      <c r="Q2026" s="66"/>
      <c r="R2026" s="66"/>
      <c r="S2026" s="26"/>
    </row>
    <row r="2027" spans="1:19">
      <c r="A2027" s="24"/>
      <c r="B2027" s="25" t="s">
        <v>164</v>
      </c>
      <c r="C2027" s="26"/>
      <c r="D2027" s="351"/>
      <c r="E2027" s="303"/>
      <c r="F2027" s="351"/>
      <c r="G2027" s="26"/>
      <c r="H2027" s="26"/>
      <c r="I2027" s="26"/>
      <c r="J2027" s="26"/>
      <c r="K2027" s="26"/>
      <c r="L2027" s="26"/>
      <c r="M2027" s="26"/>
      <c r="N2027" s="26"/>
      <c r="O2027" s="26"/>
      <c r="P2027" s="26"/>
      <c r="Q2027" s="66"/>
      <c r="R2027" s="66"/>
      <c r="S2027" s="26"/>
    </row>
    <row r="2028" spans="1:19">
      <c r="A2028" s="24"/>
      <c r="B2028" s="25" t="s">
        <v>387</v>
      </c>
      <c r="C2028" s="26" t="s">
        <v>8</v>
      </c>
      <c r="D2028" s="351">
        <v>2</v>
      </c>
      <c r="E2028" s="303"/>
      <c r="F2028" s="351">
        <v>2</v>
      </c>
      <c r="G2028" s="26"/>
      <c r="H2028" s="26"/>
      <c r="I2028" s="26"/>
      <c r="J2028" s="26"/>
      <c r="K2028" s="26"/>
      <c r="L2028" s="26"/>
      <c r="M2028" s="26"/>
      <c r="N2028" s="26"/>
      <c r="O2028" s="26"/>
      <c r="P2028" s="26"/>
      <c r="Q2028" s="66"/>
      <c r="R2028" s="66"/>
      <c r="S2028" s="26"/>
    </row>
    <row r="2029" spans="1:19">
      <c r="A2029" s="24"/>
      <c r="B2029" s="25" t="s">
        <v>168</v>
      </c>
      <c r="C2029" s="26" t="s">
        <v>8</v>
      </c>
      <c r="D2029" s="351">
        <v>1</v>
      </c>
      <c r="E2029" s="303"/>
      <c r="F2029" s="351">
        <v>1</v>
      </c>
      <c r="G2029" s="26"/>
      <c r="H2029" s="26"/>
      <c r="I2029" s="26"/>
      <c r="J2029" s="26"/>
      <c r="K2029" s="26"/>
      <c r="L2029" s="26"/>
      <c r="M2029" s="26"/>
      <c r="N2029" s="26"/>
      <c r="O2029" s="26"/>
      <c r="P2029" s="26"/>
      <c r="Q2029" s="66"/>
      <c r="R2029" s="66"/>
      <c r="S2029" s="26"/>
    </row>
    <row r="2030" spans="1:19">
      <c r="A2030" s="24"/>
      <c r="B2030" s="25" t="s">
        <v>360</v>
      </c>
      <c r="C2030" s="26" t="s">
        <v>17</v>
      </c>
      <c r="D2030" s="351">
        <v>2</v>
      </c>
      <c r="E2030" s="303"/>
      <c r="F2030" s="351">
        <v>2</v>
      </c>
      <c r="G2030" s="26"/>
      <c r="H2030" s="26"/>
      <c r="I2030" s="26"/>
      <c r="J2030" s="26"/>
      <c r="K2030" s="26"/>
      <c r="L2030" s="26"/>
      <c r="M2030" s="26"/>
      <c r="N2030" s="26"/>
      <c r="O2030" s="26"/>
      <c r="P2030" s="26"/>
      <c r="Q2030" s="66"/>
      <c r="R2030" s="66"/>
      <c r="S2030" s="26"/>
    </row>
    <row r="2031" spans="1:19">
      <c r="A2031" s="24"/>
      <c r="B2031" s="25" t="s">
        <v>254</v>
      </c>
      <c r="C2031" s="26" t="s">
        <v>8</v>
      </c>
      <c r="D2031" s="351">
        <v>4</v>
      </c>
      <c r="E2031" s="303"/>
      <c r="F2031" s="351">
        <v>4</v>
      </c>
      <c r="G2031" s="26"/>
      <c r="H2031" s="26"/>
      <c r="I2031" s="26"/>
      <c r="J2031" s="26"/>
      <c r="K2031" s="26"/>
      <c r="L2031" s="26"/>
      <c r="M2031" s="26"/>
      <c r="N2031" s="26"/>
      <c r="O2031" s="26"/>
      <c r="P2031" s="26"/>
      <c r="Q2031" s="66"/>
      <c r="R2031" s="66"/>
      <c r="S2031" s="26"/>
    </row>
    <row r="2032" spans="1:19">
      <c r="A2032" s="24"/>
      <c r="B2032" s="25" t="s">
        <v>255</v>
      </c>
      <c r="C2032" s="26" t="s">
        <v>8</v>
      </c>
      <c r="D2032" s="351">
        <v>2</v>
      </c>
      <c r="E2032" s="303"/>
      <c r="F2032" s="351">
        <v>2</v>
      </c>
      <c r="G2032" s="26"/>
      <c r="H2032" s="26"/>
      <c r="I2032" s="26"/>
      <c r="J2032" s="26"/>
      <c r="K2032" s="26"/>
      <c r="L2032" s="26"/>
      <c r="M2032" s="26"/>
      <c r="N2032" s="26"/>
      <c r="O2032" s="26"/>
      <c r="P2032" s="26"/>
      <c r="Q2032" s="66"/>
      <c r="R2032" s="66"/>
      <c r="S2032" s="26"/>
    </row>
    <row r="2033" spans="1:19">
      <c r="A2033" s="24"/>
      <c r="B2033" s="25" t="s">
        <v>183</v>
      </c>
      <c r="C2033" s="26" t="s">
        <v>8</v>
      </c>
      <c r="D2033" s="351">
        <v>2</v>
      </c>
      <c r="E2033" s="303"/>
      <c r="F2033" s="351">
        <v>2</v>
      </c>
      <c r="G2033" s="26"/>
      <c r="H2033" s="26"/>
      <c r="I2033" s="26"/>
      <c r="J2033" s="26"/>
      <c r="K2033" s="26"/>
      <c r="L2033" s="26"/>
      <c r="M2033" s="26"/>
      <c r="N2033" s="26"/>
      <c r="O2033" s="26"/>
      <c r="P2033" s="26"/>
      <c r="Q2033" s="66"/>
      <c r="R2033" s="66"/>
      <c r="S2033" s="26"/>
    </row>
    <row r="2034" spans="1:19">
      <c r="A2034" s="24"/>
      <c r="B2034" s="25" t="s">
        <v>211</v>
      </c>
      <c r="C2034" s="26" t="s">
        <v>8</v>
      </c>
      <c r="D2034" s="351">
        <v>2</v>
      </c>
      <c r="E2034" s="303"/>
      <c r="F2034" s="351">
        <v>2</v>
      </c>
      <c r="G2034" s="26"/>
      <c r="H2034" s="26"/>
      <c r="I2034" s="26"/>
      <c r="J2034" s="26"/>
      <c r="K2034" s="26"/>
      <c r="L2034" s="26"/>
      <c r="M2034" s="26"/>
      <c r="N2034" s="26"/>
      <c r="O2034" s="26"/>
      <c r="P2034" s="26"/>
      <c r="Q2034" s="66"/>
      <c r="R2034" s="66"/>
      <c r="S2034" s="26"/>
    </row>
    <row r="2035" spans="1:19">
      <c r="A2035" s="24"/>
      <c r="B2035" s="25" t="s">
        <v>361</v>
      </c>
      <c r="C2035" s="26" t="s">
        <v>8</v>
      </c>
      <c r="D2035" s="351">
        <v>2</v>
      </c>
      <c r="E2035" s="303"/>
      <c r="F2035" s="351">
        <v>2</v>
      </c>
      <c r="G2035" s="26"/>
      <c r="H2035" s="26"/>
      <c r="I2035" s="26"/>
      <c r="J2035" s="26"/>
      <c r="K2035" s="26"/>
      <c r="L2035" s="26"/>
      <c r="M2035" s="26"/>
      <c r="N2035" s="26"/>
      <c r="O2035" s="26"/>
      <c r="P2035" s="26"/>
      <c r="Q2035" s="66"/>
      <c r="R2035" s="66"/>
      <c r="S2035" s="26"/>
    </row>
    <row r="2036" spans="1:19">
      <c r="A2036" s="24"/>
      <c r="B2036" s="25" t="s">
        <v>185</v>
      </c>
      <c r="C2036" s="26" t="s">
        <v>8</v>
      </c>
      <c r="D2036" s="351">
        <v>2</v>
      </c>
      <c r="E2036" s="92"/>
      <c r="F2036" s="351">
        <v>2</v>
      </c>
      <c r="G2036" s="329"/>
      <c r="H2036" s="329"/>
      <c r="I2036" s="329"/>
      <c r="J2036" s="329"/>
      <c r="K2036" s="329"/>
      <c r="L2036" s="329"/>
      <c r="M2036" s="329"/>
      <c r="N2036" s="329"/>
      <c r="O2036" s="329"/>
      <c r="P2036" s="329"/>
      <c r="Q2036" s="65"/>
      <c r="R2036" s="65"/>
      <c r="S2036" s="329"/>
    </row>
    <row r="2037" spans="1:19">
      <c r="A2037" s="24"/>
      <c r="B2037" s="25" t="s">
        <v>212</v>
      </c>
      <c r="C2037" s="26" t="s">
        <v>8</v>
      </c>
      <c r="D2037" s="351">
        <v>2</v>
      </c>
      <c r="E2037" s="316"/>
      <c r="F2037" s="351">
        <v>2</v>
      </c>
      <c r="G2037" s="317"/>
      <c r="H2037" s="317"/>
      <c r="I2037" s="317"/>
      <c r="J2037" s="317"/>
      <c r="K2037" s="317"/>
      <c r="L2037" s="317"/>
      <c r="M2037" s="317"/>
      <c r="N2037" s="317"/>
      <c r="O2037" s="317"/>
      <c r="P2037" s="317"/>
      <c r="Q2037" s="346"/>
      <c r="R2037" s="346"/>
      <c r="S2037" s="317"/>
    </row>
    <row r="2038" spans="1:19">
      <c r="A2038" s="24"/>
      <c r="B2038" s="25" t="s">
        <v>186</v>
      </c>
      <c r="C2038" s="26" t="s">
        <v>8</v>
      </c>
      <c r="D2038" s="351">
        <v>4</v>
      </c>
      <c r="E2038" s="316"/>
      <c r="F2038" s="351">
        <v>4</v>
      </c>
      <c r="G2038" s="317"/>
      <c r="H2038" s="317"/>
      <c r="I2038" s="317"/>
      <c r="J2038" s="317"/>
      <c r="K2038" s="317"/>
      <c r="L2038" s="317"/>
      <c r="M2038" s="317"/>
      <c r="N2038" s="317"/>
      <c r="O2038" s="317"/>
      <c r="P2038" s="317"/>
      <c r="Q2038" s="346"/>
      <c r="R2038" s="346"/>
      <c r="S2038" s="317"/>
    </row>
    <row r="2039" spans="1:19">
      <c r="A2039" s="24"/>
      <c r="B2039" s="25" t="s">
        <v>171</v>
      </c>
      <c r="C2039" s="26" t="s">
        <v>8</v>
      </c>
      <c r="D2039" s="351">
        <v>2</v>
      </c>
      <c r="E2039" s="316"/>
      <c r="F2039" s="351">
        <v>2</v>
      </c>
      <c r="G2039" s="317"/>
      <c r="H2039" s="317"/>
      <c r="I2039" s="317"/>
      <c r="J2039" s="317"/>
      <c r="K2039" s="317"/>
      <c r="L2039" s="317"/>
      <c r="M2039" s="317"/>
      <c r="N2039" s="317"/>
      <c r="O2039" s="317"/>
      <c r="P2039" s="317"/>
      <c r="Q2039" s="346"/>
      <c r="R2039" s="346"/>
      <c r="S2039" s="317"/>
    </row>
    <row r="2040" spans="1:19">
      <c r="A2040" s="24"/>
      <c r="B2040" s="25" t="s">
        <v>187</v>
      </c>
      <c r="C2040" s="26" t="s">
        <v>78</v>
      </c>
      <c r="D2040" s="351">
        <v>1</v>
      </c>
      <c r="E2040" s="316"/>
      <c r="F2040" s="351">
        <v>1</v>
      </c>
      <c r="G2040" s="317"/>
      <c r="H2040" s="317"/>
      <c r="I2040" s="317"/>
      <c r="J2040" s="317"/>
      <c r="K2040" s="317"/>
      <c r="L2040" s="317"/>
      <c r="M2040" s="317"/>
      <c r="N2040" s="317"/>
      <c r="O2040" s="317"/>
      <c r="P2040" s="317"/>
      <c r="Q2040" s="346"/>
      <c r="R2040" s="346"/>
      <c r="S2040" s="317"/>
    </row>
    <row r="2041" spans="1:19">
      <c r="A2041" s="24"/>
      <c r="B2041" s="25" t="s">
        <v>173</v>
      </c>
      <c r="C2041" s="26" t="s">
        <v>8</v>
      </c>
      <c r="D2041" s="351">
        <v>1</v>
      </c>
      <c r="E2041" s="316"/>
      <c r="F2041" s="351">
        <v>1</v>
      </c>
      <c r="G2041" s="317"/>
      <c r="H2041" s="317"/>
      <c r="I2041" s="317"/>
      <c r="J2041" s="317"/>
      <c r="K2041" s="317"/>
      <c r="L2041" s="317"/>
      <c r="M2041" s="317"/>
      <c r="N2041" s="317"/>
      <c r="O2041" s="317"/>
      <c r="P2041" s="317"/>
      <c r="Q2041" s="346"/>
      <c r="R2041" s="346"/>
      <c r="S2041" s="317"/>
    </row>
    <row r="2042" spans="1:19">
      <c r="A2042" s="24"/>
      <c r="B2042" s="25" t="s">
        <v>216</v>
      </c>
      <c r="C2042" s="26" t="s">
        <v>17</v>
      </c>
      <c r="D2042" s="351">
        <v>1</v>
      </c>
      <c r="E2042" s="316"/>
      <c r="F2042" s="351">
        <v>1</v>
      </c>
      <c r="G2042" s="317"/>
      <c r="H2042" s="317"/>
      <c r="I2042" s="317"/>
      <c r="J2042" s="317"/>
      <c r="K2042" s="317"/>
      <c r="L2042" s="317"/>
      <c r="M2042" s="317"/>
      <c r="N2042" s="317"/>
      <c r="O2042" s="317"/>
      <c r="P2042" s="317"/>
      <c r="Q2042" s="346"/>
      <c r="R2042" s="346"/>
      <c r="S2042" s="317"/>
    </row>
    <row r="2043" spans="1:19">
      <c r="A2043" s="24"/>
      <c r="B2043" s="25" t="s">
        <v>217</v>
      </c>
      <c r="C2043" s="26" t="s">
        <v>17</v>
      </c>
      <c r="D2043" s="351">
        <v>1</v>
      </c>
      <c r="E2043" s="316"/>
      <c r="F2043" s="351">
        <v>1</v>
      </c>
      <c r="G2043" s="317"/>
      <c r="H2043" s="317"/>
      <c r="I2043" s="317"/>
      <c r="J2043" s="317"/>
      <c r="K2043" s="317"/>
      <c r="L2043" s="317"/>
      <c r="M2043" s="317"/>
      <c r="N2043" s="317"/>
      <c r="O2043" s="317"/>
      <c r="P2043" s="317"/>
      <c r="Q2043" s="346"/>
      <c r="R2043" s="346"/>
      <c r="S2043" s="317"/>
    </row>
    <row r="2044" spans="1:19" ht="30">
      <c r="A2044" s="24"/>
      <c r="B2044" s="25" t="s">
        <v>176</v>
      </c>
      <c r="C2044" s="26" t="s">
        <v>78</v>
      </c>
      <c r="D2044" s="351">
        <v>1</v>
      </c>
      <c r="E2044" s="316"/>
      <c r="F2044" s="351">
        <v>1</v>
      </c>
      <c r="G2044" s="317"/>
      <c r="H2044" s="317"/>
      <c r="I2044" s="317"/>
      <c r="J2044" s="317"/>
      <c r="K2044" s="317"/>
      <c r="L2044" s="317"/>
      <c r="M2044" s="317"/>
      <c r="N2044" s="317"/>
      <c r="O2044" s="317"/>
      <c r="P2044" s="317"/>
      <c r="Q2044" s="346"/>
      <c r="R2044" s="346"/>
      <c r="S2044" s="317"/>
    </row>
    <row r="2045" spans="1:19" ht="60">
      <c r="A2045" s="24">
        <v>75</v>
      </c>
      <c r="B2045" s="25" t="s">
        <v>446</v>
      </c>
      <c r="C2045" s="26" t="s">
        <v>7</v>
      </c>
      <c r="D2045" s="351">
        <v>1</v>
      </c>
      <c r="E2045" s="316"/>
      <c r="F2045" s="351">
        <v>1</v>
      </c>
      <c r="G2045" s="26" t="s">
        <v>2326</v>
      </c>
      <c r="H2045" s="26"/>
      <c r="I2045" s="26" t="s">
        <v>2327</v>
      </c>
      <c r="J2045" s="26" t="s">
        <v>2328</v>
      </c>
      <c r="K2045" s="311">
        <v>9783848.2499999981</v>
      </c>
      <c r="L2045" s="311">
        <v>0</v>
      </c>
      <c r="M2045" s="311">
        <v>904000.00000000012</v>
      </c>
      <c r="N2045" s="311">
        <v>1068267.5</v>
      </c>
      <c r="O2045" s="311">
        <v>747787.25000000012</v>
      </c>
      <c r="P2045" s="68">
        <f>SUM(K2045:O2045)</f>
        <v>12503902.999999998</v>
      </c>
      <c r="Q2045" s="68">
        <f>D2045*P2045</f>
        <v>12503902.999999998</v>
      </c>
      <c r="R2045" s="127">
        <f>F2045*P2045</f>
        <v>12503902.999999998</v>
      </c>
      <c r="S2045" s="317"/>
    </row>
    <row r="2046" spans="1:19" ht="30">
      <c r="A2046" s="24"/>
      <c r="B2046" s="25" t="s">
        <v>447</v>
      </c>
      <c r="C2046" s="26" t="s">
        <v>8</v>
      </c>
      <c r="D2046" s="351">
        <v>1</v>
      </c>
      <c r="E2046" s="316"/>
      <c r="F2046" s="351">
        <v>1</v>
      </c>
      <c r="G2046" s="317"/>
      <c r="H2046" s="317"/>
      <c r="I2046" s="317"/>
      <c r="J2046" s="317"/>
      <c r="K2046" s="317"/>
      <c r="L2046" s="317"/>
      <c r="M2046" s="317"/>
      <c r="N2046" s="317"/>
      <c r="O2046" s="317"/>
      <c r="P2046" s="317"/>
      <c r="Q2046" s="346"/>
      <c r="R2046" s="346"/>
      <c r="S2046" s="317"/>
    </row>
    <row r="2047" spans="1:19">
      <c r="A2047" s="24"/>
      <c r="B2047" s="25" t="s">
        <v>161</v>
      </c>
      <c r="C2047" s="26"/>
      <c r="D2047" s="351"/>
      <c r="E2047" s="316"/>
      <c r="F2047" s="351"/>
      <c r="G2047" s="317"/>
      <c r="H2047" s="317"/>
      <c r="I2047" s="317"/>
      <c r="J2047" s="317"/>
      <c r="K2047" s="317"/>
      <c r="L2047" s="317"/>
      <c r="M2047" s="317"/>
      <c r="N2047" s="317"/>
      <c r="O2047" s="317"/>
      <c r="P2047" s="317"/>
      <c r="Q2047" s="346"/>
      <c r="R2047" s="346"/>
      <c r="S2047" s="317"/>
    </row>
    <row r="2048" spans="1:19">
      <c r="A2048" s="24"/>
      <c r="B2048" s="25" t="s">
        <v>230</v>
      </c>
      <c r="C2048" s="26" t="s">
        <v>8</v>
      </c>
      <c r="D2048" s="351">
        <v>1</v>
      </c>
      <c r="E2048" s="316"/>
      <c r="F2048" s="351">
        <v>1</v>
      </c>
      <c r="G2048" s="317"/>
      <c r="H2048" s="317"/>
      <c r="I2048" s="317"/>
      <c r="J2048" s="317"/>
      <c r="K2048" s="317"/>
      <c r="L2048" s="317"/>
      <c r="M2048" s="317"/>
      <c r="N2048" s="317"/>
      <c r="O2048" s="317"/>
      <c r="P2048" s="317"/>
      <c r="Q2048" s="346"/>
      <c r="R2048" s="346"/>
      <c r="S2048" s="317"/>
    </row>
    <row r="2049" spans="1:19">
      <c r="A2049" s="24"/>
      <c r="B2049" s="25" t="s">
        <v>164</v>
      </c>
      <c r="C2049" s="26"/>
      <c r="D2049" s="351"/>
      <c r="E2049" s="316"/>
      <c r="F2049" s="351"/>
      <c r="G2049" s="317"/>
      <c r="H2049" s="317"/>
      <c r="I2049" s="317"/>
      <c r="J2049" s="317"/>
      <c r="K2049" s="317"/>
      <c r="L2049" s="317"/>
      <c r="M2049" s="317"/>
      <c r="N2049" s="317"/>
      <c r="O2049" s="317"/>
      <c r="P2049" s="317"/>
      <c r="Q2049" s="346"/>
      <c r="R2049" s="346"/>
      <c r="S2049" s="317"/>
    </row>
    <row r="2050" spans="1:19">
      <c r="A2050" s="24"/>
      <c r="B2050" s="25" t="s">
        <v>448</v>
      </c>
      <c r="C2050" s="26" t="s">
        <v>8</v>
      </c>
      <c r="D2050" s="351">
        <v>1</v>
      </c>
      <c r="E2050" s="316"/>
      <c r="F2050" s="351">
        <v>1</v>
      </c>
      <c r="G2050" s="317"/>
      <c r="H2050" s="317"/>
      <c r="I2050" s="317"/>
      <c r="J2050" s="317"/>
      <c r="K2050" s="317"/>
      <c r="L2050" s="317"/>
      <c r="M2050" s="317"/>
      <c r="N2050" s="317"/>
      <c r="O2050" s="317"/>
      <c r="P2050" s="317"/>
      <c r="Q2050" s="346"/>
      <c r="R2050" s="346"/>
      <c r="S2050" s="317"/>
    </row>
    <row r="2051" spans="1:19">
      <c r="A2051" s="24"/>
      <c r="B2051" s="25" t="s">
        <v>227</v>
      </c>
      <c r="C2051" s="26"/>
      <c r="D2051" s="351"/>
      <c r="E2051" s="316"/>
      <c r="F2051" s="351"/>
      <c r="G2051" s="317"/>
      <c r="H2051" s="317"/>
      <c r="I2051" s="317"/>
      <c r="J2051" s="317"/>
      <c r="K2051" s="317"/>
      <c r="L2051" s="317"/>
      <c r="M2051" s="317"/>
      <c r="N2051" s="317"/>
      <c r="O2051" s="317"/>
      <c r="P2051" s="317"/>
      <c r="Q2051" s="346"/>
      <c r="R2051" s="346"/>
      <c r="S2051" s="317"/>
    </row>
    <row r="2052" spans="1:19">
      <c r="A2052" s="24"/>
      <c r="B2052" s="25" t="s">
        <v>215</v>
      </c>
      <c r="C2052" s="26" t="s">
        <v>8</v>
      </c>
      <c r="D2052" s="351">
        <v>39</v>
      </c>
      <c r="E2052" s="316"/>
      <c r="F2052" s="351">
        <v>39</v>
      </c>
      <c r="G2052" s="317"/>
      <c r="H2052" s="317"/>
      <c r="I2052" s="317"/>
      <c r="J2052" s="317"/>
      <c r="K2052" s="317"/>
      <c r="L2052" s="317"/>
      <c r="M2052" s="317"/>
      <c r="N2052" s="317"/>
      <c r="O2052" s="317"/>
      <c r="P2052" s="317"/>
      <c r="Q2052" s="346"/>
      <c r="R2052" s="346"/>
      <c r="S2052" s="317"/>
    </row>
    <row r="2053" spans="1:19">
      <c r="A2053" s="24"/>
      <c r="B2053" s="25" t="s">
        <v>172</v>
      </c>
      <c r="C2053" s="26" t="s">
        <v>8</v>
      </c>
      <c r="D2053" s="351">
        <v>39</v>
      </c>
      <c r="E2053" s="316"/>
      <c r="F2053" s="351">
        <v>39</v>
      </c>
      <c r="G2053" s="317"/>
      <c r="H2053" s="317"/>
      <c r="I2053" s="317"/>
      <c r="J2053" s="317"/>
      <c r="K2053" s="317"/>
      <c r="L2053" s="317"/>
      <c r="M2053" s="317"/>
      <c r="N2053" s="317"/>
      <c r="O2053" s="317"/>
      <c r="P2053" s="317"/>
      <c r="Q2053" s="346"/>
      <c r="R2053" s="346"/>
      <c r="S2053" s="317"/>
    </row>
    <row r="2054" spans="1:19">
      <c r="A2054" s="24"/>
      <c r="B2054" s="25" t="s">
        <v>173</v>
      </c>
      <c r="C2054" s="26" t="s">
        <v>8</v>
      </c>
      <c r="D2054" s="351">
        <v>1</v>
      </c>
      <c r="E2054" s="316"/>
      <c r="F2054" s="351">
        <v>1</v>
      </c>
      <c r="G2054" s="317"/>
      <c r="H2054" s="317"/>
      <c r="I2054" s="317"/>
      <c r="J2054" s="317"/>
      <c r="K2054" s="317"/>
      <c r="L2054" s="317"/>
      <c r="M2054" s="317"/>
      <c r="N2054" s="317"/>
      <c r="O2054" s="317"/>
      <c r="P2054" s="317"/>
      <c r="Q2054" s="346"/>
      <c r="R2054" s="346"/>
      <c r="S2054" s="317"/>
    </row>
    <row r="2055" spans="1:19">
      <c r="A2055" s="24"/>
      <c r="B2055" s="25" t="s">
        <v>277</v>
      </c>
      <c r="C2055" s="26" t="s">
        <v>17</v>
      </c>
      <c r="D2055" s="351">
        <v>1</v>
      </c>
      <c r="E2055" s="316"/>
      <c r="F2055" s="351">
        <v>1</v>
      </c>
      <c r="G2055" s="317"/>
      <c r="H2055" s="317"/>
      <c r="I2055" s="317"/>
      <c r="J2055" s="317"/>
      <c r="K2055" s="317"/>
      <c r="L2055" s="317"/>
      <c r="M2055" s="317"/>
      <c r="N2055" s="317"/>
      <c r="O2055" s="317"/>
      <c r="P2055" s="317"/>
      <c r="Q2055" s="346"/>
      <c r="R2055" s="346"/>
      <c r="S2055" s="317"/>
    </row>
    <row r="2056" spans="1:19" ht="30">
      <c r="A2056" s="24"/>
      <c r="B2056" s="25" t="s">
        <v>176</v>
      </c>
      <c r="C2056" s="26" t="s">
        <v>78</v>
      </c>
      <c r="D2056" s="351">
        <v>1</v>
      </c>
      <c r="E2056" s="316"/>
      <c r="F2056" s="351">
        <v>1</v>
      </c>
      <c r="G2056" s="317"/>
      <c r="H2056" s="317"/>
      <c r="I2056" s="317"/>
      <c r="J2056" s="317"/>
      <c r="K2056" s="317"/>
      <c r="L2056" s="317"/>
      <c r="M2056" s="317"/>
      <c r="N2056" s="317"/>
      <c r="O2056" s="317"/>
      <c r="P2056" s="317"/>
      <c r="Q2056" s="346"/>
      <c r="R2056" s="346"/>
      <c r="S2056" s="317"/>
    </row>
    <row r="2057" spans="1:19" ht="60">
      <c r="A2057" s="24">
        <v>77</v>
      </c>
      <c r="B2057" s="25" t="s">
        <v>449</v>
      </c>
      <c r="C2057" s="26" t="s">
        <v>7</v>
      </c>
      <c r="D2057" s="351">
        <v>1</v>
      </c>
      <c r="E2057" s="316"/>
      <c r="F2057" s="351">
        <v>1</v>
      </c>
      <c r="G2057" s="26" t="s">
        <v>2326</v>
      </c>
      <c r="H2057" s="26"/>
      <c r="I2057" s="26" t="s">
        <v>2327</v>
      </c>
      <c r="J2057" s="26" t="s">
        <v>2328</v>
      </c>
      <c r="K2057" s="311">
        <v>6437786.8499999996</v>
      </c>
      <c r="L2057" s="311">
        <v>0</v>
      </c>
      <c r="M2057" s="311">
        <v>904000.00000000012</v>
      </c>
      <c r="N2057" s="311">
        <v>730281.5</v>
      </c>
      <c r="O2057" s="311">
        <v>511197.05000000005</v>
      </c>
      <c r="P2057" s="68">
        <f>SUM(K2057:O2057)</f>
        <v>8583265.4000000004</v>
      </c>
      <c r="Q2057" s="68">
        <f>D2057*P2057</f>
        <v>8583265.4000000004</v>
      </c>
      <c r="R2057" s="127">
        <f>F2057*P2057</f>
        <v>8583265.4000000004</v>
      </c>
      <c r="S2057" s="317"/>
    </row>
    <row r="2058" spans="1:19" ht="30">
      <c r="A2058" s="24"/>
      <c r="B2058" s="25" t="s">
        <v>447</v>
      </c>
      <c r="C2058" s="26" t="s">
        <v>8</v>
      </c>
      <c r="D2058" s="351">
        <v>1</v>
      </c>
      <c r="E2058" s="316"/>
      <c r="F2058" s="351">
        <v>1</v>
      </c>
      <c r="G2058" s="317"/>
      <c r="H2058" s="317"/>
      <c r="I2058" s="317"/>
      <c r="J2058" s="317"/>
      <c r="K2058" s="317"/>
      <c r="L2058" s="317"/>
      <c r="M2058" s="317"/>
      <c r="N2058" s="317"/>
      <c r="O2058" s="317"/>
      <c r="P2058" s="317"/>
      <c r="Q2058" s="346"/>
      <c r="R2058" s="346"/>
      <c r="S2058" s="317"/>
    </row>
    <row r="2059" spans="1:19">
      <c r="A2059" s="24"/>
      <c r="B2059" s="25" t="s">
        <v>161</v>
      </c>
      <c r="C2059" s="26"/>
      <c r="D2059" s="351"/>
      <c r="E2059" s="316"/>
      <c r="F2059" s="351"/>
      <c r="G2059" s="317"/>
      <c r="H2059" s="317"/>
      <c r="I2059" s="317"/>
      <c r="J2059" s="317"/>
      <c r="K2059" s="317"/>
      <c r="L2059" s="317"/>
      <c r="M2059" s="317"/>
      <c r="N2059" s="317"/>
      <c r="O2059" s="317"/>
      <c r="P2059" s="317"/>
      <c r="Q2059" s="346"/>
      <c r="R2059" s="346"/>
      <c r="S2059" s="317"/>
    </row>
    <row r="2060" spans="1:19">
      <c r="A2060" s="24"/>
      <c r="B2060" s="25" t="s">
        <v>230</v>
      </c>
      <c r="C2060" s="26" t="s">
        <v>8</v>
      </c>
      <c r="D2060" s="351">
        <v>1</v>
      </c>
      <c r="E2060" s="92"/>
      <c r="F2060" s="351">
        <v>1</v>
      </c>
      <c r="G2060" s="329"/>
      <c r="H2060" s="329"/>
      <c r="I2060" s="329"/>
      <c r="J2060" s="329"/>
      <c r="K2060" s="329"/>
      <c r="L2060" s="329"/>
      <c r="M2060" s="329"/>
      <c r="N2060" s="329"/>
      <c r="O2060" s="329"/>
      <c r="P2060" s="329"/>
      <c r="Q2060" s="65"/>
      <c r="R2060" s="65"/>
      <c r="S2060" s="329"/>
    </row>
    <row r="2061" spans="1:19">
      <c r="A2061" s="24"/>
      <c r="B2061" s="25" t="s">
        <v>164</v>
      </c>
      <c r="C2061" s="26"/>
      <c r="D2061" s="351"/>
      <c r="E2061" s="314"/>
      <c r="F2061" s="351"/>
      <c r="G2061" s="315"/>
      <c r="H2061" s="315"/>
      <c r="I2061" s="315"/>
      <c r="J2061" s="315"/>
      <c r="K2061" s="315"/>
      <c r="L2061" s="315"/>
      <c r="M2061" s="315"/>
      <c r="N2061" s="315"/>
      <c r="O2061" s="315"/>
      <c r="P2061" s="315"/>
      <c r="Q2061" s="66"/>
      <c r="R2061" s="66"/>
      <c r="S2061" s="315"/>
    </row>
    <row r="2062" spans="1:19">
      <c r="A2062" s="24"/>
      <c r="B2062" s="25" t="s">
        <v>448</v>
      </c>
      <c r="C2062" s="26" t="s">
        <v>8</v>
      </c>
      <c r="D2062" s="351">
        <v>1</v>
      </c>
      <c r="E2062" s="314"/>
      <c r="F2062" s="351">
        <v>1</v>
      </c>
      <c r="G2062" s="315"/>
      <c r="H2062" s="315"/>
      <c r="I2062" s="315"/>
      <c r="J2062" s="315"/>
      <c r="K2062" s="315"/>
      <c r="L2062" s="315"/>
      <c r="M2062" s="315"/>
      <c r="N2062" s="315"/>
      <c r="O2062" s="315"/>
      <c r="P2062" s="315"/>
      <c r="Q2062" s="66"/>
      <c r="R2062" s="66"/>
      <c r="S2062" s="315"/>
    </row>
    <row r="2063" spans="1:19">
      <c r="A2063" s="24"/>
      <c r="B2063" s="25" t="s">
        <v>227</v>
      </c>
      <c r="C2063" s="26"/>
      <c r="D2063" s="351"/>
      <c r="E2063" s="314"/>
      <c r="F2063" s="351"/>
      <c r="G2063" s="315"/>
      <c r="H2063" s="315"/>
      <c r="I2063" s="315"/>
      <c r="J2063" s="315"/>
      <c r="K2063" s="315"/>
      <c r="L2063" s="315"/>
      <c r="M2063" s="315"/>
      <c r="N2063" s="315"/>
      <c r="O2063" s="315"/>
      <c r="P2063" s="315"/>
      <c r="Q2063" s="66"/>
      <c r="R2063" s="66"/>
      <c r="S2063" s="315"/>
    </row>
    <row r="2064" spans="1:19">
      <c r="A2064" s="24"/>
      <c r="B2064" s="25" t="s">
        <v>215</v>
      </c>
      <c r="C2064" s="26" t="s">
        <v>8</v>
      </c>
      <c r="D2064" s="351">
        <v>16</v>
      </c>
      <c r="E2064" s="314"/>
      <c r="F2064" s="351">
        <v>16</v>
      </c>
      <c r="G2064" s="315"/>
      <c r="H2064" s="315"/>
      <c r="I2064" s="315"/>
      <c r="J2064" s="315"/>
      <c r="K2064" s="315"/>
      <c r="L2064" s="315"/>
      <c r="M2064" s="315"/>
      <c r="N2064" s="315"/>
      <c r="O2064" s="315"/>
      <c r="P2064" s="315"/>
      <c r="Q2064" s="66"/>
      <c r="R2064" s="66"/>
      <c r="S2064" s="315"/>
    </row>
    <row r="2065" spans="1:19">
      <c r="A2065" s="24"/>
      <c r="B2065" s="25" t="s">
        <v>172</v>
      </c>
      <c r="C2065" s="26" t="s">
        <v>8</v>
      </c>
      <c r="D2065" s="351">
        <v>16</v>
      </c>
      <c r="E2065" s="314"/>
      <c r="F2065" s="351">
        <v>16</v>
      </c>
      <c r="G2065" s="315"/>
      <c r="H2065" s="315"/>
      <c r="I2065" s="315"/>
      <c r="J2065" s="315"/>
      <c r="K2065" s="315"/>
      <c r="L2065" s="315"/>
      <c r="M2065" s="315"/>
      <c r="N2065" s="315"/>
      <c r="O2065" s="315"/>
      <c r="P2065" s="315"/>
      <c r="Q2065" s="66"/>
      <c r="R2065" s="66"/>
      <c r="S2065" s="315"/>
    </row>
    <row r="2066" spans="1:19">
      <c r="A2066" s="24"/>
      <c r="B2066" s="25" t="s">
        <v>173</v>
      </c>
      <c r="C2066" s="26" t="s">
        <v>8</v>
      </c>
      <c r="D2066" s="351">
        <v>1</v>
      </c>
      <c r="E2066" s="314"/>
      <c r="F2066" s="351">
        <v>1</v>
      </c>
      <c r="G2066" s="315"/>
      <c r="H2066" s="315"/>
      <c r="I2066" s="315"/>
      <c r="J2066" s="315"/>
      <c r="K2066" s="315"/>
      <c r="L2066" s="315"/>
      <c r="M2066" s="315"/>
      <c r="N2066" s="315"/>
      <c r="O2066" s="315"/>
      <c r="P2066" s="315"/>
      <c r="Q2066" s="66"/>
      <c r="R2066" s="66"/>
      <c r="S2066" s="315"/>
    </row>
    <row r="2067" spans="1:19">
      <c r="A2067" s="24"/>
      <c r="B2067" s="25" t="s">
        <v>277</v>
      </c>
      <c r="C2067" s="26" t="s">
        <v>17</v>
      </c>
      <c r="D2067" s="351">
        <v>1</v>
      </c>
      <c r="E2067" s="314"/>
      <c r="F2067" s="351">
        <v>1</v>
      </c>
      <c r="G2067" s="315"/>
      <c r="H2067" s="315"/>
      <c r="I2067" s="315"/>
      <c r="J2067" s="315"/>
      <c r="K2067" s="315"/>
      <c r="L2067" s="315"/>
      <c r="M2067" s="315"/>
      <c r="N2067" s="315"/>
      <c r="O2067" s="315"/>
      <c r="P2067" s="315"/>
      <c r="Q2067" s="66"/>
      <c r="R2067" s="66"/>
      <c r="S2067" s="315"/>
    </row>
    <row r="2068" spans="1:19" ht="30">
      <c r="A2068" s="24"/>
      <c r="B2068" s="25" t="s">
        <v>176</v>
      </c>
      <c r="C2068" s="26" t="s">
        <v>78</v>
      </c>
      <c r="D2068" s="351">
        <v>1</v>
      </c>
      <c r="E2068" s="314"/>
      <c r="F2068" s="351">
        <v>1</v>
      </c>
      <c r="G2068" s="315"/>
      <c r="H2068" s="315"/>
      <c r="I2068" s="315"/>
      <c r="J2068" s="315"/>
      <c r="K2068" s="315"/>
      <c r="L2068" s="315"/>
      <c r="M2068" s="315"/>
      <c r="N2068" s="315"/>
      <c r="O2068" s="315"/>
      <c r="P2068" s="315"/>
      <c r="Q2068" s="66"/>
      <c r="R2068" s="66"/>
      <c r="S2068" s="315"/>
    </row>
    <row r="2069" spans="1:19" ht="60">
      <c r="A2069" s="24">
        <v>78</v>
      </c>
      <c r="B2069" s="25" t="s">
        <v>450</v>
      </c>
      <c r="C2069" s="26" t="s">
        <v>7</v>
      </c>
      <c r="D2069" s="351">
        <v>1</v>
      </c>
      <c r="E2069" s="314"/>
      <c r="F2069" s="351">
        <v>1</v>
      </c>
      <c r="G2069" s="26" t="s">
        <v>2326</v>
      </c>
      <c r="H2069" s="26"/>
      <c r="I2069" s="26" t="s">
        <v>2327</v>
      </c>
      <c r="J2069" s="26" t="s">
        <v>2328</v>
      </c>
      <c r="K2069" s="311">
        <v>6708294.4499999993</v>
      </c>
      <c r="L2069" s="311">
        <v>0</v>
      </c>
      <c r="M2069" s="311">
        <v>904000.00000000012</v>
      </c>
      <c r="N2069" s="311">
        <v>757605.5</v>
      </c>
      <c r="O2069" s="311">
        <v>530323.85000000009</v>
      </c>
      <c r="P2069" s="68">
        <f>SUM(K2069:O2069)</f>
        <v>8900223.7999999989</v>
      </c>
      <c r="Q2069" s="68">
        <f>D2069*P2069</f>
        <v>8900223.7999999989</v>
      </c>
      <c r="R2069" s="127">
        <f>F2069*P2069</f>
        <v>8900223.7999999989</v>
      </c>
      <c r="S2069" s="315"/>
    </row>
    <row r="2070" spans="1:19" ht="30">
      <c r="A2070" s="24"/>
      <c r="B2070" s="25" t="s">
        <v>447</v>
      </c>
      <c r="C2070" s="26" t="s">
        <v>8</v>
      </c>
      <c r="D2070" s="351">
        <v>1</v>
      </c>
      <c r="E2070" s="314"/>
      <c r="F2070" s="351">
        <v>1</v>
      </c>
      <c r="G2070" s="315"/>
      <c r="H2070" s="315"/>
      <c r="I2070" s="315"/>
      <c r="J2070" s="315"/>
      <c r="K2070" s="315"/>
      <c r="L2070" s="315"/>
      <c r="M2070" s="315"/>
      <c r="N2070" s="315"/>
      <c r="O2070" s="315"/>
      <c r="P2070" s="315"/>
      <c r="Q2070" s="66"/>
      <c r="R2070" s="66"/>
      <c r="S2070" s="315"/>
    </row>
    <row r="2071" spans="1:19">
      <c r="A2071" s="24"/>
      <c r="B2071" s="25" t="s">
        <v>161</v>
      </c>
      <c r="C2071" s="26"/>
      <c r="D2071" s="351"/>
      <c r="E2071" s="314"/>
      <c r="F2071" s="351"/>
      <c r="G2071" s="315"/>
      <c r="H2071" s="315"/>
      <c r="I2071" s="315"/>
      <c r="J2071" s="315"/>
      <c r="K2071" s="315"/>
      <c r="L2071" s="315"/>
      <c r="M2071" s="315"/>
      <c r="N2071" s="315"/>
      <c r="O2071" s="315"/>
      <c r="P2071" s="315"/>
      <c r="Q2071" s="66"/>
      <c r="R2071" s="66"/>
      <c r="S2071" s="315"/>
    </row>
    <row r="2072" spans="1:19">
      <c r="A2072" s="24"/>
      <c r="B2072" s="25" t="s">
        <v>230</v>
      </c>
      <c r="C2072" s="26" t="s">
        <v>8</v>
      </c>
      <c r="D2072" s="351">
        <v>1</v>
      </c>
      <c r="E2072" s="314"/>
      <c r="F2072" s="351">
        <v>1</v>
      </c>
      <c r="G2072" s="315"/>
      <c r="H2072" s="315"/>
      <c r="I2072" s="315"/>
      <c r="J2072" s="315"/>
      <c r="K2072" s="315"/>
      <c r="L2072" s="315"/>
      <c r="M2072" s="315"/>
      <c r="N2072" s="315"/>
      <c r="O2072" s="315"/>
      <c r="P2072" s="315"/>
      <c r="Q2072" s="66"/>
      <c r="R2072" s="66"/>
      <c r="S2072" s="315"/>
    </row>
    <row r="2073" spans="1:19">
      <c r="A2073" s="24"/>
      <c r="B2073" s="25" t="s">
        <v>164</v>
      </c>
      <c r="C2073" s="26"/>
      <c r="D2073" s="351"/>
      <c r="E2073" s="314"/>
      <c r="F2073" s="351"/>
      <c r="G2073" s="315"/>
      <c r="H2073" s="315"/>
      <c r="I2073" s="315"/>
      <c r="J2073" s="315"/>
      <c r="K2073" s="315"/>
      <c r="L2073" s="315"/>
      <c r="M2073" s="315"/>
      <c r="N2073" s="315"/>
      <c r="O2073" s="315"/>
      <c r="P2073" s="315"/>
      <c r="Q2073" s="66"/>
      <c r="R2073" s="66"/>
      <c r="S2073" s="315"/>
    </row>
    <row r="2074" spans="1:19">
      <c r="A2074" s="24"/>
      <c r="B2074" s="25" t="s">
        <v>448</v>
      </c>
      <c r="C2074" s="26" t="s">
        <v>8</v>
      </c>
      <c r="D2074" s="351">
        <v>1</v>
      </c>
      <c r="E2074" s="314"/>
      <c r="F2074" s="351">
        <v>1</v>
      </c>
      <c r="G2074" s="315"/>
      <c r="H2074" s="315"/>
      <c r="I2074" s="315"/>
      <c r="J2074" s="315"/>
      <c r="K2074" s="315"/>
      <c r="L2074" s="315"/>
      <c r="M2074" s="315"/>
      <c r="N2074" s="315"/>
      <c r="O2074" s="315"/>
      <c r="P2074" s="315"/>
      <c r="Q2074" s="66"/>
      <c r="R2074" s="66"/>
      <c r="S2074" s="315"/>
    </row>
    <row r="2075" spans="1:19">
      <c r="A2075" s="24"/>
      <c r="B2075" s="25" t="s">
        <v>227</v>
      </c>
      <c r="C2075" s="26"/>
      <c r="D2075" s="351"/>
      <c r="E2075" s="314"/>
      <c r="F2075" s="351"/>
      <c r="G2075" s="315"/>
      <c r="H2075" s="315"/>
      <c r="I2075" s="315"/>
      <c r="J2075" s="315"/>
      <c r="K2075" s="315"/>
      <c r="L2075" s="315"/>
      <c r="M2075" s="315"/>
      <c r="N2075" s="315"/>
      <c r="O2075" s="315"/>
      <c r="P2075" s="315"/>
      <c r="Q2075" s="66"/>
      <c r="R2075" s="66"/>
      <c r="S2075" s="315"/>
    </row>
    <row r="2076" spans="1:19">
      <c r="A2076" s="24"/>
      <c r="B2076" s="25" t="s">
        <v>215</v>
      </c>
      <c r="C2076" s="26" t="s">
        <v>8</v>
      </c>
      <c r="D2076" s="351">
        <v>18</v>
      </c>
      <c r="E2076" s="314"/>
      <c r="F2076" s="351">
        <v>18</v>
      </c>
      <c r="G2076" s="315"/>
      <c r="H2076" s="315"/>
      <c r="I2076" s="315"/>
      <c r="J2076" s="315"/>
      <c r="K2076" s="315"/>
      <c r="L2076" s="315"/>
      <c r="M2076" s="315"/>
      <c r="N2076" s="315"/>
      <c r="O2076" s="315"/>
      <c r="P2076" s="315"/>
      <c r="Q2076" s="66"/>
      <c r="R2076" s="66"/>
      <c r="S2076" s="315"/>
    </row>
    <row r="2077" spans="1:19">
      <c r="A2077" s="24"/>
      <c r="B2077" s="25" t="s">
        <v>172</v>
      </c>
      <c r="C2077" s="26" t="s">
        <v>8</v>
      </c>
      <c r="D2077" s="351">
        <v>18</v>
      </c>
      <c r="E2077" s="314"/>
      <c r="F2077" s="351">
        <v>18</v>
      </c>
      <c r="G2077" s="315"/>
      <c r="H2077" s="315"/>
      <c r="I2077" s="315"/>
      <c r="J2077" s="315"/>
      <c r="K2077" s="315"/>
      <c r="L2077" s="315"/>
      <c r="M2077" s="315"/>
      <c r="N2077" s="315"/>
      <c r="O2077" s="315"/>
      <c r="P2077" s="315"/>
      <c r="Q2077" s="66"/>
      <c r="R2077" s="66"/>
      <c r="S2077" s="315"/>
    </row>
    <row r="2078" spans="1:19">
      <c r="A2078" s="24"/>
      <c r="B2078" s="25" t="s">
        <v>173</v>
      </c>
      <c r="C2078" s="26" t="s">
        <v>8</v>
      </c>
      <c r="D2078" s="351">
        <v>1</v>
      </c>
      <c r="E2078" s="314"/>
      <c r="F2078" s="351">
        <v>1</v>
      </c>
      <c r="G2078" s="315"/>
      <c r="H2078" s="315"/>
      <c r="I2078" s="315"/>
      <c r="J2078" s="315"/>
      <c r="K2078" s="315"/>
      <c r="L2078" s="315"/>
      <c r="M2078" s="315"/>
      <c r="N2078" s="315"/>
      <c r="O2078" s="315"/>
      <c r="P2078" s="315"/>
      <c r="Q2078" s="66"/>
      <c r="R2078" s="66"/>
      <c r="S2078" s="315"/>
    </row>
    <row r="2079" spans="1:19">
      <c r="A2079" s="24"/>
      <c r="B2079" s="25" t="s">
        <v>277</v>
      </c>
      <c r="C2079" s="26" t="s">
        <v>17</v>
      </c>
      <c r="D2079" s="351">
        <v>1</v>
      </c>
      <c r="E2079" s="314"/>
      <c r="F2079" s="351">
        <v>1</v>
      </c>
      <c r="G2079" s="315"/>
      <c r="H2079" s="315"/>
      <c r="I2079" s="315"/>
      <c r="J2079" s="315"/>
      <c r="K2079" s="315"/>
      <c r="L2079" s="315"/>
      <c r="M2079" s="315"/>
      <c r="N2079" s="315"/>
      <c r="O2079" s="315"/>
      <c r="P2079" s="315"/>
      <c r="Q2079" s="66"/>
      <c r="R2079" s="66"/>
      <c r="S2079" s="315"/>
    </row>
    <row r="2080" spans="1:19" ht="30">
      <c r="A2080" s="24"/>
      <c r="B2080" s="25" t="s">
        <v>176</v>
      </c>
      <c r="C2080" s="26" t="s">
        <v>78</v>
      </c>
      <c r="D2080" s="351">
        <v>1</v>
      </c>
      <c r="E2080" s="314"/>
      <c r="F2080" s="351">
        <v>1</v>
      </c>
      <c r="G2080" s="315"/>
      <c r="H2080" s="315"/>
      <c r="I2080" s="315"/>
      <c r="J2080" s="315"/>
      <c r="K2080" s="315"/>
      <c r="L2080" s="315"/>
      <c r="M2080" s="315"/>
      <c r="N2080" s="315"/>
      <c r="O2080" s="315"/>
      <c r="P2080" s="315"/>
      <c r="Q2080" s="66"/>
      <c r="R2080" s="66"/>
      <c r="S2080" s="315"/>
    </row>
    <row r="2081" spans="1:19" ht="60">
      <c r="A2081" s="24">
        <v>79</v>
      </c>
      <c r="B2081" s="25" t="s">
        <v>451</v>
      </c>
      <c r="C2081" s="26" t="s">
        <v>7</v>
      </c>
      <c r="D2081" s="351">
        <v>1</v>
      </c>
      <c r="E2081" s="314"/>
      <c r="F2081" s="351">
        <v>1</v>
      </c>
      <c r="G2081" s="26" t="s">
        <v>2326</v>
      </c>
      <c r="H2081" s="26"/>
      <c r="I2081" s="26" t="s">
        <v>2327</v>
      </c>
      <c r="J2081" s="26" t="s">
        <v>2328</v>
      </c>
      <c r="K2081" s="311">
        <v>6437786.8499999996</v>
      </c>
      <c r="L2081" s="311">
        <v>0</v>
      </c>
      <c r="M2081" s="311">
        <v>904000.00000000012</v>
      </c>
      <c r="N2081" s="311">
        <v>730281.5</v>
      </c>
      <c r="O2081" s="311">
        <v>511197.05000000005</v>
      </c>
      <c r="P2081" s="68">
        <f>SUM(K2081:O2081)</f>
        <v>8583265.4000000004</v>
      </c>
      <c r="Q2081" s="68">
        <f>D2081*P2081</f>
        <v>8583265.4000000004</v>
      </c>
      <c r="R2081" s="127">
        <f>F2081*P2081</f>
        <v>8583265.4000000004</v>
      </c>
      <c r="S2081" s="315"/>
    </row>
    <row r="2082" spans="1:19" ht="30">
      <c r="A2082" s="24"/>
      <c r="B2082" s="25" t="s">
        <v>447</v>
      </c>
      <c r="C2082" s="26" t="s">
        <v>8</v>
      </c>
      <c r="D2082" s="351">
        <v>1</v>
      </c>
      <c r="E2082" s="92"/>
      <c r="F2082" s="351">
        <v>1</v>
      </c>
      <c r="G2082" s="329"/>
      <c r="H2082" s="329"/>
      <c r="I2082" s="329"/>
      <c r="J2082" s="329"/>
      <c r="K2082" s="329"/>
      <c r="L2082" s="329"/>
      <c r="M2082" s="329"/>
      <c r="N2082" s="329"/>
      <c r="O2082" s="329"/>
      <c r="P2082" s="329"/>
      <c r="Q2082" s="65"/>
      <c r="R2082" s="65"/>
      <c r="S2082" s="329"/>
    </row>
    <row r="2083" spans="1:19">
      <c r="A2083" s="24"/>
      <c r="B2083" s="25" t="s">
        <v>161</v>
      </c>
      <c r="C2083" s="26"/>
      <c r="D2083" s="351"/>
      <c r="E2083" s="303"/>
      <c r="F2083" s="351"/>
      <c r="G2083" s="26"/>
      <c r="H2083" s="26"/>
      <c r="I2083" s="26"/>
      <c r="J2083" s="26"/>
      <c r="K2083" s="26"/>
      <c r="L2083" s="26"/>
      <c r="M2083" s="26"/>
      <c r="N2083" s="26"/>
      <c r="O2083" s="26"/>
      <c r="P2083" s="26"/>
      <c r="Q2083" s="66"/>
      <c r="R2083" s="66"/>
      <c r="S2083" s="26"/>
    </row>
    <row r="2084" spans="1:19">
      <c r="A2084" s="24"/>
      <c r="B2084" s="25" t="s">
        <v>230</v>
      </c>
      <c r="C2084" s="26" t="s">
        <v>8</v>
      </c>
      <c r="D2084" s="351">
        <v>1</v>
      </c>
      <c r="E2084" s="303"/>
      <c r="F2084" s="351">
        <v>1</v>
      </c>
      <c r="G2084" s="26"/>
      <c r="H2084" s="26"/>
      <c r="I2084" s="26"/>
      <c r="J2084" s="26"/>
      <c r="K2084" s="26"/>
      <c r="L2084" s="26"/>
      <c r="M2084" s="26"/>
      <c r="N2084" s="26"/>
      <c r="O2084" s="26"/>
      <c r="P2084" s="26"/>
      <c r="Q2084" s="66"/>
      <c r="R2084" s="66"/>
      <c r="S2084" s="26"/>
    </row>
    <row r="2085" spans="1:19">
      <c r="A2085" s="24"/>
      <c r="B2085" s="25" t="s">
        <v>164</v>
      </c>
      <c r="C2085" s="26"/>
      <c r="D2085" s="351"/>
      <c r="E2085" s="303"/>
      <c r="F2085" s="351"/>
      <c r="G2085" s="26"/>
      <c r="H2085" s="26"/>
      <c r="I2085" s="26"/>
      <c r="J2085" s="26"/>
      <c r="K2085" s="26"/>
      <c r="L2085" s="26"/>
      <c r="M2085" s="26"/>
      <c r="N2085" s="26"/>
      <c r="O2085" s="26"/>
      <c r="P2085" s="26"/>
      <c r="Q2085" s="66"/>
      <c r="R2085" s="66"/>
      <c r="S2085" s="26"/>
    </row>
    <row r="2086" spans="1:19">
      <c r="A2086" s="24"/>
      <c r="B2086" s="25" t="s">
        <v>448</v>
      </c>
      <c r="C2086" s="26" t="s">
        <v>8</v>
      </c>
      <c r="D2086" s="351">
        <v>1</v>
      </c>
      <c r="E2086" s="303"/>
      <c r="F2086" s="351">
        <v>1</v>
      </c>
      <c r="G2086" s="26"/>
      <c r="H2086" s="26"/>
      <c r="I2086" s="26"/>
      <c r="J2086" s="26"/>
      <c r="K2086" s="26"/>
      <c r="L2086" s="26"/>
      <c r="M2086" s="26"/>
      <c r="N2086" s="26"/>
      <c r="O2086" s="26"/>
      <c r="P2086" s="26"/>
      <c r="Q2086" s="66"/>
      <c r="R2086" s="66"/>
      <c r="S2086" s="26"/>
    </row>
    <row r="2087" spans="1:19">
      <c r="A2087" s="24"/>
      <c r="B2087" s="25" t="s">
        <v>227</v>
      </c>
      <c r="C2087" s="26"/>
      <c r="D2087" s="351"/>
      <c r="E2087" s="303"/>
      <c r="F2087" s="351"/>
      <c r="G2087" s="26"/>
      <c r="H2087" s="26"/>
      <c r="I2087" s="26"/>
      <c r="J2087" s="26"/>
      <c r="K2087" s="26"/>
      <c r="L2087" s="26"/>
      <c r="M2087" s="26"/>
      <c r="N2087" s="26"/>
      <c r="O2087" s="26"/>
      <c r="P2087" s="26"/>
      <c r="Q2087" s="66"/>
      <c r="R2087" s="66"/>
      <c r="S2087" s="26"/>
    </row>
    <row r="2088" spans="1:19">
      <c r="A2088" s="24"/>
      <c r="B2088" s="25" t="s">
        <v>215</v>
      </c>
      <c r="C2088" s="26" t="s">
        <v>8</v>
      </c>
      <c r="D2088" s="351">
        <v>16</v>
      </c>
      <c r="E2088" s="303"/>
      <c r="F2088" s="351">
        <v>16</v>
      </c>
      <c r="G2088" s="26"/>
      <c r="H2088" s="26"/>
      <c r="I2088" s="26"/>
      <c r="J2088" s="26"/>
      <c r="K2088" s="26"/>
      <c r="L2088" s="26"/>
      <c r="M2088" s="26"/>
      <c r="N2088" s="26"/>
      <c r="O2088" s="26"/>
      <c r="P2088" s="26"/>
      <c r="Q2088" s="66"/>
      <c r="R2088" s="66"/>
      <c r="S2088" s="26"/>
    </row>
    <row r="2089" spans="1:19">
      <c r="A2089" s="24"/>
      <c r="B2089" s="25" t="s">
        <v>172</v>
      </c>
      <c r="C2089" s="26" t="s">
        <v>8</v>
      </c>
      <c r="D2089" s="351">
        <v>16</v>
      </c>
      <c r="E2089" s="303"/>
      <c r="F2089" s="351">
        <v>16</v>
      </c>
      <c r="G2089" s="26"/>
      <c r="H2089" s="26"/>
      <c r="I2089" s="26"/>
      <c r="J2089" s="26"/>
      <c r="K2089" s="26"/>
      <c r="L2089" s="26"/>
      <c r="M2089" s="26"/>
      <c r="N2089" s="26"/>
      <c r="O2089" s="26"/>
      <c r="P2089" s="26"/>
      <c r="Q2089" s="66"/>
      <c r="R2089" s="66"/>
      <c r="S2089" s="26"/>
    </row>
    <row r="2090" spans="1:19">
      <c r="A2090" s="24"/>
      <c r="B2090" s="25" t="s">
        <v>173</v>
      </c>
      <c r="C2090" s="26" t="s">
        <v>8</v>
      </c>
      <c r="D2090" s="351">
        <v>1</v>
      </c>
      <c r="E2090" s="303"/>
      <c r="F2090" s="351">
        <v>1</v>
      </c>
      <c r="G2090" s="26"/>
      <c r="H2090" s="26"/>
      <c r="I2090" s="26"/>
      <c r="J2090" s="26"/>
      <c r="K2090" s="26"/>
      <c r="L2090" s="26"/>
      <c r="M2090" s="26"/>
      <c r="N2090" s="26"/>
      <c r="O2090" s="26"/>
      <c r="P2090" s="26"/>
      <c r="Q2090" s="66"/>
      <c r="R2090" s="66"/>
      <c r="S2090" s="26"/>
    </row>
    <row r="2091" spans="1:19">
      <c r="A2091" s="24"/>
      <c r="B2091" s="25" t="s">
        <v>277</v>
      </c>
      <c r="C2091" s="26" t="s">
        <v>17</v>
      </c>
      <c r="D2091" s="351">
        <v>1</v>
      </c>
      <c r="E2091" s="303"/>
      <c r="F2091" s="351">
        <v>1</v>
      </c>
      <c r="G2091" s="26"/>
      <c r="H2091" s="26"/>
      <c r="I2091" s="26"/>
      <c r="J2091" s="26"/>
      <c r="K2091" s="26"/>
      <c r="L2091" s="26"/>
      <c r="M2091" s="26"/>
      <c r="N2091" s="26"/>
      <c r="O2091" s="26"/>
      <c r="P2091" s="26"/>
      <c r="Q2091" s="66"/>
      <c r="R2091" s="66"/>
      <c r="S2091" s="26"/>
    </row>
    <row r="2092" spans="1:19" ht="30">
      <c r="A2092" s="24"/>
      <c r="B2092" s="25" t="s">
        <v>176</v>
      </c>
      <c r="C2092" s="26" t="s">
        <v>78</v>
      </c>
      <c r="D2092" s="351">
        <v>1</v>
      </c>
      <c r="E2092" s="303"/>
      <c r="F2092" s="351">
        <v>1</v>
      </c>
      <c r="G2092" s="26"/>
      <c r="H2092" s="26"/>
      <c r="I2092" s="26"/>
      <c r="J2092" s="26"/>
      <c r="K2092" s="26"/>
      <c r="L2092" s="26"/>
      <c r="M2092" s="26"/>
      <c r="N2092" s="26"/>
      <c r="O2092" s="26"/>
      <c r="P2092" s="26"/>
      <c r="Q2092" s="66"/>
      <c r="R2092" s="66"/>
      <c r="S2092" s="26"/>
    </row>
    <row r="2093" spans="1:19" ht="60">
      <c r="A2093" s="24">
        <v>80</v>
      </c>
      <c r="B2093" s="25" t="s">
        <v>452</v>
      </c>
      <c r="C2093" s="26" t="s">
        <v>7</v>
      </c>
      <c r="D2093" s="351">
        <v>7</v>
      </c>
      <c r="E2093" s="303"/>
      <c r="F2093" s="351">
        <v>7</v>
      </c>
      <c r="G2093" s="26" t="s">
        <v>2326</v>
      </c>
      <c r="H2093" s="26"/>
      <c r="I2093" s="26" t="s">
        <v>2327</v>
      </c>
      <c r="J2093" s="26" t="s">
        <v>2328</v>
      </c>
      <c r="K2093" s="311">
        <v>45495457.919999994</v>
      </c>
      <c r="L2093" s="311">
        <v>0</v>
      </c>
      <c r="M2093" s="311">
        <v>3164000.0000000005</v>
      </c>
      <c r="N2093" s="311">
        <v>4875500.8</v>
      </c>
      <c r="O2093" s="311">
        <v>3412850.5600000005</v>
      </c>
      <c r="P2093" s="68">
        <f>SUM(K2093:O2093)</f>
        <v>56947809.279999994</v>
      </c>
      <c r="Q2093" s="68">
        <f>D2093*P2093</f>
        <v>398634664.95999998</v>
      </c>
      <c r="R2093" s="127">
        <f>F2093*P2093</f>
        <v>398634664.95999998</v>
      </c>
      <c r="S2093" s="26"/>
    </row>
    <row r="2094" spans="1:19" ht="30">
      <c r="A2094" s="24"/>
      <c r="B2094" s="25" t="s">
        <v>283</v>
      </c>
      <c r="C2094" s="26" t="s">
        <v>8</v>
      </c>
      <c r="D2094" s="351">
        <v>1</v>
      </c>
      <c r="E2094" s="303"/>
      <c r="F2094" s="351">
        <v>1</v>
      </c>
      <c r="G2094" s="26"/>
      <c r="H2094" s="26"/>
      <c r="I2094" s="26"/>
      <c r="J2094" s="26"/>
      <c r="K2094" s="26"/>
      <c r="L2094" s="26"/>
      <c r="M2094" s="26"/>
      <c r="N2094" s="26"/>
      <c r="O2094" s="26"/>
      <c r="P2094" s="26"/>
      <c r="Q2094" s="66"/>
      <c r="R2094" s="66"/>
      <c r="S2094" s="26"/>
    </row>
    <row r="2095" spans="1:19">
      <c r="A2095" s="24"/>
      <c r="B2095" s="25" t="s">
        <v>161</v>
      </c>
      <c r="C2095" s="26"/>
      <c r="D2095" s="351"/>
      <c r="E2095" s="303"/>
      <c r="F2095" s="351"/>
      <c r="G2095" s="26"/>
      <c r="H2095" s="26"/>
      <c r="I2095" s="26"/>
      <c r="J2095" s="26"/>
      <c r="K2095" s="26"/>
      <c r="L2095" s="26"/>
      <c r="M2095" s="26"/>
      <c r="N2095" s="26"/>
      <c r="O2095" s="26"/>
      <c r="P2095" s="26"/>
      <c r="Q2095" s="66"/>
      <c r="R2095" s="66"/>
      <c r="S2095" s="26"/>
    </row>
    <row r="2096" spans="1:19">
      <c r="A2096" s="24"/>
      <c r="B2096" s="25" t="s">
        <v>284</v>
      </c>
      <c r="C2096" s="26" t="s">
        <v>8</v>
      </c>
      <c r="D2096" s="351">
        <v>1</v>
      </c>
      <c r="E2096" s="303"/>
      <c r="F2096" s="351">
        <v>1</v>
      </c>
      <c r="G2096" s="26"/>
      <c r="H2096" s="26"/>
      <c r="I2096" s="26"/>
      <c r="J2096" s="26"/>
      <c r="K2096" s="26"/>
      <c r="L2096" s="26"/>
      <c r="M2096" s="26"/>
      <c r="N2096" s="26"/>
      <c r="O2096" s="26"/>
      <c r="P2096" s="26"/>
      <c r="Q2096" s="66"/>
      <c r="R2096" s="66"/>
      <c r="S2096" s="26"/>
    </row>
    <row r="2097" spans="1:19">
      <c r="A2097" s="24"/>
      <c r="B2097" s="25" t="s">
        <v>24</v>
      </c>
      <c r="C2097" s="26" t="s">
        <v>8</v>
      </c>
      <c r="D2097" s="351">
        <v>3</v>
      </c>
      <c r="E2097" s="302"/>
      <c r="F2097" s="351">
        <v>3</v>
      </c>
      <c r="G2097" s="24"/>
      <c r="H2097" s="24"/>
      <c r="I2097" s="24"/>
      <c r="J2097" s="24"/>
      <c r="K2097" s="24"/>
      <c r="L2097" s="24"/>
      <c r="M2097" s="24"/>
      <c r="N2097" s="24"/>
      <c r="O2097" s="24"/>
      <c r="P2097" s="24"/>
      <c r="Q2097" s="65"/>
      <c r="R2097" s="65"/>
      <c r="S2097" s="24"/>
    </row>
    <row r="2098" spans="1:19">
      <c r="A2098" s="24"/>
      <c r="B2098" s="25" t="s">
        <v>164</v>
      </c>
      <c r="C2098" s="26"/>
      <c r="D2098" s="351"/>
      <c r="E2098" s="303"/>
      <c r="F2098" s="351"/>
      <c r="G2098" s="26"/>
      <c r="H2098" s="26"/>
      <c r="I2098" s="26"/>
      <c r="J2098" s="26"/>
      <c r="K2098" s="26"/>
      <c r="L2098" s="26"/>
      <c r="M2098" s="26"/>
      <c r="N2098" s="26"/>
      <c r="O2098" s="26"/>
      <c r="P2098" s="26"/>
      <c r="Q2098" s="66"/>
      <c r="R2098" s="66"/>
      <c r="S2098" s="26"/>
    </row>
    <row r="2099" spans="1:19">
      <c r="A2099" s="24"/>
      <c r="B2099" s="25" t="s">
        <v>286</v>
      </c>
      <c r="C2099" s="26" t="s">
        <v>8</v>
      </c>
      <c r="D2099" s="351">
        <v>11</v>
      </c>
      <c r="E2099" s="303"/>
      <c r="F2099" s="351">
        <v>11</v>
      </c>
      <c r="G2099" s="26"/>
      <c r="H2099" s="26"/>
      <c r="I2099" s="26"/>
      <c r="J2099" s="26"/>
      <c r="K2099" s="26"/>
      <c r="L2099" s="26"/>
      <c r="M2099" s="26"/>
      <c r="N2099" s="26"/>
      <c r="O2099" s="26"/>
      <c r="P2099" s="26"/>
      <c r="Q2099" s="66"/>
      <c r="R2099" s="66"/>
      <c r="S2099" s="26"/>
    </row>
    <row r="2100" spans="1:19">
      <c r="A2100" s="24"/>
      <c r="B2100" s="25" t="s">
        <v>168</v>
      </c>
      <c r="C2100" s="26" t="s">
        <v>8</v>
      </c>
      <c r="D2100" s="351">
        <v>1</v>
      </c>
      <c r="E2100" s="303"/>
      <c r="F2100" s="351">
        <v>1</v>
      </c>
      <c r="G2100" s="26"/>
      <c r="H2100" s="26"/>
      <c r="I2100" s="26"/>
      <c r="J2100" s="26"/>
      <c r="K2100" s="26"/>
      <c r="L2100" s="26"/>
      <c r="M2100" s="26"/>
      <c r="N2100" s="26"/>
      <c r="O2100" s="26"/>
      <c r="P2100" s="26"/>
      <c r="Q2100" s="66"/>
      <c r="R2100" s="66"/>
      <c r="S2100" s="26"/>
    </row>
    <row r="2101" spans="1:19">
      <c r="A2101" s="24"/>
      <c r="B2101" s="25" t="s">
        <v>288</v>
      </c>
      <c r="C2101" s="26" t="s">
        <v>8</v>
      </c>
      <c r="D2101" s="351">
        <v>22</v>
      </c>
      <c r="E2101" s="303"/>
      <c r="F2101" s="351">
        <v>22</v>
      </c>
      <c r="G2101" s="26"/>
      <c r="H2101" s="26"/>
      <c r="I2101" s="26"/>
      <c r="J2101" s="26"/>
      <c r="K2101" s="26"/>
      <c r="L2101" s="26"/>
      <c r="M2101" s="26"/>
      <c r="N2101" s="26"/>
      <c r="O2101" s="26"/>
      <c r="P2101" s="26"/>
      <c r="Q2101" s="66"/>
      <c r="R2101" s="66"/>
      <c r="S2101" s="26"/>
    </row>
    <row r="2102" spans="1:19">
      <c r="A2102" s="24"/>
      <c r="B2102" s="25" t="s">
        <v>290</v>
      </c>
      <c r="C2102" s="26" t="s">
        <v>8</v>
      </c>
      <c r="D2102" s="351">
        <v>11</v>
      </c>
      <c r="E2102" s="303"/>
      <c r="F2102" s="351">
        <v>11</v>
      </c>
      <c r="G2102" s="26"/>
      <c r="H2102" s="26"/>
      <c r="I2102" s="26"/>
      <c r="J2102" s="26"/>
      <c r="K2102" s="26"/>
      <c r="L2102" s="26"/>
      <c r="M2102" s="26"/>
      <c r="N2102" s="26"/>
      <c r="O2102" s="26"/>
      <c r="P2102" s="26"/>
      <c r="Q2102" s="66"/>
      <c r="R2102" s="66"/>
      <c r="S2102" s="26"/>
    </row>
    <row r="2103" spans="1:19">
      <c r="A2103" s="24"/>
      <c r="B2103" s="25" t="s">
        <v>291</v>
      </c>
      <c r="C2103" s="26" t="s">
        <v>17</v>
      </c>
      <c r="D2103" s="351">
        <v>1</v>
      </c>
      <c r="E2103" s="302"/>
      <c r="F2103" s="351">
        <v>1</v>
      </c>
      <c r="G2103" s="24"/>
      <c r="H2103" s="24"/>
      <c r="I2103" s="24"/>
      <c r="J2103" s="24"/>
      <c r="K2103" s="24"/>
      <c r="L2103" s="24"/>
      <c r="M2103" s="24"/>
      <c r="N2103" s="24"/>
      <c r="O2103" s="24"/>
      <c r="P2103" s="24"/>
      <c r="Q2103" s="65"/>
      <c r="R2103" s="65"/>
      <c r="S2103" s="24"/>
    </row>
    <row r="2104" spans="1:19" ht="30">
      <c r="A2104" s="24"/>
      <c r="B2104" s="25" t="s">
        <v>176</v>
      </c>
      <c r="C2104" s="26" t="s">
        <v>78</v>
      </c>
      <c r="D2104" s="351">
        <v>1</v>
      </c>
      <c r="E2104" s="318"/>
      <c r="F2104" s="351">
        <v>1</v>
      </c>
      <c r="G2104" s="341"/>
      <c r="H2104" s="341"/>
      <c r="I2104" s="341"/>
      <c r="J2104" s="341"/>
      <c r="K2104" s="341"/>
      <c r="L2104" s="341"/>
      <c r="M2104" s="341"/>
      <c r="N2104" s="341"/>
      <c r="O2104" s="341"/>
      <c r="P2104" s="341"/>
      <c r="Q2104" s="347"/>
      <c r="R2104" s="347"/>
      <c r="S2104" s="341"/>
    </row>
    <row r="2105" spans="1:19" ht="60">
      <c r="A2105" s="24">
        <v>81</v>
      </c>
      <c r="B2105" s="25" t="s">
        <v>453</v>
      </c>
      <c r="C2105" s="26" t="s">
        <v>7</v>
      </c>
      <c r="D2105" s="351">
        <v>7</v>
      </c>
      <c r="E2105" s="25"/>
      <c r="F2105" s="351">
        <v>7</v>
      </c>
      <c r="G2105" s="26" t="s">
        <v>2326</v>
      </c>
      <c r="H2105" s="26"/>
      <c r="I2105" s="26" t="s">
        <v>2327</v>
      </c>
      <c r="J2105" s="26" t="s">
        <v>2328</v>
      </c>
      <c r="K2105" s="311">
        <v>21421653.659999996</v>
      </c>
      <c r="L2105" s="311">
        <v>0</v>
      </c>
      <c r="M2105" s="311">
        <v>1582000.0000000002</v>
      </c>
      <c r="N2105" s="311">
        <v>2303803.4</v>
      </c>
      <c r="O2105" s="311">
        <v>1612662.3800000001</v>
      </c>
      <c r="P2105" s="68">
        <f>SUM(K2105:O2105)</f>
        <v>26920119.439999994</v>
      </c>
      <c r="Q2105" s="68">
        <f>D2105*P2105</f>
        <v>188440836.07999995</v>
      </c>
      <c r="R2105" s="127">
        <f>F2105*P2105</f>
        <v>188440836.07999995</v>
      </c>
      <c r="S2105" s="26"/>
    </row>
    <row r="2106" spans="1:19" ht="30">
      <c r="A2106" s="24"/>
      <c r="B2106" s="25" t="s">
        <v>283</v>
      </c>
      <c r="C2106" s="26" t="s">
        <v>8</v>
      </c>
      <c r="D2106" s="351">
        <v>1</v>
      </c>
      <c r="E2106" s="25"/>
      <c r="F2106" s="351">
        <v>1</v>
      </c>
      <c r="G2106" s="26"/>
      <c r="H2106" s="26"/>
      <c r="I2106" s="26"/>
      <c r="J2106" s="26"/>
      <c r="K2106" s="26"/>
      <c r="L2106" s="26"/>
      <c r="M2106" s="26"/>
      <c r="N2106" s="26"/>
      <c r="O2106" s="26"/>
      <c r="P2106" s="26"/>
      <c r="Q2106" s="66"/>
      <c r="R2106" s="66"/>
      <c r="S2106" s="26"/>
    </row>
    <row r="2107" spans="1:19">
      <c r="A2107" s="24"/>
      <c r="B2107" s="25" t="s">
        <v>290</v>
      </c>
      <c r="C2107" s="26" t="s">
        <v>8</v>
      </c>
      <c r="D2107" s="351">
        <v>11</v>
      </c>
      <c r="E2107" s="25"/>
      <c r="F2107" s="351">
        <v>11</v>
      </c>
      <c r="G2107" s="26"/>
      <c r="H2107" s="26"/>
      <c r="I2107" s="26"/>
      <c r="J2107" s="26"/>
      <c r="K2107" s="26"/>
      <c r="L2107" s="26"/>
      <c r="M2107" s="26"/>
      <c r="N2107" s="26"/>
      <c r="O2107" s="26"/>
      <c r="P2107" s="26"/>
      <c r="Q2107" s="66"/>
      <c r="R2107" s="66"/>
      <c r="S2107" s="26"/>
    </row>
    <row r="2108" spans="1:19" ht="60">
      <c r="A2108" s="24">
        <v>82</v>
      </c>
      <c r="B2108" s="25" t="s">
        <v>454</v>
      </c>
      <c r="C2108" s="26" t="s">
        <v>7</v>
      </c>
      <c r="D2108" s="351">
        <v>6</v>
      </c>
      <c r="E2108" s="25"/>
      <c r="F2108" s="351">
        <v>6</v>
      </c>
      <c r="G2108" s="26" t="s">
        <v>2326</v>
      </c>
      <c r="H2108" s="26"/>
      <c r="I2108" s="26" t="s">
        <v>2327</v>
      </c>
      <c r="J2108" s="26" t="s">
        <v>2328</v>
      </c>
      <c r="K2108" s="311">
        <v>45495457.919999994</v>
      </c>
      <c r="L2108" s="311">
        <v>0</v>
      </c>
      <c r="M2108" s="311">
        <v>3164000.0000000005</v>
      </c>
      <c r="N2108" s="311">
        <v>4875500.8</v>
      </c>
      <c r="O2108" s="311">
        <v>3412850.5600000005</v>
      </c>
      <c r="P2108" s="68">
        <f>SUM(K2108:O2108)</f>
        <v>56947809.279999994</v>
      </c>
      <c r="Q2108" s="68">
        <f>D2108*P2108</f>
        <v>341686855.67999995</v>
      </c>
      <c r="R2108" s="127">
        <f>F2108*P2108</f>
        <v>341686855.67999995</v>
      </c>
      <c r="S2108" s="26"/>
    </row>
    <row r="2109" spans="1:19" ht="30">
      <c r="A2109" s="24"/>
      <c r="B2109" s="25" t="s">
        <v>283</v>
      </c>
      <c r="C2109" s="26" t="s">
        <v>8</v>
      </c>
      <c r="D2109" s="351">
        <v>1</v>
      </c>
      <c r="E2109" s="25"/>
      <c r="F2109" s="351">
        <v>1</v>
      </c>
      <c r="G2109" s="26"/>
      <c r="H2109" s="26"/>
      <c r="I2109" s="26"/>
      <c r="J2109" s="26"/>
      <c r="K2109" s="26"/>
      <c r="L2109" s="26"/>
      <c r="M2109" s="26"/>
      <c r="N2109" s="26"/>
      <c r="O2109" s="26"/>
      <c r="P2109" s="26"/>
      <c r="Q2109" s="66"/>
      <c r="R2109" s="66"/>
      <c r="S2109" s="26"/>
    </row>
    <row r="2110" spans="1:19">
      <c r="A2110" s="24"/>
      <c r="B2110" s="25" t="s">
        <v>161</v>
      </c>
      <c r="C2110" s="26"/>
      <c r="D2110" s="351"/>
      <c r="E2110" s="25"/>
      <c r="F2110" s="351"/>
      <c r="G2110" s="26"/>
      <c r="H2110" s="26"/>
      <c r="I2110" s="26"/>
      <c r="J2110" s="26"/>
      <c r="K2110" s="26"/>
      <c r="L2110" s="26"/>
      <c r="M2110" s="26"/>
      <c r="N2110" s="26"/>
      <c r="O2110" s="26"/>
      <c r="P2110" s="26"/>
      <c r="Q2110" s="66"/>
      <c r="R2110" s="66"/>
      <c r="S2110" s="26"/>
    </row>
    <row r="2111" spans="1:19">
      <c r="A2111" s="24"/>
      <c r="B2111" s="25" t="s">
        <v>284</v>
      </c>
      <c r="C2111" s="26" t="s">
        <v>8</v>
      </c>
      <c r="D2111" s="351">
        <v>1</v>
      </c>
      <c r="E2111" s="25"/>
      <c r="F2111" s="351">
        <v>1</v>
      </c>
      <c r="G2111" s="26"/>
      <c r="H2111" s="26"/>
      <c r="I2111" s="26"/>
      <c r="J2111" s="26"/>
      <c r="K2111" s="26"/>
      <c r="L2111" s="26"/>
      <c r="M2111" s="26"/>
      <c r="N2111" s="26"/>
      <c r="O2111" s="26"/>
      <c r="P2111" s="26"/>
      <c r="Q2111" s="66"/>
      <c r="R2111" s="66"/>
      <c r="S2111" s="26"/>
    </row>
    <row r="2112" spans="1:19">
      <c r="A2112" s="24"/>
      <c r="B2112" s="25" t="s">
        <v>24</v>
      </c>
      <c r="C2112" s="26" t="s">
        <v>8</v>
      </c>
      <c r="D2112" s="351">
        <v>3</v>
      </c>
      <c r="E2112" s="25"/>
      <c r="F2112" s="351">
        <v>3</v>
      </c>
      <c r="G2112" s="26"/>
      <c r="H2112" s="26"/>
      <c r="I2112" s="26"/>
      <c r="J2112" s="26"/>
      <c r="K2112" s="26"/>
      <c r="L2112" s="26"/>
      <c r="M2112" s="26"/>
      <c r="N2112" s="26"/>
      <c r="O2112" s="26"/>
      <c r="P2112" s="26"/>
      <c r="Q2112" s="66"/>
      <c r="R2112" s="66"/>
      <c r="S2112" s="26"/>
    </row>
    <row r="2113" spans="1:19">
      <c r="A2113" s="24"/>
      <c r="B2113" s="25" t="s">
        <v>164</v>
      </c>
      <c r="C2113" s="26"/>
      <c r="D2113" s="351"/>
      <c r="E2113" s="25"/>
      <c r="F2113" s="351"/>
      <c r="G2113" s="26"/>
      <c r="H2113" s="26"/>
      <c r="I2113" s="26"/>
      <c r="J2113" s="26"/>
      <c r="K2113" s="26"/>
      <c r="L2113" s="26"/>
      <c r="M2113" s="26"/>
      <c r="N2113" s="26"/>
      <c r="O2113" s="26"/>
      <c r="P2113" s="26"/>
      <c r="Q2113" s="66"/>
      <c r="R2113" s="66"/>
      <c r="S2113" s="26"/>
    </row>
    <row r="2114" spans="1:19">
      <c r="A2114" s="24"/>
      <c r="B2114" s="25" t="s">
        <v>286</v>
      </c>
      <c r="C2114" s="26" t="s">
        <v>8</v>
      </c>
      <c r="D2114" s="351">
        <v>11</v>
      </c>
      <c r="E2114" s="25"/>
      <c r="F2114" s="351">
        <v>11</v>
      </c>
      <c r="G2114" s="26"/>
      <c r="H2114" s="26"/>
      <c r="I2114" s="26"/>
      <c r="J2114" s="26"/>
      <c r="K2114" s="26"/>
      <c r="L2114" s="26"/>
      <c r="M2114" s="26"/>
      <c r="N2114" s="26"/>
      <c r="O2114" s="26"/>
      <c r="P2114" s="26"/>
      <c r="Q2114" s="66"/>
      <c r="R2114" s="66"/>
      <c r="S2114" s="26"/>
    </row>
    <row r="2115" spans="1:19">
      <c r="A2115" s="24"/>
      <c r="B2115" s="25" t="s">
        <v>168</v>
      </c>
      <c r="C2115" s="26" t="s">
        <v>8</v>
      </c>
      <c r="D2115" s="351">
        <v>1</v>
      </c>
      <c r="E2115" s="25"/>
      <c r="F2115" s="351">
        <v>1</v>
      </c>
      <c r="G2115" s="26"/>
      <c r="H2115" s="26"/>
      <c r="I2115" s="26"/>
      <c r="J2115" s="26"/>
      <c r="K2115" s="26"/>
      <c r="L2115" s="26"/>
      <c r="M2115" s="26"/>
      <c r="N2115" s="26"/>
      <c r="O2115" s="26"/>
      <c r="P2115" s="26"/>
      <c r="Q2115" s="66"/>
      <c r="R2115" s="66"/>
      <c r="S2115" s="26"/>
    </row>
    <row r="2116" spans="1:19">
      <c r="A2116" s="24"/>
      <c r="B2116" s="25" t="s">
        <v>288</v>
      </c>
      <c r="C2116" s="26" t="s">
        <v>8</v>
      </c>
      <c r="D2116" s="351">
        <v>22</v>
      </c>
      <c r="E2116" s="25"/>
      <c r="F2116" s="351">
        <v>22</v>
      </c>
      <c r="G2116" s="26"/>
      <c r="H2116" s="26"/>
      <c r="I2116" s="26"/>
      <c r="J2116" s="26"/>
      <c r="K2116" s="26"/>
      <c r="L2116" s="26"/>
      <c r="M2116" s="26"/>
      <c r="N2116" s="26"/>
      <c r="O2116" s="26"/>
      <c r="P2116" s="26"/>
      <c r="Q2116" s="66"/>
      <c r="R2116" s="66"/>
      <c r="S2116" s="26"/>
    </row>
    <row r="2117" spans="1:19">
      <c r="A2117" s="24"/>
      <c r="B2117" s="25" t="s">
        <v>290</v>
      </c>
      <c r="C2117" s="26" t="s">
        <v>8</v>
      </c>
      <c r="D2117" s="351">
        <v>11</v>
      </c>
      <c r="E2117" s="25"/>
      <c r="F2117" s="351">
        <v>11</v>
      </c>
      <c r="G2117" s="26"/>
      <c r="H2117" s="26"/>
      <c r="I2117" s="26"/>
      <c r="J2117" s="26"/>
      <c r="K2117" s="26"/>
      <c r="L2117" s="26"/>
      <c r="M2117" s="26"/>
      <c r="N2117" s="26"/>
      <c r="O2117" s="26"/>
      <c r="P2117" s="26"/>
      <c r="Q2117" s="66"/>
      <c r="R2117" s="66"/>
      <c r="S2117" s="26"/>
    </row>
    <row r="2118" spans="1:19">
      <c r="A2118" s="24"/>
      <c r="B2118" s="25" t="s">
        <v>291</v>
      </c>
      <c r="C2118" s="26" t="s">
        <v>17</v>
      </c>
      <c r="D2118" s="351">
        <v>1</v>
      </c>
      <c r="E2118" s="25"/>
      <c r="F2118" s="351">
        <v>1</v>
      </c>
      <c r="G2118" s="26"/>
      <c r="H2118" s="26"/>
      <c r="I2118" s="26"/>
      <c r="J2118" s="26"/>
      <c r="K2118" s="26"/>
      <c r="L2118" s="26"/>
      <c r="M2118" s="26"/>
      <c r="N2118" s="26"/>
      <c r="O2118" s="26"/>
      <c r="P2118" s="26"/>
      <c r="Q2118" s="66"/>
      <c r="R2118" s="66"/>
      <c r="S2118" s="26"/>
    </row>
    <row r="2119" spans="1:19" ht="30">
      <c r="A2119" s="24"/>
      <c r="B2119" s="25" t="s">
        <v>176</v>
      </c>
      <c r="C2119" s="26" t="s">
        <v>78</v>
      </c>
      <c r="D2119" s="351">
        <v>1</v>
      </c>
      <c r="E2119" s="25"/>
      <c r="F2119" s="351">
        <v>1</v>
      </c>
      <c r="G2119" s="26"/>
      <c r="H2119" s="26"/>
      <c r="I2119" s="26"/>
      <c r="J2119" s="26"/>
      <c r="K2119" s="26"/>
      <c r="L2119" s="26"/>
      <c r="M2119" s="26"/>
      <c r="N2119" s="26"/>
      <c r="O2119" s="26"/>
      <c r="P2119" s="26"/>
      <c r="Q2119" s="66"/>
      <c r="R2119" s="66"/>
      <c r="S2119" s="26"/>
    </row>
    <row r="2120" spans="1:19" ht="60">
      <c r="A2120" s="24">
        <v>83</v>
      </c>
      <c r="B2120" s="25" t="s">
        <v>455</v>
      </c>
      <c r="C2120" s="26" t="s">
        <v>7</v>
      </c>
      <c r="D2120" s="351">
        <v>6</v>
      </c>
      <c r="E2120" s="25"/>
      <c r="F2120" s="351">
        <v>6</v>
      </c>
      <c r="G2120" s="26" t="s">
        <v>2326</v>
      </c>
      <c r="H2120" s="26"/>
      <c r="I2120" s="26" t="s">
        <v>2327</v>
      </c>
      <c r="J2120" s="26" t="s">
        <v>2328</v>
      </c>
      <c r="K2120" s="311">
        <v>21421653.659999996</v>
      </c>
      <c r="L2120" s="311">
        <v>0</v>
      </c>
      <c r="M2120" s="311">
        <v>1582000.0000000002</v>
      </c>
      <c r="N2120" s="311">
        <v>2303803.4</v>
      </c>
      <c r="O2120" s="311">
        <v>1612662.3800000001</v>
      </c>
      <c r="P2120" s="68">
        <f>SUM(K2120:O2120)</f>
        <v>26920119.439999994</v>
      </c>
      <c r="Q2120" s="68">
        <f>D2120*P2120</f>
        <v>161520716.63999996</v>
      </c>
      <c r="R2120" s="127">
        <f>F2120*P2120</f>
        <v>161520716.63999996</v>
      </c>
      <c r="S2120" s="26"/>
    </row>
    <row r="2121" spans="1:19" ht="30">
      <c r="A2121" s="24"/>
      <c r="B2121" s="25" t="s">
        <v>283</v>
      </c>
      <c r="C2121" s="26" t="s">
        <v>8</v>
      </c>
      <c r="D2121" s="351">
        <v>1</v>
      </c>
      <c r="E2121" s="25"/>
      <c r="F2121" s="351">
        <v>1</v>
      </c>
      <c r="G2121" s="26"/>
      <c r="H2121" s="26"/>
      <c r="I2121" s="26"/>
      <c r="J2121" s="26"/>
      <c r="K2121" s="26"/>
      <c r="L2121" s="26"/>
      <c r="M2121" s="26"/>
      <c r="N2121" s="26"/>
      <c r="O2121" s="26"/>
      <c r="P2121" s="26"/>
      <c r="Q2121" s="66"/>
      <c r="R2121" s="66"/>
      <c r="S2121" s="26"/>
    </row>
    <row r="2122" spans="1:19">
      <c r="A2122" s="24"/>
      <c r="B2122" s="25" t="s">
        <v>290</v>
      </c>
      <c r="C2122" s="26" t="s">
        <v>8</v>
      </c>
      <c r="D2122" s="351">
        <v>11</v>
      </c>
      <c r="E2122" s="25"/>
      <c r="F2122" s="351">
        <v>11</v>
      </c>
      <c r="G2122" s="26"/>
      <c r="H2122" s="26"/>
      <c r="I2122" s="26"/>
      <c r="J2122" s="26"/>
      <c r="K2122" s="26"/>
      <c r="L2122" s="26"/>
      <c r="M2122" s="26"/>
      <c r="N2122" s="26"/>
      <c r="O2122" s="26"/>
      <c r="P2122" s="26"/>
      <c r="Q2122" s="66"/>
      <c r="R2122" s="66"/>
      <c r="S2122" s="26"/>
    </row>
    <row r="2123" spans="1:19" ht="60">
      <c r="A2123" s="24">
        <v>84</v>
      </c>
      <c r="B2123" s="25" t="s">
        <v>456</v>
      </c>
      <c r="C2123" s="26" t="s">
        <v>7</v>
      </c>
      <c r="D2123" s="351">
        <v>6</v>
      </c>
      <c r="E2123" s="25"/>
      <c r="F2123" s="351">
        <v>6</v>
      </c>
      <c r="G2123" s="26" t="s">
        <v>2326</v>
      </c>
      <c r="H2123" s="26"/>
      <c r="I2123" s="26" t="s">
        <v>2327</v>
      </c>
      <c r="J2123" s="26" t="s">
        <v>2328</v>
      </c>
      <c r="K2123" s="311">
        <v>45495457.919999994</v>
      </c>
      <c r="L2123" s="311">
        <v>0</v>
      </c>
      <c r="M2123" s="311">
        <v>3164000.0000000005</v>
      </c>
      <c r="N2123" s="311">
        <v>4875500.8</v>
      </c>
      <c r="O2123" s="311">
        <v>3412850.5600000005</v>
      </c>
      <c r="P2123" s="68">
        <f>SUM(K2123:O2123)</f>
        <v>56947809.279999994</v>
      </c>
      <c r="Q2123" s="68">
        <f>D2123*P2123</f>
        <v>341686855.67999995</v>
      </c>
      <c r="R2123" s="127">
        <f>F2123*P2123</f>
        <v>341686855.67999995</v>
      </c>
      <c r="S2123" s="26"/>
    </row>
    <row r="2124" spans="1:19" ht="30">
      <c r="A2124" s="24"/>
      <c r="B2124" s="25" t="s">
        <v>283</v>
      </c>
      <c r="C2124" s="26" t="s">
        <v>8</v>
      </c>
      <c r="D2124" s="351">
        <v>1</v>
      </c>
      <c r="E2124" s="25"/>
      <c r="F2124" s="351">
        <v>1</v>
      </c>
      <c r="G2124" s="26"/>
      <c r="H2124" s="26"/>
      <c r="I2124" s="26"/>
      <c r="J2124" s="26"/>
      <c r="K2124" s="26"/>
      <c r="L2124" s="26"/>
      <c r="M2124" s="26"/>
      <c r="N2124" s="26"/>
      <c r="O2124" s="26"/>
      <c r="P2124" s="26"/>
      <c r="Q2124" s="66"/>
      <c r="R2124" s="66"/>
      <c r="S2124" s="26"/>
    </row>
    <row r="2125" spans="1:19">
      <c r="A2125" s="24"/>
      <c r="B2125" s="25" t="s">
        <v>161</v>
      </c>
      <c r="C2125" s="26"/>
      <c r="D2125" s="351"/>
      <c r="E2125" s="25"/>
      <c r="F2125" s="351"/>
      <c r="G2125" s="26"/>
      <c r="H2125" s="26"/>
      <c r="I2125" s="26"/>
      <c r="J2125" s="26"/>
      <c r="K2125" s="26"/>
      <c r="L2125" s="26"/>
      <c r="M2125" s="26"/>
      <c r="N2125" s="26"/>
      <c r="O2125" s="26"/>
      <c r="P2125" s="26"/>
      <c r="Q2125" s="66"/>
      <c r="R2125" s="66"/>
      <c r="S2125" s="26"/>
    </row>
    <row r="2126" spans="1:19">
      <c r="A2126" s="24"/>
      <c r="B2126" s="25" t="s">
        <v>284</v>
      </c>
      <c r="C2126" s="26" t="s">
        <v>8</v>
      </c>
      <c r="D2126" s="351">
        <v>1</v>
      </c>
      <c r="E2126" s="25"/>
      <c r="F2126" s="351">
        <v>1</v>
      </c>
      <c r="G2126" s="26"/>
      <c r="H2126" s="26"/>
      <c r="I2126" s="26"/>
      <c r="J2126" s="26"/>
      <c r="K2126" s="26"/>
      <c r="L2126" s="26"/>
      <c r="M2126" s="26"/>
      <c r="N2126" s="26"/>
      <c r="O2126" s="26"/>
      <c r="P2126" s="26"/>
      <c r="Q2126" s="66"/>
      <c r="R2126" s="66"/>
      <c r="S2126" s="26"/>
    </row>
    <row r="2127" spans="1:19">
      <c r="A2127" s="24"/>
      <c r="B2127" s="25" t="s">
        <v>24</v>
      </c>
      <c r="C2127" s="26" t="s">
        <v>8</v>
      </c>
      <c r="D2127" s="351">
        <v>3</v>
      </c>
      <c r="E2127" s="25"/>
      <c r="F2127" s="351">
        <v>3</v>
      </c>
      <c r="G2127" s="26"/>
      <c r="H2127" s="26"/>
      <c r="I2127" s="26"/>
      <c r="J2127" s="26"/>
      <c r="K2127" s="26"/>
      <c r="L2127" s="26"/>
      <c r="M2127" s="26"/>
      <c r="N2127" s="26"/>
      <c r="O2127" s="26"/>
      <c r="P2127" s="26"/>
      <c r="Q2127" s="66"/>
      <c r="R2127" s="66"/>
      <c r="S2127" s="26"/>
    </row>
    <row r="2128" spans="1:19">
      <c r="A2128" s="24"/>
      <c r="B2128" s="25" t="s">
        <v>164</v>
      </c>
      <c r="C2128" s="26"/>
      <c r="D2128" s="351"/>
      <c r="E2128" s="25"/>
      <c r="F2128" s="351"/>
      <c r="G2128" s="26"/>
      <c r="H2128" s="26"/>
      <c r="I2128" s="26"/>
      <c r="J2128" s="26"/>
      <c r="K2128" s="26"/>
      <c r="L2128" s="26"/>
      <c r="M2128" s="26"/>
      <c r="N2128" s="26"/>
      <c r="O2128" s="26"/>
      <c r="P2128" s="26"/>
      <c r="Q2128" s="66"/>
      <c r="R2128" s="66"/>
      <c r="S2128" s="26"/>
    </row>
    <row r="2129" spans="1:19">
      <c r="A2129" s="24"/>
      <c r="B2129" s="25" t="s">
        <v>286</v>
      </c>
      <c r="C2129" s="26" t="s">
        <v>8</v>
      </c>
      <c r="D2129" s="351">
        <v>11</v>
      </c>
      <c r="E2129" s="25"/>
      <c r="F2129" s="351">
        <v>11</v>
      </c>
      <c r="G2129" s="26"/>
      <c r="H2129" s="26"/>
      <c r="I2129" s="26"/>
      <c r="J2129" s="26"/>
      <c r="K2129" s="26"/>
      <c r="L2129" s="26"/>
      <c r="M2129" s="26"/>
      <c r="N2129" s="26"/>
      <c r="O2129" s="26"/>
      <c r="P2129" s="26"/>
      <c r="Q2129" s="66"/>
      <c r="R2129" s="66"/>
      <c r="S2129" s="26"/>
    </row>
    <row r="2130" spans="1:19">
      <c r="A2130" s="24"/>
      <c r="B2130" s="25" t="s">
        <v>168</v>
      </c>
      <c r="C2130" s="26" t="s">
        <v>8</v>
      </c>
      <c r="D2130" s="351">
        <v>1</v>
      </c>
      <c r="E2130" s="25"/>
      <c r="F2130" s="351">
        <v>1</v>
      </c>
      <c r="G2130" s="26"/>
      <c r="H2130" s="26"/>
      <c r="I2130" s="26"/>
      <c r="J2130" s="26"/>
      <c r="K2130" s="26"/>
      <c r="L2130" s="26"/>
      <c r="M2130" s="26"/>
      <c r="N2130" s="26"/>
      <c r="O2130" s="26"/>
      <c r="P2130" s="26"/>
      <c r="Q2130" s="66"/>
      <c r="R2130" s="66"/>
      <c r="S2130" s="26"/>
    </row>
    <row r="2131" spans="1:19">
      <c r="A2131" s="24"/>
      <c r="B2131" s="25" t="s">
        <v>288</v>
      </c>
      <c r="C2131" s="26" t="s">
        <v>8</v>
      </c>
      <c r="D2131" s="351">
        <v>22</v>
      </c>
      <c r="E2131" s="25"/>
      <c r="F2131" s="351">
        <v>22</v>
      </c>
      <c r="G2131" s="26"/>
      <c r="H2131" s="26"/>
      <c r="I2131" s="26"/>
      <c r="J2131" s="26"/>
      <c r="K2131" s="26"/>
      <c r="L2131" s="26"/>
      <c r="M2131" s="26"/>
      <c r="N2131" s="26"/>
      <c r="O2131" s="26"/>
      <c r="P2131" s="26"/>
      <c r="Q2131" s="66"/>
      <c r="R2131" s="66"/>
      <c r="S2131" s="26"/>
    </row>
    <row r="2132" spans="1:19">
      <c r="A2132" s="24"/>
      <c r="B2132" s="25" t="s">
        <v>290</v>
      </c>
      <c r="C2132" s="26" t="s">
        <v>8</v>
      </c>
      <c r="D2132" s="351">
        <v>11</v>
      </c>
      <c r="E2132" s="25"/>
      <c r="F2132" s="351">
        <v>11</v>
      </c>
      <c r="G2132" s="26"/>
      <c r="H2132" s="26"/>
      <c r="I2132" s="26"/>
      <c r="J2132" s="26"/>
      <c r="K2132" s="26"/>
      <c r="L2132" s="26"/>
      <c r="M2132" s="26"/>
      <c r="N2132" s="26"/>
      <c r="O2132" s="26"/>
      <c r="P2132" s="26"/>
      <c r="Q2132" s="66"/>
      <c r="R2132" s="66"/>
      <c r="S2132" s="26"/>
    </row>
    <row r="2133" spans="1:19">
      <c r="A2133" s="24"/>
      <c r="B2133" s="25" t="s">
        <v>291</v>
      </c>
      <c r="C2133" s="26" t="s">
        <v>17</v>
      </c>
      <c r="D2133" s="351">
        <v>1</v>
      </c>
      <c r="E2133" s="25"/>
      <c r="F2133" s="351">
        <v>1</v>
      </c>
      <c r="G2133" s="26"/>
      <c r="H2133" s="26"/>
      <c r="I2133" s="26"/>
      <c r="J2133" s="26"/>
      <c r="K2133" s="26"/>
      <c r="L2133" s="26"/>
      <c r="M2133" s="26"/>
      <c r="N2133" s="26"/>
      <c r="O2133" s="26"/>
      <c r="P2133" s="26"/>
      <c r="Q2133" s="66"/>
      <c r="R2133" s="66"/>
      <c r="S2133" s="26"/>
    </row>
    <row r="2134" spans="1:19" ht="30">
      <c r="A2134" s="24"/>
      <c r="B2134" s="25" t="s">
        <v>176</v>
      </c>
      <c r="C2134" s="26" t="s">
        <v>78</v>
      </c>
      <c r="D2134" s="351">
        <v>1</v>
      </c>
      <c r="E2134" s="25"/>
      <c r="F2134" s="351">
        <v>1</v>
      </c>
      <c r="G2134" s="26"/>
      <c r="H2134" s="26"/>
      <c r="I2134" s="26"/>
      <c r="J2134" s="26"/>
      <c r="K2134" s="26"/>
      <c r="L2134" s="26"/>
      <c r="M2134" s="26"/>
      <c r="N2134" s="26"/>
      <c r="O2134" s="26"/>
      <c r="P2134" s="26"/>
      <c r="Q2134" s="66"/>
      <c r="R2134" s="66"/>
      <c r="S2134" s="26"/>
    </row>
    <row r="2135" spans="1:19" ht="60">
      <c r="A2135" s="24">
        <v>85</v>
      </c>
      <c r="B2135" s="25" t="s">
        <v>457</v>
      </c>
      <c r="C2135" s="26" t="s">
        <v>7</v>
      </c>
      <c r="D2135" s="351">
        <v>6</v>
      </c>
      <c r="E2135" s="25"/>
      <c r="F2135" s="351">
        <v>6</v>
      </c>
      <c r="G2135" s="26" t="s">
        <v>2326</v>
      </c>
      <c r="H2135" s="26"/>
      <c r="I2135" s="26" t="s">
        <v>2327</v>
      </c>
      <c r="J2135" s="26" t="s">
        <v>2328</v>
      </c>
      <c r="K2135" s="311">
        <v>21421653.659999996</v>
      </c>
      <c r="L2135" s="311">
        <v>0</v>
      </c>
      <c r="M2135" s="311">
        <v>1582000.0000000002</v>
      </c>
      <c r="N2135" s="311">
        <v>2303803.4</v>
      </c>
      <c r="O2135" s="311">
        <v>1612662.3800000001</v>
      </c>
      <c r="P2135" s="68">
        <f>SUM(K2135:O2135)</f>
        <v>26920119.439999994</v>
      </c>
      <c r="Q2135" s="68">
        <f>D2135*P2135</f>
        <v>161520716.63999996</v>
      </c>
      <c r="R2135" s="127">
        <f>F2135*P2135</f>
        <v>161520716.63999996</v>
      </c>
      <c r="S2135" s="26"/>
    </row>
    <row r="2136" spans="1:19" ht="30">
      <c r="A2136" s="24"/>
      <c r="B2136" s="25" t="s">
        <v>283</v>
      </c>
      <c r="C2136" s="26" t="s">
        <v>8</v>
      </c>
      <c r="D2136" s="351">
        <v>1</v>
      </c>
      <c r="E2136" s="25"/>
      <c r="F2136" s="351">
        <v>1</v>
      </c>
      <c r="G2136" s="26"/>
      <c r="H2136" s="26"/>
      <c r="I2136" s="26"/>
      <c r="J2136" s="26"/>
      <c r="K2136" s="26"/>
      <c r="L2136" s="26"/>
      <c r="M2136" s="26"/>
      <c r="N2136" s="26"/>
      <c r="O2136" s="26"/>
      <c r="P2136" s="26"/>
      <c r="Q2136" s="66"/>
      <c r="R2136" s="66"/>
      <c r="S2136" s="26"/>
    </row>
    <row r="2137" spans="1:19">
      <c r="A2137" s="24"/>
      <c r="B2137" s="25" t="s">
        <v>290</v>
      </c>
      <c r="C2137" s="26" t="s">
        <v>8</v>
      </c>
      <c r="D2137" s="351">
        <v>11</v>
      </c>
      <c r="E2137" s="25"/>
      <c r="F2137" s="351">
        <v>11</v>
      </c>
      <c r="G2137" s="26"/>
      <c r="H2137" s="26"/>
      <c r="I2137" s="26"/>
      <c r="J2137" s="26"/>
      <c r="K2137" s="26"/>
      <c r="L2137" s="26"/>
      <c r="M2137" s="26"/>
      <c r="N2137" s="26"/>
      <c r="O2137" s="26"/>
      <c r="P2137" s="26"/>
      <c r="Q2137" s="66"/>
      <c r="R2137" s="66"/>
      <c r="S2137" s="26"/>
    </row>
    <row r="2138" spans="1:19" ht="60">
      <c r="A2138" s="24">
        <v>86</v>
      </c>
      <c r="B2138" s="25" t="s">
        <v>458</v>
      </c>
      <c r="C2138" s="26" t="s">
        <v>7</v>
      </c>
      <c r="D2138" s="351">
        <v>1</v>
      </c>
      <c r="E2138" s="25"/>
      <c r="F2138" s="351">
        <v>1</v>
      </c>
      <c r="G2138" s="26" t="s">
        <v>2326</v>
      </c>
      <c r="H2138" s="26"/>
      <c r="I2138" s="26" t="s">
        <v>2327</v>
      </c>
      <c r="J2138" s="26" t="s">
        <v>2328</v>
      </c>
      <c r="K2138" s="311">
        <v>59049946.889999993</v>
      </c>
      <c r="L2138" s="311">
        <v>0</v>
      </c>
      <c r="M2138" s="311">
        <v>3164000.0000000005</v>
      </c>
      <c r="N2138" s="311">
        <v>6244641.1000000006</v>
      </c>
      <c r="O2138" s="311">
        <v>4371248.7700000005</v>
      </c>
      <c r="P2138" s="68">
        <f>SUM(K2138:O2138)</f>
        <v>72829836.75999999</v>
      </c>
      <c r="Q2138" s="68">
        <f>D2138*P2138</f>
        <v>72829836.75999999</v>
      </c>
      <c r="R2138" s="127">
        <f>F2138*P2138</f>
        <v>72829836.75999999</v>
      </c>
      <c r="S2138" s="26"/>
    </row>
    <row r="2139" spans="1:19" ht="30">
      <c r="A2139" s="24"/>
      <c r="B2139" s="25" t="s">
        <v>459</v>
      </c>
      <c r="C2139" s="26" t="s">
        <v>8</v>
      </c>
      <c r="D2139" s="351">
        <v>1</v>
      </c>
      <c r="E2139" s="25"/>
      <c r="F2139" s="351">
        <v>1</v>
      </c>
      <c r="G2139" s="26"/>
      <c r="H2139" s="26"/>
      <c r="I2139" s="26"/>
      <c r="J2139" s="26"/>
      <c r="K2139" s="26"/>
      <c r="L2139" s="26"/>
      <c r="M2139" s="26"/>
      <c r="N2139" s="26"/>
      <c r="O2139" s="26"/>
      <c r="P2139" s="26"/>
      <c r="Q2139" s="66"/>
      <c r="R2139" s="66"/>
      <c r="S2139" s="26"/>
    </row>
    <row r="2140" spans="1:19">
      <c r="A2140" s="24"/>
      <c r="B2140" s="25" t="s">
        <v>161</v>
      </c>
      <c r="C2140" s="26"/>
      <c r="D2140" s="351"/>
      <c r="E2140" s="25"/>
      <c r="F2140" s="351"/>
      <c r="G2140" s="26"/>
      <c r="H2140" s="26"/>
      <c r="I2140" s="26"/>
      <c r="J2140" s="26"/>
      <c r="K2140" s="26"/>
      <c r="L2140" s="26"/>
      <c r="M2140" s="26"/>
      <c r="N2140" s="26"/>
      <c r="O2140" s="26"/>
      <c r="P2140" s="26"/>
      <c r="Q2140" s="66"/>
      <c r="R2140" s="66"/>
      <c r="S2140" s="26"/>
    </row>
    <row r="2141" spans="1:19">
      <c r="A2141" s="24"/>
      <c r="B2141" s="25" t="s">
        <v>214</v>
      </c>
      <c r="C2141" s="26" t="s">
        <v>8</v>
      </c>
      <c r="D2141" s="351">
        <v>1</v>
      </c>
      <c r="E2141" s="25"/>
      <c r="F2141" s="351">
        <v>1</v>
      </c>
      <c r="G2141" s="26"/>
      <c r="H2141" s="26"/>
      <c r="I2141" s="26"/>
      <c r="J2141" s="26"/>
      <c r="K2141" s="26"/>
      <c r="L2141" s="26"/>
      <c r="M2141" s="26"/>
      <c r="N2141" s="26"/>
      <c r="O2141" s="26"/>
      <c r="P2141" s="26"/>
      <c r="Q2141" s="66"/>
      <c r="R2141" s="66"/>
      <c r="S2141" s="26"/>
    </row>
    <row r="2142" spans="1:19">
      <c r="A2142" s="24"/>
      <c r="B2142" s="25" t="s">
        <v>24</v>
      </c>
      <c r="C2142" s="26" t="s">
        <v>8</v>
      </c>
      <c r="D2142" s="351">
        <v>3</v>
      </c>
      <c r="E2142" s="25"/>
      <c r="F2142" s="351">
        <v>3</v>
      </c>
      <c r="G2142" s="26"/>
      <c r="H2142" s="26"/>
      <c r="I2142" s="26"/>
      <c r="J2142" s="26"/>
      <c r="K2142" s="26"/>
      <c r="L2142" s="26"/>
      <c r="M2142" s="26"/>
      <c r="N2142" s="26"/>
      <c r="O2142" s="26"/>
      <c r="P2142" s="26"/>
      <c r="Q2142" s="66"/>
      <c r="R2142" s="66"/>
      <c r="S2142" s="26"/>
    </row>
    <row r="2143" spans="1:19">
      <c r="A2143" s="24"/>
      <c r="B2143" s="25" t="s">
        <v>164</v>
      </c>
      <c r="C2143" s="26"/>
      <c r="D2143" s="351"/>
      <c r="E2143" s="25"/>
      <c r="F2143" s="351"/>
      <c r="G2143" s="26"/>
      <c r="H2143" s="26"/>
      <c r="I2143" s="26"/>
      <c r="J2143" s="26"/>
      <c r="K2143" s="26"/>
      <c r="L2143" s="26"/>
      <c r="M2143" s="26"/>
      <c r="N2143" s="26"/>
      <c r="O2143" s="26"/>
      <c r="P2143" s="26"/>
      <c r="Q2143" s="66"/>
      <c r="R2143" s="66"/>
      <c r="S2143" s="26"/>
    </row>
    <row r="2144" spans="1:19">
      <c r="A2144" s="24"/>
      <c r="B2144" s="25" t="s">
        <v>301</v>
      </c>
      <c r="C2144" s="26" t="s">
        <v>8</v>
      </c>
      <c r="D2144" s="351">
        <v>5</v>
      </c>
      <c r="E2144" s="25"/>
      <c r="F2144" s="351">
        <v>5</v>
      </c>
      <c r="G2144" s="26"/>
      <c r="H2144" s="26"/>
      <c r="I2144" s="26"/>
      <c r="J2144" s="26"/>
      <c r="K2144" s="26"/>
      <c r="L2144" s="26"/>
      <c r="M2144" s="26"/>
      <c r="N2144" s="26"/>
      <c r="O2144" s="26"/>
      <c r="P2144" s="26"/>
      <c r="Q2144" s="66"/>
      <c r="R2144" s="66"/>
      <c r="S2144" s="26"/>
    </row>
    <row r="2145" spans="1:19">
      <c r="A2145" s="24"/>
      <c r="B2145" s="25" t="s">
        <v>168</v>
      </c>
      <c r="C2145" s="26" t="s">
        <v>8</v>
      </c>
      <c r="D2145" s="351">
        <v>1</v>
      </c>
      <c r="E2145" s="25"/>
      <c r="F2145" s="351">
        <v>1</v>
      </c>
      <c r="G2145" s="26"/>
      <c r="H2145" s="26"/>
      <c r="I2145" s="26"/>
      <c r="J2145" s="26"/>
      <c r="K2145" s="26"/>
      <c r="L2145" s="26"/>
      <c r="M2145" s="26"/>
      <c r="N2145" s="26"/>
      <c r="O2145" s="26"/>
      <c r="P2145" s="26"/>
      <c r="Q2145" s="66"/>
      <c r="R2145" s="66"/>
      <c r="S2145" s="26"/>
    </row>
    <row r="2146" spans="1:19">
      <c r="A2146" s="24"/>
      <c r="B2146" s="25" t="s">
        <v>255</v>
      </c>
      <c r="C2146" s="26" t="s">
        <v>8</v>
      </c>
      <c r="D2146" s="351">
        <v>10</v>
      </c>
      <c r="E2146" s="25"/>
      <c r="F2146" s="351">
        <v>10</v>
      </c>
      <c r="G2146" s="26"/>
      <c r="H2146" s="26"/>
      <c r="I2146" s="26"/>
      <c r="J2146" s="26"/>
      <c r="K2146" s="26"/>
      <c r="L2146" s="26"/>
      <c r="M2146" s="26"/>
      <c r="N2146" s="26"/>
      <c r="O2146" s="26"/>
      <c r="P2146" s="26"/>
      <c r="Q2146" s="66"/>
      <c r="R2146" s="66"/>
      <c r="S2146" s="26"/>
    </row>
    <row r="2147" spans="1:19">
      <c r="A2147" s="24"/>
      <c r="B2147" s="25" t="s">
        <v>460</v>
      </c>
      <c r="C2147" s="26" t="s">
        <v>8</v>
      </c>
      <c r="D2147" s="351">
        <v>10</v>
      </c>
      <c r="E2147" s="25"/>
      <c r="F2147" s="351">
        <v>10</v>
      </c>
      <c r="G2147" s="26"/>
      <c r="H2147" s="26"/>
      <c r="I2147" s="26"/>
      <c r="J2147" s="26"/>
      <c r="K2147" s="26"/>
      <c r="L2147" s="26"/>
      <c r="M2147" s="26"/>
      <c r="N2147" s="26"/>
      <c r="O2147" s="26"/>
      <c r="P2147" s="26"/>
      <c r="Q2147" s="66"/>
      <c r="R2147" s="66"/>
      <c r="S2147" s="26"/>
    </row>
    <row r="2148" spans="1:19">
      <c r="A2148" s="24"/>
      <c r="B2148" s="25" t="s">
        <v>297</v>
      </c>
      <c r="C2148" s="26" t="s">
        <v>17</v>
      </c>
      <c r="D2148" s="351">
        <v>1</v>
      </c>
      <c r="E2148" s="25"/>
      <c r="F2148" s="351">
        <v>1</v>
      </c>
      <c r="G2148" s="26"/>
      <c r="H2148" s="26"/>
      <c r="I2148" s="26"/>
      <c r="J2148" s="26"/>
      <c r="K2148" s="26"/>
      <c r="L2148" s="26"/>
      <c r="M2148" s="26"/>
      <c r="N2148" s="26"/>
      <c r="O2148" s="26"/>
      <c r="P2148" s="26"/>
      <c r="Q2148" s="66"/>
      <c r="R2148" s="66"/>
      <c r="S2148" s="26"/>
    </row>
    <row r="2149" spans="1:19" ht="30">
      <c r="A2149" s="24"/>
      <c r="B2149" s="25" t="s">
        <v>176</v>
      </c>
      <c r="C2149" s="26" t="s">
        <v>78</v>
      </c>
      <c r="D2149" s="351">
        <v>1</v>
      </c>
      <c r="E2149" s="25"/>
      <c r="F2149" s="351">
        <v>1</v>
      </c>
      <c r="G2149" s="26"/>
      <c r="H2149" s="26"/>
      <c r="I2149" s="26"/>
      <c r="J2149" s="26"/>
      <c r="K2149" s="26"/>
      <c r="L2149" s="26"/>
      <c r="M2149" s="26"/>
      <c r="N2149" s="26"/>
      <c r="O2149" s="26"/>
      <c r="P2149" s="26"/>
      <c r="Q2149" s="66"/>
      <c r="R2149" s="66"/>
      <c r="S2149" s="26"/>
    </row>
    <row r="2150" spans="1:19" ht="60">
      <c r="A2150" s="24">
        <v>87</v>
      </c>
      <c r="B2150" s="25" t="s">
        <v>461</v>
      </c>
      <c r="C2150" s="26" t="s">
        <v>7</v>
      </c>
      <c r="D2150" s="351">
        <v>5</v>
      </c>
      <c r="E2150" s="25"/>
      <c r="F2150" s="351">
        <v>5</v>
      </c>
      <c r="G2150" s="26" t="s">
        <v>2326</v>
      </c>
      <c r="H2150" s="26"/>
      <c r="I2150" s="26" t="s">
        <v>2327</v>
      </c>
      <c r="J2150" s="26" t="s">
        <v>2328</v>
      </c>
      <c r="K2150" s="311">
        <v>61587719.819999993</v>
      </c>
      <c r="L2150" s="311">
        <v>0</v>
      </c>
      <c r="M2150" s="311">
        <v>4068000.0000000014</v>
      </c>
      <c r="N2150" s="311">
        <v>6580981.8000000007</v>
      </c>
      <c r="O2150" s="311">
        <v>4606687.2600000007</v>
      </c>
      <c r="P2150" s="68">
        <f>SUM(K2150:O2150)</f>
        <v>76843388.879999995</v>
      </c>
      <c r="Q2150" s="68">
        <f>D2150*P2150</f>
        <v>384216944.39999998</v>
      </c>
      <c r="R2150" s="127">
        <f>F2150*P2150</f>
        <v>384216944.39999998</v>
      </c>
      <c r="S2150" s="26"/>
    </row>
    <row r="2151" spans="1:19" ht="30">
      <c r="A2151" s="24"/>
      <c r="B2151" s="25" t="s">
        <v>283</v>
      </c>
      <c r="C2151" s="26" t="s">
        <v>8</v>
      </c>
      <c r="D2151" s="351">
        <v>1</v>
      </c>
      <c r="E2151" s="25"/>
      <c r="F2151" s="351">
        <v>1</v>
      </c>
      <c r="G2151" s="26"/>
      <c r="H2151" s="26"/>
      <c r="I2151" s="26"/>
      <c r="J2151" s="26"/>
      <c r="K2151" s="26"/>
      <c r="L2151" s="26"/>
      <c r="M2151" s="26"/>
      <c r="N2151" s="26"/>
      <c r="O2151" s="26"/>
      <c r="P2151" s="26"/>
      <c r="Q2151" s="66"/>
      <c r="R2151" s="66"/>
      <c r="S2151" s="26"/>
    </row>
    <row r="2152" spans="1:19">
      <c r="A2152" s="24"/>
      <c r="B2152" s="25" t="s">
        <v>161</v>
      </c>
      <c r="C2152" s="26"/>
      <c r="D2152" s="351"/>
      <c r="E2152" s="25"/>
      <c r="F2152" s="351"/>
      <c r="G2152" s="26"/>
      <c r="H2152" s="26"/>
      <c r="I2152" s="26"/>
      <c r="J2152" s="26"/>
      <c r="K2152" s="26"/>
      <c r="L2152" s="26"/>
      <c r="M2152" s="26"/>
      <c r="N2152" s="26"/>
      <c r="O2152" s="26"/>
      <c r="P2152" s="26"/>
      <c r="Q2152" s="66"/>
      <c r="R2152" s="66"/>
      <c r="S2152" s="26"/>
    </row>
    <row r="2153" spans="1:19">
      <c r="A2153" s="24"/>
      <c r="B2153" s="25" t="s">
        <v>284</v>
      </c>
      <c r="C2153" s="26" t="s">
        <v>8</v>
      </c>
      <c r="D2153" s="351">
        <v>1</v>
      </c>
      <c r="E2153" s="25"/>
      <c r="F2153" s="351">
        <v>1</v>
      </c>
      <c r="G2153" s="26"/>
      <c r="H2153" s="26"/>
      <c r="I2153" s="26"/>
      <c r="J2153" s="26"/>
      <c r="K2153" s="26"/>
      <c r="L2153" s="26"/>
      <c r="M2153" s="26"/>
      <c r="N2153" s="26"/>
      <c r="O2153" s="26"/>
      <c r="P2153" s="26"/>
      <c r="Q2153" s="66"/>
      <c r="R2153" s="66"/>
      <c r="S2153" s="26"/>
    </row>
    <row r="2154" spans="1:19">
      <c r="A2154" s="24"/>
      <c r="B2154" s="25" t="s">
        <v>24</v>
      </c>
      <c r="C2154" s="26" t="s">
        <v>8</v>
      </c>
      <c r="D2154" s="351">
        <v>3</v>
      </c>
      <c r="E2154" s="25"/>
      <c r="F2154" s="351">
        <v>3</v>
      </c>
      <c r="G2154" s="26"/>
      <c r="H2154" s="26"/>
      <c r="I2154" s="26"/>
      <c r="J2154" s="26"/>
      <c r="K2154" s="26"/>
      <c r="L2154" s="26"/>
      <c r="M2154" s="26"/>
      <c r="N2154" s="26"/>
      <c r="O2154" s="26"/>
      <c r="P2154" s="26"/>
      <c r="Q2154" s="66"/>
      <c r="R2154" s="66"/>
      <c r="S2154" s="26"/>
    </row>
    <row r="2155" spans="1:19">
      <c r="A2155" s="24"/>
      <c r="B2155" s="25" t="s">
        <v>164</v>
      </c>
      <c r="C2155" s="26"/>
      <c r="D2155" s="351"/>
      <c r="E2155" s="25"/>
      <c r="F2155" s="351"/>
      <c r="G2155" s="26"/>
      <c r="H2155" s="26"/>
      <c r="I2155" s="26"/>
      <c r="J2155" s="26"/>
      <c r="K2155" s="26"/>
      <c r="L2155" s="26"/>
      <c r="M2155" s="26"/>
      <c r="N2155" s="26"/>
      <c r="O2155" s="26"/>
      <c r="P2155" s="26"/>
      <c r="Q2155" s="66"/>
      <c r="R2155" s="66"/>
      <c r="S2155" s="26"/>
    </row>
    <row r="2156" spans="1:19">
      <c r="A2156" s="24"/>
      <c r="B2156" s="25" t="s">
        <v>286</v>
      </c>
      <c r="C2156" s="26" t="s">
        <v>8</v>
      </c>
      <c r="D2156" s="351">
        <v>1</v>
      </c>
      <c r="E2156" s="25"/>
      <c r="F2156" s="351">
        <v>1</v>
      </c>
      <c r="G2156" s="26"/>
      <c r="H2156" s="26"/>
      <c r="I2156" s="26"/>
      <c r="J2156" s="26"/>
      <c r="K2156" s="26"/>
      <c r="L2156" s="26"/>
      <c r="M2156" s="26"/>
      <c r="N2156" s="26"/>
      <c r="O2156" s="26"/>
      <c r="P2156" s="26"/>
      <c r="Q2156" s="66"/>
      <c r="R2156" s="66"/>
      <c r="S2156" s="26"/>
    </row>
    <row r="2157" spans="1:19">
      <c r="A2157" s="24"/>
      <c r="B2157" s="25" t="s">
        <v>281</v>
      </c>
      <c r="C2157" s="26" t="s">
        <v>8</v>
      </c>
      <c r="D2157" s="351">
        <v>16</v>
      </c>
      <c r="E2157" s="25"/>
      <c r="F2157" s="351">
        <v>16</v>
      </c>
      <c r="G2157" s="26"/>
      <c r="H2157" s="26"/>
      <c r="I2157" s="26"/>
      <c r="J2157" s="26"/>
      <c r="K2157" s="26"/>
      <c r="L2157" s="26"/>
      <c r="M2157" s="26"/>
      <c r="N2157" s="26"/>
      <c r="O2157" s="26"/>
      <c r="P2157" s="26"/>
      <c r="Q2157" s="66"/>
      <c r="R2157" s="66"/>
      <c r="S2157" s="26"/>
    </row>
    <row r="2158" spans="1:19">
      <c r="A2158" s="24"/>
      <c r="B2158" s="25" t="s">
        <v>168</v>
      </c>
      <c r="C2158" s="26" t="s">
        <v>8</v>
      </c>
      <c r="D2158" s="351">
        <v>1</v>
      </c>
      <c r="E2158" s="25"/>
      <c r="F2158" s="351">
        <v>1</v>
      </c>
      <c r="G2158" s="26"/>
      <c r="H2158" s="26"/>
      <c r="I2158" s="26"/>
      <c r="J2158" s="26"/>
      <c r="K2158" s="26"/>
      <c r="L2158" s="26"/>
      <c r="M2158" s="26"/>
      <c r="N2158" s="26"/>
      <c r="O2158" s="26"/>
      <c r="P2158" s="26"/>
      <c r="Q2158" s="66"/>
      <c r="R2158" s="66"/>
      <c r="S2158" s="26"/>
    </row>
    <row r="2159" spans="1:19">
      <c r="A2159" s="24"/>
      <c r="B2159" s="25" t="s">
        <v>288</v>
      </c>
      <c r="C2159" s="26" t="s">
        <v>8</v>
      </c>
      <c r="D2159" s="351">
        <v>2</v>
      </c>
      <c r="E2159" s="25"/>
      <c r="F2159" s="351">
        <v>2</v>
      </c>
      <c r="G2159" s="26"/>
      <c r="H2159" s="26"/>
      <c r="I2159" s="26"/>
      <c r="J2159" s="26"/>
      <c r="K2159" s="26"/>
      <c r="L2159" s="26"/>
      <c r="M2159" s="26"/>
      <c r="N2159" s="26"/>
      <c r="O2159" s="26"/>
      <c r="P2159" s="26"/>
      <c r="Q2159" s="66"/>
      <c r="R2159" s="66"/>
      <c r="S2159" s="26"/>
    </row>
    <row r="2160" spans="1:19">
      <c r="A2160" s="24"/>
      <c r="B2160" s="25" t="s">
        <v>294</v>
      </c>
      <c r="C2160" s="26" t="s">
        <v>8</v>
      </c>
      <c r="D2160" s="351">
        <v>32</v>
      </c>
      <c r="E2160" s="25"/>
      <c r="F2160" s="351">
        <v>32</v>
      </c>
      <c r="G2160" s="26"/>
      <c r="H2160" s="26"/>
      <c r="I2160" s="26"/>
      <c r="J2160" s="26"/>
      <c r="K2160" s="26"/>
      <c r="L2160" s="26"/>
      <c r="M2160" s="26"/>
      <c r="N2160" s="26"/>
      <c r="O2160" s="26"/>
      <c r="P2160" s="26"/>
      <c r="Q2160" s="66"/>
      <c r="R2160" s="66"/>
      <c r="S2160" s="26"/>
    </row>
    <row r="2161" spans="1:19">
      <c r="A2161" s="24"/>
      <c r="B2161" s="25" t="s">
        <v>296</v>
      </c>
      <c r="C2161" s="26" t="s">
        <v>8</v>
      </c>
      <c r="D2161" s="351">
        <v>16</v>
      </c>
      <c r="E2161" s="25"/>
      <c r="F2161" s="351">
        <v>16</v>
      </c>
      <c r="G2161" s="26"/>
      <c r="H2161" s="26"/>
      <c r="I2161" s="26"/>
      <c r="J2161" s="26"/>
      <c r="K2161" s="26"/>
      <c r="L2161" s="26"/>
      <c r="M2161" s="26"/>
      <c r="N2161" s="26"/>
      <c r="O2161" s="26"/>
      <c r="P2161" s="26"/>
      <c r="Q2161" s="66"/>
      <c r="R2161" s="66"/>
      <c r="S2161" s="26"/>
    </row>
    <row r="2162" spans="1:19">
      <c r="A2162" s="24"/>
      <c r="B2162" s="25" t="s">
        <v>290</v>
      </c>
      <c r="C2162" s="26" t="s">
        <v>8</v>
      </c>
      <c r="D2162" s="351">
        <v>1</v>
      </c>
      <c r="E2162" s="25"/>
      <c r="F2162" s="351">
        <v>1</v>
      </c>
      <c r="G2162" s="26"/>
      <c r="H2162" s="26"/>
      <c r="I2162" s="26"/>
      <c r="J2162" s="26"/>
      <c r="K2162" s="26"/>
      <c r="L2162" s="26"/>
      <c r="M2162" s="26"/>
      <c r="N2162" s="26"/>
      <c r="O2162" s="26"/>
      <c r="P2162" s="26"/>
      <c r="Q2162" s="66"/>
      <c r="R2162" s="66"/>
      <c r="S2162" s="26"/>
    </row>
    <row r="2163" spans="1:19">
      <c r="A2163" s="24"/>
      <c r="B2163" s="25" t="s">
        <v>291</v>
      </c>
      <c r="C2163" s="26" t="s">
        <v>17</v>
      </c>
      <c r="D2163" s="351">
        <v>1</v>
      </c>
      <c r="E2163" s="25"/>
      <c r="F2163" s="351">
        <v>1</v>
      </c>
      <c r="G2163" s="26"/>
      <c r="H2163" s="26"/>
      <c r="I2163" s="26"/>
      <c r="J2163" s="26"/>
      <c r="K2163" s="26"/>
      <c r="L2163" s="26"/>
      <c r="M2163" s="26"/>
      <c r="N2163" s="26"/>
      <c r="O2163" s="26"/>
      <c r="P2163" s="26"/>
      <c r="Q2163" s="66"/>
      <c r="R2163" s="66"/>
      <c r="S2163" s="26"/>
    </row>
    <row r="2164" spans="1:19" ht="30">
      <c r="A2164" s="24"/>
      <c r="B2164" s="25" t="s">
        <v>176</v>
      </c>
      <c r="C2164" s="26" t="s">
        <v>78</v>
      </c>
      <c r="D2164" s="351">
        <v>1</v>
      </c>
      <c r="E2164" s="25"/>
      <c r="F2164" s="351">
        <v>1</v>
      </c>
      <c r="G2164" s="26"/>
      <c r="H2164" s="26"/>
      <c r="I2164" s="26"/>
      <c r="J2164" s="26"/>
      <c r="K2164" s="26"/>
      <c r="L2164" s="26"/>
      <c r="M2164" s="26"/>
      <c r="N2164" s="26"/>
      <c r="O2164" s="26"/>
      <c r="P2164" s="26"/>
      <c r="Q2164" s="66"/>
      <c r="R2164" s="66"/>
      <c r="S2164" s="26"/>
    </row>
    <row r="2165" spans="1:19" ht="60">
      <c r="A2165" s="24">
        <v>88</v>
      </c>
      <c r="B2165" s="25" t="s">
        <v>462</v>
      </c>
      <c r="C2165" s="26" t="s">
        <v>7</v>
      </c>
      <c r="D2165" s="351">
        <v>5</v>
      </c>
      <c r="E2165" s="25"/>
      <c r="F2165" s="351">
        <v>5</v>
      </c>
      <c r="G2165" s="26" t="s">
        <v>2326</v>
      </c>
      <c r="H2165" s="26"/>
      <c r="I2165" s="26" t="s">
        <v>2327</v>
      </c>
      <c r="J2165" s="26" t="s">
        <v>2328</v>
      </c>
      <c r="K2165" s="311">
        <v>29523846.329999998</v>
      </c>
      <c r="L2165" s="311">
        <v>0</v>
      </c>
      <c r="M2165" s="311">
        <v>2034000.0000000007</v>
      </c>
      <c r="N2165" s="311">
        <v>3162206.7</v>
      </c>
      <c r="O2165" s="311">
        <v>2213544.6900000004</v>
      </c>
      <c r="P2165" s="68">
        <f>SUM(K2165:O2165)</f>
        <v>36933597.719999999</v>
      </c>
      <c r="Q2165" s="68">
        <f>D2165*P2165</f>
        <v>184667988.59999999</v>
      </c>
      <c r="R2165" s="127">
        <f>F2165*P2165</f>
        <v>184667988.59999999</v>
      </c>
      <c r="S2165" s="26"/>
    </row>
    <row r="2166" spans="1:19" ht="30">
      <c r="A2166" s="24"/>
      <c r="B2166" s="25" t="s">
        <v>283</v>
      </c>
      <c r="C2166" s="26" t="s">
        <v>8</v>
      </c>
      <c r="D2166" s="351">
        <v>1</v>
      </c>
      <c r="E2166" s="25"/>
      <c r="F2166" s="351">
        <v>1</v>
      </c>
      <c r="G2166" s="26"/>
      <c r="H2166" s="26"/>
      <c r="I2166" s="26"/>
      <c r="J2166" s="26"/>
      <c r="K2166" s="26"/>
      <c r="L2166" s="26"/>
      <c r="M2166" s="26"/>
      <c r="N2166" s="26"/>
      <c r="O2166" s="26"/>
      <c r="P2166" s="26"/>
      <c r="Q2166" s="66"/>
      <c r="R2166" s="66"/>
      <c r="S2166" s="26"/>
    </row>
    <row r="2167" spans="1:19">
      <c r="A2167" s="24"/>
      <c r="B2167" s="25" t="s">
        <v>296</v>
      </c>
      <c r="C2167" s="26" t="s">
        <v>8</v>
      </c>
      <c r="D2167" s="351">
        <v>16</v>
      </c>
      <c r="E2167" s="25"/>
      <c r="F2167" s="351">
        <v>16</v>
      </c>
      <c r="G2167" s="26"/>
      <c r="H2167" s="26"/>
      <c r="I2167" s="26"/>
      <c r="J2167" s="26"/>
      <c r="K2167" s="26"/>
      <c r="L2167" s="26"/>
      <c r="M2167" s="26"/>
      <c r="N2167" s="26"/>
      <c r="O2167" s="26"/>
      <c r="P2167" s="26"/>
      <c r="Q2167" s="66"/>
      <c r="R2167" s="66"/>
      <c r="S2167" s="26"/>
    </row>
    <row r="2168" spans="1:19">
      <c r="A2168" s="24"/>
      <c r="B2168" s="25" t="s">
        <v>290</v>
      </c>
      <c r="C2168" s="26" t="s">
        <v>8</v>
      </c>
      <c r="D2168" s="351">
        <v>1</v>
      </c>
      <c r="E2168" s="25"/>
      <c r="F2168" s="351">
        <v>1</v>
      </c>
      <c r="G2168" s="26"/>
      <c r="H2168" s="26"/>
      <c r="I2168" s="26"/>
      <c r="J2168" s="26"/>
      <c r="K2168" s="26"/>
      <c r="L2168" s="26"/>
      <c r="M2168" s="26"/>
      <c r="N2168" s="26"/>
      <c r="O2168" s="26"/>
      <c r="P2168" s="26"/>
      <c r="Q2168" s="66"/>
      <c r="R2168" s="66"/>
      <c r="S2168" s="26"/>
    </row>
    <row r="2169" spans="1:19" ht="60">
      <c r="A2169" s="24">
        <v>89</v>
      </c>
      <c r="B2169" s="25" t="s">
        <v>463</v>
      </c>
      <c r="C2169" s="26" t="s">
        <v>7</v>
      </c>
      <c r="D2169" s="351">
        <v>6</v>
      </c>
      <c r="E2169" s="25"/>
      <c r="F2169" s="351">
        <v>6</v>
      </c>
      <c r="G2169" s="26" t="s">
        <v>2326</v>
      </c>
      <c r="H2169" s="26"/>
      <c r="I2169" s="26" t="s">
        <v>2327</v>
      </c>
      <c r="J2169" s="26" t="s">
        <v>2328</v>
      </c>
      <c r="K2169" s="311">
        <v>61587719.819999993</v>
      </c>
      <c r="L2169" s="311">
        <v>0</v>
      </c>
      <c r="M2169" s="311">
        <v>4068000.0000000014</v>
      </c>
      <c r="N2169" s="311">
        <v>6580981.8000000007</v>
      </c>
      <c r="O2169" s="311">
        <v>4606687.2600000007</v>
      </c>
      <c r="P2169" s="68">
        <f>SUM(K2169:O2169)</f>
        <v>76843388.879999995</v>
      </c>
      <c r="Q2169" s="68">
        <f>D2169*P2169</f>
        <v>461060333.27999997</v>
      </c>
      <c r="R2169" s="127">
        <f>F2169*P2169</f>
        <v>461060333.27999997</v>
      </c>
      <c r="S2169" s="26"/>
    </row>
    <row r="2170" spans="1:19" ht="30">
      <c r="A2170" s="24"/>
      <c r="B2170" s="25" t="s">
        <v>283</v>
      </c>
      <c r="C2170" s="26" t="s">
        <v>8</v>
      </c>
      <c r="D2170" s="351">
        <v>1</v>
      </c>
      <c r="E2170" s="25"/>
      <c r="F2170" s="351">
        <v>1</v>
      </c>
      <c r="G2170" s="26"/>
      <c r="H2170" s="26"/>
      <c r="I2170" s="26"/>
      <c r="J2170" s="26"/>
      <c r="K2170" s="26"/>
      <c r="L2170" s="26"/>
      <c r="M2170" s="26"/>
      <c r="N2170" s="26"/>
      <c r="O2170" s="26"/>
      <c r="P2170" s="26"/>
      <c r="Q2170" s="66"/>
      <c r="R2170" s="66"/>
      <c r="S2170" s="26"/>
    </row>
    <row r="2171" spans="1:19">
      <c r="A2171" s="24"/>
      <c r="B2171" s="25" t="s">
        <v>161</v>
      </c>
      <c r="C2171" s="26"/>
      <c r="D2171" s="351"/>
      <c r="E2171" s="25"/>
      <c r="F2171" s="351"/>
      <c r="G2171" s="26"/>
      <c r="H2171" s="26"/>
      <c r="I2171" s="26"/>
      <c r="J2171" s="26"/>
      <c r="K2171" s="26"/>
      <c r="L2171" s="26"/>
      <c r="M2171" s="26"/>
      <c r="N2171" s="26"/>
      <c r="O2171" s="26"/>
      <c r="P2171" s="26"/>
      <c r="Q2171" s="66"/>
      <c r="R2171" s="66"/>
      <c r="S2171" s="26"/>
    </row>
    <row r="2172" spans="1:19">
      <c r="A2172" s="24"/>
      <c r="B2172" s="25" t="s">
        <v>284</v>
      </c>
      <c r="C2172" s="26" t="s">
        <v>8</v>
      </c>
      <c r="D2172" s="351">
        <v>1</v>
      </c>
      <c r="E2172" s="25"/>
      <c r="F2172" s="351">
        <v>1</v>
      </c>
      <c r="G2172" s="26"/>
      <c r="H2172" s="26"/>
      <c r="I2172" s="26"/>
      <c r="J2172" s="26"/>
      <c r="K2172" s="26"/>
      <c r="L2172" s="26"/>
      <c r="M2172" s="26"/>
      <c r="N2172" s="26"/>
      <c r="O2172" s="26"/>
      <c r="P2172" s="26"/>
      <c r="Q2172" s="66"/>
      <c r="R2172" s="66"/>
      <c r="S2172" s="26"/>
    </row>
    <row r="2173" spans="1:19">
      <c r="A2173" s="24"/>
      <c r="B2173" s="25" t="s">
        <v>24</v>
      </c>
      <c r="C2173" s="26" t="s">
        <v>8</v>
      </c>
      <c r="D2173" s="351">
        <v>3</v>
      </c>
      <c r="E2173" s="25"/>
      <c r="F2173" s="351">
        <v>3</v>
      </c>
      <c r="G2173" s="26"/>
      <c r="H2173" s="26"/>
      <c r="I2173" s="26"/>
      <c r="J2173" s="26"/>
      <c r="K2173" s="26"/>
      <c r="L2173" s="26"/>
      <c r="M2173" s="26"/>
      <c r="N2173" s="26"/>
      <c r="O2173" s="26"/>
      <c r="P2173" s="26"/>
      <c r="Q2173" s="66"/>
      <c r="R2173" s="66"/>
      <c r="S2173" s="26"/>
    </row>
    <row r="2174" spans="1:19">
      <c r="A2174" s="24"/>
      <c r="B2174" s="25" t="s">
        <v>164</v>
      </c>
      <c r="C2174" s="26"/>
      <c r="D2174" s="351"/>
      <c r="E2174" s="25"/>
      <c r="F2174" s="351"/>
      <c r="G2174" s="26"/>
      <c r="H2174" s="26"/>
      <c r="I2174" s="26"/>
      <c r="J2174" s="26"/>
      <c r="K2174" s="26"/>
      <c r="L2174" s="26"/>
      <c r="M2174" s="26"/>
      <c r="N2174" s="26"/>
      <c r="O2174" s="26"/>
      <c r="P2174" s="26"/>
      <c r="Q2174" s="66"/>
      <c r="R2174" s="66"/>
      <c r="S2174" s="26"/>
    </row>
    <row r="2175" spans="1:19">
      <c r="A2175" s="24"/>
      <c r="B2175" s="25" t="s">
        <v>286</v>
      </c>
      <c r="C2175" s="26" t="s">
        <v>8</v>
      </c>
      <c r="D2175" s="351">
        <v>1</v>
      </c>
      <c r="E2175" s="25"/>
      <c r="F2175" s="351">
        <v>1</v>
      </c>
      <c r="G2175" s="26"/>
      <c r="H2175" s="26"/>
      <c r="I2175" s="26"/>
      <c r="J2175" s="26"/>
      <c r="K2175" s="26"/>
      <c r="L2175" s="26"/>
      <c r="M2175" s="26"/>
      <c r="N2175" s="26"/>
      <c r="O2175" s="26"/>
      <c r="P2175" s="26"/>
      <c r="Q2175" s="66"/>
      <c r="R2175" s="66"/>
      <c r="S2175" s="26"/>
    </row>
    <row r="2176" spans="1:19">
      <c r="A2176" s="24"/>
      <c r="B2176" s="25" t="s">
        <v>281</v>
      </c>
      <c r="C2176" s="26" t="s">
        <v>8</v>
      </c>
      <c r="D2176" s="351">
        <v>16</v>
      </c>
      <c r="E2176" s="25"/>
      <c r="F2176" s="351">
        <v>16</v>
      </c>
      <c r="G2176" s="26"/>
      <c r="H2176" s="26"/>
      <c r="I2176" s="26"/>
      <c r="J2176" s="26"/>
      <c r="K2176" s="26"/>
      <c r="L2176" s="26"/>
      <c r="M2176" s="26"/>
      <c r="N2176" s="26"/>
      <c r="O2176" s="26"/>
      <c r="P2176" s="26"/>
      <c r="Q2176" s="66"/>
      <c r="R2176" s="66"/>
      <c r="S2176" s="26"/>
    </row>
    <row r="2177" spans="1:19">
      <c r="A2177" s="24"/>
      <c r="B2177" s="25" t="s">
        <v>168</v>
      </c>
      <c r="C2177" s="26" t="s">
        <v>8</v>
      </c>
      <c r="D2177" s="351">
        <v>1</v>
      </c>
      <c r="E2177" s="25"/>
      <c r="F2177" s="351">
        <v>1</v>
      </c>
      <c r="G2177" s="26"/>
      <c r="H2177" s="26"/>
      <c r="I2177" s="26"/>
      <c r="J2177" s="26"/>
      <c r="K2177" s="26"/>
      <c r="L2177" s="26"/>
      <c r="M2177" s="26"/>
      <c r="N2177" s="26"/>
      <c r="O2177" s="26"/>
      <c r="P2177" s="26"/>
      <c r="Q2177" s="66"/>
      <c r="R2177" s="66"/>
      <c r="S2177" s="26"/>
    </row>
    <row r="2178" spans="1:19">
      <c r="A2178" s="24"/>
      <c r="B2178" s="25" t="s">
        <v>288</v>
      </c>
      <c r="C2178" s="26" t="s">
        <v>8</v>
      </c>
      <c r="D2178" s="351">
        <v>2</v>
      </c>
      <c r="E2178" s="25"/>
      <c r="F2178" s="351">
        <v>2</v>
      </c>
      <c r="G2178" s="26"/>
      <c r="H2178" s="26"/>
      <c r="I2178" s="26"/>
      <c r="J2178" s="26"/>
      <c r="K2178" s="26"/>
      <c r="L2178" s="26"/>
      <c r="M2178" s="26"/>
      <c r="N2178" s="26"/>
      <c r="O2178" s="26"/>
      <c r="P2178" s="26"/>
      <c r="Q2178" s="66"/>
      <c r="R2178" s="66"/>
      <c r="S2178" s="26"/>
    </row>
    <row r="2179" spans="1:19">
      <c r="A2179" s="24"/>
      <c r="B2179" s="25" t="s">
        <v>294</v>
      </c>
      <c r="C2179" s="26" t="s">
        <v>8</v>
      </c>
      <c r="D2179" s="351">
        <v>32</v>
      </c>
      <c r="E2179" s="25"/>
      <c r="F2179" s="351">
        <v>32</v>
      </c>
      <c r="G2179" s="26"/>
      <c r="H2179" s="26"/>
      <c r="I2179" s="26"/>
      <c r="J2179" s="26"/>
      <c r="K2179" s="26"/>
      <c r="L2179" s="26"/>
      <c r="M2179" s="26"/>
      <c r="N2179" s="26"/>
      <c r="O2179" s="26"/>
      <c r="P2179" s="26"/>
      <c r="Q2179" s="66"/>
      <c r="R2179" s="66"/>
      <c r="S2179" s="26"/>
    </row>
    <row r="2180" spans="1:19">
      <c r="A2180" s="24"/>
      <c r="B2180" s="25" t="s">
        <v>296</v>
      </c>
      <c r="C2180" s="26" t="s">
        <v>8</v>
      </c>
      <c r="D2180" s="351">
        <v>16</v>
      </c>
      <c r="E2180" s="25"/>
      <c r="F2180" s="351">
        <v>16</v>
      </c>
      <c r="G2180" s="26"/>
      <c r="H2180" s="26"/>
      <c r="I2180" s="26"/>
      <c r="J2180" s="26"/>
      <c r="K2180" s="26"/>
      <c r="L2180" s="26"/>
      <c r="M2180" s="26"/>
      <c r="N2180" s="26"/>
      <c r="O2180" s="26"/>
      <c r="P2180" s="26"/>
      <c r="Q2180" s="66"/>
      <c r="R2180" s="66"/>
      <c r="S2180" s="26"/>
    </row>
    <row r="2181" spans="1:19">
      <c r="A2181" s="24"/>
      <c r="B2181" s="25" t="s">
        <v>290</v>
      </c>
      <c r="C2181" s="26" t="s">
        <v>8</v>
      </c>
      <c r="D2181" s="351">
        <v>1</v>
      </c>
      <c r="E2181" s="25"/>
      <c r="F2181" s="351">
        <v>1</v>
      </c>
      <c r="G2181" s="26"/>
      <c r="H2181" s="26"/>
      <c r="I2181" s="26"/>
      <c r="J2181" s="26"/>
      <c r="K2181" s="26"/>
      <c r="L2181" s="26"/>
      <c r="M2181" s="26"/>
      <c r="N2181" s="26"/>
      <c r="O2181" s="26"/>
      <c r="P2181" s="26"/>
      <c r="Q2181" s="66"/>
      <c r="R2181" s="66"/>
      <c r="S2181" s="26"/>
    </row>
    <row r="2182" spans="1:19">
      <c r="A2182" s="24"/>
      <c r="B2182" s="25" t="s">
        <v>291</v>
      </c>
      <c r="C2182" s="26" t="s">
        <v>17</v>
      </c>
      <c r="D2182" s="351">
        <v>1</v>
      </c>
      <c r="E2182" s="25"/>
      <c r="F2182" s="351">
        <v>1</v>
      </c>
      <c r="G2182" s="26"/>
      <c r="H2182" s="26"/>
      <c r="I2182" s="26"/>
      <c r="J2182" s="26"/>
      <c r="K2182" s="26"/>
      <c r="L2182" s="26"/>
      <c r="M2182" s="26"/>
      <c r="N2182" s="26"/>
      <c r="O2182" s="26"/>
      <c r="P2182" s="26"/>
      <c r="Q2182" s="66"/>
      <c r="R2182" s="66"/>
      <c r="S2182" s="26"/>
    </row>
    <row r="2183" spans="1:19" ht="30">
      <c r="A2183" s="24"/>
      <c r="B2183" s="25" t="s">
        <v>176</v>
      </c>
      <c r="C2183" s="26" t="s">
        <v>78</v>
      </c>
      <c r="D2183" s="351">
        <v>1</v>
      </c>
      <c r="E2183" s="25"/>
      <c r="F2183" s="351">
        <v>1</v>
      </c>
      <c r="G2183" s="26"/>
      <c r="H2183" s="26"/>
      <c r="I2183" s="26"/>
      <c r="J2183" s="26"/>
      <c r="K2183" s="26"/>
      <c r="L2183" s="26"/>
      <c r="M2183" s="26"/>
      <c r="N2183" s="26"/>
      <c r="O2183" s="26"/>
      <c r="P2183" s="26"/>
      <c r="Q2183" s="66"/>
      <c r="R2183" s="66"/>
      <c r="S2183" s="26"/>
    </row>
    <row r="2184" spans="1:19" ht="60">
      <c r="A2184" s="24">
        <v>90</v>
      </c>
      <c r="B2184" s="25" t="s">
        <v>464</v>
      </c>
      <c r="C2184" s="26" t="s">
        <v>7</v>
      </c>
      <c r="D2184" s="351">
        <v>6</v>
      </c>
      <c r="E2184" s="25"/>
      <c r="F2184" s="351">
        <v>6</v>
      </c>
      <c r="G2184" s="26" t="s">
        <v>2326</v>
      </c>
      <c r="H2184" s="26"/>
      <c r="I2184" s="26" t="s">
        <v>2327</v>
      </c>
      <c r="J2184" s="26" t="s">
        <v>2328</v>
      </c>
      <c r="K2184" s="311">
        <v>29523846.329999998</v>
      </c>
      <c r="L2184" s="311">
        <v>0</v>
      </c>
      <c r="M2184" s="311">
        <v>2034000.0000000007</v>
      </c>
      <c r="N2184" s="311">
        <v>3162206.7</v>
      </c>
      <c r="O2184" s="311">
        <v>2213544.6900000004</v>
      </c>
      <c r="P2184" s="68">
        <f>SUM(K2184:O2184)</f>
        <v>36933597.719999999</v>
      </c>
      <c r="Q2184" s="68">
        <f>D2184*P2184</f>
        <v>221601586.31999999</v>
      </c>
      <c r="R2184" s="127">
        <f>F2184*P2184</f>
        <v>221601586.31999999</v>
      </c>
      <c r="S2184" s="26"/>
    </row>
    <row r="2185" spans="1:19" ht="30">
      <c r="A2185" s="24"/>
      <c r="B2185" s="25" t="s">
        <v>283</v>
      </c>
      <c r="C2185" s="26" t="s">
        <v>8</v>
      </c>
      <c r="D2185" s="351">
        <v>1</v>
      </c>
      <c r="E2185" s="25"/>
      <c r="F2185" s="351">
        <v>1</v>
      </c>
      <c r="G2185" s="26"/>
      <c r="H2185" s="26"/>
      <c r="I2185" s="26"/>
      <c r="J2185" s="26"/>
      <c r="K2185" s="26"/>
      <c r="L2185" s="26"/>
      <c r="M2185" s="26"/>
      <c r="N2185" s="26"/>
      <c r="O2185" s="26"/>
      <c r="P2185" s="26"/>
      <c r="Q2185" s="66"/>
      <c r="R2185" s="66"/>
      <c r="S2185" s="26"/>
    </row>
    <row r="2186" spans="1:19">
      <c r="A2186" s="24"/>
      <c r="B2186" s="25" t="s">
        <v>296</v>
      </c>
      <c r="C2186" s="26" t="s">
        <v>8</v>
      </c>
      <c r="D2186" s="351">
        <v>16</v>
      </c>
      <c r="E2186" s="25"/>
      <c r="F2186" s="351">
        <v>16</v>
      </c>
      <c r="G2186" s="26"/>
      <c r="H2186" s="26"/>
      <c r="I2186" s="26"/>
      <c r="J2186" s="26"/>
      <c r="K2186" s="26"/>
      <c r="L2186" s="26"/>
      <c r="M2186" s="26"/>
      <c r="N2186" s="26"/>
      <c r="O2186" s="26"/>
      <c r="P2186" s="26"/>
      <c r="Q2186" s="66"/>
      <c r="R2186" s="66"/>
      <c r="S2186" s="26"/>
    </row>
    <row r="2187" spans="1:19">
      <c r="A2187" s="24"/>
      <c r="B2187" s="25" t="s">
        <v>290</v>
      </c>
      <c r="C2187" s="26" t="s">
        <v>8</v>
      </c>
      <c r="D2187" s="351">
        <v>1</v>
      </c>
      <c r="E2187" s="25"/>
      <c r="F2187" s="351">
        <v>1</v>
      </c>
      <c r="G2187" s="26"/>
      <c r="H2187" s="26"/>
      <c r="I2187" s="26"/>
      <c r="J2187" s="26"/>
      <c r="K2187" s="26"/>
      <c r="L2187" s="26"/>
      <c r="M2187" s="26"/>
      <c r="N2187" s="26"/>
      <c r="O2187" s="26"/>
      <c r="P2187" s="26"/>
      <c r="Q2187" s="66"/>
      <c r="R2187" s="66"/>
      <c r="S2187" s="26"/>
    </row>
    <row r="2188" spans="1:19" ht="60">
      <c r="A2188" s="24">
        <v>91</v>
      </c>
      <c r="B2188" s="25" t="s">
        <v>465</v>
      </c>
      <c r="C2188" s="26" t="s">
        <v>7</v>
      </c>
      <c r="D2188" s="351">
        <v>6</v>
      </c>
      <c r="E2188" s="25"/>
      <c r="F2188" s="351">
        <v>6</v>
      </c>
      <c r="G2188" s="26" t="s">
        <v>2326</v>
      </c>
      <c r="H2188" s="26"/>
      <c r="I2188" s="26" t="s">
        <v>2327</v>
      </c>
      <c r="J2188" s="26" t="s">
        <v>2328</v>
      </c>
      <c r="K2188" s="311">
        <v>61587719.819999993</v>
      </c>
      <c r="L2188" s="311">
        <v>0</v>
      </c>
      <c r="M2188" s="311">
        <v>4068000.0000000014</v>
      </c>
      <c r="N2188" s="311">
        <v>6580981.8000000007</v>
      </c>
      <c r="O2188" s="311">
        <v>4606687.2600000007</v>
      </c>
      <c r="P2188" s="68">
        <f>SUM(K2188:O2188)</f>
        <v>76843388.879999995</v>
      </c>
      <c r="Q2188" s="68">
        <f>D2188*P2188</f>
        <v>461060333.27999997</v>
      </c>
      <c r="R2188" s="127">
        <f>F2188*P2188</f>
        <v>461060333.27999997</v>
      </c>
      <c r="S2188" s="26"/>
    </row>
    <row r="2189" spans="1:19" ht="30">
      <c r="A2189" s="24"/>
      <c r="B2189" s="25" t="s">
        <v>283</v>
      </c>
      <c r="C2189" s="26" t="s">
        <v>8</v>
      </c>
      <c r="D2189" s="351">
        <v>1</v>
      </c>
      <c r="E2189" s="25"/>
      <c r="F2189" s="351">
        <v>1</v>
      </c>
      <c r="G2189" s="26"/>
      <c r="H2189" s="26"/>
      <c r="I2189" s="26"/>
      <c r="J2189" s="26"/>
      <c r="K2189" s="26"/>
      <c r="L2189" s="26"/>
      <c r="M2189" s="26"/>
      <c r="N2189" s="26"/>
      <c r="O2189" s="26"/>
      <c r="P2189" s="26"/>
      <c r="Q2189" s="66"/>
      <c r="R2189" s="66"/>
      <c r="S2189" s="26"/>
    </row>
    <row r="2190" spans="1:19">
      <c r="A2190" s="24"/>
      <c r="B2190" s="25" t="s">
        <v>161</v>
      </c>
      <c r="C2190" s="26"/>
      <c r="D2190" s="351"/>
      <c r="E2190" s="25"/>
      <c r="F2190" s="351"/>
      <c r="G2190" s="26"/>
      <c r="H2190" s="26"/>
      <c r="I2190" s="26"/>
      <c r="J2190" s="26"/>
      <c r="K2190" s="26"/>
      <c r="L2190" s="26"/>
      <c r="M2190" s="26"/>
      <c r="N2190" s="26"/>
      <c r="O2190" s="26"/>
      <c r="P2190" s="26"/>
      <c r="Q2190" s="66"/>
      <c r="R2190" s="66"/>
      <c r="S2190" s="26"/>
    </row>
    <row r="2191" spans="1:19">
      <c r="A2191" s="24"/>
      <c r="B2191" s="25" t="s">
        <v>284</v>
      </c>
      <c r="C2191" s="26" t="s">
        <v>8</v>
      </c>
      <c r="D2191" s="351">
        <v>1</v>
      </c>
      <c r="E2191" s="25"/>
      <c r="F2191" s="351">
        <v>1</v>
      </c>
      <c r="G2191" s="26"/>
      <c r="H2191" s="26"/>
      <c r="I2191" s="26"/>
      <c r="J2191" s="26"/>
      <c r="K2191" s="26"/>
      <c r="L2191" s="26"/>
      <c r="M2191" s="26"/>
      <c r="N2191" s="26"/>
      <c r="O2191" s="26"/>
      <c r="P2191" s="26"/>
      <c r="Q2191" s="66"/>
      <c r="R2191" s="66"/>
      <c r="S2191" s="26"/>
    </row>
    <row r="2192" spans="1:19">
      <c r="A2192" s="24"/>
      <c r="B2192" s="25" t="s">
        <v>24</v>
      </c>
      <c r="C2192" s="26" t="s">
        <v>8</v>
      </c>
      <c r="D2192" s="351">
        <v>3</v>
      </c>
      <c r="E2192" s="25"/>
      <c r="F2192" s="351">
        <v>3</v>
      </c>
      <c r="G2192" s="26"/>
      <c r="H2192" s="26"/>
      <c r="I2192" s="26"/>
      <c r="J2192" s="26"/>
      <c r="K2192" s="26"/>
      <c r="L2192" s="26"/>
      <c r="M2192" s="26"/>
      <c r="N2192" s="26"/>
      <c r="O2192" s="26"/>
      <c r="P2192" s="26"/>
      <c r="Q2192" s="66"/>
      <c r="R2192" s="66"/>
      <c r="S2192" s="26"/>
    </row>
    <row r="2193" spans="1:19">
      <c r="A2193" s="24"/>
      <c r="B2193" s="25" t="s">
        <v>164</v>
      </c>
      <c r="C2193" s="26"/>
      <c r="D2193" s="351"/>
      <c r="E2193" s="25"/>
      <c r="F2193" s="351"/>
      <c r="G2193" s="26"/>
      <c r="H2193" s="26"/>
      <c r="I2193" s="26"/>
      <c r="J2193" s="26"/>
      <c r="K2193" s="26"/>
      <c r="L2193" s="26"/>
      <c r="M2193" s="26"/>
      <c r="N2193" s="26"/>
      <c r="O2193" s="26"/>
      <c r="P2193" s="26"/>
      <c r="Q2193" s="66"/>
      <c r="R2193" s="66"/>
      <c r="S2193" s="26"/>
    </row>
    <row r="2194" spans="1:19">
      <c r="A2194" s="24"/>
      <c r="B2194" s="25" t="s">
        <v>286</v>
      </c>
      <c r="C2194" s="26" t="s">
        <v>8</v>
      </c>
      <c r="D2194" s="351">
        <v>1</v>
      </c>
      <c r="E2194" s="25"/>
      <c r="F2194" s="351">
        <v>1</v>
      </c>
      <c r="G2194" s="26"/>
      <c r="H2194" s="26"/>
      <c r="I2194" s="26"/>
      <c r="J2194" s="26"/>
      <c r="K2194" s="26"/>
      <c r="L2194" s="26"/>
      <c r="M2194" s="26"/>
      <c r="N2194" s="26"/>
      <c r="O2194" s="26"/>
      <c r="P2194" s="26"/>
      <c r="Q2194" s="66"/>
      <c r="R2194" s="66"/>
      <c r="S2194" s="26"/>
    </row>
    <row r="2195" spans="1:19">
      <c r="A2195" s="24"/>
      <c r="B2195" s="25" t="s">
        <v>281</v>
      </c>
      <c r="C2195" s="26" t="s">
        <v>8</v>
      </c>
      <c r="D2195" s="351">
        <v>16</v>
      </c>
      <c r="E2195" s="25"/>
      <c r="F2195" s="351">
        <v>16</v>
      </c>
      <c r="G2195" s="26"/>
      <c r="H2195" s="26"/>
      <c r="I2195" s="26"/>
      <c r="J2195" s="26"/>
      <c r="K2195" s="26"/>
      <c r="L2195" s="26"/>
      <c r="M2195" s="26"/>
      <c r="N2195" s="26"/>
      <c r="O2195" s="26"/>
      <c r="P2195" s="26"/>
      <c r="Q2195" s="66"/>
      <c r="R2195" s="66"/>
      <c r="S2195" s="26"/>
    </row>
    <row r="2196" spans="1:19">
      <c r="A2196" s="24"/>
      <c r="B2196" s="25" t="s">
        <v>168</v>
      </c>
      <c r="C2196" s="26" t="s">
        <v>8</v>
      </c>
      <c r="D2196" s="351">
        <v>1</v>
      </c>
      <c r="E2196" s="25"/>
      <c r="F2196" s="351">
        <v>1</v>
      </c>
      <c r="G2196" s="26"/>
      <c r="H2196" s="26"/>
      <c r="I2196" s="26"/>
      <c r="J2196" s="26"/>
      <c r="K2196" s="26"/>
      <c r="L2196" s="26"/>
      <c r="M2196" s="26"/>
      <c r="N2196" s="26"/>
      <c r="O2196" s="26"/>
      <c r="P2196" s="26"/>
      <c r="Q2196" s="66"/>
      <c r="R2196" s="66"/>
      <c r="S2196" s="26"/>
    </row>
    <row r="2197" spans="1:19">
      <c r="A2197" s="24"/>
      <c r="B2197" s="25" t="s">
        <v>288</v>
      </c>
      <c r="C2197" s="26" t="s">
        <v>8</v>
      </c>
      <c r="D2197" s="351">
        <v>2</v>
      </c>
      <c r="E2197" s="25"/>
      <c r="F2197" s="351">
        <v>2</v>
      </c>
      <c r="G2197" s="26"/>
      <c r="H2197" s="26"/>
      <c r="I2197" s="26"/>
      <c r="J2197" s="26"/>
      <c r="K2197" s="26"/>
      <c r="L2197" s="26"/>
      <c r="M2197" s="26"/>
      <c r="N2197" s="26"/>
      <c r="O2197" s="26"/>
      <c r="P2197" s="26"/>
      <c r="Q2197" s="66"/>
      <c r="R2197" s="66"/>
      <c r="S2197" s="26"/>
    </row>
    <row r="2198" spans="1:19">
      <c r="A2198" s="24"/>
      <c r="B2198" s="25" t="s">
        <v>294</v>
      </c>
      <c r="C2198" s="26" t="s">
        <v>8</v>
      </c>
      <c r="D2198" s="351">
        <v>32</v>
      </c>
      <c r="E2198" s="25"/>
      <c r="F2198" s="351">
        <v>32</v>
      </c>
      <c r="G2198" s="26"/>
      <c r="H2198" s="26"/>
      <c r="I2198" s="26"/>
      <c r="J2198" s="26"/>
      <c r="K2198" s="26"/>
      <c r="L2198" s="26"/>
      <c r="M2198" s="26"/>
      <c r="N2198" s="26"/>
      <c r="O2198" s="26"/>
      <c r="P2198" s="26"/>
      <c r="Q2198" s="66"/>
      <c r="R2198" s="66"/>
      <c r="S2198" s="26"/>
    </row>
    <row r="2199" spans="1:19">
      <c r="A2199" s="24"/>
      <c r="B2199" s="25" t="s">
        <v>296</v>
      </c>
      <c r="C2199" s="26" t="s">
        <v>8</v>
      </c>
      <c r="D2199" s="351">
        <v>16</v>
      </c>
      <c r="E2199" s="25"/>
      <c r="F2199" s="351">
        <v>16</v>
      </c>
      <c r="G2199" s="26"/>
      <c r="H2199" s="26"/>
      <c r="I2199" s="26"/>
      <c r="J2199" s="26"/>
      <c r="K2199" s="26"/>
      <c r="L2199" s="26"/>
      <c r="M2199" s="26"/>
      <c r="N2199" s="26"/>
      <c r="O2199" s="26"/>
      <c r="P2199" s="26"/>
      <c r="Q2199" s="66"/>
      <c r="R2199" s="66"/>
      <c r="S2199" s="26"/>
    </row>
    <row r="2200" spans="1:19">
      <c r="A2200" s="24"/>
      <c r="B2200" s="25" t="s">
        <v>290</v>
      </c>
      <c r="C2200" s="26" t="s">
        <v>8</v>
      </c>
      <c r="D2200" s="351">
        <v>1</v>
      </c>
      <c r="E2200" s="25"/>
      <c r="F2200" s="351">
        <v>1</v>
      </c>
      <c r="G2200" s="26"/>
      <c r="H2200" s="26"/>
      <c r="I2200" s="26"/>
      <c r="J2200" s="26"/>
      <c r="K2200" s="26"/>
      <c r="L2200" s="26"/>
      <c r="M2200" s="26"/>
      <c r="N2200" s="26"/>
      <c r="O2200" s="26"/>
      <c r="P2200" s="26"/>
      <c r="Q2200" s="66"/>
      <c r="R2200" s="66"/>
      <c r="S2200" s="26"/>
    </row>
    <row r="2201" spans="1:19">
      <c r="A2201" s="24"/>
      <c r="B2201" s="25" t="s">
        <v>291</v>
      </c>
      <c r="C2201" s="26" t="s">
        <v>17</v>
      </c>
      <c r="D2201" s="351">
        <v>1</v>
      </c>
      <c r="E2201" s="25"/>
      <c r="F2201" s="351">
        <v>1</v>
      </c>
      <c r="G2201" s="26"/>
      <c r="H2201" s="26"/>
      <c r="I2201" s="26"/>
      <c r="J2201" s="26"/>
      <c r="K2201" s="26"/>
      <c r="L2201" s="26"/>
      <c r="M2201" s="26"/>
      <c r="N2201" s="26"/>
      <c r="O2201" s="26"/>
      <c r="P2201" s="26"/>
      <c r="Q2201" s="66"/>
      <c r="R2201" s="66"/>
      <c r="S2201" s="26"/>
    </row>
    <row r="2202" spans="1:19" ht="30">
      <c r="A2202" s="24"/>
      <c r="B2202" s="25" t="s">
        <v>176</v>
      </c>
      <c r="C2202" s="26" t="s">
        <v>78</v>
      </c>
      <c r="D2202" s="351">
        <v>1</v>
      </c>
      <c r="E2202" s="25"/>
      <c r="F2202" s="351">
        <v>1</v>
      </c>
      <c r="G2202" s="26"/>
      <c r="H2202" s="26"/>
      <c r="I2202" s="26"/>
      <c r="J2202" s="26"/>
      <c r="K2202" s="26"/>
      <c r="L2202" s="26"/>
      <c r="M2202" s="26"/>
      <c r="N2202" s="26"/>
      <c r="O2202" s="26"/>
      <c r="P2202" s="26"/>
      <c r="Q2202" s="66"/>
      <c r="R2202" s="66"/>
      <c r="S2202" s="26"/>
    </row>
    <row r="2203" spans="1:19" ht="60">
      <c r="A2203" s="24">
        <v>92</v>
      </c>
      <c r="B2203" s="25" t="s">
        <v>466</v>
      </c>
      <c r="C2203" s="26" t="s">
        <v>7</v>
      </c>
      <c r="D2203" s="351">
        <v>6</v>
      </c>
      <c r="E2203" s="25"/>
      <c r="F2203" s="351">
        <v>6</v>
      </c>
      <c r="G2203" s="26" t="s">
        <v>2326</v>
      </c>
      <c r="H2203" s="26"/>
      <c r="I2203" s="26" t="s">
        <v>2327</v>
      </c>
      <c r="J2203" s="26" t="s">
        <v>2328</v>
      </c>
      <c r="K2203" s="311">
        <v>29523846.329999998</v>
      </c>
      <c r="L2203" s="311">
        <v>0</v>
      </c>
      <c r="M2203" s="311">
        <v>2034000.0000000007</v>
      </c>
      <c r="N2203" s="311">
        <v>3162206.7</v>
      </c>
      <c r="O2203" s="311">
        <v>2213544.6900000004</v>
      </c>
      <c r="P2203" s="68">
        <f>SUM(K2203:O2203)</f>
        <v>36933597.719999999</v>
      </c>
      <c r="Q2203" s="68">
        <f>D2203*P2203</f>
        <v>221601586.31999999</v>
      </c>
      <c r="R2203" s="127">
        <f>F2203*P2203</f>
        <v>221601586.31999999</v>
      </c>
      <c r="S2203" s="26"/>
    </row>
    <row r="2204" spans="1:19" ht="30">
      <c r="A2204" s="24"/>
      <c r="B2204" s="25" t="s">
        <v>283</v>
      </c>
      <c r="C2204" s="26" t="s">
        <v>8</v>
      </c>
      <c r="D2204" s="351">
        <v>1</v>
      </c>
      <c r="E2204" s="25"/>
      <c r="F2204" s="351">
        <v>1</v>
      </c>
      <c r="G2204" s="26"/>
      <c r="H2204" s="26"/>
      <c r="I2204" s="26"/>
      <c r="J2204" s="26"/>
      <c r="K2204" s="26"/>
      <c r="L2204" s="26"/>
      <c r="M2204" s="26"/>
      <c r="N2204" s="26"/>
      <c r="O2204" s="26"/>
      <c r="P2204" s="26"/>
      <c r="Q2204" s="66"/>
      <c r="R2204" s="66"/>
      <c r="S2204" s="26"/>
    </row>
    <row r="2205" spans="1:19">
      <c r="A2205" s="24"/>
      <c r="B2205" s="25" t="s">
        <v>296</v>
      </c>
      <c r="C2205" s="26" t="s">
        <v>8</v>
      </c>
      <c r="D2205" s="351">
        <v>16</v>
      </c>
      <c r="E2205" s="25"/>
      <c r="F2205" s="351">
        <v>16</v>
      </c>
      <c r="G2205" s="26"/>
      <c r="H2205" s="26"/>
      <c r="I2205" s="26"/>
      <c r="J2205" s="26"/>
      <c r="K2205" s="26"/>
      <c r="L2205" s="26"/>
      <c r="M2205" s="26"/>
      <c r="N2205" s="26"/>
      <c r="O2205" s="26"/>
      <c r="P2205" s="26"/>
      <c r="Q2205" s="66"/>
      <c r="R2205" s="66"/>
      <c r="S2205" s="26"/>
    </row>
    <row r="2206" spans="1:19">
      <c r="A2206" s="24"/>
      <c r="B2206" s="25" t="s">
        <v>290</v>
      </c>
      <c r="C2206" s="26" t="s">
        <v>8</v>
      </c>
      <c r="D2206" s="351">
        <v>1</v>
      </c>
      <c r="E2206" s="25"/>
      <c r="F2206" s="351">
        <v>1</v>
      </c>
      <c r="G2206" s="26"/>
      <c r="H2206" s="26"/>
      <c r="I2206" s="26"/>
      <c r="J2206" s="26"/>
      <c r="K2206" s="26"/>
      <c r="L2206" s="26"/>
      <c r="M2206" s="26"/>
      <c r="N2206" s="26"/>
      <c r="O2206" s="26"/>
      <c r="P2206" s="26"/>
      <c r="Q2206" s="66"/>
      <c r="R2206" s="66"/>
      <c r="S2206" s="26"/>
    </row>
    <row r="2207" spans="1:19" ht="60">
      <c r="A2207" s="24">
        <v>93</v>
      </c>
      <c r="B2207" s="25" t="s">
        <v>467</v>
      </c>
      <c r="C2207" s="26" t="s">
        <v>7</v>
      </c>
      <c r="D2207" s="351">
        <v>3</v>
      </c>
      <c r="E2207" s="25"/>
      <c r="F2207" s="351">
        <v>3</v>
      </c>
      <c r="G2207" s="26" t="s">
        <v>2326</v>
      </c>
      <c r="H2207" s="26"/>
      <c r="I2207" s="26" t="s">
        <v>2327</v>
      </c>
      <c r="J2207" s="26" t="s">
        <v>2328</v>
      </c>
      <c r="K2207" s="311">
        <v>6455820.6899999995</v>
      </c>
      <c r="L2207" s="311">
        <v>0</v>
      </c>
      <c r="M2207" s="311">
        <v>904000.00000000012</v>
      </c>
      <c r="N2207" s="311">
        <v>732103.10000000009</v>
      </c>
      <c r="O2207" s="311">
        <v>512472.17000000004</v>
      </c>
      <c r="P2207" s="68">
        <f>SUM(K2207:O2207)</f>
        <v>8604395.959999999</v>
      </c>
      <c r="Q2207" s="68">
        <f>D2207*P2207</f>
        <v>25813187.879999995</v>
      </c>
      <c r="R2207" s="127">
        <f>F2207*P2207</f>
        <v>25813187.879999995</v>
      </c>
      <c r="S2207" s="26"/>
    </row>
    <row r="2208" spans="1:19" ht="30">
      <c r="A2208" s="24"/>
      <c r="B2208" s="25" t="s">
        <v>468</v>
      </c>
      <c r="C2208" s="26" t="s">
        <v>8</v>
      </c>
      <c r="D2208" s="351">
        <v>1</v>
      </c>
      <c r="E2208" s="25"/>
      <c r="F2208" s="351">
        <v>1</v>
      </c>
      <c r="G2208" s="26"/>
      <c r="H2208" s="26"/>
      <c r="I2208" s="26"/>
      <c r="J2208" s="26"/>
      <c r="K2208" s="26"/>
      <c r="L2208" s="26"/>
      <c r="M2208" s="26"/>
      <c r="N2208" s="26"/>
      <c r="O2208" s="26"/>
      <c r="P2208" s="26"/>
      <c r="Q2208" s="66"/>
      <c r="R2208" s="66"/>
      <c r="S2208" s="26"/>
    </row>
    <row r="2209" spans="1:19">
      <c r="A2209" s="24"/>
      <c r="B2209" s="25" t="s">
        <v>161</v>
      </c>
      <c r="C2209" s="26"/>
      <c r="D2209" s="351"/>
      <c r="E2209" s="25"/>
      <c r="F2209" s="351"/>
      <c r="G2209" s="26"/>
      <c r="H2209" s="26"/>
      <c r="I2209" s="26"/>
      <c r="J2209" s="26"/>
      <c r="K2209" s="26"/>
      <c r="L2209" s="26"/>
      <c r="M2209" s="26"/>
      <c r="N2209" s="26"/>
      <c r="O2209" s="26"/>
      <c r="P2209" s="26"/>
      <c r="Q2209" s="66"/>
      <c r="R2209" s="66"/>
      <c r="S2209" s="26"/>
    </row>
    <row r="2210" spans="1:19">
      <c r="A2210" s="24"/>
      <c r="B2210" s="25" t="s">
        <v>193</v>
      </c>
      <c r="C2210" s="26" t="s">
        <v>8</v>
      </c>
      <c r="D2210" s="351">
        <v>1</v>
      </c>
      <c r="E2210" s="25"/>
      <c r="F2210" s="351">
        <v>1</v>
      </c>
      <c r="G2210" s="26"/>
      <c r="H2210" s="26"/>
      <c r="I2210" s="26"/>
      <c r="J2210" s="26"/>
      <c r="K2210" s="26"/>
      <c r="L2210" s="26"/>
      <c r="M2210" s="26"/>
      <c r="N2210" s="26"/>
      <c r="O2210" s="26"/>
      <c r="P2210" s="26"/>
      <c r="Q2210" s="66"/>
      <c r="R2210" s="66"/>
      <c r="S2210" s="26"/>
    </row>
    <row r="2211" spans="1:19">
      <c r="A2211" s="24"/>
      <c r="B2211" s="25" t="s">
        <v>54</v>
      </c>
      <c r="C2211" s="26" t="s">
        <v>20</v>
      </c>
      <c r="D2211" s="351">
        <v>3</v>
      </c>
      <c r="E2211" s="25"/>
      <c r="F2211" s="351">
        <v>3</v>
      </c>
      <c r="G2211" s="26"/>
      <c r="H2211" s="26"/>
      <c r="I2211" s="26"/>
      <c r="J2211" s="26"/>
      <c r="K2211" s="26"/>
      <c r="L2211" s="26"/>
      <c r="M2211" s="26"/>
      <c r="N2211" s="26"/>
      <c r="O2211" s="26"/>
      <c r="P2211" s="26"/>
      <c r="Q2211" s="66"/>
      <c r="R2211" s="66"/>
      <c r="S2211" s="26"/>
    </row>
    <row r="2212" spans="1:19">
      <c r="A2212" s="24"/>
      <c r="B2212" s="25" t="s">
        <v>21</v>
      </c>
      <c r="C2212" s="26" t="s">
        <v>8</v>
      </c>
      <c r="D2212" s="351">
        <v>1</v>
      </c>
      <c r="E2212" s="25"/>
      <c r="F2212" s="351">
        <v>1</v>
      </c>
      <c r="G2212" s="26"/>
      <c r="H2212" s="26"/>
      <c r="I2212" s="26"/>
      <c r="J2212" s="26"/>
      <c r="K2212" s="26"/>
      <c r="L2212" s="26"/>
      <c r="M2212" s="26"/>
      <c r="N2212" s="26"/>
      <c r="O2212" s="26"/>
      <c r="P2212" s="26"/>
      <c r="Q2212" s="66"/>
      <c r="R2212" s="66"/>
      <c r="S2212" s="26"/>
    </row>
    <row r="2213" spans="1:19">
      <c r="A2213" s="24"/>
      <c r="B2213" s="25" t="s">
        <v>22</v>
      </c>
      <c r="C2213" s="26" t="s">
        <v>8</v>
      </c>
      <c r="D2213" s="351">
        <v>1</v>
      </c>
      <c r="E2213" s="25"/>
      <c r="F2213" s="351">
        <v>1</v>
      </c>
      <c r="G2213" s="26"/>
      <c r="H2213" s="26"/>
      <c r="I2213" s="26"/>
      <c r="J2213" s="26"/>
      <c r="K2213" s="26"/>
      <c r="L2213" s="26"/>
      <c r="M2213" s="26"/>
      <c r="N2213" s="26"/>
      <c r="O2213" s="26"/>
      <c r="P2213" s="26"/>
      <c r="Q2213" s="66"/>
      <c r="R2213" s="66"/>
      <c r="S2213" s="26"/>
    </row>
    <row r="2214" spans="1:19">
      <c r="A2214" s="24"/>
      <c r="B2214" s="25" t="s">
        <v>194</v>
      </c>
      <c r="C2214" s="26" t="s">
        <v>8</v>
      </c>
      <c r="D2214" s="351">
        <v>3</v>
      </c>
      <c r="E2214" s="25"/>
      <c r="F2214" s="351">
        <v>3</v>
      </c>
      <c r="G2214" s="26"/>
      <c r="H2214" s="26"/>
      <c r="I2214" s="26"/>
      <c r="J2214" s="26"/>
      <c r="K2214" s="26"/>
      <c r="L2214" s="26"/>
      <c r="M2214" s="26"/>
      <c r="N2214" s="26"/>
      <c r="O2214" s="26"/>
      <c r="P2214" s="26"/>
      <c r="Q2214" s="66"/>
      <c r="R2214" s="66"/>
      <c r="S2214" s="26"/>
    </row>
    <row r="2215" spans="1:19">
      <c r="A2215" s="24"/>
      <c r="B2215" s="25" t="s">
        <v>24</v>
      </c>
      <c r="C2215" s="26" t="s">
        <v>8</v>
      </c>
      <c r="D2215" s="351">
        <v>3</v>
      </c>
      <c r="E2215" s="25"/>
      <c r="F2215" s="351">
        <v>3</v>
      </c>
      <c r="G2215" s="26"/>
      <c r="H2215" s="26"/>
      <c r="I2215" s="26"/>
      <c r="J2215" s="26"/>
      <c r="K2215" s="26"/>
      <c r="L2215" s="26"/>
      <c r="M2215" s="26"/>
      <c r="N2215" s="26"/>
      <c r="O2215" s="26"/>
      <c r="P2215" s="26"/>
      <c r="Q2215" s="66"/>
      <c r="R2215" s="66"/>
      <c r="S2215" s="26"/>
    </row>
    <row r="2216" spans="1:19">
      <c r="A2216" s="24"/>
      <c r="B2216" s="25" t="s">
        <v>164</v>
      </c>
      <c r="C2216" s="26"/>
      <c r="D2216" s="351"/>
      <c r="E2216" s="25"/>
      <c r="F2216" s="351"/>
      <c r="G2216" s="26"/>
      <c r="H2216" s="26"/>
      <c r="I2216" s="26"/>
      <c r="J2216" s="26"/>
      <c r="K2216" s="26"/>
      <c r="L2216" s="26"/>
      <c r="M2216" s="26"/>
      <c r="N2216" s="26"/>
      <c r="O2216" s="26"/>
      <c r="P2216" s="26"/>
      <c r="Q2216" s="66"/>
      <c r="R2216" s="66"/>
      <c r="S2216" s="26"/>
    </row>
    <row r="2217" spans="1:19">
      <c r="A2217" s="24"/>
      <c r="B2217" s="25" t="s">
        <v>277</v>
      </c>
      <c r="C2217" s="26" t="s">
        <v>17</v>
      </c>
      <c r="D2217" s="351">
        <v>1</v>
      </c>
      <c r="E2217" s="25"/>
      <c r="F2217" s="351">
        <v>1</v>
      </c>
      <c r="G2217" s="26"/>
      <c r="H2217" s="26"/>
      <c r="I2217" s="26"/>
      <c r="J2217" s="26"/>
      <c r="K2217" s="26"/>
      <c r="L2217" s="26"/>
      <c r="M2217" s="26"/>
      <c r="N2217" s="26"/>
      <c r="O2217" s="26"/>
      <c r="P2217" s="26"/>
      <c r="Q2217" s="66"/>
      <c r="R2217" s="66"/>
      <c r="S2217" s="26"/>
    </row>
    <row r="2218" spans="1:19" ht="30">
      <c r="A2218" s="24"/>
      <c r="B2218" s="25" t="s">
        <v>176</v>
      </c>
      <c r="C2218" s="26" t="s">
        <v>78</v>
      </c>
      <c r="D2218" s="351">
        <v>1</v>
      </c>
      <c r="E2218" s="25"/>
      <c r="F2218" s="351">
        <v>1</v>
      </c>
      <c r="G2218" s="26"/>
      <c r="H2218" s="26"/>
      <c r="I2218" s="26"/>
      <c r="J2218" s="26"/>
      <c r="K2218" s="26"/>
      <c r="L2218" s="26"/>
      <c r="M2218" s="26"/>
      <c r="N2218" s="26"/>
      <c r="O2218" s="26"/>
      <c r="P2218" s="26"/>
      <c r="Q2218" s="66"/>
      <c r="R2218" s="66"/>
      <c r="S2218" s="26"/>
    </row>
    <row r="2219" spans="1:19" ht="60">
      <c r="A2219" s="24">
        <v>94</v>
      </c>
      <c r="B2219" s="25" t="s">
        <v>469</v>
      </c>
      <c r="C2219" s="26" t="s">
        <v>7</v>
      </c>
      <c r="D2219" s="351">
        <v>2</v>
      </c>
      <c r="E2219" s="25"/>
      <c r="F2219" s="351">
        <v>2</v>
      </c>
      <c r="G2219" s="26" t="s">
        <v>2326</v>
      </c>
      <c r="H2219" s="26"/>
      <c r="I2219" s="26" t="s">
        <v>2327</v>
      </c>
      <c r="J2219" s="26" t="s">
        <v>2328</v>
      </c>
      <c r="K2219" s="311">
        <v>6636453.1199999992</v>
      </c>
      <c r="L2219" s="311">
        <v>0</v>
      </c>
      <c r="M2219" s="311">
        <v>904000.00000000012</v>
      </c>
      <c r="N2219" s="311">
        <v>750348.80000000005</v>
      </c>
      <c r="O2219" s="311">
        <v>525244.16000000003</v>
      </c>
      <c r="P2219" s="68">
        <f>SUM(K2219:O2219)</f>
        <v>8816046.0799999982</v>
      </c>
      <c r="Q2219" s="68">
        <f>D2219*P2219</f>
        <v>17632092.159999996</v>
      </c>
      <c r="R2219" s="127">
        <f>F2219*P2219</f>
        <v>17632092.159999996</v>
      </c>
      <c r="S2219" s="26"/>
    </row>
    <row r="2220" spans="1:19" ht="30">
      <c r="A2220" s="24"/>
      <c r="B2220" s="25" t="s">
        <v>468</v>
      </c>
      <c r="C2220" s="26" t="s">
        <v>8</v>
      </c>
      <c r="D2220" s="351">
        <v>1</v>
      </c>
      <c r="E2220" s="25"/>
      <c r="F2220" s="351">
        <v>1</v>
      </c>
      <c r="G2220" s="26"/>
      <c r="H2220" s="26"/>
      <c r="I2220" s="26"/>
      <c r="J2220" s="26"/>
      <c r="K2220" s="26"/>
      <c r="L2220" s="26"/>
      <c r="M2220" s="26"/>
      <c r="N2220" s="26"/>
      <c r="O2220" s="26"/>
      <c r="P2220" s="26"/>
      <c r="Q2220" s="66"/>
      <c r="R2220" s="66"/>
      <c r="S2220" s="26"/>
    </row>
    <row r="2221" spans="1:19">
      <c r="A2221" s="24"/>
      <c r="B2221" s="25" t="s">
        <v>161</v>
      </c>
      <c r="C2221" s="26"/>
      <c r="D2221" s="351"/>
      <c r="E2221" s="25"/>
      <c r="F2221" s="351"/>
      <c r="G2221" s="26"/>
      <c r="H2221" s="26"/>
      <c r="I2221" s="26"/>
      <c r="J2221" s="26"/>
      <c r="K2221" s="26"/>
      <c r="L2221" s="26"/>
      <c r="M2221" s="26"/>
      <c r="N2221" s="26"/>
      <c r="O2221" s="26"/>
      <c r="P2221" s="26"/>
      <c r="Q2221" s="66"/>
      <c r="R2221" s="66"/>
      <c r="S2221" s="26"/>
    </row>
    <row r="2222" spans="1:19">
      <c r="A2222" s="24"/>
      <c r="B2222" s="25" t="s">
        <v>267</v>
      </c>
      <c r="C2222" s="26" t="s">
        <v>8</v>
      </c>
      <c r="D2222" s="351">
        <v>1</v>
      </c>
      <c r="E2222" s="25"/>
      <c r="F2222" s="351">
        <v>1</v>
      </c>
      <c r="G2222" s="26"/>
      <c r="H2222" s="26"/>
      <c r="I2222" s="26"/>
      <c r="J2222" s="26"/>
      <c r="K2222" s="26"/>
      <c r="L2222" s="26"/>
      <c r="M2222" s="26"/>
      <c r="N2222" s="26"/>
      <c r="O2222" s="26"/>
      <c r="P2222" s="26"/>
      <c r="Q2222" s="66"/>
      <c r="R2222" s="66"/>
      <c r="S2222" s="26"/>
    </row>
    <row r="2223" spans="1:19">
      <c r="A2223" s="24"/>
      <c r="B2223" s="25" t="s">
        <v>54</v>
      </c>
      <c r="C2223" s="26" t="s">
        <v>20</v>
      </c>
      <c r="D2223" s="351">
        <v>3</v>
      </c>
      <c r="E2223" s="25"/>
      <c r="F2223" s="351">
        <v>3</v>
      </c>
      <c r="G2223" s="26"/>
      <c r="H2223" s="26"/>
      <c r="I2223" s="26"/>
      <c r="J2223" s="26"/>
      <c r="K2223" s="26"/>
      <c r="L2223" s="26"/>
      <c r="M2223" s="26"/>
      <c r="N2223" s="26"/>
      <c r="O2223" s="26"/>
      <c r="P2223" s="26"/>
      <c r="Q2223" s="66"/>
      <c r="R2223" s="66"/>
      <c r="S2223" s="26"/>
    </row>
    <row r="2224" spans="1:19">
      <c r="A2224" s="24"/>
      <c r="B2224" s="25" t="s">
        <v>21</v>
      </c>
      <c r="C2224" s="26" t="s">
        <v>8</v>
      </c>
      <c r="D2224" s="351">
        <v>1</v>
      </c>
      <c r="E2224" s="25"/>
      <c r="F2224" s="351">
        <v>1</v>
      </c>
      <c r="G2224" s="26"/>
      <c r="H2224" s="26"/>
      <c r="I2224" s="26"/>
      <c r="J2224" s="26"/>
      <c r="K2224" s="26"/>
      <c r="L2224" s="26"/>
      <c r="M2224" s="26"/>
      <c r="N2224" s="26"/>
      <c r="O2224" s="26"/>
      <c r="P2224" s="26"/>
      <c r="Q2224" s="66"/>
      <c r="R2224" s="66"/>
      <c r="S2224" s="26"/>
    </row>
    <row r="2225" spans="1:19">
      <c r="A2225" s="24"/>
      <c r="B2225" s="25" t="s">
        <v>22</v>
      </c>
      <c r="C2225" s="26" t="s">
        <v>8</v>
      </c>
      <c r="D2225" s="351">
        <v>1</v>
      </c>
      <c r="E2225" s="25"/>
      <c r="F2225" s="351">
        <v>1</v>
      </c>
      <c r="G2225" s="26"/>
      <c r="H2225" s="26"/>
      <c r="I2225" s="26"/>
      <c r="J2225" s="26"/>
      <c r="K2225" s="26"/>
      <c r="L2225" s="26"/>
      <c r="M2225" s="26"/>
      <c r="N2225" s="26"/>
      <c r="O2225" s="26"/>
      <c r="P2225" s="26"/>
      <c r="Q2225" s="66"/>
      <c r="R2225" s="66"/>
      <c r="S2225" s="26"/>
    </row>
    <row r="2226" spans="1:19">
      <c r="A2226" s="24"/>
      <c r="B2226" s="25" t="s">
        <v>194</v>
      </c>
      <c r="C2226" s="26" t="s">
        <v>8</v>
      </c>
      <c r="D2226" s="351">
        <v>3</v>
      </c>
      <c r="E2226" s="25"/>
      <c r="F2226" s="351">
        <v>3</v>
      </c>
      <c r="G2226" s="26"/>
      <c r="H2226" s="26"/>
      <c r="I2226" s="26"/>
      <c r="J2226" s="26"/>
      <c r="K2226" s="26"/>
      <c r="L2226" s="26"/>
      <c r="M2226" s="26"/>
      <c r="N2226" s="26"/>
      <c r="O2226" s="26"/>
      <c r="P2226" s="26"/>
      <c r="Q2226" s="66"/>
      <c r="R2226" s="66"/>
      <c r="S2226" s="26"/>
    </row>
    <row r="2227" spans="1:19">
      <c r="A2227" s="24"/>
      <c r="B2227" s="25" t="s">
        <v>24</v>
      </c>
      <c r="C2227" s="26" t="s">
        <v>8</v>
      </c>
      <c r="D2227" s="351">
        <v>3</v>
      </c>
      <c r="E2227" s="25"/>
      <c r="F2227" s="351">
        <v>3</v>
      </c>
      <c r="G2227" s="26"/>
      <c r="H2227" s="26"/>
      <c r="I2227" s="26"/>
      <c r="J2227" s="26"/>
      <c r="K2227" s="26"/>
      <c r="L2227" s="26"/>
      <c r="M2227" s="26"/>
      <c r="N2227" s="26"/>
      <c r="O2227" s="26"/>
      <c r="P2227" s="26"/>
      <c r="Q2227" s="66"/>
      <c r="R2227" s="66"/>
      <c r="S2227" s="26"/>
    </row>
    <row r="2228" spans="1:19">
      <c r="A2228" s="24"/>
      <c r="B2228" s="25" t="s">
        <v>164</v>
      </c>
      <c r="C2228" s="26"/>
      <c r="D2228" s="351"/>
      <c r="E2228" s="25"/>
      <c r="F2228" s="351"/>
      <c r="G2228" s="26"/>
      <c r="H2228" s="26"/>
      <c r="I2228" s="26"/>
      <c r="J2228" s="26"/>
      <c r="K2228" s="26"/>
      <c r="L2228" s="26"/>
      <c r="M2228" s="26"/>
      <c r="N2228" s="26"/>
      <c r="O2228" s="26"/>
      <c r="P2228" s="26"/>
      <c r="Q2228" s="66"/>
      <c r="R2228" s="66"/>
      <c r="S2228" s="26"/>
    </row>
    <row r="2229" spans="1:19">
      <c r="A2229" s="24"/>
      <c r="B2229" s="25" t="s">
        <v>277</v>
      </c>
      <c r="C2229" s="26" t="s">
        <v>17</v>
      </c>
      <c r="D2229" s="351">
        <v>1</v>
      </c>
      <c r="E2229" s="25"/>
      <c r="F2229" s="351">
        <v>1</v>
      </c>
      <c r="G2229" s="26"/>
      <c r="H2229" s="26"/>
      <c r="I2229" s="26"/>
      <c r="J2229" s="26"/>
      <c r="K2229" s="26"/>
      <c r="L2229" s="26"/>
      <c r="M2229" s="26"/>
      <c r="N2229" s="26"/>
      <c r="O2229" s="26"/>
      <c r="P2229" s="26"/>
      <c r="Q2229" s="66"/>
      <c r="R2229" s="66"/>
      <c r="S2229" s="26"/>
    </row>
    <row r="2230" spans="1:19" ht="30">
      <c r="A2230" s="24"/>
      <c r="B2230" s="25" t="s">
        <v>176</v>
      </c>
      <c r="C2230" s="26" t="s">
        <v>78</v>
      </c>
      <c r="D2230" s="351">
        <v>1</v>
      </c>
      <c r="E2230" s="25"/>
      <c r="F2230" s="351">
        <v>1</v>
      </c>
      <c r="G2230" s="26"/>
      <c r="H2230" s="26"/>
      <c r="I2230" s="26"/>
      <c r="J2230" s="26"/>
      <c r="K2230" s="26"/>
      <c r="L2230" s="26"/>
      <c r="M2230" s="26"/>
      <c r="N2230" s="26"/>
      <c r="O2230" s="26"/>
      <c r="P2230" s="26"/>
      <c r="Q2230" s="66"/>
      <c r="R2230" s="66"/>
      <c r="S2230" s="26"/>
    </row>
    <row r="2231" spans="1:19" ht="60">
      <c r="A2231" s="24">
        <v>95</v>
      </c>
      <c r="B2231" s="25" t="s">
        <v>470</v>
      </c>
      <c r="C2231" s="26" t="s">
        <v>7</v>
      </c>
      <c r="D2231" s="351">
        <v>4</v>
      </c>
      <c r="E2231" s="25"/>
      <c r="F2231" s="351">
        <v>4</v>
      </c>
      <c r="G2231" s="26" t="s">
        <v>2326</v>
      </c>
      <c r="H2231" s="26"/>
      <c r="I2231" s="26" t="s">
        <v>2327</v>
      </c>
      <c r="J2231" s="26" t="s">
        <v>2328</v>
      </c>
      <c r="K2231" s="311">
        <v>12640251.689999998</v>
      </c>
      <c r="L2231" s="311">
        <v>0</v>
      </c>
      <c r="M2231" s="311">
        <v>1130000</v>
      </c>
      <c r="N2231" s="311">
        <v>1376793.1</v>
      </c>
      <c r="O2231" s="311">
        <v>963755.17</v>
      </c>
      <c r="P2231" s="68">
        <f>SUM(K2231:O2231)</f>
        <v>16110799.959999997</v>
      </c>
      <c r="Q2231" s="68">
        <f>D2231*P2231</f>
        <v>64443199.839999989</v>
      </c>
      <c r="R2231" s="127">
        <f>F2231*P2231</f>
        <v>64443199.839999989</v>
      </c>
      <c r="S2231" s="26"/>
    </row>
    <row r="2232" spans="1:19" ht="30">
      <c r="A2232" s="24"/>
      <c r="B2232" s="25" t="s">
        <v>468</v>
      </c>
      <c r="C2232" s="26" t="s">
        <v>8</v>
      </c>
      <c r="D2232" s="351">
        <v>1</v>
      </c>
      <c r="E2232" s="25"/>
      <c r="F2232" s="351">
        <v>1</v>
      </c>
      <c r="G2232" s="26"/>
      <c r="H2232" s="26"/>
      <c r="I2232" s="26"/>
      <c r="J2232" s="26"/>
      <c r="K2232" s="26"/>
      <c r="L2232" s="26"/>
      <c r="M2232" s="26"/>
      <c r="N2232" s="26"/>
      <c r="O2232" s="26"/>
      <c r="P2232" s="26"/>
      <c r="Q2232" s="66"/>
      <c r="R2232" s="66"/>
      <c r="S2232" s="26"/>
    </row>
    <row r="2233" spans="1:19">
      <c r="A2233" s="24"/>
      <c r="B2233" s="25" t="s">
        <v>161</v>
      </c>
      <c r="C2233" s="26"/>
      <c r="D2233" s="351"/>
      <c r="E2233" s="25"/>
      <c r="F2233" s="351"/>
      <c r="G2233" s="26"/>
      <c r="H2233" s="26"/>
      <c r="I2233" s="26"/>
      <c r="J2233" s="26"/>
      <c r="K2233" s="26"/>
      <c r="L2233" s="26"/>
      <c r="M2233" s="26"/>
      <c r="N2233" s="26"/>
      <c r="O2233" s="26"/>
      <c r="P2233" s="26"/>
      <c r="Q2233" s="66"/>
      <c r="R2233" s="66"/>
      <c r="S2233" s="26"/>
    </row>
    <row r="2234" spans="1:19">
      <c r="A2234" s="24"/>
      <c r="B2234" s="25" t="s">
        <v>248</v>
      </c>
      <c r="C2234" s="26" t="s">
        <v>8</v>
      </c>
      <c r="D2234" s="351">
        <v>1</v>
      </c>
      <c r="E2234" s="25"/>
      <c r="F2234" s="351">
        <v>1</v>
      </c>
      <c r="G2234" s="26"/>
      <c r="H2234" s="26"/>
      <c r="I2234" s="26"/>
      <c r="J2234" s="26"/>
      <c r="K2234" s="26"/>
      <c r="L2234" s="26"/>
      <c r="M2234" s="26"/>
      <c r="N2234" s="26"/>
      <c r="O2234" s="26"/>
      <c r="P2234" s="26"/>
      <c r="Q2234" s="66"/>
      <c r="R2234" s="66"/>
      <c r="S2234" s="26"/>
    </row>
    <row r="2235" spans="1:19">
      <c r="A2235" s="24"/>
      <c r="B2235" s="25" t="s">
        <v>249</v>
      </c>
      <c r="C2235" s="26" t="s">
        <v>20</v>
      </c>
      <c r="D2235" s="351">
        <v>3</v>
      </c>
      <c r="E2235" s="25"/>
      <c r="F2235" s="351">
        <v>3</v>
      </c>
      <c r="G2235" s="26"/>
      <c r="H2235" s="26"/>
      <c r="I2235" s="26"/>
      <c r="J2235" s="26"/>
      <c r="K2235" s="26"/>
      <c r="L2235" s="26"/>
      <c r="M2235" s="26"/>
      <c r="N2235" s="26"/>
      <c r="O2235" s="26"/>
      <c r="P2235" s="26"/>
      <c r="Q2235" s="66"/>
      <c r="R2235" s="66"/>
      <c r="S2235" s="26"/>
    </row>
    <row r="2236" spans="1:19">
      <c r="A2236" s="24"/>
      <c r="B2236" s="25" t="s">
        <v>21</v>
      </c>
      <c r="C2236" s="26" t="s">
        <v>8</v>
      </c>
      <c r="D2236" s="351">
        <v>1</v>
      </c>
      <c r="E2236" s="25"/>
      <c r="F2236" s="351">
        <v>1</v>
      </c>
      <c r="G2236" s="26"/>
      <c r="H2236" s="26"/>
      <c r="I2236" s="26"/>
      <c r="J2236" s="26"/>
      <c r="K2236" s="26"/>
      <c r="L2236" s="26"/>
      <c r="M2236" s="26"/>
      <c r="N2236" s="26"/>
      <c r="O2236" s="26"/>
      <c r="P2236" s="26"/>
      <c r="Q2236" s="66"/>
      <c r="R2236" s="66"/>
      <c r="S2236" s="26"/>
    </row>
    <row r="2237" spans="1:19">
      <c r="A2237" s="24"/>
      <c r="B2237" s="25" t="s">
        <v>22</v>
      </c>
      <c r="C2237" s="26" t="s">
        <v>8</v>
      </c>
      <c r="D2237" s="351">
        <v>1</v>
      </c>
      <c r="E2237" s="25"/>
      <c r="F2237" s="351">
        <v>1</v>
      </c>
      <c r="G2237" s="26"/>
      <c r="H2237" s="26"/>
      <c r="I2237" s="26"/>
      <c r="J2237" s="26"/>
      <c r="K2237" s="26"/>
      <c r="L2237" s="26"/>
      <c r="M2237" s="26"/>
      <c r="N2237" s="26"/>
      <c r="O2237" s="26"/>
      <c r="P2237" s="26"/>
      <c r="Q2237" s="66"/>
      <c r="R2237" s="66"/>
      <c r="S2237" s="26"/>
    </row>
    <row r="2238" spans="1:19">
      <c r="A2238" s="24"/>
      <c r="B2238" s="25" t="s">
        <v>250</v>
      </c>
      <c r="C2238" s="26" t="s">
        <v>8</v>
      </c>
      <c r="D2238" s="351">
        <v>3</v>
      </c>
      <c r="E2238" s="25"/>
      <c r="F2238" s="351">
        <v>3</v>
      </c>
      <c r="G2238" s="26"/>
      <c r="H2238" s="26"/>
      <c r="I2238" s="26"/>
      <c r="J2238" s="26"/>
      <c r="K2238" s="26"/>
      <c r="L2238" s="26"/>
      <c r="M2238" s="26"/>
      <c r="N2238" s="26"/>
      <c r="O2238" s="26"/>
      <c r="P2238" s="26"/>
      <c r="Q2238" s="66"/>
      <c r="R2238" s="66"/>
      <c r="S2238" s="26"/>
    </row>
    <row r="2239" spans="1:19">
      <c r="A2239" s="24"/>
      <c r="B2239" s="25" t="s">
        <v>24</v>
      </c>
      <c r="C2239" s="26" t="s">
        <v>8</v>
      </c>
      <c r="D2239" s="351">
        <v>3</v>
      </c>
      <c r="E2239" s="25"/>
      <c r="F2239" s="351">
        <v>3</v>
      </c>
      <c r="G2239" s="26"/>
      <c r="H2239" s="26"/>
      <c r="I2239" s="26"/>
      <c r="J2239" s="26"/>
      <c r="K2239" s="26"/>
      <c r="L2239" s="26"/>
      <c r="M2239" s="26"/>
      <c r="N2239" s="26"/>
      <c r="O2239" s="26"/>
      <c r="P2239" s="26"/>
      <c r="Q2239" s="66"/>
      <c r="R2239" s="66"/>
      <c r="S2239" s="26"/>
    </row>
    <row r="2240" spans="1:19">
      <c r="A2240" s="24"/>
      <c r="B2240" s="25" t="s">
        <v>164</v>
      </c>
      <c r="C2240" s="26"/>
      <c r="D2240" s="351"/>
      <c r="E2240" s="25"/>
      <c r="F2240" s="351"/>
      <c r="G2240" s="26"/>
      <c r="H2240" s="26"/>
      <c r="I2240" s="26"/>
      <c r="J2240" s="26"/>
      <c r="K2240" s="26"/>
      <c r="L2240" s="26"/>
      <c r="M2240" s="26"/>
      <c r="N2240" s="26"/>
      <c r="O2240" s="26"/>
      <c r="P2240" s="26"/>
      <c r="Q2240" s="66"/>
      <c r="R2240" s="66"/>
      <c r="S2240" s="26"/>
    </row>
    <row r="2241" spans="1:19">
      <c r="A2241" s="24"/>
      <c r="B2241" s="25" t="s">
        <v>268</v>
      </c>
      <c r="C2241" s="26" t="s">
        <v>8</v>
      </c>
      <c r="D2241" s="351">
        <v>2</v>
      </c>
      <c r="E2241" s="25"/>
      <c r="F2241" s="351">
        <v>2</v>
      </c>
      <c r="G2241" s="26"/>
      <c r="H2241" s="26"/>
      <c r="I2241" s="26"/>
      <c r="J2241" s="26"/>
      <c r="K2241" s="26"/>
      <c r="L2241" s="26"/>
      <c r="M2241" s="26"/>
      <c r="N2241" s="26"/>
      <c r="O2241" s="26"/>
      <c r="P2241" s="26"/>
      <c r="Q2241" s="66"/>
      <c r="R2241" s="66"/>
      <c r="S2241" s="26"/>
    </row>
    <row r="2242" spans="1:19">
      <c r="A2242" s="24"/>
      <c r="B2242" s="25" t="s">
        <v>277</v>
      </c>
      <c r="C2242" s="26" t="s">
        <v>17</v>
      </c>
      <c r="D2242" s="351">
        <v>1</v>
      </c>
      <c r="E2242" s="25"/>
      <c r="F2242" s="351">
        <v>1</v>
      </c>
      <c r="G2242" s="26"/>
      <c r="H2242" s="26"/>
      <c r="I2242" s="26"/>
      <c r="J2242" s="26"/>
      <c r="K2242" s="26"/>
      <c r="L2242" s="26"/>
      <c r="M2242" s="26"/>
      <c r="N2242" s="26"/>
      <c r="O2242" s="26"/>
      <c r="P2242" s="26"/>
      <c r="Q2242" s="66"/>
      <c r="R2242" s="66"/>
      <c r="S2242" s="26"/>
    </row>
    <row r="2243" spans="1:19" ht="30">
      <c r="A2243" s="24"/>
      <c r="B2243" s="25" t="s">
        <v>176</v>
      </c>
      <c r="C2243" s="26" t="s">
        <v>78</v>
      </c>
      <c r="D2243" s="351">
        <v>1</v>
      </c>
      <c r="E2243" s="25"/>
      <c r="F2243" s="351">
        <v>1</v>
      </c>
      <c r="G2243" s="26"/>
      <c r="H2243" s="26"/>
      <c r="I2243" s="26"/>
      <c r="J2243" s="26"/>
      <c r="K2243" s="26"/>
      <c r="L2243" s="26"/>
      <c r="M2243" s="26"/>
      <c r="N2243" s="26"/>
      <c r="O2243" s="26"/>
      <c r="P2243" s="26"/>
      <c r="Q2243" s="66"/>
      <c r="R2243" s="66"/>
      <c r="S2243" s="26"/>
    </row>
    <row r="2244" spans="1:19" ht="60">
      <c r="A2244" s="24">
        <v>96</v>
      </c>
      <c r="B2244" s="25" t="s">
        <v>471</v>
      </c>
      <c r="C2244" s="26" t="s">
        <v>7</v>
      </c>
      <c r="D2244" s="351">
        <v>2</v>
      </c>
      <c r="E2244" s="25"/>
      <c r="F2244" s="351">
        <v>2</v>
      </c>
      <c r="G2244" s="26" t="s">
        <v>2326</v>
      </c>
      <c r="H2244" s="26"/>
      <c r="I2244" s="26" t="s">
        <v>2327</v>
      </c>
      <c r="J2244" s="26" t="s">
        <v>2328</v>
      </c>
      <c r="K2244" s="311">
        <v>6455820.6899999995</v>
      </c>
      <c r="L2244" s="311">
        <v>0</v>
      </c>
      <c r="M2244" s="311">
        <v>904000.00000000012</v>
      </c>
      <c r="N2244" s="311">
        <v>732103.10000000009</v>
      </c>
      <c r="O2244" s="311">
        <v>512472.17000000004</v>
      </c>
      <c r="P2244" s="68">
        <f>SUM(K2244:O2244)</f>
        <v>8604395.959999999</v>
      </c>
      <c r="Q2244" s="68">
        <f>D2244*P2244</f>
        <v>17208791.919999998</v>
      </c>
      <c r="R2244" s="127">
        <f>F2244*P2244</f>
        <v>17208791.919999998</v>
      </c>
      <c r="S2244" s="26"/>
    </row>
    <row r="2245" spans="1:19" ht="30">
      <c r="A2245" s="24"/>
      <c r="B2245" s="25" t="s">
        <v>468</v>
      </c>
      <c r="C2245" s="26" t="s">
        <v>8</v>
      </c>
      <c r="D2245" s="351">
        <v>1</v>
      </c>
      <c r="E2245" s="25"/>
      <c r="F2245" s="351">
        <v>1</v>
      </c>
      <c r="G2245" s="26"/>
      <c r="H2245" s="26"/>
      <c r="I2245" s="26"/>
      <c r="J2245" s="26"/>
      <c r="K2245" s="26"/>
      <c r="L2245" s="26"/>
      <c r="M2245" s="26"/>
      <c r="N2245" s="26"/>
      <c r="O2245" s="26"/>
      <c r="P2245" s="26"/>
      <c r="Q2245" s="66"/>
      <c r="R2245" s="66"/>
      <c r="S2245" s="26"/>
    </row>
    <row r="2246" spans="1:19">
      <c r="A2246" s="24"/>
      <c r="B2246" s="25" t="s">
        <v>161</v>
      </c>
      <c r="C2246" s="26"/>
      <c r="D2246" s="351"/>
      <c r="E2246" s="25"/>
      <c r="F2246" s="351"/>
      <c r="G2246" s="26"/>
      <c r="H2246" s="26"/>
      <c r="I2246" s="26"/>
      <c r="J2246" s="26"/>
      <c r="K2246" s="26"/>
      <c r="L2246" s="26"/>
      <c r="M2246" s="26"/>
      <c r="N2246" s="26"/>
      <c r="O2246" s="26"/>
      <c r="P2246" s="26"/>
      <c r="Q2246" s="66"/>
      <c r="R2246" s="66"/>
      <c r="S2246" s="26"/>
    </row>
    <row r="2247" spans="1:19">
      <c r="A2247" s="24"/>
      <c r="B2247" s="25" t="s">
        <v>193</v>
      </c>
      <c r="C2247" s="26" t="s">
        <v>8</v>
      </c>
      <c r="D2247" s="351">
        <v>1</v>
      </c>
      <c r="E2247" s="25"/>
      <c r="F2247" s="351">
        <v>1</v>
      </c>
      <c r="G2247" s="26"/>
      <c r="H2247" s="26"/>
      <c r="I2247" s="26"/>
      <c r="J2247" s="26"/>
      <c r="K2247" s="26"/>
      <c r="L2247" s="26"/>
      <c r="M2247" s="26"/>
      <c r="N2247" s="26"/>
      <c r="O2247" s="26"/>
      <c r="P2247" s="26"/>
      <c r="Q2247" s="66"/>
      <c r="R2247" s="66"/>
      <c r="S2247" s="26"/>
    </row>
    <row r="2248" spans="1:19">
      <c r="A2248" s="24"/>
      <c r="B2248" s="25" t="s">
        <v>54</v>
      </c>
      <c r="C2248" s="26" t="s">
        <v>20</v>
      </c>
      <c r="D2248" s="351">
        <v>3</v>
      </c>
      <c r="E2248" s="25"/>
      <c r="F2248" s="351">
        <v>3</v>
      </c>
      <c r="G2248" s="26"/>
      <c r="H2248" s="26"/>
      <c r="I2248" s="26"/>
      <c r="J2248" s="26"/>
      <c r="K2248" s="26"/>
      <c r="L2248" s="26"/>
      <c r="M2248" s="26"/>
      <c r="N2248" s="26"/>
      <c r="O2248" s="26"/>
      <c r="P2248" s="26"/>
      <c r="Q2248" s="66"/>
      <c r="R2248" s="66"/>
      <c r="S2248" s="26"/>
    </row>
    <row r="2249" spans="1:19">
      <c r="A2249" s="24"/>
      <c r="B2249" s="25" t="s">
        <v>21</v>
      </c>
      <c r="C2249" s="26" t="s">
        <v>8</v>
      </c>
      <c r="D2249" s="351">
        <v>1</v>
      </c>
      <c r="E2249" s="25"/>
      <c r="F2249" s="351">
        <v>1</v>
      </c>
      <c r="G2249" s="26"/>
      <c r="H2249" s="26"/>
      <c r="I2249" s="26"/>
      <c r="J2249" s="26"/>
      <c r="K2249" s="26"/>
      <c r="L2249" s="26"/>
      <c r="M2249" s="26"/>
      <c r="N2249" s="26"/>
      <c r="O2249" s="26"/>
      <c r="P2249" s="26"/>
      <c r="Q2249" s="66"/>
      <c r="R2249" s="66"/>
      <c r="S2249" s="26"/>
    </row>
    <row r="2250" spans="1:19">
      <c r="A2250" s="24"/>
      <c r="B2250" s="25" t="s">
        <v>22</v>
      </c>
      <c r="C2250" s="26" t="s">
        <v>8</v>
      </c>
      <c r="D2250" s="351">
        <v>1</v>
      </c>
      <c r="E2250" s="25"/>
      <c r="F2250" s="351">
        <v>1</v>
      </c>
      <c r="G2250" s="26"/>
      <c r="H2250" s="26"/>
      <c r="I2250" s="26"/>
      <c r="J2250" s="26"/>
      <c r="K2250" s="26"/>
      <c r="L2250" s="26"/>
      <c r="M2250" s="26"/>
      <c r="N2250" s="26"/>
      <c r="O2250" s="26"/>
      <c r="P2250" s="26"/>
      <c r="Q2250" s="66"/>
      <c r="R2250" s="66"/>
      <c r="S2250" s="26"/>
    </row>
    <row r="2251" spans="1:19">
      <c r="A2251" s="24"/>
      <c r="B2251" s="25" t="s">
        <v>194</v>
      </c>
      <c r="C2251" s="26" t="s">
        <v>8</v>
      </c>
      <c r="D2251" s="351">
        <v>3</v>
      </c>
      <c r="E2251" s="25"/>
      <c r="F2251" s="351">
        <v>3</v>
      </c>
      <c r="G2251" s="26"/>
      <c r="H2251" s="26"/>
      <c r="I2251" s="26"/>
      <c r="J2251" s="26"/>
      <c r="K2251" s="26"/>
      <c r="L2251" s="26"/>
      <c r="M2251" s="26"/>
      <c r="N2251" s="26"/>
      <c r="O2251" s="26"/>
      <c r="P2251" s="26"/>
      <c r="Q2251" s="66"/>
      <c r="R2251" s="66"/>
      <c r="S2251" s="26"/>
    </row>
    <row r="2252" spans="1:19">
      <c r="A2252" s="24"/>
      <c r="B2252" s="25" t="s">
        <v>24</v>
      </c>
      <c r="C2252" s="26" t="s">
        <v>8</v>
      </c>
      <c r="D2252" s="351">
        <v>3</v>
      </c>
      <c r="E2252" s="25"/>
      <c r="F2252" s="351">
        <v>3</v>
      </c>
      <c r="G2252" s="26"/>
      <c r="H2252" s="26"/>
      <c r="I2252" s="26"/>
      <c r="J2252" s="26"/>
      <c r="K2252" s="26"/>
      <c r="L2252" s="26"/>
      <c r="M2252" s="26"/>
      <c r="N2252" s="26"/>
      <c r="O2252" s="26"/>
      <c r="P2252" s="26"/>
      <c r="Q2252" s="66"/>
      <c r="R2252" s="66"/>
      <c r="S2252" s="26"/>
    </row>
    <row r="2253" spans="1:19">
      <c r="A2253" s="24"/>
      <c r="B2253" s="25" t="s">
        <v>164</v>
      </c>
      <c r="C2253" s="26"/>
      <c r="D2253" s="351"/>
      <c r="E2253" s="25"/>
      <c r="F2253" s="351"/>
      <c r="G2253" s="26"/>
      <c r="H2253" s="26"/>
      <c r="I2253" s="26"/>
      <c r="J2253" s="26"/>
      <c r="K2253" s="26"/>
      <c r="L2253" s="26"/>
      <c r="M2253" s="26"/>
      <c r="N2253" s="26"/>
      <c r="O2253" s="26"/>
      <c r="P2253" s="26"/>
      <c r="Q2253" s="66"/>
      <c r="R2253" s="66"/>
      <c r="S2253" s="26"/>
    </row>
    <row r="2254" spans="1:19">
      <c r="A2254" s="24"/>
      <c r="B2254" s="25" t="s">
        <v>277</v>
      </c>
      <c r="C2254" s="26" t="s">
        <v>17</v>
      </c>
      <c r="D2254" s="351">
        <v>1</v>
      </c>
      <c r="E2254" s="25"/>
      <c r="F2254" s="351">
        <v>1</v>
      </c>
      <c r="G2254" s="26"/>
      <c r="H2254" s="26"/>
      <c r="I2254" s="26"/>
      <c r="J2254" s="26"/>
      <c r="K2254" s="26"/>
      <c r="L2254" s="26"/>
      <c r="M2254" s="26"/>
      <c r="N2254" s="26"/>
      <c r="O2254" s="26"/>
      <c r="P2254" s="26"/>
      <c r="Q2254" s="66"/>
      <c r="R2254" s="66"/>
      <c r="S2254" s="26"/>
    </row>
    <row r="2255" spans="1:19" ht="30">
      <c r="A2255" s="24"/>
      <c r="B2255" s="25" t="s">
        <v>176</v>
      </c>
      <c r="C2255" s="26" t="s">
        <v>78</v>
      </c>
      <c r="D2255" s="351">
        <v>1</v>
      </c>
      <c r="E2255" s="25"/>
      <c r="F2255" s="351">
        <v>1</v>
      </c>
      <c r="G2255" s="26"/>
      <c r="H2255" s="26"/>
      <c r="I2255" s="26"/>
      <c r="J2255" s="26"/>
      <c r="K2255" s="26"/>
      <c r="L2255" s="26"/>
      <c r="M2255" s="26"/>
      <c r="N2255" s="26"/>
      <c r="O2255" s="26"/>
      <c r="P2255" s="26"/>
      <c r="Q2255" s="66"/>
      <c r="R2255" s="66"/>
      <c r="S2255" s="26"/>
    </row>
    <row r="2256" spans="1:19" ht="60">
      <c r="A2256" s="24">
        <v>97</v>
      </c>
      <c r="B2256" s="25" t="s">
        <v>472</v>
      </c>
      <c r="C2256" s="26" t="s">
        <v>7</v>
      </c>
      <c r="D2256" s="351">
        <v>1</v>
      </c>
      <c r="E2256" s="25"/>
      <c r="F2256" s="351">
        <v>1</v>
      </c>
      <c r="G2256" s="26" t="s">
        <v>2326</v>
      </c>
      <c r="H2256" s="26"/>
      <c r="I2256" s="26" t="s">
        <v>2327</v>
      </c>
      <c r="J2256" s="26" t="s">
        <v>2328</v>
      </c>
      <c r="K2256" s="311">
        <v>6205405.1399999997</v>
      </c>
      <c r="L2256" s="311">
        <v>0</v>
      </c>
      <c r="M2256" s="311">
        <v>1356000.0000000002</v>
      </c>
      <c r="N2256" s="311">
        <v>746808.60000000009</v>
      </c>
      <c r="O2256" s="311">
        <v>522766.02000000008</v>
      </c>
      <c r="P2256" s="68">
        <f>SUM(K2256:O2256)</f>
        <v>8830979.7599999998</v>
      </c>
      <c r="Q2256" s="68">
        <f>D2256*P2256</f>
        <v>8830979.7599999998</v>
      </c>
      <c r="R2256" s="127">
        <f>F2256*P2256</f>
        <v>8830979.7599999998</v>
      </c>
      <c r="S2256" s="26"/>
    </row>
    <row r="2257" spans="1:19" ht="30">
      <c r="A2257" s="24"/>
      <c r="B2257" s="25" t="s">
        <v>473</v>
      </c>
      <c r="C2257" s="26" t="s">
        <v>8</v>
      </c>
      <c r="D2257" s="351">
        <v>1</v>
      </c>
      <c r="E2257" s="25"/>
      <c r="F2257" s="351">
        <v>1</v>
      </c>
      <c r="G2257" s="26"/>
      <c r="H2257" s="26"/>
      <c r="I2257" s="26"/>
      <c r="J2257" s="26"/>
      <c r="K2257" s="26"/>
      <c r="L2257" s="26"/>
      <c r="M2257" s="26"/>
      <c r="N2257" s="26"/>
      <c r="O2257" s="26"/>
      <c r="P2257" s="26"/>
      <c r="Q2257" s="66"/>
      <c r="R2257" s="66"/>
      <c r="S2257" s="26"/>
    </row>
    <row r="2258" spans="1:19">
      <c r="A2258" s="24"/>
      <c r="B2258" s="25" t="s">
        <v>161</v>
      </c>
      <c r="C2258" s="26"/>
      <c r="D2258" s="351"/>
      <c r="E2258" s="25"/>
      <c r="F2258" s="351"/>
      <c r="G2258" s="26"/>
      <c r="H2258" s="26"/>
      <c r="I2258" s="26"/>
      <c r="J2258" s="26"/>
      <c r="K2258" s="26"/>
      <c r="L2258" s="26"/>
      <c r="M2258" s="26"/>
      <c r="N2258" s="26"/>
      <c r="O2258" s="26"/>
      <c r="P2258" s="26"/>
      <c r="Q2258" s="66"/>
      <c r="R2258" s="66"/>
      <c r="S2258" s="26"/>
    </row>
    <row r="2259" spans="1:19">
      <c r="A2259" s="24"/>
      <c r="B2259" s="25" t="s">
        <v>474</v>
      </c>
      <c r="C2259" s="26" t="s">
        <v>8</v>
      </c>
      <c r="D2259" s="351">
        <v>25</v>
      </c>
      <c r="E2259" s="25"/>
      <c r="F2259" s="351">
        <v>25</v>
      </c>
      <c r="G2259" s="26"/>
      <c r="H2259" s="26"/>
      <c r="I2259" s="26"/>
      <c r="J2259" s="26"/>
      <c r="K2259" s="26"/>
      <c r="L2259" s="26"/>
      <c r="M2259" s="26"/>
      <c r="N2259" s="26"/>
      <c r="O2259" s="26"/>
      <c r="P2259" s="26"/>
      <c r="Q2259" s="66"/>
      <c r="R2259" s="66"/>
      <c r="S2259" s="26"/>
    </row>
    <row r="2260" spans="1:19">
      <c r="A2260" s="24"/>
      <c r="B2260" s="25" t="s">
        <v>475</v>
      </c>
      <c r="C2260" s="26" t="s">
        <v>17</v>
      </c>
      <c r="D2260" s="351">
        <v>43</v>
      </c>
      <c r="E2260" s="25"/>
      <c r="F2260" s="351">
        <v>43</v>
      </c>
      <c r="G2260" s="26"/>
      <c r="H2260" s="26"/>
      <c r="I2260" s="26"/>
      <c r="J2260" s="26"/>
      <c r="K2260" s="26"/>
      <c r="L2260" s="26"/>
      <c r="M2260" s="26"/>
      <c r="N2260" s="26"/>
      <c r="O2260" s="26"/>
      <c r="P2260" s="26"/>
      <c r="Q2260" s="66"/>
      <c r="R2260" s="66"/>
      <c r="S2260" s="26"/>
    </row>
    <row r="2261" spans="1:19" ht="30">
      <c r="A2261" s="24"/>
      <c r="B2261" s="25" t="s">
        <v>176</v>
      </c>
      <c r="C2261" s="26" t="s">
        <v>78</v>
      </c>
      <c r="D2261" s="351">
        <v>1</v>
      </c>
      <c r="E2261" s="25"/>
      <c r="F2261" s="351">
        <v>1</v>
      </c>
      <c r="G2261" s="26"/>
      <c r="H2261" s="26"/>
      <c r="I2261" s="26"/>
      <c r="J2261" s="26"/>
      <c r="K2261" s="26"/>
      <c r="L2261" s="26"/>
      <c r="M2261" s="26"/>
      <c r="N2261" s="26"/>
      <c r="O2261" s="26"/>
      <c r="P2261" s="26"/>
      <c r="Q2261" s="66"/>
      <c r="R2261" s="66"/>
      <c r="S2261" s="26"/>
    </row>
    <row r="2262" spans="1:19" ht="60">
      <c r="A2262" s="24">
        <v>98</v>
      </c>
      <c r="B2262" s="25" t="s">
        <v>476</v>
      </c>
      <c r="C2262" s="26" t="s">
        <v>7</v>
      </c>
      <c r="D2262" s="351">
        <v>1</v>
      </c>
      <c r="E2262" s="25"/>
      <c r="F2262" s="351">
        <v>1</v>
      </c>
      <c r="G2262" s="26" t="s">
        <v>2326</v>
      </c>
      <c r="H2262" s="26"/>
      <c r="I2262" s="26" t="s">
        <v>2327</v>
      </c>
      <c r="J2262" s="26" t="s">
        <v>2328</v>
      </c>
      <c r="K2262" s="311">
        <v>13497055.109999998</v>
      </c>
      <c r="L2262" s="311">
        <v>0</v>
      </c>
      <c r="M2262" s="311">
        <v>2260000</v>
      </c>
      <c r="N2262" s="311">
        <v>1563338.9000000001</v>
      </c>
      <c r="O2262" s="311">
        <v>1094337.2300000002</v>
      </c>
      <c r="P2262" s="68">
        <f>SUM(K2262:O2262)</f>
        <v>18414731.239999998</v>
      </c>
      <c r="Q2262" s="68">
        <f>D2262*P2262</f>
        <v>18414731.239999998</v>
      </c>
      <c r="R2262" s="127">
        <f>F2262*P2262</f>
        <v>18414731.239999998</v>
      </c>
      <c r="S2262" s="26"/>
    </row>
    <row r="2263" spans="1:19" ht="30">
      <c r="A2263" s="24"/>
      <c r="B2263" s="25" t="s">
        <v>473</v>
      </c>
      <c r="C2263" s="26" t="s">
        <v>8</v>
      </c>
      <c r="D2263" s="351">
        <v>1</v>
      </c>
      <c r="E2263" s="25"/>
      <c r="F2263" s="351">
        <v>1</v>
      </c>
      <c r="G2263" s="26"/>
      <c r="H2263" s="26"/>
      <c r="I2263" s="26"/>
      <c r="J2263" s="26"/>
      <c r="K2263" s="26"/>
      <c r="L2263" s="26"/>
      <c r="M2263" s="26"/>
      <c r="N2263" s="26"/>
      <c r="O2263" s="26"/>
      <c r="P2263" s="26"/>
      <c r="Q2263" s="66"/>
      <c r="R2263" s="66"/>
      <c r="S2263" s="26"/>
    </row>
    <row r="2264" spans="1:19">
      <c r="A2264" s="24"/>
      <c r="B2264" s="25" t="s">
        <v>161</v>
      </c>
      <c r="C2264" s="26"/>
      <c r="D2264" s="351"/>
      <c r="E2264" s="25"/>
      <c r="F2264" s="351"/>
      <c r="G2264" s="26"/>
      <c r="H2264" s="26"/>
      <c r="I2264" s="26"/>
      <c r="J2264" s="26"/>
      <c r="K2264" s="26"/>
      <c r="L2264" s="26"/>
      <c r="M2264" s="26"/>
      <c r="N2264" s="26"/>
      <c r="O2264" s="26"/>
      <c r="P2264" s="26"/>
      <c r="Q2264" s="66"/>
      <c r="R2264" s="66"/>
      <c r="S2264" s="26"/>
    </row>
    <row r="2265" spans="1:19">
      <c r="A2265" s="24"/>
      <c r="B2265" s="25" t="s">
        <v>474</v>
      </c>
      <c r="C2265" s="26" t="s">
        <v>8</v>
      </c>
      <c r="D2265" s="351">
        <v>99</v>
      </c>
      <c r="E2265" s="25"/>
      <c r="F2265" s="351">
        <v>99</v>
      </c>
      <c r="G2265" s="26"/>
      <c r="H2265" s="26"/>
      <c r="I2265" s="26"/>
      <c r="J2265" s="26"/>
      <c r="K2265" s="26"/>
      <c r="L2265" s="26"/>
      <c r="M2265" s="26"/>
      <c r="N2265" s="26"/>
      <c r="O2265" s="26"/>
      <c r="P2265" s="26"/>
      <c r="Q2265" s="66"/>
      <c r="R2265" s="66"/>
      <c r="S2265" s="26"/>
    </row>
    <row r="2266" spans="1:19">
      <c r="A2266" s="24"/>
      <c r="B2266" s="25" t="s">
        <v>477</v>
      </c>
      <c r="C2266" s="26" t="s">
        <v>8</v>
      </c>
      <c r="D2266" s="351">
        <v>99</v>
      </c>
      <c r="E2266" s="25"/>
      <c r="F2266" s="351">
        <v>99</v>
      </c>
      <c r="G2266" s="26"/>
      <c r="H2266" s="26"/>
      <c r="I2266" s="26"/>
      <c r="J2266" s="26"/>
      <c r="K2266" s="26"/>
      <c r="L2266" s="26"/>
      <c r="M2266" s="26"/>
      <c r="N2266" s="26"/>
      <c r="O2266" s="26"/>
      <c r="P2266" s="26"/>
      <c r="Q2266" s="66"/>
      <c r="R2266" s="66"/>
      <c r="S2266" s="26"/>
    </row>
    <row r="2267" spans="1:19" ht="30">
      <c r="A2267" s="24"/>
      <c r="B2267" s="25" t="s">
        <v>176</v>
      </c>
      <c r="C2267" s="26" t="s">
        <v>78</v>
      </c>
      <c r="D2267" s="351">
        <v>1</v>
      </c>
      <c r="E2267" s="25"/>
      <c r="F2267" s="351">
        <v>1</v>
      </c>
      <c r="G2267" s="26"/>
      <c r="H2267" s="26"/>
      <c r="I2267" s="26"/>
      <c r="J2267" s="26"/>
      <c r="K2267" s="26"/>
      <c r="L2267" s="26"/>
      <c r="M2267" s="26"/>
      <c r="N2267" s="26"/>
      <c r="O2267" s="26"/>
      <c r="P2267" s="26"/>
      <c r="Q2267" s="66"/>
      <c r="R2267" s="66"/>
      <c r="S2267" s="26"/>
    </row>
    <row r="2268" spans="1:19" ht="60">
      <c r="A2268" s="24">
        <v>99</v>
      </c>
      <c r="B2268" s="25" t="s">
        <v>478</v>
      </c>
      <c r="C2268" s="26" t="s">
        <v>7</v>
      </c>
      <c r="D2268" s="351">
        <v>1</v>
      </c>
      <c r="E2268" s="25"/>
      <c r="F2268" s="351">
        <v>1</v>
      </c>
      <c r="G2268" s="26" t="s">
        <v>2326</v>
      </c>
      <c r="H2268" s="26"/>
      <c r="I2268" s="26" t="s">
        <v>2327</v>
      </c>
      <c r="J2268" s="26" t="s">
        <v>2328</v>
      </c>
      <c r="K2268" s="311">
        <v>9598609.3499999996</v>
      </c>
      <c r="L2268" s="311">
        <v>0</v>
      </c>
      <c r="M2268" s="311">
        <v>1130000</v>
      </c>
      <c r="N2268" s="311">
        <v>1069556.5</v>
      </c>
      <c r="O2268" s="311">
        <v>748689.55</v>
      </c>
      <c r="P2268" s="68">
        <f>SUM(K2268:O2268)</f>
        <v>12546855.4</v>
      </c>
      <c r="Q2268" s="68">
        <f>D2268*P2268</f>
        <v>12546855.4</v>
      </c>
      <c r="R2268" s="127">
        <f>F2268*P2268</f>
        <v>12546855.4</v>
      </c>
      <c r="S2268" s="26"/>
    </row>
    <row r="2269" spans="1:19" ht="30">
      <c r="A2269" s="24"/>
      <c r="B2269" s="25" t="s">
        <v>413</v>
      </c>
      <c r="C2269" s="26" t="s">
        <v>8</v>
      </c>
      <c r="D2269" s="351">
        <v>1</v>
      </c>
      <c r="E2269" s="25"/>
      <c r="F2269" s="351">
        <v>1</v>
      </c>
      <c r="G2269" s="26"/>
      <c r="H2269" s="26"/>
      <c r="I2269" s="26"/>
      <c r="J2269" s="26"/>
      <c r="K2269" s="26"/>
      <c r="L2269" s="26"/>
      <c r="M2269" s="26"/>
      <c r="N2269" s="26"/>
      <c r="O2269" s="26"/>
      <c r="P2269" s="26"/>
      <c r="Q2269" s="66"/>
      <c r="R2269" s="66"/>
      <c r="S2269" s="26"/>
    </row>
    <row r="2270" spans="1:19">
      <c r="A2270" s="24"/>
      <c r="B2270" s="25" t="s">
        <v>161</v>
      </c>
      <c r="C2270" s="26"/>
      <c r="D2270" s="351"/>
      <c r="E2270" s="25"/>
      <c r="F2270" s="351"/>
      <c r="G2270" s="26"/>
      <c r="H2270" s="26"/>
      <c r="I2270" s="26"/>
      <c r="J2270" s="26"/>
      <c r="K2270" s="26"/>
      <c r="L2270" s="26"/>
      <c r="M2270" s="26"/>
      <c r="N2270" s="26"/>
      <c r="O2270" s="26"/>
      <c r="P2270" s="26"/>
      <c r="Q2270" s="66"/>
      <c r="R2270" s="66"/>
      <c r="S2270" s="26"/>
    </row>
    <row r="2271" spans="1:19">
      <c r="A2271" s="24"/>
      <c r="B2271" s="25" t="s">
        <v>162</v>
      </c>
      <c r="C2271" s="26" t="s">
        <v>8</v>
      </c>
      <c r="D2271" s="351">
        <v>1</v>
      </c>
      <c r="E2271" s="25"/>
      <c r="F2271" s="351">
        <v>1</v>
      </c>
      <c r="G2271" s="26"/>
      <c r="H2271" s="26"/>
      <c r="I2271" s="26"/>
      <c r="J2271" s="26"/>
      <c r="K2271" s="26"/>
      <c r="L2271" s="26"/>
      <c r="M2271" s="26"/>
      <c r="N2271" s="26"/>
      <c r="O2271" s="26"/>
      <c r="P2271" s="26"/>
      <c r="Q2271" s="66"/>
      <c r="R2271" s="66"/>
      <c r="S2271" s="26"/>
    </row>
    <row r="2272" spans="1:19">
      <c r="A2272" s="24"/>
      <c r="B2272" s="25" t="s">
        <v>24</v>
      </c>
      <c r="C2272" s="26" t="s">
        <v>8</v>
      </c>
      <c r="D2272" s="351">
        <v>3</v>
      </c>
      <c r="E2272" s="25"/>
      <c r="F2272" s="351">
        <v>3</v>
      </c>
      <c r="G2272" s="26"/>
      <c r="H2272" s="26"/>
      <c r="I2272" s="26"/>
      <c r="J2272" s="26"/>
      <c r="K2272" s="26"/>
      <c r="L2272" s="26"/>
      <c r="M2272" s="26"/>
      <c r="N2272" s="26"/>
      <c r="O2272" s="26"/>
      <c r="P2272" s="26"/>
      <c r="Q2272" s="66"/>
      <c r="R2272" s="66"/>
      <c r="S2272" s="26"/>
    </row>
    <row r="2273" spans="1:19">
      <c r="A2273" s="24"/>
      <c r="B2273" s="25" t="s">
        <v>163</v>
      </c>
      <c r="C2273" s="26" t="s">
        <v>8</v>
      </c>
      <c r="D2273" s="351">
        <v>3</v>
      </c>
      <c r="E2273" s="25"/>
      <c r="F2273" s="351">
        <v>3</v>
      </c>
      <c r="G2273" s="26"/>
      <c r="H2273" s="26"/>
      <c r="I2273" s="26"/>
      <c r="J2273" s="26"/>
      <c r="K2273" s="26"/>
      <c r="L2273" s="26"/>
      <c r="M2273" s="26"/>
      <c r="N2273" s="26"/>
      <c r="O2273" s="26"/>
      <c r="P2273" s="26"/>
      <c r="Q2273" s="66"/>
      <c r="R2273" s="66"/>
      <c r="S2273" s="26"/>
    </row>
    <row r="2274" spans="1:19">
      <c r="A2274" s="24"/>
      <c r="B2274" s="25" t="s">
        <v>164</v>
      </c>
      <c r="C2274" s="26"/>
      <c r="D2274" s="351"/>
      <c r="E2274" s="25"/>
      <c r="F2274" s="351"/>
      <c r="G2274" s="26"/>
      <c r="H2274" s="26"/>
      <c r="I2274" s="26"/>
      <c r="J2274" s="26"/>
      <c r="K2274" s="26"/>
      <c r="L2274" s="26"/>
      <c r="M2274" s="26"/>
      <c r="N2274" s="26"/>
      <c r="O2274" s="26"/>
      <c r="P2274" s="26"/>
      <c r="Q2274" s="66"/>
      <c r="R2274" s="66"/>
      <c r="S2274" s="26"/>
    </row>
    <row r="2275" spans="1:19">
      <c r="A2275" s="24"/>
      <c r="B2275" s="25" t="s">
        <v>165</v>
      </c>
      <c r="C2275" s="26" t="s">
        <v>8</v>
      </c>
      <c r="D2275" s="351">
        <v>1</v>
      </c>
      <c r="E2275" s="25"/>
      <c r="F2275" s="351">
        <v>1</v>
      </c>
      <c r="G2275" s="26"/>
      <c r="H2275" s="26"/>
      <c r="I2275" s="26"/>
      <c r="J2275" s="26"/>
      <c r="K2275" s="26"/>
      <c r="L2275" s="26"/>
      <c r="M2275" s="26"/>
      <c r="N2275" s="26"/>
      <c r="O2275" s="26"/>
      <c r="P2275" s="26"/>
      <c r="Q2275" s="66"/>
      <c r="R2275" s="66"/>
      <c r="S2275" s="26"/>
    </row>
    <row r="2276" spans="1:19">
      <c r="A2276" s="24"/>
      <c r="B2276" s="25" t="s">
        <v>224</v>
      </c>
      <c r="C2276" s="26" t="s">
        <v>8</v>
      </c>
      <c r="D2276" s="351">
        <v>2</v>
      </c>
      <c r="E2276" s="25"/>
      <c r="F2276" s="351">
        <v>2</v>
      </c>
      <c r="G2276" s="26"/>
      <c r="H2276" s="26"/>
      <c r="I2276" s="26"/>
      <c r="J2276" s="26"/>
      <c r="K2276" s="26"/>
      <c r="L2276" s="26"/>
      <c r="M2276" s="26"/>
      <c r="N2276" s="26"/>
      <c r="O2276" s="26"/>
      <c r="P2276" s="26"/>
      <c r="Q2276" s="66"/>
      <c r="R2276" s="66"/>
      <c r="S2276" s="26"/>
    </row>
    <row r="2277" spans="1:19">
      <c r="A2277" s="24"/>
      <c r="B2277" s="25" t="s">
        <v>166</v>
      </c>
      <c r="C2277" s="26" t="s">
        <v>8</v>
      </c>
      <c r="D2277" s="351">
        <v>3</v>
      </c>
      <c r="E2277" s="25"/>
      <c r="F2277" s="351">
        <v>3</v>
      </c>
      <c r="G2277" s="26"/>
      <c r="H2277" s="26"/>
      <c r="I2277" s="26"/>
      <c r="J2277" s="26"/>
      <c r="K2277" s="26"/>
      <c r="L2277" s="26"/>
      <c r="M2277" s="26"/>
      <c r="N2277" s="26"/>
      <c r="O2277" s="26"/>
      <c r="P2277" s="26"/>
      <c r="Q2277" s="66"/>
      <c r="R2277" s="66"/>
      <c r="S2277" s="26"/>
    </row>
    <row r="2278" spans="1:19">
      <c r="A2278" s="24"/>
      <c r="B2278" s="25" t="s">
        <v>167</v>
      </c>
      <c r="C2278" s="26" t="s">
        <v>8</v>
      </c>
      <c r="D2278" s="351">
        <v>2</v>
      </c>
      <c r="E2278" s="25"/>
      <c r="F2278" s="351">
        <v>2</v>
      </c>
      <c r="G2278" s="26"/>
      <c r="H2278" s="26"/>
      <c r="I2278" s="26"/>
      <c r="J2278" s="26"/>
      <c r="K2278" s="26"/>
      <c r="L2278" s="26"/>
      <c r="M2278" s="26"/>
      <c r="N2278" s="26"/>
      <c r="O2278" s="26"/>
      <c r="P2278" s="26"/>
      <c r="Q2278" s="66"/>
      <c r="R2278" s="66"/>
      <c r="S2278" s="26"/>
    </row>
    <row r="2279" spans="1:19">
      <c r="A2279" s="24"/>
      <c r="B2279" s="25" t="s">
        <v>174</v>
      </c>
      <c r="C2279" s="26" t="s">
        <v>17</v>
      </c>
      <c r="D2279" s="351">
        <v>1</v>
      </c>
      <c r="E2279" s="25"/>
      <c r="F2279" s="351">
        <v>1</v>
      </c>
      <c r="G2279" s="26"/>
      <c r="H2279" s="26"/>
      <c r="I2279" s="26"/>
      <c r="J2279" s="26"/>
      <c r="K2279" s="26"/>
      <c r="L2279" s="26"/>
      <c r="M2279" s="26"/>
      <c r="N2279" s="26"/>
      <c r="O2279" s="26"/>
      <c r="P2279" s="26"/>
      <c r="Q2279" s="66"/>
      <c r="R2279" s="66"/>
      <c r="S2279" s="26"/>
    </row>
    <row r="2280" spans="1:19">
      <c r="A2280" s="24"/>
      <c r="B2280" s="25" t="s">
        <v>175</v>
      </c>
      <c r="C2280" s="26" t="s">
        <v>17</v>
      </c>
      <c r="D2280" s="351">
        <v>1</v>
      </c>
      <c r="E2280" s="25"/>
      <c r="F2280" s="351">
        <v>1</v>
      </c>
      <c r="G2280" s="26"/>
      <c r="H2280" s="26"/>
      <c r="I2280" s="26"/>
      <c r="J2280" s="26"/>
      <c r="K2280" s="26"/>
      <c r="L2280" s="26"/>
      <c r="M2280" s="26"/>
      <c r="N2280" s="26"/>
      <c r="O2280" s="26"/>
      <c r="P2280" s="26"/>
      <c r="Q2280" s="66"/>
      <c r="R2280" s="66"/>
      <c r="S2280" s="26"/>
    </row>
    <row r="2281" spans="1:19" ht="30">
      <c r="A2281" s="24"/>
      <c r="B2281" s="25" t="s">
        <v>176</v>
      </c>
      <c r="C2281" s="26" t="s">
        <v>78</v>
      </c>
      <c r="D2281" s="351">
        <v>1</v>
      </c>
      <c r="E2281" s="25"/>
      <c r="F2281" s="351">
        <v>1</v>
      </c>
      <c r="G2281" s="26"/>
      <c r="H2281" s="26"/>
      <c r="I2281" s="26"/>
      <c r="J2281" s="26"/>
      <c r="K2281" s="26"/>
      <c r="L2281" s="26"/>
      <c r="M2281" s="26"/>
      <c r="N2281" s="26"/>
      <c r="O2281" s="26"/>
      <c r="P2281" s="26"/>
      <c r="Q2281" s="66"/>
      <c r="R2281" s="66"/>
      <c r="S2281" s="26"/>
    </row>
    <row r="2282" spans="1:19" ht="60">
      <c r="A2282" s="24">
        <v>100</v>
      </c>
      <c r="B2282" s="25" t="s">
        <v>479</v>
      </c>
      <c r="C2282" s="26" t="s">
        <v>7</v>
      </c>
      <c r="D2282" s="351">
        <v>3</v>
      </c>
      <c r="E2282" s="25"/>
      <c r="F2282" s="351">
        <v>3</v>
      </c>
      <c r="G2282" s="26" t="s">
        <v>2326</v>
      </c>
      <c r="H2282" s="26"/>
      <c r="I2282" s="26" t="s">
        <v>2327</v>
      </c>
      <c r="J2282" s="26" t="s">
        <v>2328</v>
      </c>
      <c r="K2282" s="311">
        <v>6455820.6899999995</v>
      </c>
      <c r="L2282" s="311">
        <v>0</v>
      </c>
      <c r="M2282" s="311">
        <v>904000.00000000012</v>
      </c>
      <c r="N2282" s="311">
        <v>732103.10000000009</v>
      </c>
      <c r="O2282" s="311">
        <v>512472.17000000004</v>
      </c>
      <c r="P2282" s="68">
        <f>SUM(K2282:O2282)</f>
        <v>8604395.959999999</v>
      </c>
      <c r="Q2282" s="68">
        <f>D2282*P2282</f>
        <v>25813187.879999995</v>
      </c>
      <c r="R2282" s="127">
        <f>F2282*P2282</f>
        <v>25813187.879999995</v>
      </c>
      <c r="S2282" s="26"/>
    </row>
    <row r="2283" spans="1:19" ht="30">
      <c r="A2283" s="24"/>
      <c r="B2283" s="25" t="s">
        <v>468</v>
      </c>
      <c r="C2283" s="26" t="s">
        <v>8</v>
      </c>
      <c r="D2283" s="351">
        <v>1</v>
      </c>
      <c r="E2283" s="25"/>
      <c r="F2283" s="351">
        <v>1</v>
      </c>
      <c r="G2283" s="26"/>
      <c r="H2283" s="26"/>
      <c r="I2283" s="26"/>
      <c r="J2283" s="26"/>
      <c r="K2283" s="26"/>
      <c r="L2283" s="26"/>
      <c r="M2283" s="26"/>
      <c r="N2283" s="26"/>
      <c r="O2283" s="26"/>
      <c r="P2283" s="26"/>
      <c r="Q2283" s="66"/>
      <c r="R2283" s="66"/>
      <c r="S2283" s="26"/>
    </row>
    <row r="2284" spans="1:19">
      <c r="A2284" s="24"/>
      <c r="B2284" s="25" t="s">
        <v>161</v>
      </c>
      <c r="C2284" s="26"/>
      <c r="D2284" s="351"/>
      <c r="E2284" s="25"/>
      <c r="F2284" s="351"/>
      <c r="G2284" s="26"/>
      <c r="H2284" s="26"/>
      <c r="I2284" s="26"/>
      <c r="J2284" s="26"/>
      <c r="K2284" s="26"/>
      <c r="L2284" s="26"/>
      <c r="M2284" s="26"/>
      <c r="N2284" s="26"/>
      <c r="O2284" s="26"/>
      <c r="P2284" s="26"/>
      <c r="Q2284" s="66"/>
      <c r="R2284" s="66"/>
      <c r="S2284" s="26"/>
    </row>
    <row r="2285" spans="1:19">
      <c r="A2285" s="24"/>
      <c r="B2285" s="25" t="s">
        <v>219</v>
      </c>
      <c r="C2285" s="26" t="s">
        <v>8</v>
      </c>
      <c r="D2285" s="351">
        <v>1</v>
      </c>
      <c r="E2285" s="25"/>
      <c r="F2285" s="351">
        <v>1</v>
      </c>
      <c r="G2285" s="26"/>
      <c r="H2285" s="26"/>
      <c r="I2285" s="26"/>
      <c r="J2285" s="26"/>
      <c r="K2285" s="26"/>
      <c r="L2285" s="26"/>
      <c r="M2285" s="26"/>
      <c r="N2285" s="26"/>
      <c r="O2285" s="26"/>
      <c r="P2285" s="26"/>
      <c r="Q2285" s="66"/>
      <c r="R2285" s="66"/>
      <c r="S2285" s="26"/>
    </row>
    <row r="2286" spans="1:19">
      <c r="A2286" s="24"/>
      <c r="B2286" s="25" t="s">
        <v>202</v>
      </c>
      <c r="C2286" s="26" t="s">
        <v>20</v>
      </c>
      <c r="D2286" s="351">
        <v>3</v>
      </c>
      <c r="E2286" s="25"/>
      <c r="F2286" s="351">
        <v>3</v>
      </c>
      <c r="G2286" s="26"/>
      <c r="H2286" s="26"/>
      <c r="I2286" s="26"/>
      <c r="J2286" s="26"/>
      <c r="K2286" s="26"/>
      <c r="L2286" s="26"/>
      <c r="M2286" s="26"/>
      <c r="N2286" s="26"/>
      <c r="O2286" s="26"/>
      <c r="P2286" s="26"/>
      <c r="Q2286" s="66"/>
      <c r="R2286" s="66"/>
      <c r="S2286" s="26"/>
    </row>
    <row r="2287" spans="1:19">
      <c r="A2287" s="24"/>
      <c r="B2287" s="25" t="s">
        <v>21</v>
      </c>
      <c r="C2287" s="26" t="s">
        <v>8</v>
      </c>
      <c r="D2287" s="351">
        <v>1</v>
      </c>
      <c r="E2287" s="25"/>
      <c r="F2287" s="351">
        <v>1</v>
      </c>
      <c r="G2287" s="26"/>
      <c r="H2287" s="26"/>
      <c r="I2287" s="26"/>
      <c r="J2287" s="26"/>
      <c r="K2287" s="26"/>
      <c r="L2287" s="26"/>
      <c r="M2287" s="26"/>
      <c r="N2287" s="26"/>
      <c r="O2287" s="26"/>
      <c r="P2287" s="26"/>
      <c r="Q2287" s="66"/>
      <c r="R2287" s="66"/>
      <c r="S2287" s="26"/>
    </row>
    <row r="2288" spans="1:19">
      <c r="A2288" s="24"/>
      <c r="B2288" s="25" t="s">
        <v>22</v>
      </c>
      <c r="C2288" s="26" t="s">
        <v>8</v>
      </c>
      <c r="D2288" s="351">
        <v>1</v>
      </c>
      <c r="E2288" s="25"/>
      <c r="F2288" s="351">
        <v>1</v>
      </c>
      <c r="G2288" s="26"/>
      <c r="H2288" s="26"/>
      <c r="I2288" s="26"/>
      <c r="J2288" s="26"/>
      <c r="K2288" s="26"/>
      <c r="L2288" s="26"/>
      <c r="M2288" s="26"/>
      <c r="N2288" s="26"/>
      <c r="O2288" s="26"/>
      <c r="P2288" s="26"/>
      <c r="Q2288" s="66"/>
      <c r="R2288" s="66"/>
      <c r="S2288" s="26"/>
    </row>
    <row r="2289" spans="1:19">
      <c r="A2289" s="24"/>
      <c r="B2289" s="25" t="s">
        <v>203</v>
      </c>
      <c r="C2289" s="26" t="s">
        <v>8</v>
      </c>
      <c r="D2289" s="351">
        <v>3</v>
      </c>
      <c r="E2289" s="25"/>
      <c r="F2289" s="351">
        <v>3</v>
      </c>
      <c r="G2289" s="26"/>
      <c r="H2289" s="26"/>
      <c r="I2289" s="26"/>
      <c r="J2289" s="26"/>
      <c r="K2289" s="26"/>
      <c r="L2289" s="26"/>
      <c r="M2289" s="26"/>
      <c r="N2289" s="26"/>
      <c r="O2289" s="26"/>
      <c r="P2289" s="26"/>
      <c r="Q2289" s="66"/>
      <c r="R2289" s="66"/>
      <c r="S2289" s="26"/>
    </row>
    <row r="2290" spans="1:19">
      <c r="A2290" s="24"/>
      <c r="B2290" s="25" t="s">
        <v>24</v>
      </c>
      <c r="C2290" s="26" t="s">
        <v>8</v>
      </c>
      <c r="D2290" s="351">
        <v>3</v>
      </c>
      <c r="E2290" s="25"/>
      <c r="F2290" s="351">
        <v>3</v>
      </c>
      <c r="G2290" s="26"/>
      <c r="H2290" s="26"/>
      <c r="I2290" s="26"/>
      <c r="J2290" s="26"/>
      <c r="K2290" s="26"/>
      <c r="L2290" s="26"/>
      <c r="M2290" s="26"/>
      <c r="N2290" s="26"/>
      <c r="O2290" s="26"/>
      <c r="P2290" s="26"/>
      <c r="Q2290" s="66"/>
      <c r="R2290" s="66"/>
      <c r="S2290" s="26"/>
    </row>
    <row r="2291" spans="1:19">
      <c r="A2291" s="24"/>
      <c r="B2291" s="25" t="s">
        <v>164</v>
      </c>
      <c r="C2291" s="26"/>
      <c r="D2291" s="351"/>
      <c r="E2291" s="25"/>
      <c r="F2291" s="351"/>
      <c r="G2291" s="26"/>
      <c r="H2291" s="26"/>
      <c r="I2291" s="26"/>
      <c r="J2291" s="26"/>
      <c r="K2291" s="26"/>
      <c r="L2291" s="26"/>
      <c r="M2291" s="26"/>
      <c r="N2291" s="26"/>
      <c r="O2291" s="26"/>
      <c r="P2291" s="26"/>
      <c r="Q2291" s="66"/>
      <c r="R2291" s="66"/>
      <c r="S2291" s="26"/>
    </row>
    <row r="2292" spans="1:19">
      <c r="A2292" s="24"/>
      <c r="B2292" s="25" t="s">
        <v>277</v>
      </c>
      <c r="C2292" s="26" t="s">
        <v>17</v>
      </c>
      <c r="D2292" s="351">
        <v>1</v>
      </c>
      <c r="E2292" s="25"/>
      <c r="F2292" s="351">
        <v>1</v>
      </c>
      <c r="G2292" s="26"/>
      <c r="H2292" s="26"/>
      <c r="I2292" s="26"/>
      <c r="J2292" s="26"/>
      <c r="K2292" s="26"/>
      <c r="L2292" s="26"/>
      <c r="M2292" s="26"/>
      <c r="N2292" s="26"/>
      <c r="O2292" s="26"/>
      <c r="P2292" s="26"/>
      <c r="Q2292" s="66"/>
      <c r="R2292" s="66"/>
      <c r="S2292" s="26"/>
    </row>
    <row r="2293" spans="1:19" ht="30">
      <c r="A2293" s="24"/>
      <c r="B2293" s="25" t="s">
        <v>176</v>
      </c>
      <c r="C2293" s="26" t="s">
        <v>78</v>
      </c>
      <c r="D2293" s="351">
        <v>1</v>
      </c>
      <c r="E2293" s="25"/>
      <c r="F2293" s="351">
        <v>1</v>
      </c>
      <c r="G2293" s="26"/>
      <c r="H2293" s="26"/>
      <c r="I2293" s="26"/>
      <c r="J2293" s="26"/>
      <c r="K2293" s="26"/>
      <c r="L2293" s="26"/>
      <c r="M2293" s="26"/>
      <c r="N2293" s="26"/>
      <c r="O2293" s="26"/>
      <c r="P2293" s="26"/>
      <c r="Q2293" s="66"/>
      <c r="R2293" s="66"/>
      <c r="S2293" s="26"/>
    </row>
    <row r="2294" spans="1:19" ht="60">
      <c r="A2294" s="24">
        <v>101</v>
      </c>
      <c r="B2294" s="25" t="s">
        <v>480</v>
      </c>
      <c r="C2294" s="26" t="s">
        <v>7</v>
      </c>
      <c r="D2294" s="351">
        <v>1</v>
      </c>
      <c r="E2294" s="25"/>
      <c r="F2294" s="351">
        <v>1</v>
      </c>
      <c r="G2294" s="26" t="s">
        <v>2326</v>
      </c>
      <c r="H2294" s="26"/>
      <c r="I2294" s="26" t="s">
        <v>2327</v>
      </c>
      <c r="J2294" s="26" t="s">
        <v>2328</v>
      </c>
      <c r="K2294" s="311">
        <v>14978378.249999998</v>
      </c>
      <c r="L2294" s="311">
        <v>0</v>
      </c>
      <c r="M2294" s="311">
        <v>1318333.3333333335</v>
      </c>
      <c r="N2294" s="311">
        <v>1629634.1666666667</v>
      </c>
      <c r="O2294" s="311">
        <v>1140743.9166666667</v>
      </c>
      <c r="P2294" s="68">
        <f>SUM(K2294:O2294)</f>
        <v>19067089.666666668</v>
      </c>
      <c r="Q2294" s="68">
        <f>D2294*P2294</f>
        <v>19067089.666666668</v>
      </c>
      <c r="R2294" s="127">
        <f>F2294*P2294</f>
        <v>19067089.666666668</v>
      </c>
      <c r="S2294" s="26"/>
    </row>
    <row r="2295" spans="1:19" ht="30">
      <c r="A2295" s="24"/>
      <c r="B2295" s="25" t="s">
        <v>192</v>
      </c>
      <c r="C2295" s="26" t="s">
        <v>8</v>
      </c>
      <c r="D2295" s="351">
        <v>1</v>
      </c>
      <c r="E2295" s="25"/>
      <c r="F2295" s="351">
        <v>1</v>
      </c>
      <c r="G2295" s="26"/>
      <c r="H2295" s="26"/>
      <c r="I2295" s="26"/>
      <c r="J2295" s="26"/>
      <c r="K2295" s="311"/>
      <c r="L2295" s="311"/>
      <c r="M2295" s="311"/>
      <c r="N2295" s="311"/>
      <c r="O2295" s="311"/>
      <c r="P2295" s="68"/>
      <c r="Q2295" s="68"/>
      <c r="R2295" s="127"/>
      <c r="S2295" s="26"/>
    </row>
    <row r="2296" spans="1:19">
      <c r="A2296" s="24"/>
      <c r="B2296" s="25" t="s">
        <v>161</v>
      </c>
      <c r="C2296" s="26"/>
      <c r="D2296" s="351"/>
      <c r="E2296" s="25"/>
      <c r="F2296" s="351"/>
      <c r="G2296" s="26"/>
      <c r="H2296" s="26"/>
      <c r="I2296" s="26"/>
      <c r="J2296" s="26"/>
      <c r="K2296" s="26"/>
      <c r="L2296" s="26"/>
      <c r="M2296" s="26"/>
      <c r="N2296" s="26"/>
      <c r="O2296" s="26"/>
      <c r="P2296" s="26"/>
      <c r="Q2296" s="66"/>
      <c r="R2296" s="66"/>
      <c r="S2296" s="26"/>
    </row>
    <row r="2297" spans="1:19">
      <c r="A2297" s="24"/>
      <c r="B2297" s="25" t="s">
        <v>481</v>
      </c>
      <c r="C2297" s="26" t="s">
        <v>8</v>
      </c>
      <c r="D2297" s="351">
        <v>1</v>
      </c>
      <c r="E2297" s="25"/>
      <c r="F2297" s="351">
        <v>1</v>
      </c>
      <c r="G2297" s="26"/>
      <c r="H2297" s="26"/>
      <c r="I2297" s="26"/>
      <c r="J2297" s="26"/>
      <c r="K2297" s="26"/>
      <c r="L2297" s="26"/>
      <c r="M2297" s="26"/>
      <c r="N2297" s="26"/>
      <c r="O2297" s="26"/>
      <c r="P2297" s="26"/>
      <c r="Q2297" s="66"/>
      <c r="R2297" s="66"/>
      <c r="S2297" s="26"/>
    </row>
    <row r="2298" spans="1:19">
      <c r="A2298" s="24"/>
      <c r="B2298" s="25" t="s">
        <v>202</v>
      </c>
      <c r="C2298" s="26" t="s">
        <v>20</v>
      </c>
      <c r="D2298" s="351">
        <v>3</v>
      </c>
      <c r="E2298" s="25"/>
      <c r="F2298" s="351">
        <v>3</v>
      </c>
      <c r="G2298" s="26"/>
      <c r="H2298" s="26"/>
      <c r="I2298" s="26"/>
      <c r="J2298" s="26"/>
      <c r="K2298" s="26"/>
      <c r="L2298" s="26"/>
      <c r="M2298" s="26"/>
      <c r="N2298" s="26"/>
      <c r="O2298" s="26"/>
      <c r="P2298" s="26"/>
      <c r="Q2298" s="66"/>
      <c r="R2298" s="66"/>
      <c r="S2298" s="26"/>
    </row>
    <row r="2299" spans="1:19">
      <c r="A2299" s="24"/>
      <c r="B2299" s="25" t="s">
        <v>21</v>
      </c>
      <c r="C2299" s="26" t="s">
        <v>8</v>
      </c>
      <c r="D2299" s="351">
        <v>1</v>
      </c>
      <c r="E2299" s="25"/>
      <c r="F2299" s="351">
        <v>1</v>
      </c>
      <c r="G2299" s="26"/>
      <c r="H2299" s="26"/>
      <c r="I2299" s="26"/>
      <c r="J2299" s="26"/>
      <c r="K2299" s="26"/>
      <c r="L2299" s="26"/>
      <c r="M2299" s="26"/>
      <c r="N2299" s="26"/>
      <c r="O2299" s="26"/>
      <c r="P2299" s="26"/>
      <c r="Q2299" s="66"/>
      <c r="R2299" s="66"/>
      <c r="S2299" s="26"/>
    </row>
    <row r="2300" spans="1:19">
      <c r="A2300" s="24"/>
      <c r="B2300" s="25" t="s">
        <v>22</v>
      </c>
      <c r="C2300" s="26" t="s">
        <v>8</v>
      </c>
      <c r="D2300" s="351">
        <v>1</v>
      </c>
      <c r="E2300" s="25"/>
      <c r="F2300" s="351">
        <v>1</v>
      </c>
      <c r="G2300" s="26"/>
      <c r="H2300" s="26"/>
      <c r="I2300" s="26"/>
      <c r="J2300" s="26"/>
      <c r="K2300" s="26"/>
      <c r="L2300" s="26"/>
      <c r="M2300" s="26"/>
      <c r="N2300" s="26"/>
      <c r="O2300" s="26"/>
      <c r="P2300" s="26"/>
      <c r="Q2300" s="66"/>
      <c r="R2300" s="66"/>
      <c r="S2300" s="26"/>
    </row>
    <row r="2301" spans="1:19">
      <c r="A2301" s="24"/>
      <c r="B2301" s="25" t="s">
        <v>203</v>
      </c>
      <c r="C2301" s="26" t="s">
        <v>8</v>
      </c>
      <c r="D2301" s="351">
        <v>3</v>
      </c>
      <c r="E2301" s="25"/>
      <c r="F2301" s="351">
        <v>3</v>
      </c>
      <c r="G2301" s="26"/>
      <c r="H2301" s="26"/>
      <c r="I2301" s="26"/>
      <c r="J2301" s="26"/>
      <c r="K2301" s="26"/>
      <c r="L2301" s="26"/>
      <c r="M2301" s="26"/>
      <c r="N2301" s="26"/>
      <c r="O2301" s="26"/>
      <c r="P2301" s="26"/>
      <c r="Q2301" s="66"/>
      <c r="R2301" s="66"/>
      <c r="S2301" s="26"/>
    </row>
    <row r="2302" spans="1:19">
      <c r="A2302" s="24"/>
      <c r="B2302" s="25" t="s">
        <v>24</v>
      </c>
      <c r="C2302" s="26" t="s">
        <v>8</v>
      </c>
      <c r="D2302" s="351">
        <v>3</v>
      </c>
      <c r="E2302" s="25"/>
      <c r="F2302" s="351">
        <v>3</v>
      </c>
      <c r="G2302" s="26"/>
      <c r="H2302" s="26"/>
      <c r="I2302" s="26"/>
      <c r="J2302" s="26"/>
      <c r="K2302" s="26"/>
      <c r="L2302" s="26"/>
      <c r="M2302" s="26"/>
      <c r="N2302" s="26"/>
      <c r="O2302" s="26"/>
      <c r="P2302" s="26"/>
      <c r="Q2302" s="66"/>
      <c r="R2302" s="66"/>
      <c r="S2302" s="26"/>
    </row>
    <row r="2303" spans="1:19">
      <c r="A2303" s="24"/>
      <c r="B2303" s="25" t="s">
        <v>163</v>
      </c>
      <c r="C2303" s="26" t="s">
        <v>8</v>
      </c>
      <c r="D2303" s="351">
        <v>3</v>
      </c>
      <c r="E2303" s="25"/>
      <c r="F2303" s="351">
        <v>3</v>
      </c>
      <c r="G2303" s="26"/>
      <c r="H2303" s="26"/>
      <c r="I2303" s="26"/>
      <c r="J2303" s="26"/>
      <c r="K2303" s="26"/>
      <c r="L2303" s="26"/>
      <c r="M2303" s="26"/>
      <c r="N2303" s="26"/>
      <c r="O2303" s="26"/>
      <c r="P2303" s="26"/>
      <c r="Q2303" s="66"/>
      <c r="R2303" s="66"/>
      <c r="S2303" s="26"/>
    </row>
    <row r="2304" spans="1:19">
      <c r="A2304" s="24"/>
      <c r="B2304" s="25" t="s">
        <v>164</v>
      </c>
      <c r="C2304" s="26"/>
      <c r="D2304" s="351"/>
      <c r="E2304" s="25"/>
      <c r="F2304" s="351"/>
      <c r="G2304" s="26"/>
      <c r="H2304" s="26"/>
      <c r="I2304" s="26"/>
      <c r="J2304" s="26"/>
      <c r="K2304" s="26"/>
      <c r="L2304" s="26"/>
      <c r="M2304" s="26"/>
      <c r="N2304" s="26"/>
      <c r="O2304" s="26"/>
      <c r="P2304" s="26"/>
      <c r="Q2304" s="66"/>
      <c r="R2304" s="66"/>
      <c r="S2304" s="26"/>
    </row>
    <row r="2305" spans="1:19">
      <c r="A2305" s="24"/>
      <c r="B2305" s="25" t="s">
        <v>260</v>
      </c>
      <c r="C2305" s="26" t="s">
        <v>8</v>
      </c>
      <c r="D2305" s="351">
        <v>2</v>
      </c>
      <c r="E2305" s="25"/>
      <c r="F2305" s="351">
        <v>2</v>
      </c>
      <c r="G2305" s="26"/>
      <c r="H2305" s="26"/>
      <c r="I2305" s="26"/>
      <c r="J2305" s="26"/>
      <c r="K2305" s="26"/>
      <c r="L2305" s="26"/>
      <c r="M2305" s="26"/>
      <c r="N2305" s="26"/>
      <c r="O2305" s="26"/>
      <c r="P2305" s="26"/>
      <c r="Q2305" s="66"/>
      <c r="R2305" s="66"/>
      <c r="S2305" s="26"/>
    </row>
    <row r="2306" spans="1:19">
      <c r="A2306" s="24"/>
      <c r="B2306" s="25" t="s">
        <v>168</v>
      </c>
      <c r="C2306" s="26" t="s">
        <v>8</v>
      </c>
      <c r="D2306" s="351">
        <v>1</v>
      </c>
      <c r="E2306" s="25"/>
      <c r="F2306" s="351">
        <v>1</v>
      </c>
      <c r="G2306" s="26"/>
      <c r="H2306" s="26"/>
      <c r="I2306" s="26"/>
      <c r="J2306" s="26"/>
      <c r="K2306" s="26"/>
      <c r="L2306" s="26"/>
      <c r="M2306" s="26"/>
      <c r="N2306" s="26"/>
      <c r="O2306" s="26"/>
      <c r="P2306" s="26"/>
      <c r="Q2306" s="66"/>
      <c r="R2306" s="66"/>
      <c r="S2306" s="26"/>
    </row>
    <row r="2307" spans="1:19">
      <c r="A2307" s="24"/>
      <c r="B2307" s="25" t="s">
        <v>482</v>
      </c>
      <c r="C2307" s="26" t="s">
        <v>17</v>
      </c>
      <c r="D2307" s="351">
        <v>2</v>
      </c>
      <c r="E2307" s="25"/>
      <c r="F2307" s="351">
        <v>2</v>
      </c>
      <c r="G2307" s="26"/>
      <c r="H2307" s="26"/>
      <c r="I2307" s="26"/>
      <c r="J2307" s="26"/>
      <c r="K2307" s="26"/>
      <c r="L2307" s="26"/>
      <c r="M2307" s="26"/>
      <c r="N2307" s="26"/>
      <c r="O2307" s="26"/>
      <c r="P2307" s="26"/>
      <c r="Q2307" s="66"/>
      <c r="R2307" s="66"/>
      <c r="S2307" s="26"/>
    </row>
    <row r="2308" spans="1:19">
      <c r="A2308" s="24"/>
      <c r="B2308" s="25" t="s">
        <v>182</v>
      </c>
      <c r="C2308" s="26" t="s">
        <v>8</v>
      </c>
      <c r="D2308" s="351">
        <v>2</v>
      </c>
      <c r="E2308" s="25"/>
      <c r="F2308" s="351">
        <v>2</v>
      </c>
      <c r="G2308" s="26"/>
      <c r="H2308" s="26"/>
      <c r="I2308" s="26"/>
      <c r="J2308" s="26"/>
      <c r="K2308" s="26"/>
      <c r="L2308" s="26"/>
      <c r="M2308" s="26"/>
      <c r="N2308" s="26"/>
      <c r="O2308" s="26"/>
      <c r="P2308" s="26"/>
      <c r="Q2308" s="66"/>
      <c r="R2308" s="66"/>
      <c r="S2308" s="26"/>
    </row>
    <row r="2309" spans="1:19">
      <c r="A2309" s="24"/>
      <c r="B2309" s="25" t="s">
        <v>183</v>
      </c>
      <c r="C2309" s="26" t="s">
        <v>8</v>
      </c>
      <c r="D2309" s="351">
        <v>2</v>
      </c>
      <c r="E2309" s="25"/>
      <c r="F2309" s="351">
        <v>2</v>
      </c>
      <c r="G2309" s="26"/>
      <c r="H2309" s="26"/>
      <c r="I2309" s="26"/>
      <c r="J2309" s="26"/>
      <c r="K2309" s="26"/>
      <c r="L2309" s="26"/>
      <c r="M2309" s="26"/>
      <c r="N2309" s="26"/>
      <c r="O2309" s="26"/>
      <c r="P2309" s="26"/>
      <c r="Q2309" s="66"/>
      <c r="R2309" s="66"/>
      <c r="S2309" s="26"/>
    </row>
    <row r="2310" spans="1:19">
      <c r="A2310" s="24"/>
      <c r="B2310" s="25" t="s">
        <v>262</v>
      </c>
      <c r="C2310" s="26" t="s">
        <v>8</v>
      </c>
      <c r="D2310" s="351">
        <v>2</v>
      </c>
      <c r="E2310" s="25"/>
      <c r="F2310" s="351">
        <v>2</v>
      </c>
      <c r="G2310" s="26"/>
      <c r="H2310" s="26"/>
      <c r="I2310" s="26"/>
      <c r="J2310" s="26"/>
      <c r="K2310" s="26"/>
      <c r="L2310" s="26"/>
      <c r="M2310" s="26"/>
      <c r="N2310" s="26"/>
      <c r="O2310" s="26"/>
      <c r="P2310" s="26"/>
      <c r="Q2310" s="66"/>
      <c r="R2310" s="66"/>
      <c r="S2310" s="26"/>
    </row>
    <row r="2311" spans="1:19">
      <c r="A2311" s="24"/>
      <c r="B2311" s="25" t="s">
        <v>185</v>
      </c>
      <c r="C2311" s="26" t="s">
        <v>8</v>
      </c>
      <c r="D2311" s="351">
        <v>2</v>
      </c>
      <c r="E2311" s="25"/>
      <c r="F2311" s="351">
        <v>2</v>
      </c>
      <c r="G2311" s="26"/>
      <c r="H2311" s="26"/>
      <c r="I2311" s="26"/>
      <c r="J2311" s="26"/>
      <c r="K2311" s="26"/>
      <c r="L2311" s="26"/>
      <c r="M2311" s="26"/>
      <c r="N2311" s="26"/>
      <c r="O2311" s="26"/>
      <c r="P2311" s="26"/>
      <c r="Q2311" s="66"/>
      <c r="R2311" s="66"/>
      <c r="S2311" s="26"/>
    </row>
    <row r="2312" spans="1:19">
      <c r="A2312" s="24"/>
      <c r="B2312" s="25" t="s">
        <v>186</v>
      </c>
      <c r="C2312" s="26" t="s">
        <v>8</v>
      </c>
      <c r="D2312" s="351">
        <v>4</v>
      </c>
      <c r="E2312" s="25"/>
      <c r="F2312" s="351">
        <v>4</v>
      </c>
      <c r="G2312" s="26"/>
      <c r="H2312" s="26"/>
      <c r="I2312" s="26"/>
      <c r="J2312" s="26"/>
      <c r="K2312" s="26"/>
      <c r="L2312" s="26"/>
      <c r="M2312" s="26"/>
      <c r="N2312" s="26"/>
      <c r="O2312" s="26"/>
      <c r="P2312" s="26"/>
      <c r="Q2312" s="66"/>
      <c r="R2312" s="66"/>
      <c r="S2312" s="26"/>
    </row>
    <row r="2313" spans="1:19">
      <c r="A2313" s="24"/>
      <c r="B2313" s="25" t="s">
        <v>187</v>
      </c>
      <c r="C2313" s="26" t="s">
        <v>78</v>
      </c>
      <c r="D2313" s="351">
        <v>1</v>
      </c>
      <c r="E2313" s="25"/>
      <c r="F2313" s="351">
        <v>1</v>
      </c>
      <c r="G2313" s="26"/>
      <c r="H2313" s="26"/>
      <c r="I2313" s="26"/>
      <c r="J2313" s="26"/>
      <c r="K2313" s="26"/>
      <c r="L2313" s="26"/>
      <c r="M2313" s="26"/>
      <c r="N2313" s="26"/>
      <c r="O2313" s="26"/>
      <c r="P2313" s="26"/>
      <c r="Q2313" s="66"/>
      <c r="R2313" s="66"/>
      <c r="S2313" s="26"/>
    </row>
    <row r="2314" spans="1:19">
      <c r="A2314" s="24"/>
      <c r="B2314" s="25" t="s">
        <v>263</v>
      </c>
      <c r="C2314" s="26" t="s">
        <v>8</v>
      </c>
      <c r="D2314" s="351">
        <v>1</v>
      </c>
      <c r="E2314" s="25"/>
      <c r="F2314" s="351">
        <v>1</v>
      </c>
      <c r="G2314" s="26"/>
      <c r="H2314" s="26"/>
      <c r="I2314" s="26"/>
      <c r="J2314" s="26"/>
      <c r="K2314" s="26"/>
      <c r="L2314" s="26"/>
      <c r="M2314" s="26"/>
      <c r="N2314" s="26"/>
      <c r="O2314" s="26"/>
      <c r="P2314" s="26"/>
      <c r="Q2314" s="66"/>
      <c r="R2314" s="66"/>
      <c r="S2314" s="26"/>
    </row>
    <row r="2315" spans="1:19">
      <c r="A2315" s="24"/>
      <c r="B2315" s="25" t="s">
        <v>173</v>
      </c>
      <c r="C2315" s="26" t="s">
        <v>8</v>
      </c>
      <c r="D2315" s="351">
        <v>1</v>
      </c>
      <c r="E2315" s="25"/>
      <c r="F2315" s="351">
        <v>1</v>
      </c>
      <c r="G2315" s="26"/>
      <c r="H2315" s="26"/>
      <c r="I2315" s="26"/>
      <c r="J2315" s="26"/>
      <c r="K2315" s="26"/>
      <c r="L2315" s="26"/>
      <c r="M2315" s="26"/>
      <c r="N2315" s="26"/>
      <c r="O2315" s="26"/>
      <c r="P2315" s="26"/>
      <c r="Q2315" s="66"/>
      <c r="R2315" s="66"/>
      <c r="S2315" s="26"/>
    </row>
    <row r="2316" spans="1:19">
      <c r="A2316" s="24"/>
      <c r="B2316" s="25" t="s">
        <v>217</v>
      </c>
      <c r="C2316" s="26" t="s">
        <v>17</v>
      </c>
      <c r="D2316" s="351">
        <v>1</v>
      </c>
      <c r="E2316" s="25"/>
      <c r="F2316" s="351">
        <v>1</v>
      </c>
      <c r="G2316" s="26"/>
      <c r="H2316" s="26"/>
      <c r="I2316" s="26"/>
      <c r="J2316" s="26"/>
      <c r="K2316" s="26"/>
      <c r="L2316" s="26"/>
      <c r="M2316" s="26"/>
      <c r="N2316" s="26"/>
      <c r="O2316" s="26"/>
      <c r="P2316" s="26"/>
      <c r="Q2316" s="66"/>
      <c r="R2316" s="66"/>
      <c r="S2316" s="26"/>
    </row>
    <row r="2317" spans="1:19" ht="30">
      <c r="A2317" s="24"/>
      <c r="B2317" s="25" t="s">
        <v>176</v>
      </c>
      <c r="C2317" s="26" t="s">
        <v>78</v>
      </c>
      <c r="D2317" s="351">
        <v>1</v>
      </c>
      <c r="E2317" s="25"/>
      <c r="F2317" s="351">
        <v>1</v>
      </c>
      <c r="G2317" s="26"/>
      <c r="H2317" s="26"/>
      <c r="I2317" s="26"/>
      <c r="J2317" s="26"/>
      <c r="K2317" s="26"/>
      <c r="L2317" s="26"/>
      <c r="M2317" s="26"/>
      <c r="N2317" s="26"/>
      <c r="O2317" s="26"/>
      <c r="P2317" s="26"/>
      <c r="Q2317" s="66"/>
      <c r="R2317" s="66"/>
      <c r="S2317" s="26"/>
    </row>
    <row r="2318" spans="1:19" s="93" customFormat="1" ht="60">
      <c r="A2318" s="24">
        <v>102</v>
      </c>
      <c r="B2318" s="27" t="s">
        <v>1886</v>
      </c>
      <c r="C2318" s="24" t="s">
        <v>7</v>
      </c>
      <c r="D2318" s="350">
        <v>1</v>
      </c>
      <c r="E2318" s="82" t="s">
        <v>1887</v>
      </c>
      <c r="F2318" s="350">
        <v>1</v>
      </c>
      <c r="G2318" s="26" t="s">
        <v>2326</v>
      </c>
      <c r="H2318" s="26"/>
      <c r="I2318" s="26" t="s">
        <v>2327</v>
      </c>
      <c r="J2318" s="26" t="s">
        <v>2328</v>
      </c>
      <c r="K2318" s="311">
        <v>21842116.559999999</v>
      </c>
      <c r="L2318" s="311">
        <v>0</v>
      </c>
      <c r="M2318" s="311">
        <v>2486000.0000000009</v>
      </c>
      <c r="N2318" s="311">
        <v>2426274.4</v>
      </c>
      <c r="O2318" s="311">
        <v>1698392.08</v>
      </c>
      <c r="P2318" s="68">
        <f>SUM(K2318:O2318)</f>
        <v>28452783.039999999</v>
      </c>
      <c r="Q2318" s="68">
        <f>D2318*P2318</f>
        <v>28452783.039999999</v>
      </c>
      <c r="R2318" s="127">
        <f>F2318*P2318</f>
        <v>28452783.039999999</v>
      </c>
      <c r="S2318" s="24"/>
    </row>
    <row r="2319" spans="1:19">
      <c r="A2319" s="181" t="s">
        <v>483</v>
      </c>
      <c r="B2319" s="182" t="s">
        <v>484</v>
      </c>
      <c r="C2319" s="181"/>
      <c r="D2319" s="355"/>
      <c r="E2319" s="319"/>
      <c r="F2319" s="355"/>
      <c r="G2319" s="342"/>
      <c r="H2319" s="342"/>
      <c r="I2319" s="342"/>
      <c r="J2319" s="342"/>
      <c r="K2319" s="342"/>
      <c r="L2319" s="342"/>
      <c r="M2319" s="342"/>
      <c r="N2319" s="342"/>
      <c r="O2319" s="342"/>
      <c r="P2319" s="342"/>
      <c r="Q2319" s="208"/>
      <c r="R2319" s="208"/>
      <c r="S2319" s="342"/>
    </row>
    <row r="2320" spans="1:19">
      <c r="A2320" s="26"/>
      <c r="B2320" s="27" t="s">
        <v>115</v>
      </c>
      <c r="C2320" s="26"/>
      <c r="D2320" s="351"/>
      <c r="E2320" s="25"/>
      <c r="F2320" s="351"/>
      <c r="G2320" s="26"/>
      <c r="H2320" s="26"/>
      <c r="I2320" s="26"/>
      <c r="J2320" s="26"/>
      <c r="K2320" s="26"/>
      <c r="L2320" s="26"/>
      <c r="M2320" s="26"/>
      <c r="N2320" s="26"/>
      <c r="O2320" s="26"/>
      <c r="P2320" s="26"/>
      <c r="Q2320" s="66"/>
      <c r="R2320" s="66"/>
      <c r="S2320" s="26"/>
    </row>
    <row r="2321" spans="1:19" ht="30">
      <c r="A2321" s="26">
        <v>1</v>
      </c>
      <c r="B2321" s="25" t="s">
        <v>128</v>
      </c>
      <c r="C2321" s="26" t="s">
        <v>117</v>
      </c>
      <c r="D2321" s="351">
        <v>222</v>
      </c>
      <c r="E2321" s="25"/>
      <c r="F2321" s="351">
        <v>222</v>
      </c>
      <c r="G2321" s="365" t="s">
        <v>2340</v>
      </c>
      <c r="H2321" s="365"/>
      <c r="I2321" s="365" t="s">
        <v>2330</v>
      </c>
      <c r="J2321" s="365" t="s">
        <v>2328</v>
      </c>
      <c r="K2321" s="311">
        <v>105213.42720000001</v>
      </c>
      <c r="L2321" s="311">
        <v>0</v>
      </c>
      <c r="M2321" s="311">
        <v>10376.74814814815</v>
      </c>
      <c r="N2321" s="311">
        <v>10570.904296296298</v>
      </c>
      <c r="O2321" s="311">
        <v>7399.6330074074085</v>
      </c>
      <c r="P2321" s="68">
        <f t="shared" ref="P2321:P2337" si="9">SUM(K2321:O2321)</f>
        <v>133560.71265185188</v>
      </c>
      <c r="Q2321" s="68">
        <f t="shared" ref="Q2321:Q2337" si="10">D2321*P2321</f>
        <v>29650478.208711118</v>
      </c>
      <c r="R2321" s="127">
        <f t="shared" ref="R2321:R2337" si="11">F2321*P2321</f>
        <v>29650478.208711118</v>
      </c>
      <c r="S2321" s="26"/>
    </row>
    <row r="2322" spans="1:19" ht="30">
      <c r="A2322" s="26">
        <v>2</v>
      </c>
      <c r="B2322" s="29" t="s">
        <v>1889</v>
      </c>
      <c r="C2322" s="30" t="s">
        <v>117</v>
      </c>
      <c r="D2322" s="352">
        <v>11</v>
      </c>
      <c r="E2322" s="29"/>
      <c r="F2322" s="352">
        <v>11</v>
      </c>
      <c r="G2322" s="365" t="s">
        <v>2338</v>
      </c>
      <c r="H2322" s="365"/>
      <c r="I2322" s="365" t="s">
        <v>2330</v>
      </c>
      <c r="J2322" s="365" t="s">
        <v>2328</v>
      </c>
      <c r="K2322" s="311">
        <v>152715.80160000004</v>
      </c>
      <c r="L2322" s="311">
        <v>0</v>
      </c>
      <c r="M2322" s="311">
        <v>16326.326923076924</v>
      </c>
      <c r="N2322" s="311">
        <v>15455.431692307693</v>
      </c>
      <c r="O2322" s="311">
        <v>10818.802184615386</v>
      </c>
      <c r="P2322" s="68">
        <f t="shared" si="9"/>
        <v>195316.36240000004</v>
      </c>
      <c r="Q2322" s="68">
        <f t="shared" si="10"/>
        <v>2148479.9864000003</v>
      </c>
      <c r="R2322" s="127">
        <f t="shared" si="11"/>
        <v>2148479.9864000003</v>
      </c>
      <c r="S2322" s="26"/>
    </row>
    <row r="2323" spans="1:19" ht="30">
      <c r="A2323" s="26">
        <v>3</v>
      </c>
      <c r="B2323" s="25" t="s">
        <v>485</v>
      </c>
      <c r="C2323" s="26" t="s">
        <v>117</v>
      </c>
      <c r="D2323" s="351">
        <v>30</v>
      </c>
      <c r="E2323" s="25"/>
      <c r="F2323" s="351">
        <v>30</v>
      </c>
      <c r="G2323" s="365" t="s">
        <v>2382</v>
      </c>
      <c r="H2323" s="365"/>
      <c r="I2323" s="365" t="s">
        <v>2330</v>
      </c>
      <c r="J2323" s="365" t="s">
        <v>2328</v>
      </c>
      <c r="K2323" s="311">
        <v>508357.33920000005</v>
      </c>
      <c r="L2323" s="311">
        <v>0</v>
      </c>
      <c r="M2323" s="311">
        <v>21949.815384615384</v>
      </c>
      <c r="N2323" s="311">
        <v>48580.749538461539</v>
      </c>
      <c r="O2323" s="311">
        <v>34006.52467692308</v>
      </c>
      <c r="P2323" s="68">
        <f t="shared" si="9"/>
        <v>612894.42879999999</v>
      </c>
      <c r="Q2323" s="68">
        <f t="shared" si="10"/>
        <v>18386832.864</v>
      </c>
      <c r="R2323" s="127">
        <f t="shared" si="11"/>
        <v>18386832.864</v>
      </c>
      <c r="S2323" s="26"/>
    </row>
    <row r="2324" spans="1:19" ht="30">
      <c r="A2324" s="26">
        <v>4</v>
      </c>
      <c r="B2324" s="25" t="s">
        <v>486</v>
      </c>
      <c r="C2324" s="26" t="s">
        <v>117</v>
      </c>
      <c r="D2324" s="351">
        <v>844</v>
      </c>
      <c r="E2324" s="25"/>
      <c r="F2324" s="351">
        <v>844</v>
      </c>
      <c r="G2324" s="365" t="s">
        <v>2383</v>
      </c>
      <c r="H2324" s="365"/>
      <c r="I2324" s="365" t="s">
        <v>2330</v>
      </c>
      <c r="J2324" s="365" t="s">
        <v>2328</v>
      </c>
      <c r="K2324" s="311">
        <v>374999.41440000007</v>
      </c>
      <c r="L2324" s="311">
        <v>0</v>
      </c>
      <c r="M2324" s="311">
        <v>18504.184615384616</v>
      </c>
      <c r="N2324" s="311">
        <v>36041.15446153847</v>
      </c>
      <c r="O2324" s="311">
        <v>25228.808123076928</v>
      </c>
      <c r="P2324" s="68">
        <f t="shared" si="9"/>
        <v>454773.56160000007</v>
      </c>
      <c r="Q2324" s="68">
        <f t="shared" si="10"/>
        <v>383828885.99040008</v>
      </c>
      <c r="R2324" s="127">
        <f t="shared" si="11"/>
        <v>383828885.99040008</v>
      </c>
      <c r="S2324" s="26"/>
    </row>
    <row r="2325" spans="1:19" ht="30">
      <c r="A2325" s="26">
        <v>5</v>
      </c>
      <c r="B2325" s="25" t="s">
        <v>487</v>
      </c>
      <c r="C2325" s="26" t="s">
        <v>117</v>
      </c>
      <c r="D2325" s="351">
        <v>10</v>
      </c>
      <c r="E2325" s="25"/>
      <c r="F2325" s="351">
        <v>10</v>
      </c>
      <c r="G2325" s="365" t="s">
        <v>2409</v>
      </c>
      <c r="H2325" s="365"/>
      <c r="I2325" s="365" t="s">
        <v>2330</v>
      </c>
      <c r="J2325" s="365" t="s">
        <v>2328</v>
      </c>
      <c r="K2325" s="311">
        <v>250526.99520000006</v>
      </c>
      <c r="L2325" s="311">
        <v>0</v>
      </c>
      <c r="M2325" s="311">
        <v>14874.276923076923</v>
      </c>
      <c r="N2325" s="311">
        <v>24300.435692307699</v>
      </c>
      <c r="O2325" s="311">
        <v>17010.304984615388</v>
      </c>
      <c r="P2325" s="68">
        <f t="shared" si="9"/>
        <v>306712.01280000014</v>
      </c>
      <c r="Q2325" s="68">
        <f t="shared" si="10"/>
        <v>3067120.1280000014</v>
      </c>
      <c r="R2325" s="127">
        <f t="shared" si="11"/>
        <v>3067120.1280000014</v>
      </c>
      <c r="S2325" s="26"/>
    </row>
    <row r="2326" spans="1:19" ht="30">
      <c r="A2326" s="26">
        <v>6</v>
      </c>
      <c r="B2326" s="25" t="s">
        <v>488</v>
      </c>
      <c r="C2326" s="26" t="s">
        <v>117</v>
      </c>
      <c r="D2326" s="351">
        <v>1286</v>
      </c>
      <c r="E2326" s="25"/>
      <c r="F2326" s="351">
        <v>1286</v>
      </c>
      <c r="G2326" s="365" t="s">
        <v>2384</v>
      </c>
      <c r="H2326" s="365"/>
      <c r="I2326" s="365" t="s">
        <v>2330</v>
      </c>
      <c r="J2326" s="365" t="s">
        <v>2328</v>
      </c>
      <c r="K2326" s="311">
        <v>173405.09160000004</v>
      </c>
      <c r="L2326" s="311">
        <v>0</v>
      </c>
      <c r="M2326" s="311">
        <v>13061.061538461538</v>
      </c>
      <c r="N2326" s="311">
        <v>17064.570153846154</v>
      </c>
      <c r="O2326" s="311">
        <v>11945.19910769231</v>
      </c>
      <c r="P2326" s="68">
        <f t="shared" si="9"/>
        <v>215475.92240000004</v>
      </c>
      <c r="Q2326" s="68">
        <f t="shared" si="10"/>
        <v>277102036.20640004</v>
      </c>
      <c r="R2326" s="127">
        <f t="shared" si="11"/>
        <v>277102036.20640004</v>
      </c>
      <c r="S2326" s="26"/>
    </row>
    <row r="2327" spans="1:19" ht="30">
      <c r="A2327" s="26">
        <v>7</v>
      </c>
      <c r="B2327" s="25" t="s">
        <v>489</v>
      </c>
      <c r="C2327" s="26" t="s">
        <v>117</v>
      </c>
      <c r="D2327" s="351">
        <v>346</v>
      </c>
      <c r="E2327" s="25"/>
      <c r="F2327" s="351">
        <v>346</v>
      </c>
      <c r="G2327" s="365" t="s">
        <v>2385</v>
      </c>
      <c r="H2327" s="365"/>
      <c r="I2327" s="365" t="s">
        <v>2330</v>
      </c>
      <c r="J2327" s="365" t="s">
        <v>2328</v>
      </c>
      <c r="K2327" s="311">
        <v>112570.92720000001</v>
      </c>
      <c r="L2327" s="311">
        <v>0</v>
      </c>
      <c r="M2327" s="311">
        <v>9746.6266666666688</v>
      </c>
      <c r="N2327" s="311">
        <v>11190.141333333333</v>
      </c>
      <c r="O2327" s="311">
        <v>7833.0989333333337</v>
      </c>
      <c r="P2327" s="68">
        <f t="shared" si="9"/>
        <v>141340.79413333334</v>
      </c>
      <c r="Q2327" s="68">
        <f t="shared" si="10"/>
        <v>48903914.770133339</v>
      </c>
      <c r="R2327" s="127">
        <f t="shared" si="11"/>
        <v>48903914.770133339</v>
      </c>
      <c r="S2327" s="26"/>
    </row>
    <row r="2328" spans="1:19" ht="30">
      <c r="A2328" s="26">
        <v>8</v>
      </c>
      <c r="B2328" s="25" t="s">
        <v>490</v>
      </c>
      <c r="C2328" s="26" t="s">
        <v>117</v>
      </c>
      <c r="D2328" s="351">
        <v>264</v>
      </c>
      <c r="E2328" s="25"/>
      <c r="F2328" s="351">
        <v>264</v>
      </c>
      <c r="G2328" s="365" t="s">
        <v>2386</v>
      </c>
      <c r="H2328" s="365"/>
      <c r="I2328" s="365" t="s">
        <v>2330</v>
      </c>
      <c r="J2328" s="365" t="s">
        <v>2328</v>
      </c>
      <c r="K2328" s="311">
        <v>84249.849600000016</v>
      </c>
      <c r="L2328" s="311">
        <v>0</v>
      </c>
      <c r="M2328" s="311">
        <v>8490.0666666666675</v>
      </c>
      <c r="N2328" s="311">
        <v>8480.6773333333331</v>
      </c>
      <c r="O2328" s="311">
        <v>5936.4741333333341</v>
      </c>
      <c r="P2328" s="68">
        <f t="shared" si="9"/>
        <v>107157.06773333336</v>
      </c>
      <c r="Q2328" s="68">
        <f t="shared" si="10"/>
        <v>28289465.881600007</v>
      </c>
      <c r="R2328" s="127">
        <f t="shared" si="11"/>
        <v>28289465.881600007</v>
      </c>
      <c r="S2328" s="26"/>
    </row>
    <row r="2329" spans="1:19" ht="30">
      <c r="A2329" s="26">
        <v>9</v>
      </c>
      <c r="B2329" s="25" t="s">
        <v>491</v>
      </c>
      <c r="C2329" s="26" t="s">
        <v>117</v>
      </c>
      <c r="D2329" s="351">
        <v>408</v>
      </c>
      <c r="E2329" s="25"/>
      <c r="F2329" s="351">
        <v>408</v>
      </c>
      <c r="G2329" s="365" t="s">
        <v>2387</v>
      </c>
      <c r="H2329" s="365"/>
      <c r="I2329" s="365" t="s">
        <v>2330</v>
      </c>
      <c r="J2329" s="365" t="s">
        <v>2328</v>
      </c>
      <c r="K2329" s="311">
        <v>62337.448800000013</v>
      </c>
      <c r="L2329" s="311">
        <v>0</v>
      </c>
      <c r="M2329" s="311">
        <v>9223.9807407407425</v>
      </c>
      <c r="N2329" s="311">
        <v>6535.313481481483</v>
      </c>
      <c r="O2329" s="311">
        <v>4574.719437037038</v>
      </c>
      <c r="P2329" s="68">
        <f t="shared" si="9"/>
        <v>82671.462459259288</v>
      </c>
      <c r="Q2329" s="68">
        <f t="shared" si="10"/>
        <v>33729956.683377787</v>
      </c>
      <c r="R2329" s="127">
        <f t="shared" si="11"/>
        <v>33729956.683377787</v>
      </c>
      <c r="S2329" s="26"/>
    </row>
    <row r="2330" spans="1:19" ht="30">
      <c r="A2330" s="26">
        <v>10</v>
      </c>
      <c r="B2330" s="25" t="s">
        <v>492</v>
      </c>
      <c r="C2330" s="26" t="s">
        <v>117</v>
      </c>
      <c r="D2330" s="351">
        <v>4770</v>
      </c>
      <c r="E2330" s="25"/>
      <c r="F2330" s="351">
        <v>4770</v>
      </c>
      <c r="G2330" s="365" t="s">
        <v>2388</v>
      </c>
      <c r="H2330" s="365"/>
      <c r="I2330" s="365" t="s">
        <v>2330</v>
      </c>
      <c r="J2330" s="365" t="s">
        <v>2328</v>
      </c>
      <c r="K2330" s="311">
        <v>48393.514800000004</v>
      </c>
      <c r="L2330" s="311">
        <v>0</v>
      </c>
      <c r="M2330" s="311">
        <v>6602.213333333334</v>
      </c>
      <c r="N2330" s="311">
        <v>5024.0386666666673</v>
      </c>
      <c r="O2330" s="311">
        <v>3516.8270666666667</v>
      </c>
      <c r="P2330" s="68">
        <f t="shared" si="9"/>
        <v>63536.59386666667</v>
      </c>
      <c r="Q2330" s="68">
        <f t="shared" si="10"/>
        <v>303069552.74400002</v>
      </c>
      <c r="R2330" s="127">
        <f t="shared" si="11"/>
        <v>303069552.74400002</v>
      </c>
      <c r="S2330" s="26"/>
    </row>
    <row r="2331" spans="1:19" ht="30">
      <c r="A2331" s="26">
        <v>11</v>
      </c>
      <c r="B2331" s="25" t="s">
        <v>493</v>
      </c>
      <c r="C2331" s="26" t="s">
        <v>117</v>
      </c>
      <c r="D2331" s="351">
        <v>10</v>
      </c>
      <c r="E2331" s="25"/>
      <c r="F2331" s="351">
        <v>10</v>
      </c>
      <c r="G2331" s="365" t="s">
        <v>2389</v>
      </c>
      <c r="H2331" s="365"/>
      <c r="I2331" s="365" t="s">
        <v>2330</v>
      </c>
      <c r="J2331" s="365" t="s">
        <v>2328</v>
      </c>
      <c r="K2331" s="311">
        <v>126279.42120000001</v>
      </c>
      <c r="L2331" s="311">
        <v>0</v>
      </c>
      <c r="M2331" s="311">
        <v>9795.796153846155</v>
      </c>
      <c r="N2331" s="311">
        <v>12452.152615384617</v>
      </c>
      <c r="O2331" s="311">
        <v>8716.5068307692327</v>
      </c>
      <c r="P2331" s="68">
        <f t="shared" si="9"/>
        <v>157243.87680000003</v>
      </c>
      <c r="Q2331" s="68">
        <f t="shared" si="10"/>
        <v>1572438.7680000002</v>
      </c>
      <c r="R2331" s="127">
        <f t="shared" si="11"/>
        <v>1572438.7680000002</v>
      </c>
      <c r="S2331" s="26"/>
    </row>
    <row r="2332" spans="1:19" ht="30">
      <c r="A2332" s="26">
        <v>12</v>
      </c>
      <c r="B2332" s="25" t="s">
        <v>494</v>
      </c>
      <c r="C2332" s="26" t="s">
        <v>117</v>
      </c>
      <c r="D2332" s="351">
        <v>174</v>
      </c>
      <c r="E2332" s="25"/>
      <c r="F2332" s="351">
        <v>174</v>
      </c>
      <c r="G2332" s="365" t="s">
        <v>2390</v>
      </c>
      <c r="H2332" s="365"/>
      <c r="I2332" s="365" t="s">
        <v>2330</v>
      </c>
      <c r="J2332" s="365" t="s">
        <v>2328</v>
      </c>
      <c r="K2332" s="311">
        <v>86028.598800000007</v>
      </c>
      <c r="L2332" s="311">
        <v>0</v>
      </c>
      <c r="M2332" s="311">
        <v>7580.7096296296286</v>
      </c>
      <c r="N2332" s="311">
        <v>8563.3912592592587</v>
      </c>
      <c r="O2332" s="311">
        <v>5994.3738814814824</v>
      </c>
      <c r="P2332" s="68">
        <f t="shared" si="9"/>
        <v>108167.07357037037</v>
      </c>
      <c r="Q2332" s="68">
        <f t="shared" si="10"/>
        <v>18821070.801244445</v>
      </c>
      <c r="R2332" s="127">
        <f t="shared" si="11"/>
        <v>18821070.801244445</v>
      </c>
      <c r="S2332" s="26"/>
    </row>
    <row r="2333" spans="1:19" ht="30">
      <c r="A2333" s="26">
        <v>13</v>
      </c>
      <c r="B2333" s="25" t="s">
        <v>495</v>
      </c>
      <c r="C2333" s="26" t="s">
        <v>117</v>
      </c>
      <c r="D2333" s="351">
        <v>817</v>
      </c>
      <c r="E2333" s="25"/>
      <c r="F2333" s="351">
        <v>817</v>
      </c>
      <c r="G2333" s="365" t="s">
        <v>2391</v>
      </c>
      <c r="H2333" s="365"/>
      <c r="I2333" s="365" t="s">
        <v>2330</v>
      </c>
      <c r="J2333" s="365" t="s">
        <v>2328</v>
      </c>
      <c r="K2333" s="311">
        <v>65547.673200000005</v>
      </c>
      <c r="L2333" s="311">
        <v>0</v>
      </c>
      <c r="M2333" s="311">
        <v>6603.3851851851841</v>
      </c>
      <c r="N2333" s="311">
        <v>6597.9183703703711</v>
      </c>
      <c r="O2333" s="311">
        <v>4618.5428592592598</v>
      </c>
      <c r="P2333" s="68">
        <f t="shared" si="9"/>
        <v>83367.519614814824</v>
      </c>
      <c r="Q2333" s="68">
        <f t="shared" si="10"/>
        <v>68111263.525303707</v>
      </c>
      <c r="R2333" s="127">
        <f t="shared" si="11"/>
        <v>68111263.525303707</v>
      </c>
      <c r="S2333" s="26"/>
    </row>
    <row r="2334" spans="1:19" ht="30">
      <c r="A2334" s="26">
        <v>14</v>
      </c>
      <c r="B2334" s="29" t="s">
        <v>119</v>
      </c>
      <c r="C2334" s="30" t="s">
        <v>117</v>
      </c>
      <c r="D2334" s="352">
        <v>158</v>
      </c>
      <c r="E2334" s="29"/>
      <c r="F2334" s="352">
        <v>158</v>
      </c>
      <c r="G2334" s="365" t="s">
        <v>2332</v>
      </c>
      <c r="H2334" s="365"/>
      <c r="I2334" s="365" t="s">
        <v>2330</v>
      </c>
      <c r="J2334" s="365" t="s">
        <v>2328</v>
      </c>
      <c r="K2334" s="311">
        <v>762904.4724000002</v>
      </c>
      <c r="L2334" s="311">
        <v>0</v>
      </c>
      <c r="M2334" s="311">
        <v>24865.085000000006</v>
      </c>
      <c r="N2334" s="311">
        <v>72191.686000000016</v>
      </c>
      <c r="O2334" s="311">
        <v>50534.18020000001</v>
      </c>
      <c r="P2334" s="68">
        <f t="shared" si="9"/>
        <v>910495.42360000021</v>
      </c>
      <c r="Q2334" s="68">
        <f t="shared" si="10"/>
        <v>143858276.92880005</v>
      </c>
      <c r="R2334" s="127">
        <f t="shared" si="11"/>
        <v>143858276.92880005</v>
      </c>
      <c r="S2334" s="26"/>
    </row>
    <row r="2335" spans="1:19" ht="30">
      <c r="A2335" s="26">
        <v>15</v>
      </c>
      <c r="B2335" s="25" t="s">
        <v>121</v>
      </c>
      <c r="C2335" s="26" t="s">
        <v>117</v>
      </c>
      <c r="D2335" s="351">
        <v>140</v>
      </c>
      <c r="E2335" s="25"/>
      <c r="F2335" s="351">
        <v>140</v>
      </c>
      <c r="G2335" s="365" t="s">
        <v>2334</v>
      </c>
      <c r="H2335" s="365"/>
      <c r="I2335" s="365" t="s">
        <v>2330</v>
      </c>
      <c r="J2335" s="365" t="s">
        <v>2328</v>
      </c>
      <c r="K2335" s="311">
        <v>295012.20600000006</v>
      </c>
      <c r="L2335" s="311">
        <v>0</v>
      </c>
      <c r="M2335" s="311">
        <v>16640.425200000001</v>
      </c>
      <c r="N2335" s="311">
        <v>28537.944000000003</v>
      </c>
      <c r="O2335" s="311">
        <v>19976.560800000003</v>
      </c>
      <c r="P2335" s="68">
        <f t="shared" si="9"/>
        <v>360167.13600000006</v>
      </c>
      <c r="Q2335" s="68">
        <f t="shared" si="10"/>
        <v>50423399.040000007</v>
      </c>
      <c r="R2335" s="127">
        <f t="shared" si="11"/>
        <v>50423399.040000007</v>
      </c>
      <c r="S2335" s="26"/>
    </row>
    <row r="2336" spans="1:19" ht="30">
      <c r="A2336" s="26">
        <v>16</v>
      </c>
      <c r="B2336" s="25" t="s">
        <v>496</v>
      </c>
      <c r="C2336" s="26" t="s">
        <v>117</v>
      </c>
      <c r="D2336" s="351">
        <v>848</v>
      </c>
      <c r="E2336" s="25"/>
      <c r="F2336" s="351">
        <v>848</v>
      </c>
      <c r="G2336" s="365" t="s">
        <v>2392</v>
      </c>
      <c r="H2336" s="365"/>
      <c r="I2336" s="365" t="s">
        <v>2330</v>
      </c>
      <c r="J2336" s="365" t="s">
        <v>2328</v>
      </c>
      <c r="K2336" s="311">
        <v>16283.030400000003</v>
      </c>
      <c r="L2336" s="311">
        <v>0</v>
      </c>
      <c r="M2336" s="311">
        <v>4402.3544444444451</v>
      </c>
      <c r="N2336" s="311">
        <v>1883.444888888889</v>
      </c>
      <c r="O2336" s="311">
        <v>1318.4114222222222</v>
      </c>
      <c r="P2336" s="68">
        <f t="shared" si="9"/>
        <v>23887.241155555559</v>
      </c>
      <c r="Q2336" s="68">
        <f t="shared" si="10"/>
        <v>20256380.499911115</v>
      </c>
      <c r="R2336" s="127">
        <f t="shared" si="11"/>
        <v>20256380.499911115</v>
      </c>
      <c r="S2336" s="26"/>
    </row>
    <row r="2337" spans="1:19" ht="30">
      <c r="A2337" s="26">
        <v>17</v>
      </c>
      <c r="B2337" s="25" t="s">
        <v>1888</v>
      </c>
      <c r="C2337" s="26" t="s">
        <v>117</v>
      </c>
      <c r="D2337" s="352">
        <v>13324</v>
      </c>
      <c r="E2337" s="25"/>
      <c r="F2337" s="352">
        <v>13324</v>
      </c>
      <c r="G2337" s="365" t="s">
        <v>2388</v>
      </c>
      <c r="H2337" s="365"/>
      <c r="I2337" s="365" t="s">
        <v>2330</v>
      </c>
      <c r="J2337" s="365" t="s">
        <v>2328</v>
      </c>
      <c r="K2337" s="311">
        <v>48393.514800000004</v>
      </c>
      <c r="L2337" s="311">
        <v>0</v>
      </c>
      <c r="M2337" s="311">
        <v>6602.213333333334</v>
      </c>
      <c r="N2337" s="311">
        <v>5024.0386666666673</v>
      </c>
      <c r="O2337" s="311">
        <v>3516.8270666666667</v>
      </c>
      <c r="P2337" s="68">
        <f t="shared" si="9"/>
        <v>63536.59386666667</v>
      </c>
      <c r="Q2337" s="68">
        <f t="shared" si="10"/>
        <v>846561576.67946672</v>
      </c>
      <c r="R2337" s="127">
        <f t="shared" si="11"/>
        <v>846561576.67946672</v>
      </c>
      <c r="S2337" s="26"/>
    </row>
    <row r="2338" spans="1:19" ht="28.5">
      <c r="A2338" s="26"/>
      <c r="B2338" s="27" t="s">
        <v>129</v>
      </c>
      <c r="C2338" s="26"/>
      <c r="D2338" s="351"/>
      <c r="E2338" s="25"/>
      <c r="F2338" s="351"/>
      <c r="G2338" s="26"/>
      <c r="H2338" s="26"/>
      <c r="I2338" s="26"/>
      <c r="J2338" s="26"/>
      <c r="K2338" s="26"/>
      <c r="L2338" s="26"/>
      <c r="M2338" s="26"/>
      <c r="N2338" s="26"/>
      <c r="O2338" s="26"/>
      <c r="P2338" s="26"/>
      <c r="Q2338" s="66"/>
      <c r="R2338" s="66"/>
      <c r="S2338" s="26"/>
    </row>
    <row r="2339" spans="1:19" ht="30">
      <c r="A2339" s="26">
        <v>1</v>
      </c>
      <c r="B2339" s="25" t="s">
        <v>497</v>
      </c>
      <c r="C2339" s="26" t="s">
        <v>117</v>
      </c>
      <c r="D2339" s="351">
        <v>198</v>
      </c>
      <c r="E2339" s="25"/>
      <c r="F2339" s="351">
        <v>198</v>
      </c>
      <c r="G2339" s="365" t="s">
        <v>2393</v>
      </c>
      <c r="H2339" s="365"/>
      <c r="I2339" s="365" t="s">
        <v>2330</v>
      </c>
      <c r="J2339" s="365" t="s">
        <v>2328</v>
      </c>
      <c r="K2339" s="311">
        <v>798628.9608</v>
      </c>
      <c r="L2339" s="311">
        <v>0</v>
      </c>
      <c r="M2339" s="311">
        <v>32297.561739130444</v>
      </c>
      <c r="N2339" s="311">
        <v>76126.903304347827</v>
      </c>
      <c r="O2339" s="311">
        <v>53288.83231304348</v>
      </c>
      <c r="P2339" s="68">
        <f t="shared" ref="P2339:P2352" si="12">SUM(K2339:O2339)</f>
        <v>960342.25815652171</v>
      </c>
      <c r="Q2339" s="68">
        <f t="shared" ref="Q2339:Q2352" si="13">D2339*P2339</f>
        <v>190147767.11499131</v>
      </c>
      <c r="R2339" s="127">
        <f t="shared" ref="R2339:R2352" si="14">F2339*P2339</f>
        <v>190147767.11499131</v>
      </c>
      <c r="S2339" s="26"/>
    </row>
    <row r="2340" spans="1:19" ht="30">
      <c r="A2340" s="26">
        <v>2</v>
      </c>
      <c r="B2340" s="25" t="s">
        <v>135</v>
      </c>
      <c r="C2340" s="26" t="s">
        <v>117</v>
      </c>
      <c r="D2340" s="351">
        <v>128</v>
      </c>
      <c r="E2340" s="25"/>
      <c r="F2340" s="351">
        <v>128</v>
      </c>
      <c r="G2340" s="365" t="s">
        <v>2347</v>
      </c>
      <c r="H2340" s="365"/>
      <c r="I2340" s="365" t="s">
        <v>2330</v>
      </c>
      <c r="J2340" s="365" t="s">
        <v>2328</v>
      </c>
      <c r="K2340" s="311">
        <v>315032.84640000004</v>
      </c>
      <c r="L2340" s="311">
        <v>0</v>
      </c>
      <c r="M2340" s="311">
        <v>19808.854800000001</v>
      </c>
      <c r="N2340" s="311">
        <v>30655.092000000004</v>
      </c>
      <c r="O2340" s="311">
        <v>21458.564400000007</v>
      </c>
      <c r="P2340" s="68">
        <f t="shared" si="12"/>
        <v>386955.35760000005</v>
      </c>
      <c r="Q2340" s="68">
        <f t="shared" si="13"/>
        <v>49530285.772800006</v>
      </c>
      <c r="R2340" s="127">
        <f t="shared" si="14"/>
        <v>49530285.772800006</v>
      </c>
      <c r="S2340" s="26"/>
    </row>
    <row r="2341" spans="1:19" ht="30">
      <c r="A2341" s="26">
        <v>3</v>
      </c>
      <c r="B2341" s="25" t="s">
        <v>136</v>
      </c>
      <c r="C2341" s="26" t="s">
        <v>117</v>
      </c>
      <c r="D2341" s="351">
        <v>298</v>
      </c>
      <c r="E2341" s="25"/>
      <c r="F2341" s="351">
        <v>298</v>
      </c>
      <c r="G2341" s="365" t="s">
        <v>2348</v>
      </c>
      <c r="H2341" s="365"/>
      <c r="I2341" s="365" t="s">
        <v>2330</v>
      </c>
      <c r="J2341" s="365" t="s">
        <v>2328</v>
      </c>
      <c r="K2341" s="311">
        <v>229112.55000000002</v>
      </c>
      <c r="L2341" s="311">
        <v>0</v>
      </c>
      <c r="M2341" s="311">
        <v>16640.425200000001</v>
      </c>
      <c r="N2341" s="311">
        <v>22492.104000000003</v>
      </c>
      <c r="O2341" s="311">
        <v>15744.472800000001</v>
      </c>
      <c r="P2341" s="68">
        <f t="shared" si="12"/>
        <v>283989.55200000003</v>
      </c>
      <c r="Q2341" s="68">
        <f t="shared" si="13"/>
        <v>84628886.496000007</v>
      </c>
      <c r="R2341" s="127">
        <f t="shared" si="14"/>
        <v>84628886.496000007</v>
      </c>
      <c r="S2341" s="26"/>
    </row>
    <row r="2342" spans="1:19" ht="30">
      <c r="A2342" s="26">
        <v>4</v>
      </c>
      <c r="B2342" s="25" t="s">
        <v>137</v>
      </c>
      <c r="C2342" s="26" t="s">
        <v>117</v>
      </c>
      <c r="D2342" s="351">
        <v>649</v>
      </c>
      <c r="E2342" s="25"/>
      <c r="F2342" s="351">
        <v>649</v>
      </c>
      <c r="G2342" s="365" t="s">
        <v>2349</v>
      </c>
      <c r="H2342" s="365"/>
      <c r="I2342" s="365" t="s">
        <v>2330</v>
      </c>
      <c r="J2342" s="365" t="s">
        <v>2328</v>
      </c>
      <c r="K2342" s="311">
        <v>669466.57680000004</v>
      </c>
      <c r="L2342" s="311">
        <v>0</v>
      </c>
      <c r="M2342" s="311">
        <v>38828.608</v>
      </c>
      <c r="N2342" s="311">
        <v>64855.112000000001</v>
      </c>
      <c r="O2342" s="311">
        <v>45398.578400000006</v>
      </c>
      <c r="P2342" s="68">
        <f t="shared" si="12"/>
        <v>818548.87520000001</v>
      </c>
      <c r="Q2342" s="68">
        <f t="shared" si="13"/>
        <v>531238220.00480002</v>
      </c>
      <c r="R2342" s="127">
        <f t="shared" si="14"/>
        <v>531238220.00480002</v>
      </c>
      <c r="S2342" s="26"/>
    </row>
    <row r="2343" spans="1:19" ht="30">
      <c r="A2343" s="26">
        <v>5</v>
      </c>
      <c r="B2343" s="25" t="s">
        <v>138</v>
      </c>
      <c r="C2343" s="26" t="s">
        <v>117</v>
      </c>
      <c r="D2343" s="351">
        <v>352</v>
      </c>
      <c r="E2343" s="25"/>
      <c r="F2343" s="351">
        <v>352</v>
      </c>
      <c r="G2343" s="365" t="s">
        <v>2350</v>
      </c>
      <c r="H2343" s="365"/>
      <c r="I2343" s="365" t="s">
        <v>2330</v>
      </c>
      <c r="J2343" s="365" t="s">
        <v>2328</v>
      </c>
      <c r="K2343" s="311">
        <v>503829.82800000004</v>
      </c>
      <c r="L2343" s="311">
        <v>0</v>
      </c>
      <c r="M2343" s="311">
        <v>27437.269230769234</v>
      </c>
      <c r="N2343" s="311">
        <v>48650.996923076927</v>
      </c>
      <c r="O2343" s="311">
        <v>34055.697846153853</v>
      </c>
      <c r="P2343" s="68">
        <f t="shared" si="12"/>
        <v>613973.79200000002</v>
      </c>
      <c r="Q2343" s="68">
        <f t="shared" si="13"/>
        <v>216118774.78400001</v>
      </c>
      <c r="R2343" s="127">
        <f t="shared" si="14"/>
        <v>216118774.78400001</v>
      </c>
      <c r="S2343" s="26"/>
    </row>
    <row r="2344" spans="1:19" ht="30">
      <c r="A2344" s="26">
        <v>6</v>
      </c>
      <c r="B2344" s="25" t="s">
        <v>139</v>
      </c>
      <c r="C2344" s="26" t="s">
        <v>117</v>
      </c>
      <c r="D2344" s="351">
        <v>726</v>
      </c>
      <c r="E2344" s="25"/>
      <c r="F2344" s="351">
        <v>726</v>
      </c>
      <c r="G2344" s="365" t="s">
        <v>2351</v>
      </c>
      <c r="H2344" s="365"/>
      <c r="I2344" s="365" t="s">
        <v>2330</v>
      </c>
      <c r="J2344" s="365" t="s">
        <v>2328</v>
      </c>
      <c r="K2344" s="311">
        <v>362518.74000000005</v>
      </c>
      <c r="L2344" s="311">
        <v>0</v>
      </c>
      <c r="M2344" s="311">
        <v>23130.230769230773</v>
      </c>
      <c r="N2344" s="311">
        <v>35305.523076923077</v>
      </c>
      <c r="O2344" s="311">
        <v>24713.866153846157</v>
      </c>
      <c r="P2344" s="68">
        <f t="shared" si="12"/>
        <v>445668.36000000004</v>
      </c>
      <c r="Q2344" s="68">
        <f t="shared" si="13"/>
        <v>323555229.36000001</v>
      </c>
      <c r="R2344" s="127">
        <f t="shared" si="14"/>
        <v>323555229.36000001</v>
      </c>
      <c r="S2344" s="26"/>
    </row>
    <row r="2345" spans="1:19" ht="30">
      <c r="A2345" s="26">
        <v>7</v>
      </c>
      <c r="B2345" s="25" t="s">
        <v>140</v>
      </c>
      <c r="C2345" s="26" t="s">
        <v>117</v>
      </c>
      <c r="D2345" s="351">
        <v>79</v>
      </c>
      <c r="E2345" s="25"/>
      <c r="F2345" s="351">
        <v>79</v>
      </c>
      <c r="G2345" s="365" t="s">
        <v>2352</v>
      </c>
      <c r="H2345" s="365"/>
      <c r="I2345" s="365" t="s">
        <v>2330</v>
      </c>
      <c r="J2345" s="365" t="s">
        <v>2328</v>
      </c>
      <c r="K2345" s="311">
        <v>233957.90520000004</v>
      </c>
      <c r="L2345" s="311">
        <v>0</v>
      </c>
      <c r="M2345" s="311">
        <v>18592.846153846152</v>
      </c>
      <c r="N2345" s="311">
        <v>23109.412615384619</v>
      </c>
      <c r="O2345" s="311">
        <v>16176.588830769235</v>
      </c>
      <c r="P2345" s="68">
        <f t="shared" si="12"/>
        <v>291836.75280000007</v>
      </c>
      <c r="Q2345" s="68">
        <f t="shared" si="13"/>
        <v>23055103.471200004</v>
      </c>
      <c r="R2345" s="127">
        <f t="shared" si="14"/>
        <v>23055103.471200004</v>
      </c>
      <c r="S2345" s="26"/>
    </row>
    <row r="2346" spans="1:19" ht="30">
      <c r="A2346" s="26">
        <v>8</v>
      </c>
      <c r="B2346" s="25" t="s">
        <v>141</v>
      </c>
      <c r="C2346" s="26" t="s">
        <v>117</v>
      </c>
      <c r="D2346" s="351">
        <v>351</v>
      </c>
      <c r="E2346" s="25"/>
      <c r="F2346" s="351">
        <v>351</v>
      </c>
      <c r="G2346" s="365" t="s">
        <v>2353</v>
      </c>
      <c r="H2346" s="365"/>
      <c r="I2346" s="365" t="s">
        <v>2330</v>
      </c>
      <c r="J2346" s="365" t="s">
        <v>2328</v>
      </c>
      <c r="K2346" s="311">
        <v>152715.80160000004</v>
      </c>
      <c r="L2346" s="311">
        <v>0</v>
      </c>
      <c r="M2346" s="311">
        <v>16326.326923076924</v>
      </c>
      <c r="N2346" s="311">
        <v>15455.431692307693</v>
      </c>
      <c r="O2346" s="311">
        <v>10818.802184615386</v>
      </c>
      <c r="P2346" s="68">
        <f t="shared" si="12"/>
        <v>195316.36240000004</v>
      </c>
      <c r="Q2346" s="68">
        <f t="shared" si="13"/>
        <v>68556043.202400014</v>
      </c>
      <c r="R2346" s="127">
        <f t="shared" si="14"/>
        <v>68556043.202400014</v>
      </c>
      <c r="S2346" s="26"/>
    </row>
    <row r="2347" spans="1:19" ht="30">
      <c r="A2347" s="26">
        <v>9</v>
      </c>
      <c r="B2347" s="25" t="s">
        <v>143</v>
      </c>
      <c r="C2347" s="26" t="s">
        <v>117</v>
      </c>
      <c r="D2347" s="351">
        <v>46</v>
      </c>
      <c r="E2347" s="25"/>
      <c r="F2347" s="351">
        <v>46</v>
      </c>
      <c r="G2347" s="365" t="s">
        <v>2355</v>
      </c>
      <c r="H2347" s="365"/>
      <c r="I2347" s="365" t="s">
        <v>2330</v>
      </c>
      <c r="J2347" s="365" t="s">
        <v>2328</v>
      </c>
      <c r="K2347" s="311">
        <v>66148.045200000008</v>
      </c>
      <c r="L2347" s="311">
        <v>0</v>
      </c>
      <c r="M2347" s="311">
        <v>10376.74814814815</v>
      </c>
      <c r="N2347" s="311">
        <v>6986.9242962962981</v>
      </c>
      <c r="O2347" s="311">
        <v>4890.8470074074085</v>
      </c>
      <c r="P2347" s="68">
        <f t="shared" si="12"/>
        <v>88402.564651851877</v>
      </c>
      <c r="Q2347" s="68">
        <f t="shared" si="13"/>
        <v>4066517.9739851863</v>
      </c>
      <c r="R2347" s="127">
        <f t="shared" si="14"/>
        <v>4066517.9739851863</v>
      </c>
      <c r="S2347" s="26"/>
    </row>
    <row r="2348" spans="1:19" ht="30">
      <c r="A2348" s="26">
        <v>10</v>
      </c>
      <c r="B2348" s="25" t="s">
        <v>498</v>
      </c>
      <c r="C2348" s="26" t="s">
        <v>117</v>
      </c>
      <c r="D2348" s="351">
        <v>100</v>
      </c>
      <c r="E2348" s="25"/>
      <c r="F2348" s="351">
        <v>100</v>
      </c>
      <c r="G2348" s="365" t="s">
        <v>2394</v>
      </c>
      <c r="H2348" s="365"/>
      <c r="I2348" s="365" t="s">
        <v>2330</v>
      </c>
      <c r="J2348" s="365" t="s">
        <v>2328</v>
      </c>
      <c r="K2348" s="311">
        <v>276766.78320000001</v>
      </c>
      <c r="L2348" s="311">
        <v>0</v>
      </c>
      <c r="M2348" s="311">
        <v>18504.184615384616</v>
      </c>
      <c r="N2348" s="311">
        <v>27028.986461538461</v>
      </c>
      <c r="O2348" s="311">
        <v>18920.290523076925</v>
      </c>
      <c r="P2348" s="68">
        <f t="shared" si="12"/>
        <v>341220.24479999999</v>
      </c>
      <c r="Q2348" s="68">
        <f t="shared" si="13"/>
        <v>34122024.479999997</v>
      </c>
      <c r="R2348" s="127">
        <f t="shared" si="14"/>
        <v>34122024.479999997</v>
      </c>
      <c r="S2348" s="26"/>
    </row>
    <row r="2349" spans="1:19" ht="30">
      <c r="A2349" s="26">
        <v>11</v>
      </c>
      <c r="B2349" s="25" t="s">
        <v>499</v>
      </c>
      <c r="C2349" s="26" t="s">
        <v>117</v>
      </c>
      <c r="D2349" s="351">
        <v>184</v>
      </c>
      <c r="E2349" s="25"/>
      <c r="F2349" s="351">
        <v>184</v>
      </c>
      <c r="G2349" s="365" t="s">
        <v>2395</v>
      </c>
      <c r="H2349" s="365"/>
      <c r="I2349" s="365" t="s">
        <v>2330</v>
      </c>
      <c r="J2349" s="365" t="s">
        <v>2328</v>
      </c>
      <c r="K2349" s="311">
        <v>117287.96760000002</v>
      </c>
      <c r="L2349" s="311">
        <v>0</v>
      </c>
      <c r="M2349" s="311">
        <v>13061.061538461538</v>
      </c>
      <c r="N2349" s="311">
        <v>11916.210153846156</v>
      </c>
      <c r="O2349" s="311">
        <v>8341.3471076923088</v>
      </c>
      <c r="P2349" s="68">
        <f t="shared" si="12"/>
        <v>150606.5864</v>
      </c>
      <c r="Q2349" s="68">
        <f t="shared" si="13"/>
        <v>27711611.897599999</v>
      </c>
      <c r="R2349" s="127">
        <f t="shared" si="14"/>
        <v>27711611.897599999</v>
      </c>
      <c r="S2349" s="26"/>
    </row>
    <row r="2350" spans="1:19" ht="30">
      <c r="A2350" s="26">
        <v>12</v>
      </c>
      <c r="B2350" s="25" t="s">
        <v>500</v>
      </c>
      <c r="C2350" s="26" t="s">
        <v>117</v>
      </c>
      <c r="D2350" s="351">
        <v>609</v>
      </c>
      <c r="E2350" s="25"/>
      <c r="F2350" s="351">
        <v>609</v>
      </c>
      <c r="G2350" s="365" t="s">
        <v>2396</v>
      </c>
      <c r="H2350" s="365"/>
      <c r="I2350" s="365" t="s">
        <v>2330</v>
      </c>
      <c r="J2350" s="365" t="s">
        <v>2328</v>
      </c>
      <c r="K2350" s="311">
        <v>73943.463600000017</v>
      </c>
      <c r="L2350" s="311">
        <v>0</v>
      </c>
      <c r="M2350" s="311">
        <v>9746.6266666666688</v>
      </c>
      <c r="N2350" s="311">
        <v>7646.3373333333338</v>
      </c>
      <c r="O2350" s="311">
        <v>5352.4361333333345</v>
      </c>
      <c r="P2350" s="68">
        <f t="shared" si="12"/>
        <v>96688.863733333346</v>
      </c>
      <c r="Q2350" s="68">
        <f t="shared" si="13"/>
        <v>58883518.013600007</v>
      </c>
      <c r="R2350" s="127">
        <f t="shared" si="14"/>
        <v>58883518.013600007</v>
      </c>
      <c r="S2350" s="26"/>
    </row>
    <row r="2351" spans="1:19" ht="30">
      <c r="A2351" s="26">
        <v>13</v>
      </c>
      <c r="B2351" s="25" t="s">
        <v>501</v>
      </c>
      <c r="C2351" s="26" t="s">
        <v>117</v>
      </c>
      <c r="D2351" s="351">
        <v>30</v>
      </c>
      <c r="E2351" s="25"/>
      <c r="F2351" s="351">
        <v>30</v>
      </c>
      <c r="G2351" s="365" t="s">
        <v>2397</v>
      </c>
      <c r="H2351" s="365"/>
      <c r="I2351" s="365" t="s">
        <v>2330</v>
      </c>
      <c r="J2351" s="365" t="s">
        <v>2328</v>
      </c>
      <c r="K2351" s="311">
        <v>51489.550800000005</v>
      </c>
      <c r="L2351" s="311">
        <v>0</v>
      </c>
      <c r="M2351" s="311">
        <v>8490.0666666666675</v>
      </c>
      <c r="N2351" s="311">
        <v>5475.1453333333338</v>
      </c>
      <c r="O2351" s="311">
        <v>3832.6017333333339</v>
      </c>
      <c r="P2351" s="68">
        <f t="shared" si="12"/>
        <v>69287.364533333341</v>
      </c>
      <c r="Q2351" s="68">
        <f t="shared" si="13"/>
        <v>2078620.9360000002</v>
      </c>
      <c r="R2351" s="127">
        <f t="shared" si="14"/>
        <v>2078620.9360000002</v>
      </c>
      <c r="S2351" s="26"/>
    </row>
    <row r="2352" spans="1:19" ht="30">
      <c r="A2352" s="26">
        <v>14</v>
      </c>
      <c r="B2352" s="25" t="s">
        <v>502</v>
      </c>
      <c r="C2352" s="26" t="s">
        <v>117</v>
      </c>
      <c r="D2352" s="351">
        <v>1566</v>
      </c>
      <c r="E2352" s="25"/>
      <c r="F2352" s="351">
        <v>1566</v>
      </c>
      <c r="G2352" s="365" t="s">
        <v>2398</v>
      </c>
      <c r="H2352" s="365"/>
      <c r="I2352" s="365" t="s">
        <v>2330</v>
      </c>
      <c r="J2352" s="365" t="s">
        <v>2328</v>
      </c>
      <c r="K2352" s="311">
        <v>34818.044400000006</v>
      </c>
      <c r="L2352" s="311">
        <v>0</v>
      </c>
      <c r="M2352" s="311">
        <v>7546.8933333333343</v>
      </c>
      <c r="N2352" s="311">
        <v>3862.182666666667</v>
      </c>
      <c r="O2352" s="311">
        <v>2703.5278666666668</v>
      </c>
      <c r="P2352" s="68">
        <f t="shared" si="12"/>
        <v>48930.648266666671</v>
      </c>
      <c r="Q2352" s="68">
        <f t="shared" si="13"/>
        <v>76625395.185600013</v>
      </c>
      <c r="R2352" s="127">
        <f t="shared" si="14"/>
        <v>76625395.185600013</v>
      </c>
      <c r="S2352" s="26"/>
    </row>
    <row r="2353" spans="1:19" ht="28.5">
      <c r="A2353" s="26"/>
      <c r="B2353" s="27" t="s">
        <v>503</v>
      </c>
      <c r="C2353" s="26"/>
      <c r="D2353" s="351"/>
      <c r="E2353" s="25"/>
      <c r="F2353" s="351"/>
      <c r="G2353" s="26"/>
      <c r="H2353" s="26"/>
      <c r="I2353" s="26"/>
      <c r="J2353" s="26"/>
      <c r="K2353" s="26"/>
      <c r="L2353" s="26"/>
      <c r="M2353" s="26"/>
      <c r="N2353" s="26"/>
      <c r="O2353" s="26"/>
      <c r="P2353" s="26"/>
      <c r="Q2353" s="66"/>
      <c r="R2353" s="66"/>
      <c r="S2353" s="26"/>
    </row>
    <row r="2354" spans="1:19" ht="30">
      <c r="A2354" s="26">
        <v>1</v>
      </c>
      <c r="B2354" s="25" t="s">
        <v>504</v>
      </c>
      <c r="C2354" s="26" t="s">
        <v>117</v>
      </c>
      <c r="D2354" s="351">
        <v>71</v>
      </c>
      <c r="E2354" s="25"/>
      <c r="F2354" s="351">
        <v>71</v>
      </c>
      <c r="G2354" s="365" t="s">
        <v>2399</v>
      </c>
      <c r="H2354" s="365"/>
      <c r="I2354" s="365" t="s">
        <v>2330</v>
      </c>
      <c r="J2354" s="365" t="s">
        <v>2328</v>
      </c>
      <c r="K2354" s="311">
        <v>239953.38480000003</v>
      </c>
      <c r="L2354" s="311">
        <v>0</v>
      </c>
      <c r="M2354" s="311">
        <v>18592.846153846152</v>
      </c>
      <c r="N2354" s="311">
        <v>23659.456615384617</v>
      </c>
      <c r="O2354" s="311">
        <v>16561.619630769233</v>
      </c>
      <c r="P2354" s="68">
        <f t="shared" ref="P2354:P2361" si="15">SUM(K2354:O2354)</f>
        <v>298767.30720000004</v>
      </c>
      <c r="Q2354" s="68">
        <f t="shared" ref="Q2354:Q2361" si="16">D2354*P2354</f>
        <v>21212478.811200004</v>
      </c>
      <c r="R2354" s="127">
        <f t="shared" ref="R2354:R2361" si="17">F2354*P2354</f>
        <v>21212478.811200004</v>
      </c>
      <c r="S2354" s="26"/>
    </row>
    <row r="2355" spans="1:19" ht="30">
      <c r="A2355" s="26">
        <v>2</v>
      </c>
      <c r="B2355" s="25" t="s">
        <v>505</v>
      </c>
      <c r="C2355" s="26" t="s">
        <v>117</v>
      </c>
      <c r="D2355" s="351">
        <v>795</v>
      </c>
      <c r="E2355" s="25"/>
      <c r="F2355" s="351">
        <v>795</v>
      </c>
      <c r="G2355" s="365" t="s">
        <v>2400</v>
      </c>
      <c r="H2355" s="365"/>
      <c r="I2355" s="365" t="s">
        <v>2330</v>
      </c>
      <c r="J2355" s="365" t="s">
        <v>2328</v>
      </c>
      <c r="K2355" s="311">
        <v>156316.85640000005</v>
      </c>
      <c r="L2355" s="311">
        <v>0</v>
      </c>
      <c r="M2355" s="311">
        <v>16326.326923076924</v>
      </c>
      <c r="N2355" s="311">
        <v>15785.803692307696</v>
      </c>
      <c r="O2355" s="311">
        <v>11050.062584615389</v>
      </c>
      <c r="P2355" s="68">
        <f t="shared" si="15"/>
        <v>199479.04960000009</v>
      </c>
      <c r="Q2355" s="68">
        <f t="shared" si="16"/>
        <v>158585844.43200007</v>
      </c>
      <c r="R2355" s="127">
        <f t="shared" si="17"/>
        <v>158585844.43200007</v>
      </c>
      <c r="S2355" s="26"/>
    </row>
    <row r="2356" spans="1:19">
      <c r="A2356" s="26">
        <v>3</v>
      </c>
      <c r="B2356" s="25" t="s">
        <v>506</v>
      </c>
      <c r="C2356" s="26" t="s">
        <v>117</v>
      </c>
      <c r="D2356" s="351">
        <v>14</v>
      </c>
      <c r="E2356" s="25"/>
      <c r="F2356" s="351">
        <v>14</v>
      </c>
      <c r="G2356" s="365" t="s">
        <v>2401</v>
      </c>
      <c r="H2356" s="365"/>
      <c r="I2356" s="365" t="s">
        <v>2330</v>
      </c>
      <c r="J2356" s="365" t="s">
        <v>2328</v>
      </c>
      <c r="K2356" s="311">
        <v>70083.424800000008</v>
      </c>
      <c r="L2356" s="311">
        <v>0</v>
      </c>
      <c r="M2356" s="311">
        <v>10376.74814814815</v>
      </c>
      <c r="N2356" s="311">
        <v>7347.968296296297</v>
      </c>
      <c r="O2356" s="311">
        <v>5143.5778074074078</v>
      </c>
      <c r="P2356" s="68">
        <f t="shared" si="15"/>
        <v>92951.719051851862</v>
      </c>
      <c r="Q2356" s="68">
        <f t="shared" si="16"/>
        <v>1301324.066725926</v>
      </c>
      <c r="R2356" s="127">
        <f t="shared" si="17"/>
        <v>1301324.066725926</v>
      </c>
      <c r="S2356" s="26"/>
    </row>
    <row r="2357" spans="1:19" ht="30">
      <c r="A2357" s="26">
        <v>4</v>
      </c>
      <c r="B2357" s="25" t="s">
        <v>507</v>
      </c>
      <c r="C2357" s="26" t="s">
        <v>117</v>
      </c>
      <c r="D2357" s="351">
        <v>785</v>
      </c>
      <c r="E2357" s="25"/>
      <c r="F2357" s="351">
        <v>785</v>
      </c>
      <c r="G2357" s="365" t="s">
        <v>2402</v>
      </c>
      <c r="H2357" s="365"/>
      <c r="I2357" s="365" t="s">
        <v>2330</v>
      </c>
      <c r="J2357" s="365" t="s">
        <v>2328</v>
      </c>
      <c r="K2357" s="311">
        <v>130450.24080000001</v>
      </c>
      <c r="L2357" s="311">
        <v>0</v>
      </c>
      <c r="M2357" s="311">
        <v>11155.707692307693</v>
      </c>
      <c r="N2357" s="311">
        <v>12955.14276923077</v>
      </c>
      <c r="O2357" s="311">
        <v>9068.5999384615388</v>
      </c>
      <c r="P2357" s="68">
        <f t="shared" si="15"/>
        <v>163629.6912</v>
      </c>
      <c r="Q2357" s="68">
        <f t="shared" si="16"/>
        <v>128449307.59200001</v>
      </c>
      <c r="R2357" s="127">
        <f t="shared" si="17"/>
        <v>128449307.59200001</v>
      </c>
      <c r="S2357" s="26"/>
    </row>
    <row r="2358" spans="1:19" ht="30">
      <c r="A2358" s="26">
        <v>5</v>
      </c>
      <c r="B2358" s="25" t="s">
        <v>508</v>
      </c>
      <c r="C2358" s="26" t="s">
        <v>117</v>
      </c>
      <c r="D2358" s="351">
        <v>23839</v>
      </c>
      <c r="E2358" s="25"/>
      <c r="F2358" s="351">
        <v>23839</v>
      </c>
      <c r="G2358" s="365" t="s">
        <v>2403</v>
      </c>
      <c r="H2358" s="365"/>
      <c r="I2358" s="365" t="s">
        <v>2330</v>
      </c>
      <c r="J2358" s="365" t="s">
        <v>2328</v>
      </c>
      <c r="K2358" s="311">
        <v>86486.529600000009</v>
      </c>
      <c r="L2358" s="311">
        <v>0</v>
      </c>
      <c r="M2358" s="311">
        <v>9795.796153846155</v>
      </c>
      <c r="N2358" s="311">
        <v>8801.4286153846169</v>
      </c>
      <c r="O2358" s="311">
        <v>6161.0000307692317</v>
      </c>
      <c r="P2358" s="68">
        <f t="shared" si="15"/>
        <v>111244.75440000001</v>
      </c>
      <c r="Q2358" s="68">
        <f t="shared" si="16"/>
        <v>2651963700.1416001</v>
      </c>
      <c r="R2358" s="127">
        <f t="shared" si="17"/>
        <v>2651963700.1416001</v>
      </c>
      <c r="S2358" s="26"/>
    </row>
    <row r="2359" spans="1:19">
      <c r="A2359" s="26">
        <v>6</v>
      </c>
      <c r="B2359" s="25" t="s">
        <v>509</v>
      </c>
      <c r="C2359" s="26" t="s">
        <v>117</v>
      </c>
      <c r="D2359" s="351">
        <v>693</v>
      </c>
      <c r="E2359" s="25"/>
      <c r="F2359" s="351">
        <v>693</v>
      </c>
      <c r="G2359" s="365" t="s">
        <v>2404</v>
      </c>
      <c r="H2359" s="365"/>
      <c r="I2359" s="365" t="s">
        <v>2330</v>
      </c>
      <c r="J2359" s="365" t="s">
        <v>2328</v>
      </c>
      <c r="K2359" s="311">
        <v>56340.792000000009</v>
      </c>
      <c r="L2359" s="311">
        <v>0</v>
      </c>
      <c r="M2359" s="311">
        <v>7580.7096296296286</v>
      </c>
      <c r="N2359" s="311">
        <v>5839.7392592592596</v>
      </c>
      <c r="O2359" s="311">
        <v>4087.817481481482</v>
      </c>
      <c r="P2359" s="68">
        <f t="shared" si="15"/>
        <v>73849.058370370389</v>
      </c>
      <c r="Q2359" s="68">
        <f t="shared" si="16"/>
        <v>51177397.450666681</v>
      </c>
      <c r="R2359" s="127">
        <f t="shared" si="17"/>
        <v>51177397.450666681</v>
      </c>
      <c r="S2359" s="26"/>
    </row>
    <row r="2360" spans="1:19" ht="30">
      <c r="A2360" s="26">
        <v>7</v>
      </c>
      <c r="B2360" s="25" t="s">
        <v>510</v>
      </c>
      <c r="C2360" s="26" t="s">
        <v>117</v>
      </c>
      <c r="D2360" s="351">
        <v>324</v>
      </c>
      <c r="E2360" s="25"/>
      <c r="F2360" s="351">
        <v>324</v>
      </c>
      <c r="G2360" s="365" t="s">
        <v>2405</v>
      </c>
      <c r="H2360" s="365"/>
      <c r="I2360" s="365" t="s">
        <v>2330</v>
      </c>
      <c r="J2360" s="365" t="s">
        <v>2328</v>
      </c>
      <c r="K2360" s="311">
        <v>26975.538000000004</v>
      </c>
      <c r="L2360" s="311">
        <v>0</v>
      </c>
      <c r="M2360" s="311">
        <v>5869.8059259259253</v>
      </c>
      <c r="N2360" s="311">
        <v>2994.2718518518523</v>
      </c>
      <c r="O2360" s="311">
        <v>2095.9902962962965</v>
      </c>
      <c r="P2360" s="68">
        <f t="shared" si="15"/>
        <v>37935.60607407408</v>
      </c>
      <c r="Q2360" s="68">
        <f t="shared" si="16"/>
        <v>12291136.368000003</v>
      </c>
      <c r="R2360" s="127">
        <f t="shared" si="17"/>
        <v>12291136.368000003</v>
      </c>
      <c r="S2360" s="26"/>
    </row>
    <row r="2361" spans="1:19" ht="30">
      <c r="A2361" s="26">
        <v>8</v>
      </c>
      <c r="B2361" s="25" t="s">
        <v>511</v>
      </c>
      <c r="C2361" s="26" t="s">
        <v>117</v>
      </c>
      <c r="D2361" s="351">
        <v>8076</v>
      </c>
      <c r="E2361" s="25"/>
      <c r="F2361" s="351">
        <v>8076</v>
      </c>
      <c r="G2361" s="365" t="s">
        <v>2406</v>
      </c>
      <c r="H2361" s="365"/>
      <c r="I2361" s="365" t="s">
        <v>2330</v>
      </c>
      <c r="J2361" s="365" t="s">
        <v>2328</v>
      </c>
      <c r="K2361" s="311">
        <v>19493.254800000002</v>
      </c>
      <c r="L2361" s="311">
        <v>0</v>
      </c>
      <c r="M2361" s="311">
        <v>6602.213333333334</v>
      </c>
      <c r="N2361" s="311">
        <v>2372.6386666666672</v>
      </c>
      <c r="O2361" s="311">
        <v>1660.8470666666669</v>
      </c>
      <c r="P2361" s="68">
        <f t="shared" si="15"/>
        <v>30128.953866666667</v>
      </c>
      <c r="Q2361" s="68">
        <f t="shared" si="16"/>
        <v>243321431.42719999</v>
      </c>
      <c r="R2361" s="127">
        <f t="shared" si="17"/>
        <v>243321431.42719999</v>
      </c>
      <c r="S2361" s="26"/>
    </row>
    <row r="2362" spans="1:19">
      <c r="A2362" s="26"/>
      <c r="B2362" s="27" t="s">
        <v>512</v>
      </c>
      <c r="C2362" s="26"/>
      <c r="D2362" s="351"/>
      <c r="E2362" s="25"/>
      <c r="F2362" s="351"/>
      <c r="G2362" s="26"/>
      <c r="H2362" s="26"/>
      <c r="I2362" s="26"/>
      <c r="J2362" s="26"/>
      <c r="K2362" s="26"/>
      <c r="L2362" s="26"/>
      <c r="M2362" s="26"/>
      <c r="N2362" s="26"/>
      <c r="O2362" s="26"/>
      <c r="P2362" s="26"/>
      <c r="Q2362" s="66"/>
      <c r="R2362" s="66"/>
      <c r="S2362" s="26"/>
    </row>
    <row r="2363" spans="1:19">
      <c r="A2363" s="26">
        <v>1</v>
      </c>
      <c r="B2363" s="25" t="s">
        <v>513</v>
      </c>
      <c r="C2363" s="26" t="s">
        <v>117</v>
      </c>
      <c r="D2363" s="351">
        <v>42</v>
      </c>
      <c r="E2363" s="25"/>
      <c r="F2363" s="351">
        <v>42</v>
      </c>
      <c r="G2363" s="365" t="s">
        <v>2366</v>
      </c>
      <c r="H2363" s="365"/>
      <c r="I2363" s="365" t="s">
        <v>2330</v>
      </c>
      <c r="J2363" s="365" t="s">
        <v>2328</v>
      </c>
      <c r="K2363" s="311">
        <v>14466.610800000002</v>
      </c>
      <c r="L2363" s="311">
        <v>0</v>
      </c>
      <c r="M2363" s="311">
        <v>4716.7037037037044</v>
      </c>
      <c r="N2363" s="311">
        <v>1744.6194074074076</v>
      </c>
      <c r="O2363" s="311">
        <v>1221.2335851851853</v>
      </c>
      <c r="P2363" s="68">
        <f t="shared" ref="P2363:P2365" si="18">SUM(K2363:O2363)</f>
        <v>22149.167496296301</v>
      </c>
      <c r="Q2363" s="68">
        <f>D2363*P2363</f>
        <v>930265.0348444446</v>
      </c>
      <c r="R2363" s="127">
        <f>F2363*P2363</f>
        <v>930265.0348444446</v>
      </c>
      <c r="S2363" s="26"/>
    </row>
    <row r="2364" spans="1:19">
      <c r="A2364" s="26">
        <v>2</v>
      </c>
      <c r="B2364" s="25" t="s">
        <v>514</v>
      </c>
      <c r="C2364" s="26" t="s">
        <v>117</v>
      </c>
      <c r="D2364" s="351">
        <v>29312</v>
      </c>
      <c r="E2364" s="25"/>
      <c r="F2364" s="351">
        <v>29312</v>
      </c>
      <c r="G2364" s="365" t="s">
        <v>2407</v>
      </c>
      <c r="H2364" s="365"/>
      <c r="I2364" s="365" t="s">
        <v>2330</v>
      </c>
      <c r="J2364" s="365" t="s">
        <v>2328</v>
      </c>
      <c r="K2364" s="311">
        <v>9030.3012000000017</v>
      </c>
      <c r="L2364" s="311">
        <v>0</v>
      </c>
      <c r="M2364" s="311">
        <v>4192.7185185185181</v>
      </c>
      <c r="N2364" s="311">
        <v>1199.505037037037</v>
      </c>
      <c r="O2364" s="311">
        <v>839.65352592592603</v>
      </c>
      <c r="P2364" s="68">
        <f t="shared" si="18"/>
        <v>15262.178281481483</v>
      </c>
      <c r="Q2364" s="68">
        <f>D2364*P2364</f>
        <v>447364969.78678524</v>
      </c>
      <c r="R2364" s="127">
        <f>F2364*P2364</f>
        <v>447364969.78678524</v>
      </c>
      <c r="S2364" s="26"/>
    </row>
    <row r="2365" spans="1:19">
      <c r="A2365" s="26">
        <v>3</v>
      </c>
      <c r="B2365" s="25" t="s">
        <v>515</v>
      </c>
      <c r="C2365" s="26" t="s">
        <v>117</v>
      </c>
      <c r="D2365" s="351">
        <v>66340</v>
      </c>
      <c r="E2365" s="25"/>
      <c r="F2365" s="351">
        <v>66340</v>
      </c>
      <c r="G2365" s="365" t="s">
        <v>2408</v>
      </c>
      <c r="H2365" s="365"/>
      <c r="I2365" s="365" t="s">
        <v>2330</v>
      </c>
      <c r="J2365" s="365" t="s">
        <v>2328</v>
      </c>
      <c r="K2365" s="311">
        <v>5903.6580000000013</v>
      </c>
      <c r="L2365" s="311">
        <v>0</v>
      </c>
      <c r="M2365" s="311">
        <v>3667.8962962962964</v>
      </c>
      <c r="N2365" s="311">
        <v>866.21259259259261</v>
      </c>
      <c r="O2365" s="311">
        <v>606.34881481481489</v>
      </c>
      <c r="P2365" s="68">
        <f t="shared" si="18"/>
        <v>11044.115703703705</v>
      </c>
      <c r="Q2365" s="68">
        <f>D2365*P2365</f>
        <v>732666635.7837038</v>
      </c>
      <c r="R2365" s="127">
        <f>F2365*P2365</f>
        <v>732666635.7837038</v>
      </c>
      <c r="S2365" s="26"/>
    </row>
    <row r="2366" spans="1:19">
      <c r="A2366" s="24"/>
      <c r="B2366" s="27" t="s">
        <v>145</v>
      </c>
      <c r="C2366" s="26"/>
      <c r="D2366" s="351"/>
      <c r="E2366" s="25"/>
      <c r="F2366" s="351"/>
      <c r="G2366" s="26"/>
      <c r="H2366" s="26"/>
      <c r="I2366" s="26"/>
      <c r="J2366" s="26"/>
      <c r="K2366" s="26"/>
      <c r="L2366" s="26"/>
      <c r="M2366" s="26"/>
      <c r="N2366" s="26"/>
      <c r="O2366" s="26"/>
      <c r="P2366" s="26"/>
      <c r="Q2366" s="66"/>
      <c r="R2366" s="66"/>
      <c r="S2366" s="26"/>
    </row>
    <row r="2367" spans="1:19">
      <c r="A2367" s="26">
        <v>1</v>
      </c>
      <c r="B2367" s="29" t="s">
        <v>1900</v>
      </c>
      <c r="C2367" s="30" t="s">
        <v>117</v>
      </c>
      <c r="D2367" s="352">
        <v>50</v>
      </c>
      <c r="E2367" s="29"/>
      <c r="F2367" s="352">
        <v>50</v>
      </c>
      <c r="G2367" s="365" t="s">
        <v>2357</v>
      </c>
      <c r="H2367" s="365"/>
      <c r="I2367" s="365" t="s">
        <v>2330</v>
      </c>
      <c r="J2367" s="365" t="s">
        <v>2328</v>
      </c>
      <c r="K2367" s="311">
        <v>391257.72360000008</v>
      </c>
      <c r="L2367" s="311">
        <v>0</v>
      </c>
      <c r="M2367" s="311">
        <v>21126.291666666672</v>
      </c>
      <c r="N2367" s="311">
        <v>37764.787333333334</v>
      </c>
      <c r="O2367" s="311">
        <v>26435.351133333337</v>
      </c>
      <c r="P2367" s="68">
        <f t="shared" ref="P2367:P2376" si="19">SUM(K2367:O2367)</f>
        <v>476584.15373333346</v>
      </c>
      <c r="Q2367" s="68">
        <f t="shared" ref="Q2367:Q2376" si="20">D2367*P2367</f>
        <v>23829207.686666671</v>
      </c>
      <c r="R2367" s="127">
        <f t="shared" ref="R2367:R2376" si="21">F2367*P2367</f>
        <v>23829207.686666671</v>
      </c>
      <c r="S2367" s="26"/>
    </row>
    <row r="2368" spans="1:19">
      <c r="A2368" s="26">
        <v>2</v>
      </c>
      <c r="B2368" s="29" t="s">
        <v>1890</v>
      </c>
      <c r="C2368" s="30" t="s">
        <v>117</v>
      </c>
      <c r="D2368" s="352">
        <v>51</v>
      </c>
      <c r="E2368" s="29"/>
      <c r="F2368" s="352">
        <v>51</v>
      </c>
      <c r="G2368" s="365" t="s">
        <v>2360</v>
      </c>
      <c r="H2368" s="365"/>
      <c r="I2368" s="365" t="s">
        <v>2330</v>
      </c>
      <c r="J2368" s="365" t="s">
        <v>2328</v>
      </c>
      <c r="K2368" s="311">
        <v>313102.23840000003</v>
      </c>
      <c r="L2368" s="311">
        <v>0</v>
      </c>
      <c r="M2368" s="311">
        <v>18865.576000000001</v>
      </c>
      <c r="N2368" s="311">
        <v>30394.496000000003</v>
      </c>
      <c r="O2368" s="311">
        <v>21276.147200000003</v>
      </c>
      <c r="P2368" s="68">
        <f t="shared" si="19"/>
        <v>383638.45760000002</v>
      </c>
      <c r="Q2368" s="68">
        <f t="shared" si="20"/>
        <v>19565561.3376</v>
      </c>
      <c r="R2368" s="127">
        <f t="shared" si="21"/>
        <v>19565561.3376</v>
      </c>
      <c r="S2368" s="26"/>
    </row>
    <row r="2369" spans="1:19">
      <c r="A2369" s="26">
        <v>3</v>
      </c>
      <c r="B2369" s="25" t="s">
        <v>517</v>
      </c>
      <c r="C2369" s="26" t="s">
        <v>117</v>
      </c>
      <c r="D2369" s="351">
        <v>94</v>
      </c>
      <c r="E2369" s="25"/>
      <c r="F2369" s="351">
        <v>94</v>
      </c>
      <c r="G2369" s="365" t="s">
        <v>2360</v>
      </c>
      <c r="H2369" s="365"/>
      <c r="I2369" s="365" t="s">
        <v>2330</v>
      </c>
      <c r="J2369" s="365" t="s">
        <v>2328</v>
      </c>
      <c r="K2369" s="311">
        <v>158302.79280000002</v>
      </c>
      <c r="L2369" s="311">
        <v>0</v>
      </c>
      <c r="M2369" s="311">
        <v>13867.36</v>
      </c>
      <c r="N2369" s="311">
        <v>15750.392000000002</v>
      </c>
      <c r="O2369" s="311">
        <v>11025.274400000002</v>
      </c>
      <c r="P2369" s="68">
        <f t="shared" si="19"/>
        <v>198945.81920000003</v>
      </c>
      <c r="Q2369" s="68">
        <f t="shared" si="20"/>
        <v>18700907.004800003</v>
      </c>
      <c r="R2369" s="127">
        <f t="shared" si="21"/>
        <v>18700907.004800003</v>
      </c>
      <c r="S2369" s="26"/>
    </row>
    <row r="2370" spans="1:19">
      <c r="A2370" s="26">
        <v>4</v>
      </c>
      <c r="B2370" s="25" t="s">
        <v>151</v>
      </c>
      <c r="C2370" s="26" t="s">
        <v>117</v>
      </c>
      <c r="D2370" s="351">
        <v>227</v>
      </c>
      <c r="E2370" s="25"/>
      <c r="F2370" s="351">
        <v>227</v>
      </c>
      <c r="G2370" s="365" t="s">
        <v>2361</v>
      </c>
      <c r="H2370" s="365"/>
      <c r="I2370" s="365" t="s">
        <v>2330</v>
      </c>
      <c r="J2370" s="365" t="s">
        <v>2328</v>
      </c>
      <c r="K2370" s="311">
        <v>117134.93160000001</v>
      </c>
      <c r="L2370" s="311">
        <v>0</v>
      </c>
      <c r="M2370" s="311">
        <v>10974.907692307692</v>
      </c>
      <c r="N2370" s="311">
        <v>11717.55476923077</v>
      </c>
      <c r="O2370" s="311">
        <v>8202.2883384615398</v>
      </c>
      <c r="P2370" s="68">
        <f t="shared" si="19"/>
        <v>148029.68240000002</v>
      </c>
      <c r="Q2370" s="68">
        <f t="shared" si="20"/>
        <v>33602737.904800005</v>
      </c>
      <c r="R2370" s="127">
        <f t="shared" si="21"/>
        <v>33602737.904800005</v>
      </c>
      <c r="S2370" s="26"/>
    </row>
    <row r="2371" spans="1:19">
      <c r="A2371" s="26">
        <v>5</v>
      </c>
      <c r="B2371" s="25" t="s">
        <v>152</v>
      </c>
      <c r="C2371" s="26" t="s">
        <v>117</v>
      </c>
      <c r="D2371" s="351">
        <v>723</v>
      </c>
      <c r="E2371" s="25"/>
      <c r="F2371" s="351">
        <v>723</v>
      </c>
      <c r="G2371" s="365" t="s">
        <v>2362</v>
      </c>
      <c r="H2371" s="365"/>
      <c r="I2371" s="365" t="s">
        <v>2330</v>
      </c>
      <c r="J2371" s="365" t="s">
        <v>2328</v>
      </c>
      <c r="K2371" s="311">
        <v>85146.876000000018</v>
      </c>
      <c r="L2371" s="311">
        <v>0</v>
      </c>
      <c r="M2371" s="311">
        <v>9252.0923076923082</v>
      </c>
      <c r="N2371" s="311">
        <v>8630.4092307692317</v>
      </c>
      <c r="O2371" s="311">
        <v>6041.2864615384633</v>
      </c>
      <c r="P2371" s="68">
        <f t="shared" si="19"/>
        <v>109070.66400000002</v>
      </c>
      <c r="Q2371" s="68">
        <f t="shared" si="20"/>
        <v>78858090.072000012</v>
      </c>
      <c r="R2371" s="127">
        <f t="shared" si="21"/>
        <v>78858090.072000012</v>
      </c>
      <c r="S2371" s="26"/>
    </row>
    <row r="2372" spans="1:19">
      <c r="A2372" s="26">
        <v>6</v>
      </c>
      <c r="B2372" s="25" t="s">
        <v>153</v>
      </c>
      <c r="C2372" s="26" t="s">
        <v>117</v>
      </c>
      <c r="D2372" s="351">
        <v>2641</v>
      </c>
      <c r="E2372" s="25"/>
      <c r="F2372" s="351">
        <v>2641</v>
      </c>
      <c r="G2372" s="365" t="s">
        <v>2363</v>
      </c>
      <c r="H2372" s="365"/>
      <c r="I2372" s="365" t="s">
        <v>2330</v>
      </c>
      <c r="J2372" s="365" t="s">
        <v>2328</v>
      </c>
      <c r="K2372" s="311">
        <v>54275.98320000001</v>
      </c>
      <c r="L2372" s="311">
        <v>0</v>
      </c>
      <c r="M2372" s="311">
        <v>7437.1384615384613</v>
      </c>
      <c r="N2372" s="311">
        <v>5637.601846153847</v>
      </c>
      <c r="O2372" s="311">
        <v>3946.3212923076931</v>
      </c>
      <c r="P2372" s="68">
        <f t="shared" si="19"/>
        <v>71297.044800000003</v>
      </c>
      <c r="Q2372" s="68">
        <f t="shared" si="20"/>
        <v>188295495.3168</v>
      </c>
      <c r="R2372" s="127">
        <f t="shared" si="21"/>
        <v>188295495.3168</v>
      </c>
      <c r="S2372" s="26"/>
    </row>
    <row r="2373" spans="1:19">
      <c r="A2373" s="26">
        <v>7</v>
      </c>
      <c r="B2373" s="25" t="s">
        <v>154</v>
      </c>
      <c r="C2373" s="26" t="s">
        <v>117</v>
      </c>
      <c r="D2373" s="351">
        <v>17980</v>
      </c>
      <c r="E2373" s="25"/>
      <c r="F2373" s="351">
        <v>17980</v>
      </c>
      <c r="G2373" s="365" t="s">
        <v>2364</v>
      </c>
      <c r="H2373" s="365"/>
      <c r="I2373" s="365" t="s">
        <v>2330</v>
      </c>
      <c r="J2373" s="365" t="s">
        <v>2328</v>
      </c>
      <c r="K2373" s="311">
        <v>34964.017200000002</v>
      </c>
      <c r="L2373" s="311">
        <v>0</v>
      </c>
      <c r="M2373" s="311">
        <v>6530.5307692307688</v>
      </c>
      <c r="N2373" s="311">
        <v>3785.6310769230768</v>
      </c>
      <c r="O2373" s="311">
        <v>2649.9417538461539</v>
      </c>
      <c r="P2373" s="68">
        <f t="shared" si="19"/>
        <v>47930.120800000004</v>
      </c>
      <c r="Q2373" s="68">
        <f t="shared" si="20"/>
        <v>861783571.98400009</v>
      </c>
      <c r="R2373" s="127">
        <f t="shared" si="21"/>
        <v>861783571.98400009</v>
      </c>
      <c r="S2373" s="26"/>
    </row>
    <row r="2374" spans="1:19">
      <c r="A2374" s="26">
        <v>8</v>
      </c>
      <c r="B2374" s="25" t="s">
        <v>155</v>
      </c>
      <c r="C2374" s="26" t="s">
        <v>117</v>
      </c>
      <c r="D2374" s="351">
        <v>841</v>
      </c>
      <c r="E2374" s="25"/>
      <c r="F2374" s="351">
        <v>841</v>
      </c>
      <c r="G2374" s="365" t="s">
        <v>2365</v>
      </c>
      <c r="H2374" s="365"/>
      <c r="I2374" s="365" t="s">
        <v>2330</v>
      </c>
      <c r="J2374" s="365" t="s">
        <v>2328</v>
      </c>
      <c r="K2374" s="311">
        <v>21240.219600000004</v>
      </c>
      <c r="L2374" s="311">
        <v>0</v>
      </c>
      <c r="M2374" s="311">
        <v>5414.7925925925929</v>
      </c>
      <c r="N2374" s="311">
        <v>2427.8291851851855</v>
      </c>
      <c r="O2374" s="311">
        <v>1699.48042962963</v>
      </c>
      <c r="P2374" s="68">
        <f t="shared" si="19"/>
        <v>30782.321807407414</v>
      </c>
      <c r="Q2374" s="68">
        <f t="shared" si="20"/>
        <v>25887932.640029635</v>
      </c>
      <c r="R2374" s="127">
        <f t="shared" si="21"/>
        <v>25887932.640029635</v>
      </c>
      <c r="S2374" s="26"/>
    </row>
    <row r="2375" spans="1:19">
      <c r="A2375" s="26">
        <v>9</v>
      </c>
      <c r="B2375" s="25" t="s">
        <v>156</v>
      </c>
      <c r="C2375" s="26" t="s">
        <v>117</v>
      </c>
      <c r="D2375" s="351">
        <v>1388</v>
      </c>
      <c r="E2375" s="25"/>
      <c r="F2375" s="351">
        <v>1388</v>
      </c>
      <c r="G2375" s="365" t="s">
        <v>2366</v>
      </c>
      <c r="H2375" s="365"/>
      <c r="I2375" s="365" t="s">
        <v>2330</v>
      </c>
      <c r="J2375" s="365" t="s">
        <v>2328</v>
      </c>
      <c r="K2375" s="311">
        <v>14466.610800000002</v>
      </c>
      <c r="L2375" s="311">
        <v>0</v>
      </c>
      <c r="M2375" s="311">
        <v>4716.7037037037044</v>
      </c>
      <c r="N2375" s="311">
        <v>1744.6194074074076</v>
      </c>
      <c r="O2375" s="311">
        <v>1221.2335851851853</v>
      </c>
      <c r="P2375" s="68">
        <f t="shared" si="19"/>
        <v>22149.167496296301</v>
      </c>
      <c r="Q2375" s="68">
        <f t="shared" si="20"/>
        <v>30743044.484859265</v>
      </c>
      <c r="R2375" s="127">
        <f t="shared" si="21"/>
        <v>30743044.484859265</v>
      </c>
      <c r="S2375" s="26"/>
    </row>
    <row r="2376" spans="1:19">
      <c r="A2376" s="26">
        <v>10</v>
      </c>
      <c r="B2376" s="25" t="s">
        <v>514</v>
      </c>
      <c r="C2376" s="26" t="s">
        <v>117</v>
      </c>
      <c r="D2376" s="351">
        <v>45855</v>
      </c>
      <c r="E2376" s="25"/>
      <c r="F2376" s="351">
        <v>45855</v>
      </c>
      <c r="G2376" s="365" t="s">
        <v>2407</v>
      </c>
      <c r="H2376" s="365"/>
      <c r="I2376" s="365" t="s">
        <v>2330</v>
      </c>
      <c r="J2376" s="365" t="s">
        <v>2328</v>
      </c>
      <c r="K2376" s="311">
        <v>9030.3012000000017</v>
      </c>
      <c r="L2376" s="311">
        <v>0</v>
      </c>
      <c r="M2376" s="311">
        <v>4192.7185185185181</v>
      </c>
      <c r="N2376" s="311">
        <v>1199.505037037037</v>
      </c>
      <c r="O2376" s="311">
        <v>839.65352592592603</v>
      </c>
      <c r="P2376" s="68">
        <f t="shared" si="19"/>
        <v>15262.178281481483</v>
      </c>
      <c r="Q2376" s="68">
        <f t="shared" si="20"/>
        <v>699847185.09733343</v>
      </c>
      <c r="R2376" s="127">
        <f t="shared" si="21"/>
        <v>699847185.09733343</v>
      </c>
      <c r="S2376" s="26"/>
    </row>
    <row r="2377" spans="1:19">
      <c r="A2377" s="24"/>
      <c r="B2377" s="27" t="s">
        <v>519</v>
      </c>
      <c r="C2377" s="26"/>
      <c r="D2377" s="351"/>
      <c r="E2377" s="25"/>
      <c r="F2377" s="351"/>
      <c r="G2377" s="26"/>
      <c r="H2377" s="26"/>
      <c r="I2377" s="26"/>
      <c r="J2377" s="26"/>
      <c r="K2377" s="26"/>
      <c r="L2377" s="26"/>
      <c r="M2377" s="26"/>
      <c r="N2377" s="26"/>
      <c r="O2377" s="26"/>
      <c r="P2377" s="26"/>
      <c r="Q2377" s="66"/>
      <c r="R2377" s="66"/>
      <c r="S2377" s="26"/>
    </row>
    <row r="2378" spans="1:19" ht="30">
      <c r="A2378" s="26">
        <v>1</v>
      </c>
      <c r="B2378" s="25" t="s">
        <v>520</v>
      </c>
      <c r="C2378" s="26" t="s">
        <v>117</v>
      </c>
      <c r="D2378" s="351">
        <v>174</v>
      </c>
      <c r="E2378" s="25"/>
      <c r="F2378" s="351">
        <v>174</v>
      </c>
      <c r="G2378" s="365" t="s">
        <v>2410</v>
      </c>
      <c r="H2378" s="365" t="s">
        <v>2411</v>
      </c>
      <c r="I2378" s="365" t="s">
        <v>2368</v>
      </c>
      <c r="J2378" s="365" t="s">
        <v>2328</v>
      </c>
      <c r="K2378" s="311">
        <v>35638.342465753427</v>
      </c>
      <c r="L2378" s="311">
        <v>0</v>
      </c>
      <c r="M2378" s="311">
        <v>17924.060000000005</v>
      </c>
      <c r="N2378" s="311">
        <v>4740.0356164383566</v>
      </c>
      <c r="O2378" s="311">
        <v>3318.02493150685</v>
      </c>
      <c r="P2378" s="68">
        <f t="shared" ref="P2378:P2386" si="22">SUM(K2378:O2378)</f>
        <v>61620.463013698638</v>
      </c>
      <c r="Q2378" s="68">
        <f t="shared" ref="Q2378:Q2386" si="23">D2378*P2378</f>
        <v>10721960.564383563</v>
      </c>
      <c r="R2378" s="127">
        <f t="shared" ref="R2378:R2386" si="24">F2378*P2378</f>
        <v>10721960.564383563</v>
      </c>
      <c r="S2378" s="365" t="s">
        <v>2420</v>
      </c>
    </row>
    <row r="2379" spans="1:19" ht="30">
      <c r="A2379" s="26">
        <v>2</v>
      </c>
      <c r="B2379" s="25" t="s">
        <v>521</v>
      </c>
      <c r="C2379" s="26" t="s">
        <v>117</v>
      </c>
      <c r="D2379" s="351">
        <v>116</v>
      </c>
      <c r="E2379" s="25"/>
      <c r="F2379" s="351">
        <v>116</v>
      </c>
      <c r="G2379" s="365" t="s">
        <v>2410</v>
      </c>
      <c r="H2379" s="365" t="s">
        <v>2411</v>
      </c>
      <c r="I2379" s="365" t="s">
        <v>2368</v>
      </c>
      <c r="J2379" s="365" t="s">
        <v>2328</v>
      </c>
      <c r="K2379" s="311">
        <v>33092.746575342469</v>
      </c>
      <c r="L2379" s="311">
        <v>0</v>
      </c>
      <c r="M2379" s="311">
        <v>45965.01</v>
      </c>
      <c r="N2379" s="311">
        <v>6996.2616438356172</v>
      </c>
      <c r="O2379" s="311">
        <v>4897.3831506849319</v>
      </c>
      <c r="P2379" s="68">
        <f t="shared" si="22"/>
        <v>90951.40136986303</v>
      </c>
      <c r="Q2379" s="68">
        <f t="shared" si="23"/>
        <v>10550362.558904111</v>
      </c>
      <c r="R2379" s="127">
        <f t="shared" si="24"/>
        <v>10550362.558904111</v>
      </c>
      <c r="S2379" s="365" t="s">
        <v>2420</v>
      </c>
    </row>
    <row r="2380" spans="1:19" ht="30">
      <c r="A2380" s="26">
        <v>3</v>
      </c>
      <c r="B2380" s="25" t="s">
        <v>522</v>
      </c>
      <c r="C2380" s="26" t="s">
        <v>117</v>
      </c>
      <c r="D2380" s="351">
        <v>1550</v>
      </c>
      <c r="E2380" s="25"/>
      <c r="F2380" s="351">
        <v>1550</v>
      </c>
      <c r="G2380" s="365" t="s">
        <v>2412</v>
      </c>
      <c r="H2380" s="365" t="s">
        <v>2413</v>
      </c>
      <c r="I2380" s="365" t="s">
        <v>2368</v>
      </c>
      <c r="J2380" s="365" t="s">
        <v>2328</v>
      </c>
      <c r="K2380" s="311">
        <v>24312.956164383562</v>
      </c>
      <c r="L2380" s="311">
        <v>0</v>
      </c>
      <c r="M2380" s="311">
        <v>16166.458000000002</v>
      </c>
      <c r="N2380" s="311">
        <v>3582.2490410958908</v>
      </c>
      <c r="O2380" s="311">
        <v>2507.5743287671235</v>
      </c>
      <c r="P2380" s="68">
        <f t="shared" si="22"/>
        <v>46569.237534246575</v>
      </c>
      <c r="Q2380" s="68">
        <f t="shared" si="23"/>
        <v>72182318.178082198</v>
      </c>
      <c r="R2380" s="127">
        <f t="shared" si="24"/>
        <v>72182318.178082198</v>
      </c>
      <c r="S2380" s="365" t="s">
        <v>2420</v>
      </c>
    </row>
    <row r="2381" spans="1:19" ht="30">
      <c r="A2381" s="26">
        <v>4</v>
      </c>
      <c r="B2381" s="25" t="s">
        <v>523</v>
      </c>
      <c r="C2381" s="26" t="s">
        <v>117</v>
      </c>
      <c r="D2381" s="351">
        <v>1034</v>
      </c>
      <c r="E2381" s="25"/>
      <c r="F2381" s="351">
        <v>1034</v>
      </c>
      <c r="G2381" s="365" t="s">
        <v>2410</v>
      </c>
      <c r="H2381" s="365" t="s">
        <v>2414</v>
      </c>
      <c r="I2381" s="365" t="s">
        <v>2368</v>
      </c>
      <c r="J2381" s="365" t="s">
        <v>2328</v>
      </c>
      <c r="K2381" s="311">
        <v>26186.434246575351</v>
      </c>
      <c r="L2381" s="311">
        <v>0</v>
      </c>
      <c r="M2381" s="311">
        <v>44767.492500000015</v>
      </c>
      <c r="N2381" s="311">
        <v>6279.1085616438377</v>
      </c>
      <c r="O2381" s="311">
        <v>4395.3759931506866</v>
      </c>
      <c r="P2381" s="68">
        <f t="shared" si="22"/>
        <v>81628.411301369895</v>
      </c>
      <c r="Q2381" s="68">
        <f t="shared" si="23"/>
        <v>84403777.285616472</v>
      </c>
      <c r="R2381" s="127">
        <f t="shared" si="24"/>
        <v>84403777.285616472</v>
      </c>
      <c r="S2381" s="365" t="s">
        <v>2420</v>
      </c>
    </row>
    <row r="2382" spans="1:19" ht="30">
      <c r="A2382" s="26">
        <v>5</v>
      </c>
      <c r="B2382" s="25" t="s">
        <v>524</v>
      </c>
      <c r="C2382" s="26" t="s">
        <v>117</v>
      </c>
      <c r="D2382" s="351">
        <v>415</v>
      </c>
      <c r="E2382" s="25"/>
      <c r="F2382" s="351">
        <v>415</v>
      </c>
      <c r="G2382" s="365" t="s">
        <v>2412</v>
      </c>
      <c r="H2382" s="365" t="s">
        <v>2415</v>
      </c>
      <c r="I2382" s="365" t="s">
        <v>2368</v>
      </c>
      <c r="J2382" s="365" t="s">
        <v>2328</v>
      </c>
      <c r="K2382" s="311">
        <v>12142.391780821919</v>
      </c>
      <c r="L2382" s="311">
        <v>0</v>
      </c>
      <c r="M2382" s="311">
        <v>13941.488000000001</v>
      </c>
      <c r="N2382" s="311">
        <v>2308.3079452054794</v>
      </c>
      <c r="O2382" s="311">
        <v>1615.8155616438357</v>
      </c>
      <c r="P2382" s="68">
        <f t="shared" si="22"/>
        <v>30008.003287671236</v>
      </c>
      <c r="Q2382" s="68">
        <f t="shared" si="23"/>
        <v>12453321.364383563</v>
      </c>
      <c r="R2382" s="127">
        <f t="shared" si="24"/>
        <v>12453321.364383563</v>
      </c>
      <c r="S2382" s="365" t="s">
        <v>2420</v>
      </c>
    </row>
    <row r="2383" spans="1:19" ht="30">
      <c r="A2383" s="26">
        <v>6</v>
      </c>
      <c r="B2383" s="25" t="s">
        <v>525</v>
      </c>
      <c r="C2383" s="26" t="s">
        <v>117</v>
      </c>
      <c r="D2383" s="351">
        <v>277</v>
      </c>
      <c r="E2383" s="25"/>
      <c r="F2383" s="351">
        <v>277</v>
      </c>
      <c r="G2383" s="365" t="s">
        <v>2410</v>
      </c>
      <c r="H2383" s="365" t="s">
        <v>2416</v>
      </c>
      <c r="I2383" s="365" t="s">
        <v>2368</v>
      </c>
      <c r="J2383" s="365" t="s">
        <v>2328</v>
      </c>
      <c r="K2383" s="311">
        <v>13681.823287671235</v>
      </c>
      <c r="L2383" s="311">
        <v>0</v>
      </c>
      <c r="M2383" s="311">
        <v>43249.62</v>
      </c>
      <c r="N2383" s="311">
        <v>5038.1808219178092</v>
      </c>
      <c r="O2383" s="311">
        <v>3526.7265753424663</v>
      </c>
      <c r="P2383" s="68">
        <f t="shared" si="22"/>
        <v>65496.350684931509</v>
      </c>
      <c r="Q2383" s="68">
        <f t="shared" si="23"/>
        <v>18142489.139726028</v>
      </c>
      <c r="R2383" s="127">
        <f t="shared" si="24"/>
        <v>18142489.139726028</v>
      </c>
      <c r="S2383" s="365" t="s">
        <v>2420</v>
      </c>
    </row>
    <row r="2384" spans="1:19" ht="30">
      <c r="A2384" s="26">
        <v>7</v>
      </c>
      <c r="B2384" s="25" t="s">
        <v>526</v>
      </c>
      <c r="C2384" s="26" t="s">
        <v>117</v>
      </c>
      <c r="D2384" s="351">
        <v>26278</v>
      </c>
      <c r="E2384" s="25"/>
      <c r="F2384" s="351">
        <v>26278</v>
      </c>
      <c r="G2384" s="365" t="s">
        <v>2412</v>
      </c>
      <c r="H2384" s="365" t="s">
        <v>2417</v>
      </c>
      <c r="I2384" s="365" t="s">
        <v>2368</v>
      </c>
      <c r="J2384" s="365" t="s">
        <v>2328</v>
      </c>
      <c r="K2384" s="311">
        <v>8367.2630136986299</v>
      </c>
      <c r="L2384" s="311">
        <v>0</v>
      </c>
      <c r="M2384" s="311">
        <v>13003.023000000001</v>
      </c>
      <c r="N2384" s="311">
        <v>1891.1757534246576</v>
      </c>
      <c r="O2384" s="311">
        <v>1323.8230273972604</v>
      </c>
      <c r="P2384" s="68">
        <f t="shared" si="22"/>
        <v>24585.28479452055</v>
      </c>
      <c r="Q2384" s="68">
        <f t="shared" si="23"/>
        <v>646052113.83041108</v>
      </c>
      <c r="R2384" s="127">
        <f t="shared" si="24"/>
        <v>646052113.83041108</v>
      </c>
      <c r="S2384" s="365" t="s">
        <v>2420</v>
      </c>
    </row>
    <row r="2385" spans="1:19" ht="30">
      <c r="A2385" s="26">
        <v>8</v>
      </c>
      <c r="B2385" s="25" t="s">
        <v>527</v>
      </c>
      <c r="C2385" s="26" t="s">
        <v>117</v>
      </c>
      <c r="D2385" s="351">
        <v>17518</v>
      </c>
      <c r="E2385" s="25"/>
      <c r="F2385" s="351">
        <v>17518</v>
      </c>
      <c r="G2385" s="365" t="s">
        <v>2410</v>
      </c>
      <c r="H2385" s="365" t="s">
        <v>2418</v>
      </c>
      <c r="I2385" s="365" t="s">
        <v>2368</v>
      </c>
      <c r="J2385" s="365" t="s">
        <v>2328</v>
      </c>
      <c r="K2385" s="311">
        <v>9339.2178082191804</v>
      </c>
      <c r="L2385" s="311">
        <v>0</v>
      </c>
      <c r="M2385" s="311">
        <v>42610.60500000001</v>
      </c>
      <c r="N2385" s="311">
        <v>4597.3294520547961</v>
      </c>
      <c r="O2385" s="311">
        <v>3218.1306164383573</v>
      </c>
      <c r="P2385" s="68">
        <f t="shared" si="22"/>
        <v>59765.282876712343</v>
      </c>
      <c r="Q2385" s="68">
        <f t="shared" si="23"/>
        <v>1046968225.4342468</v>
      </c>
      <c r="R2385" s="127">
        <f t="shared" si="24"/>
        <v>1046968225.4342468</v>
      </c>
      <c r="S2385" s="365" t="s">
        <v>2420</v>
      </c>
    </row>
    <row r="2386" spans="1:19">
      <c r="A2386" s="26">
        <v>9</v>
      </c>
      <c r="B2386" s="25" t="s">
        <v>528</v>
      </c>
      <c r="C2386" s="26" t="s">
        <v>117</v>
      </c>
      <c r="D2386" s="351">
        <v>173</v>
      </c>
      <c r="E2386" s="25"/>
      <c r="F2386" s="351">
        <v>173</v>
      </c>
      <c r="G2386" s="365"/>
      <c r="H2386" s="365" t="s">
        <v>2419</v>
      </c>
      <c r="I2386" s="365" t="s">
        <v>2368</v>
      </c>
      <c r="J2386" s="365" t="s">
        <v>2328</v>
      </c>
      <c r="K2386" s="311">
        <v>7458.0000000000018</v>
      </c>
      <c r="L2386" s="311">
        <v>0</v>
      </c>
      <c r="M2386" s="311">
        <v>6838.7600000000011</v>
      </c>
      <c r="N2386" s="311">
        <v>1265.2</v>
      </c>
      <c r="O2386" s="311">
        <v>885.6400000000001</v>
      </c>
      <c r="P2386" s="68">
        <f t="shared" si="22"/>
        <v>16447.600000000002</v>
      </c>
      <c r="Q2386" s="68">
        <f t="shared" si="23"/>
        <v>2845434.8000000003</v>
      </c>
      <c r="R2386" s="127">
        <f t="shared" si="24"/>
        <v>2845434.8000000003</v>
      </c>
      <c r="S2386" s="365"/>
    </row>
    <row r="2387" spans="1:19">
      <c r="A2387" s="24"/>
      <c r="B2387" s="27" t="s">
        <v>529</v>
      </c>
      <c r="C2387" s="26"/>
      <c r="D2387" s="351"/>
      <c r="E2387" s="25"/>
      <c r="F2387" s="351"/>
      <c r="G2387" s="26"/>
      <c r="H2387" s="26"/>
      <c r="I2387" s="26"/>
      <c r="J2387" s="26"/>
      <c r="K2387" s="26"/>
      <c r="L2387" s="26"/>
      <c r="M2387" s="26"/>
      <c r="N2387" s="26"/>
      <c r="O2387" s="26"/>
      <c r="P2387" s="26"/>
      <c r="Q2387" s="66"/>
      <c r="R2387" s="66"/>
      <c r="S2387" s="26"/>
    </row>
    <row r="2388" spans="1:19" ht="30">
      <c r="A2388" s="26">
        <v>1</v>
      </c>
      <c r="B2388" s="25" t="s">
        <v>530</v>
      </c>
      <c r="C2388" s="26" t="s">
        <v>117</v>
      </c>
      <c r="D2388" s="351">
        <v>4277</v>
      </c>
      <c r="E2388" s="25"/>
      <c r="F2388" s="351">
        <v>4277</v>
      </c>
      <c r="G2388" s="26"/>
      <c r="H2388" s="26" t="s">
        <v>2421</v>
      </c>
      <c r="I2388" s="26" t="s">
        <v>2368</v>
      </c>
      <c r="J2388" s="26" t="s">
        <v>2328</v>
      </c>
      <c r="K2388" s="311">
        <v>3290.5600000000004</v>
      </c>
      <c r="L2388" s="311">
        <v>0</v>
      </c>
      <c r="M2388" s="311">
        <v>6502.1330000000007</v>
      </c>
      <c r="N2388" s="311">
        <v>866.61000000000013</v>
      </c>
      <c r="O2388" s="311">
        <v>606.62700000000007</v>
      </c>
      <c r="P2388" s="68">
        <f>SUM(K2388:O2388)</f>
        <v>11265.930000000002</v>
      </c>
      <c r="Q2388" s="68">
        <f>D2388*P2388</f>
        <v>48184382.610000007</v>
      </c>
      <c r="R2388" s="127">
        <f>F2388*P2388</f>
        <v>48184382.610000007</v>
      </c>
      <c r="S2388" s="26" t="s">
        <v>2420</v>
      </c>
    </row>
    <row r="2389" spans="1:19">
      <c r="A2389" s="28"/>
      <c r="B2389" s="82" t="s">
        <v>1891</v>
      </c>
      <c r="C2389" s="30"/>
      <c r="D2389" s="352"/>
      <c r="E2389" s="25"/>
      <c r="F2389" s="352"/>
      <c r="G2389" s="26"/>
      <c r="H2389" s="26"/>
      <c r="I2389" s="26"/>
      <c r="J2389" s="26"/>
      <c r="K2389" s="26"/>
      <c r="L2389" s="26"/>
      <c r="M2389" s="26"/>
      <c r="N2389" s="26"/>
      <c r="O2389" s="26"/>
      <c r="P2389" s="26"/>
      <c r="Q2389" s="66"/>
      <c r="R2389" s="66"/>
      <c r="S2389" s="26"/>
    </row>
    <row r="2390" spans="1:19" ht="30">
      <c r="A2390" s="30">
        <v>1</v>
      </c>
      <c r="B2390" s="29" t="s">
        <v>1892</v>
      </c>
      <c r="C2390" s="30" t="s">
        <v>117</v>
      </c>
      <c r="D2390" s="352">
        <v>47</v>
      </c>
      <c r="E2390" s="29"/>
      <c r="F2390" s="352">
        <v>47</v>
      </c>
      <c r="G2390" s="26" t="s">
        <v>2566</v>
      </c>
      <c r="H2390" s="26" t="s">
        <v>2557</v>
      </c>
      <c r="I2390" s="26" t="s">
        <v>2545</v>
      </c>
      <c r="J2390" s="26" t="s">
        <v>2328</v>
      </c>
      <c r="K2390" s="311">
        <v>125430.00000000001</v>
      </c>
      <c r="L2390" s="311">
        <v>0</v>
      </c>
      <c r="M2390" s="311">
        <v>35274.984000000004</v>
      </c>
      <c r="N2390" s="311">
        <v>14221.68</v>
      </c>
      <c r="O2390" s="311">
        <v>9955.1759999999995</v>
      </c>
      <c r="P2390" s="68">
        <f t="shared" ref="P2390:P2395" si="25">SUM(K2390:O2390)</f>
        <v>184881.84000000003</v>
      </c>
      <c r="Q2390" s="68">
        <f t="shared" ref="Q2390:Q2395" si="26">D2390*P2390</f>
        <v>8689446.4800000004</v>
      </c>
      <c r="R2390" s="127">
        <f t="shared" ref="R2390:R2395" si="27">F2390*P2390</f>
        <v>8689446.4800000004</v>
      </c>
      <c r="S2390" s="26" t="s">
        <v>2420</v>
      </c>
    </row>
    <row r="2391" spans="1:19" ht="30">
      <c r="A2391" s="30">
        <v>2</v>
      </c>
      <c r="B2391" s="29" t="s">
        <v>1893</v>
      </c>
      <c r="C2391" s="30" t="s">
        <v>117</v>
      </c>
      <c r="D2391" s="352">
        <v>4</v>
      </c>
      <c r="E2391" s="29"/>
      <c r="F2391" s="352">
        <v>4</v>
      </c>
      <c r="G2391" s="26" t="s">
        <v>2565</v>
      </c>
      <c r="H2391" s="26" t="s">
        <v>2558</v>
      </c>
      <c r="I2391" s="26" t="s">
        <v>2545</v>
      </c>
      <c r="J2391" s="26" t="s">
        <v>2328</v>
      </c>
      <c r="K2391" s="311">
        <v>160460.00000000003</v>
      </c>
      <c r="L2391" s="311">
        <v>0</v>
      </c>
      <c r="M2391" s="311">
        <v>41500.380000000005</v>
      </c>
      <c r="N2391" s="311">
        <v>17872.600000000002</v>
      </c>
      <c r="O2391" s="311">
        <v>12510.820000000002</v>
      </c>
      <c r="P2391" s="68">
        <f t="shared" si="25"/>
        <v>232343.80000000005</v>
      </c>
      <c r="Q2391" s="68">
        <f t="shared" si="26"/>
        <v>929375.20000000019</v>
      </c>
      <c r="R2391" s="127">
        <f t="shared" si="27"/>
        <v>929375.20000000019</v>
      </c>
      <c r="S2391" s="26" t="s">
        <v>2420</v>
      </c>
    </row>
    <row r="2392" spans="1:19" ht="30">
      <c r="A2392" s="30">
        <v>3</v>
      </c>
      <c r="B2392" s="29" t="s">
        <v>1894</v>
      </c>
      <c r="C2392" s="30" t="s">
        <v>117</v>
      </c>
      <c r="D2392" s="352">
        <v>264</v>
      </c>
      <c r="E2392" s="29"/>
      <c r="F2392" s="352">
        <v>264</v>
      </c>
      <c r="G2392" s="26" t="s">
        <v>2567</v>
      </c>
      <c r="H2392" s="26" t="s">
        <v>2568</v>
      </c>
      <c r="I2392" s="26" t="s">
        <v>2545</v>
      </c>
      <c r="J2392" s="26" t="s">
        <v>2328</v>
      </c>
      <c r="K2392" s="311">
        <v>174020.00000000003</v>
      </c>
      <c r="L2392" s="311">
        <v>0</v>
      </c>
      <c r="M2392" s="311">
        <v>49009.908000000003</v>
      </c>
      <c r="N2392" s="311">
        <v>19737.160000000003</v>
      </c>
      <c r="O2392" s="311">
        <v>13816.012000000002</v>
      </c>
      <c r="P2392" s="68">
        <f t="shared" si="25"/>
        <v>256583.08000000002</v>
      </c>
      <c r="Q2392" s="68">
        <f t="shared" si="26"/>
        <v>67737933.120000005</v>
      </c>
      <c r="R2392" s="127">
        <f t="shared" si="27"/>
        <v>67737933.120000005</v>
      </c>
      <c r="S2392" s="26" t="s">
        <v>2420</v>
      </c>
    </row>
    <row r="2393" spans="1:19" ht="30">
      <c r="A2393" s="30">
        <v>4</v>
      </c>
      <c r="B2393" s="29" t="s">
        <v>1895</v>
      </c>
      <c r="C2393" s="30" t="s">
        <v>117</v>
      </c>
      <c r="D2393" s="352">
        <v>10</v>
      </c>
      <c r="E2393" s="29"/>
      <c r="F2393" s="352">
        <v>10</v>
      </c>
      <c r="G2393" s="26" t="s">
        <v>2562</v>
      </c>
      <c r="H2393" s="26" t="s">
        <v>2559</v>
      </c>
      <c r="I2393" s="26" t="s">
        <v>2545</v>
      </c>
      <c r="J2393" s="26" t="s">
        <v>2328</v>
      </c>
      <c r="K2393" s="311">
        <v>28137.000000000004</v>
      </c>
      <c r="L2393" s="311">
        <v>0</v>
      </c>
      <c r="M2393" s="311">
        <v>9458.1</v>
      </c>
      <c r="N2393" s="311">
        <v>3327</v>
      </c>
      <c r="O2393" s="311">
        <v>2328.9</v>
      </c>
      <c r="P2393" s="68">
        <f t="shared" si="25"/>
        <v>43251.000000000007</v>
      </c>
      <c r="Q2393" s="68">
        <f t="shared" si="26"/>
        <v>432510.00000000006</v>
      </c>
      <c r="R2393" s="127">
        <f t="shared" si="27"/>
        <v>432510.00000000006</v>
      </c>
      <c r="S2393" s="26" t="s">
        <v>2420</v>
      </c>
    </row>
    <row r="2394" spans="1:19" ht="30">
      <c r="A2394" s="30">
        <v>5</v>
      </c>
      <c r="B2394" s="29" t="s">
        <v>1896</v>
      </c>
      <c r="C2394" s="30" t="s">
        <v>117</v>
      </c>
      <c r="D2394" s="352">
        <v>1</v>
      </c>
      <c r="E2394" s="29"/>
      <c r="F2394" s="352">
        <v>1</v>
      </c>
      <c r="G2394" s="26" t="s">
        <v>2563</v>
      </c>
      <c r="H2394" s="26" t="s">
        <v>2560</v>
      </c>
      <c r="I2394" s="26" t="s">
        <v>2545</v>
      </c>
      <c r="J2394" s="26" t="s">
        <v>2328</v>
      </c>
      <c r="K2394" s="311">
        <v>42375.000000000007</v>
      </c>
      <c r="L2394" s="311">
        <v>0</v>
      </c>
      <c r="M2394" s="311">
        <v>10026.264000000001</v>
      </c>
      <c r="N2394" s="311">
        <v>4637.2800000000007</v>
      </c>
      <c r="O2394" s="311">
        <v>3246.0960000000005</v>
      </c>
      <c r="P2394" s="68">
        <f t="shared" si="25"/>
        <v>60284.640000000007</v>
      </c>
      <c r="Q2394" s="68">
        <f t="shared" si="26"/>
        <v>60284.640000000007</v>
      </c>
      <c r="R2394" s="127">
        <f t="shared" si="27"/>
        <v>60284.640000000007</v>
      </c>
      <c r="S2394" s="26" t="s">
        <v>2420</v>
      </c>
    </row>
    <row r="2395" spans="1:19" ht="30">
      <c r="A2395" s="30">
        <v>6</v>
      </c>
      <c r="B2395" s="29" t="s">
        <v>1897</v>
      </c>
      <c r="C2395" s="30" t="s">
        <v>117</v>
      </c>
      <c r="D2395" s="352">
        <v>48</v>
      </c>
      <c r="E2395" s="29"/>
      <c r="F2395" s="352">
        <v>48</v>
      </c>
      <c r="G2395" s="26" t="s">
        <v>2564</v>
      </c>
      <c r="H2395" s="26" t="s">
        <v>2561</v>
      </c>
      <c r="I2395" s="26" t="s">
        <v>2545</v>
      </c>
      <c r="J2395" s="26" t="s">
        <v>2328</v>
      </c>
      <c r="K2395" s="311">
        <v>51867.000000000007</v>
      </c>
      <c r="L2395" s="311">
        <v>0</v>
      </c>
      <c r="M2395" s="311">
        <v>11794.488000000001</v>
      </c>
      <c r="N2395" s="311">
        <v>5633.76</v>
      </c>
      <c r="O2395" s="311">
        <v>3943.6320000000001</v>
      </c>
      <c r="P2395" s="68">
        <f t="shared" si="25"/>
        <v>73238.880000000005</v>
      </c>
      <c r="Q2395" s="68">
        <f t="shared" si="26"/>
        <v>3515466.24</v>
      </c>
      <c r="R2395" s="127">
        <f t="shared" si="27"/>
        <v>3515466.24</v>
      </c>
      <c r="S2395" s="26" t="s">
        <v>2420</v>
      </c>
    </row>
    <row r="2396" spans="1:19">
      <c r="A2396" s="24"/>
      <c r="B2396" s="82" t="s">
        <v>1901</v>
      </c>
      <c r="C2396" s="26"/>
      <c r="D2396" s="351"/>
      <c r="E2396" s="25"/>
      <c r="F2396" s="351"/>
      <c r="G2396" s="26"/>
      <c r="H2396" s="26"/>
      <c r="I2396" s="26"/>
      <c r="J2396" s="26"/>
      <c r="K2396" s="26"/>
      <c r="L2396" s="26"/>
      <c r="M2396" s="26"/>
      <c r="N2396" s="26"/>
      <c r="O2396" s="26"/>
      <c r="P2396" s="26"/>
      <c r="Q2396" s="66"/>
      <c r="R2396" s="66"/>
      <c r="S2396" s="26"/>
    </row>
    <row r="2397" spans="1:19" ht="30">
      <c r="A2397" s="30">
        <v>1</v>
      </c>
      <c r="B2397" s="29" t="s">
        <v>1902</v>
      </c>
      <c r="C2397" s="26" t="s">
        <v>117</v>
      </c>
      <c r="D2397" s="352">
        <v>144</v>
      </c>
      <c r="E2397" s="29"/>
      <c r="F2397" s="352">
        <v>144</v>
      </c>
      <c r="G2397" s="365" t="s">
        <v>2410</v>
      </c>
      <c r="H2397" s="365" t="s">
        <v>2418</v>
      </c>
      <c r="I2397" s="365" t="s">
        <v>2368</v>
      </c>
      <c r="J2397" s="365" t="s">
        <v>2328</v>
      </c>
      <c r="K2397" s="311">
        <v>9339.2178082191804</v>
      </c>
      <c r="L2397" s="311">
        <v>0</v>
      </c>
      <c r="M2397" s="311">
        <v>42610.60500000001</v>
      </c>
      <c r="N2397" s="311">
        <v>4597.3294520547961</v>
      </c>
      <c r="O2397" s="311">
        <v>3218.1306164383573</v>
      </c>
      <c r="P2397" s="68">
        <f>SUM(K2397:O2397)</f>
        <v>59765.282876712343</v>
      </c>
      <c r="Q2397" s="68">
        <f>D2397*P2397</f>
        <v>8606200.7342465781</v>
      </c>
      <c r="R2397" s="127">
        <f>F2397*P2397</f>
        <v>8606200.7342465781</v>
      </c>
      <c r="S2397" s="365" t="s">
        <v>2420</v>
      </c>
    </row>
    <row r="2398" spans="1:19">
      <c r="A2398" s="181" t="s">
        <v>516</v>
      </c>
      <c r="B2398" s="182" t="s">
        <v>531</v>
      </c>
      <c r="C2398" s="181"/>
      <c r="D2398" s="355"/>
      <c r="E2398" s="319"/>
      <c r="F2398" s="355"/>
      <c r="G2398" s="342"/>
      <c r="H2398" s="342"/>
      <c r="I2398" s="342"/>
      <c r="J2398" s="342"/>
      <c r="K2398" s="342"/>
      <c r="L2398" s="342"/>
      <c r="M2398" s="342"/>
      <c r="N2398" s="342"/>
      <c r="O2398" s="342"/>
      <c r="P2398" s="342"/>
      <c r="Q2398" s="208"/>
      <c r="R2398" s="208"/>
      <c r="S2398" s="342"/>
    </row>
    <row r="2399" spans="1:19">
      <c r="A2399" s="24"/>
      <c r="B2399" s="27" t="s">
        <v>532</v>
      </c>
      <c r="C2399" s="26"/>
      <c r="D2399" s="351"/>
      <c r="E2399" s="25"/>
      <c r="F2399" s="351"/>
      <c r="G2399" s="26"/>
      <c r="H2399" s="26"/>
      <c r="I2399" s="26"/>
      <c r="J2399" s="26"/>
      <c r="K2399" s="26"/>
      <c r="L2399" s="26"/>
      <c r="M2399" s="26"/>
      <c r="N2399" s="26"/>
      <c r="O2399" s="26"/>
      <c r="P2399" s="26"/>
      <c r="Q2399" s="66"/>
      <c r="R2399" s="66"/>
      <c r="S2399" s="26"/>
    </row>
    <row r="2400" spans="1:19" ht="28.5">
      <c r="A2400" s="24">
        <v>1</v>
      </c>
      <c r="B2400" s="27" t="s">
        <v>533</v>
      </c>
      <c r="C2400" s="26"/>
      <c r="D2400" s="351"/>
      <c r="E2400" s="25"/>
      <c r="F2400" s="351"/>
      <c r="G2400" s="26"/>
      <c r="H2400" s="26"/>
      <c r="I2400" s="26"/>
      <c r="J2400" s="26"/>
      <c r="K2400" s="26"/>
      <c r="L2400" s="26"/>
      <c r="M2400" s="26"/>
      <c r="N2400" s="26"/>
      <c r="O2400" s="26"/>
      <c r="P2400" s="26"/>
      <c r="Q2400" s="66"/>
      <c r="R2400" s="66"/>
      <c r="S2400" s="26"/>
    </row>
    <row r="2401" spans="1:19" ht="30">
      <c r="A2401" s="24"/>
      <c r="B2401" s="25" t="s">
        <v>534</v>
      </c>
      <c r="C2401" s="26" t="s">
        <v>7</v>
      </c>
      <c r="D2401" s="351">
        <v>36</v>
      </c>
      <c r="E2401" s="25"/>
      <c r="F2401" s="351">
        <v>36</v>
      </c>
      <c r="G2401" s="369" t="s">
        <v>2444</v>
      </c>
      <c r="H2401" s="369" t="s">
        <v>2445</v>
      </c>
      <c r="I2401" s="369" t="s">
        <v>2369</v>
      </c>
      <c r="J2401" s="369" t="s">
        <v>2371</v>
      </c>
      <c r="K2401" s="311">
        <v>1972244</v>
      </c>
      <c r="L2401" s="311">
        <v>0</v>
      </c>
      <c r="M2401" s="311">
        <v>502768.34793846158</v>
      </c>
      <c r="N2401" s="311">
        <v>235972.77415384614</v>
      </c>
      <c r="O2401" s="311">
        <v>165180.94190769229</v>
      </c>
      <c r="P2401" s="68">
        <f>SUM(K2401:O2401)</f>
        <v>2876166.0640000002</v>
      </c>
      <c r="Q2401" s="68">
        <f>D2401*P2401</f>
        <v>103541978.30400001</v>
      </c>
      <c r="R2401" s="127">
        <f>F2401*P2401</f>
        <v>103541978.30400001</v>
      </c>
      <c r="S2401" s="26"/>
    </row>
    <row r="2402" spans="1:19">
      <c r="A2402" s="24"/>
      <c r="B2402" s="25" t="s">
        <v>369</v>
      </c>
      <c r="C2402" s="26" t="s">
        <v>535</v>
      </c>
      <c r="D2402" s="351">
        <v>1</v>
      </c>
      <c r="E2402" s="25"/>
      <c r="F2402" s="351">
        <v>1</v>
      </c>
      <c r="G2402" s="369" t="s">
        <v>2372</v>
      </c>
      <c r="H2402" s="369" t="s">
        <v>2373</v>
      </c>
      <c r="I2402" s="369" t="s">
        <v>2369</v>
      </c>
      <c r="J2402" s="369" t="s">
        <v>2374</v>
      </c>
      <c r="K2402" s="311"/>
      <c r="L2402" s="311"/>
      <c r="M2402" s="311"/>
      <c r="N2402" s="311"/>
      <c r="O2402" s="311"/>
      <c r="P2402" s="68"/>
      <c r="Q2402" s="68"/>
      <c r="R2402" s="127"/>
      <c r="S2402" s="26"/>
    </row>
    <row r="2403" spans="1:19">
      <c r="A2403" s="24"/>
      <c r="B2403" s="25" t="s">
        <v>315</v>
      </c>
      <c r="C2403" s="26" t="s">
        <v>535</v>
      </c>
      <c r="D2403" s="351">
        <v>2</v>
      </c>
      <c r="E2403" s="25"/>
      <c r="F2403" s="351">
        <v>2</v>
      </c>
      <c r="G2403" s="369" t="s">
        <v>2446</v>
      </c>
      <c r="H2403" s="369" t="s">
        <v>2447</v>
      </c>
      <c r="I2403" s="369" t="s">
        <v>2369</v>
      </c>
      <c r="J2403" s="369" t="s">
        <v>2374</v>
      </c>
      <c r="K2403" s="311"/>
      <c r="L2403" s="311"/>
      <c r="M2403" s="311"/>
      <c r="N2403" s="311"/>
      <c r="O2403" s="311"/>
      <c r="P2403" s="68"/>
      <c r="Q2403" s="68"/>
      <c r="R2403" s="127"/>
      <c r="S2403" s="26"/>
    </row>
    <row r="2404" spans="1:19">
      <c r="A2404" s="24"/>
      <c r="B2404" s="25" t="s">
        <v>166</v>
      </c>
      <c r="C2404" s="26" t="s">
        <v>535</v>
      </c>
      <c r="D2404" s="351">
        <v>6</v>
      </c>
      <c r="E2404" s="25"/>
      <c r="F2404" s="351">
        <v>6</v>
      </c>
      <c r="G2404" s="369" t="s">
        <v>2377</v>
      </c>
      <c r="H2404" s="369" t="s">
        <v>2378</v>
      </c>
      <c r="I2404" s="369" t="s">
        <v>2369</v>
      </c>
      <c r="J2404" s="369" t="s">
        <v>2374</v>
      </c>
      <c r="K2404" s="311"/>
      <c r="L2404" s="311"/>
      <c r="M2404" s="311"/>
      <c r="N2404" s="311"/>
      <c r="O2404" s="311"/>
      <c r="P2404" s="68"/>
      <c r="Q2404" s="68"/>
      <c r="R2404" s="127"/>
      <c r="S2404" s="26"/>
    </row>
    <row r="2405" spans="1:19">
      <c r="A2405" s="24"/>
      <c r="B2405" s="25" t="s">
        <v>167</v>
      </c>
      <c r="C2405" s="26" t="s">
        <v>535</v>
      </c>
      <c r="D2405" s="351">
        <v>2</v>
      </c>
      <c r="E2405" s="25"/>
      <c r="F2405" s="351">
        <v>2</v>
      </c>
      <c r="G2405" s="369" t="s">
        <v>2379</v>
      </c>
      <c r="H2405" s="369" t="s">
        <v>2380</v>
      </c>
      <c r="I2405" s="369" t="s">
        <v>2369</v>
      </c>
      <c r="J2405" s="369" t="s">
        <v>2374</v>
      </c>
      <c r="K2405" s="311"/>
      <c r="L2405" s="311"/>
      <c r="M2405" s="311"/>
      <c r="N2405" s="311"/>
      <c r="O2405" s="311"/>
      <c r="P2405" s="68"/>
      <c r="Q2405" s="68"/>
      <c r="R2405" s="127"/>
      <c r="S2405" s="26"/>
    </row>
    <row r="2406" spans="1:19" ht="30">
      <c r="A2406" s="24"/>
      <c r="B2406" s="25" t="s">
        <v>536</v>
      </c>
      <c r="C2406" s="26" t="s">
        <v>535</v>
      </c>
      <c r="D2406" s="351">
        <v>1</v>
      </c>
      <c r="E2406" s="25"/>
      <c r="F2406" s="351">
        <v>1</v>
      </c>
      <c r="G2406" s="369" t="s">
        <v>2375</v>
      </c>
      <c r="H2406" s="369" t="s">
        <v>2376</v>
      </c>
      <c r="I2406" s="369" t="s">
        <v>2369</v>
      </c>
      <c r="J2406" s="369" t="s">
        <v>2374</v>
      </c>
      <c r="K2406" s="311"/>
      <c r="L2406" s="311"/>
      <c r="M2406" s="311"/>
      <c r="N2406" s="311"/>
      <c r="O2406" s="311"/>
      <c r="P2406" s="68"/>
      <c r="Q2406" s="68"/>
      <c r="R2406" s="127"/>
      <c r="S2406" s="26"/>
    </row>
    <row r="2407" spans="1:19" ht="30">
      <c r="A2407" s="24"/>
      <c r="B2407" s="25" t="s">
        <v>537</v>
      </c>
      <c r="C2407" s="26" t="s">
        <v>535</v>
      </c>
      <c r="D2407" s="351">
        <v>1</v>
      </c>
      <c r="E2407" s="25"/>
      <c r="F2407" s="351">
        <v>1</v>
      </c>
      <c r="G2407" s="369" t="s">
        <v>2448</v>
      </c>
      <c r="H2407" s="369" t="s">
        <v>2449</v>
      </c>
      <c r="I2407" s="369" t="s">
        <v>2369</v>
      </c>
      <c r="J2407" s="369" t="s">
        <v>2374</v>
      </c>
      <c r="K2407" s="311"/>
      <c r="L2407" s="311"/>
      <c r="M2407" s="311"/>
      <c r="N2407" s="311"/>
      <c r="O2407" s="311"/>
      <c r="P2407" s="68"/>
      <c r="Q2407" s="68"/>
      <c r="R2407" s="127"/>
      <c r="S2407" s="26"/>
    </row>
    <row r="2408" spans="1:19">
      <c r="A2408" s="24"/>
      <c r="B2408" s="25" t="s">
        <v>538</v>
      </c>
      <c r="C2408" s="26" t="s">
        <v>78</v>
      </c>
      <c r="D2408" s="351">
        <v>1</v>
      </c>
      <c r="E2408" s="25"/>
      <c r="F2408" s="351">
        <v>1</v>
      </c>
      <c r="G2408" s="369"/>
      <c r="H2408" s="369"/>
      <c r="I2408" s="369"/>
      <c r="J2408" s="369" t="s">
        <v>2381</v>
      </c>
      <c r="K2408" s="311"/>
      <c r="L2408" s="311"/>
      <c r="M2408" s="311"/>
      <c r="N2408" s="311"/>
      <c r="O2408" s="311"/>
      <c r="P2408" s="68"/>
      <c r="Q2408" s="68"/>
      <c r="R2408" s="127"/>
      <c r="S2408" s="26"/>
    </row>
    <row r="2409" spans="1:19" ht="28.5">
      <c r="A2409" s="24">
        <v>2</v>
      </c>
      <c r="B2409" s="27" t="s">
        <v>539</v>
      </c>
      <c r="C2409" s="26"/>
      <c r="D2409" s="351"/>
      <c r="E2409" s="25"/>
      <c r="F2409" s="351"/>
      <c r="G2409" s="370"/>
      <c r="H2409" s="370"/>
      <c r="I2409" s="370"/>
      <c r="J2409" s="370"/>
      <c r="K2409" s="26"/>
      <c r="L2409" s="26"/>
      <c r="M2409" s="26"/>
      <c r="N2409" s="26"/>
      <c r="O2409" s="26"/>
      <c r="P2409" s="26"/>
      <c r="Q2409" s="66"/>
      <c r="R2409" s="66"/>
      <c r="S2409" s="26"/>
    </row>
    <row r="2410" spans="1:19" ht="30">
      <c r="A2410" s="24"/>
      <c r="B2410" s="25" t="s">
        <v>540</v>
      </c>
      <c r="C2410" s="26" t="s">
        <v>7</v>
      </c>
      <c r="D2410" s="351">
        <v>95</v>
      </c>
      <c r="E2410" s="25"/>
      <c r="F2410" s="351">
        <v>95</v>
      </c>
      <c r="G2410" s="369" t="s">
        <v>2444</v>
      </c>
      <c r="H2410" s="369" t="s">
        <v>2445</v>
      </c>
      <c r="I2410" s="369" t="s">
        <v>2369</v>
      </c>
      <c r="J2410" s="369" t="s">
        <v>2371</v>
      </c>
      <c r="K2410" s="311">
        <v>1859768</v>
      </c>
      <c r="L2410" s="311">
        <v>0</v>
      </c>
      <c r="M2410" s="311">
        <v>449289.20996923075</v>
      </c>
      <c r="N2410" s="311">
        <v>220320.1070769231</v>
      </c>
      <c r="O2410" s="311">
        <v>154224.07495384617</v>
      </c>
      <c r="P2410" s="68">
        <f>SUM(K2410:O2410)</f>
        <v>2683601.392</v>
      </c>
      <c r="Q2410" s="68">
        <f>D2410*P2410</f>
        <v>254942132.24000001</v>
      </c>
      <c r="R2410" s="127">
        <f>F2410*P2410</f>
        <v>254942132.24000001</v>
      </c>
      <c r="S2410" s="26"/>
    </row>
    <row r="2411" spans="1:19">
      <c r="A2411" s="24"/>
      <c r="B2411" s="25" t="s">
        <v>369</v>
      </c>
      <c r="C2411" s="26" t="s">
        <v>535</v>
      </c>
      <c r="D2411" s="351">
        <v>1</v>
      </c>
      <c r="E2411" s="25"/>
      <c r="F2411" s="351">
        <v>1</v>
      </c>
      <c r="G2411" s="369" t="s">
        <v>2372</v>
      </c>
      <c r="H2411" s="369" t="s">
        <v>2373</v>
      </c>
      <c r="I2411" s="369" t="s">
        <v>2369</v>
      </c>
      <c r="J2411" s="369" t="s">
        <v>2374</v>
      </c>
      <c r="K2411" s="311"/>
      <c r="L2411" s="311"/>
      <c r="M2411" s="311"/>
      <c r="N2411" s="311"/>
      <c r="O2411" s="311"/>
      <c r="P2411" s="68"/>
      <c r="Q2411" s="68"/>
      <c r="R2411" s="127"/>
      <c r="S2411" s="26"/>
    </row>
    <row r="2412" spans="1:19">
      <c r="A2412" s="24"/>
      <c r="B2412" s="25" t="s">
        <v>541</v>
      </c>
      <c r="C2412" s="26" t="s">
        <v>535</v>
      </c>
      <c r="D2412" s="351">
        <v>1</v>
      </c>
      <c r="E2412" s="25"/>
      <c r="F2412" s="351">
        <v>1</v>
      </c>
      <c r="G2412" s="369" t="s">
        <v>2446</v>
      </c>
      <c r="H2412" s="369" t="s">
        <v>2447</v>
      </c>
      <c r="I2412" s="369" t="s">
        <v>2369</v>
      </c>
      <c r="J2412" s="369" t="s">
        <v>2374</v>
      </c>
      <c r="K2412" s="311"/>
      <c r="L2412" s="311"/>
      <c r="M2412" s="311"/>
      <c r="N2412" s="311"/>
      <c r="O2412" s="311"/>
      <c r="P2412" s="68"/>
      <c r="Q2412" s="68"/>
      <c r="R2412" s="127"/>
      <c r="S2412" s="26"/>
    </row>
    <row r="2413" spans="1:19">
      <c r="A2413" s="24"/>
      <c r="B2413" s="25" t="s">
        <v>166</v>
      </c>
      <c r="C2413" s="26" t="s">
        <v>535</v>
      </c>
      <c r="D2413" s="351">
        <v>6</v>
      </c>
      <c r="E2413" s="25"/>
      <c r="F2413" s="351">
        <v>6</v>
      </c>
      <c r="G2413" s="369" t="s">
        <v>2377</v>
      </c>
      <c r="H2413" s="369" t="s">
        <v>2378</v>
      </c>
      <c r="I2413" s="369" t="s">
        <v>2369</v>
      </c>
      <c r="J2413" s="369" t="s">
        <v>2374</v>
      </c>
      <c r="K2413" s="311"/>
      <c r="L2413" s="311"/>
      <c r="M2413" s="311"/>
      <c r="N2413" s="311"/>
      <c r="O2413" s="311"/>
      <c r="P2413" s="68"/>
      <c r="Q2413" s="68"/>
      <c r="R2413" s="127"/>
      <c r="S2413" s="26"/>
    </row>
    <row r="2414" spans="1:19">
      <c r="A2414" s="24"/>
      <c r="B2414" s="25" t="s">
        <v>167</v>
      </c>
      <c r="C2414" s="26" t="s">
        <v>535</v>
      </c>
      <c r="D2414" s="351">
        <v>1</v>
      </c>
      <c r="E2414" s="25"/>
      <c r="F2414" s="351">
        <v>1</v>
      </c>
      <c r="G2414" s="369" t="s">
        <v>2379</v>
      </c>
      <c r="H2414" s="369" t="s">
        <v>2380</v>
      </c>
      <c r="I2414" s="369" t="s">
        <v>2369</v>
      </c>
      <c r="J2414" s="369" t="s">
        <v>2374</v>
      </c>
      <c r="K2414" s="311"/>
      <c r="L2414" s="311"/>
      <c r="M2414" s="311"/>
      <c r="N2414" s="311"/>
      <c r="O2414" s="311"/>
      <c r="P2414" s="68"/>
      <c r="Q2414" s="68"/>
      <c r="R2414" s="127"/>
      <c r="S2414" s="26"/>
    </row>
    <row r="2415" spans="1:19" ht="30">
      <c r="A2415" s="24"/>
      <c r="B2415" s="25" t="s">
        <v>542</v>
      </c>
      <c r="C2415" s="26" t="s">
        <v>535</v>
      </c>
      <c r="D2415" s="351">
        <v>1</v>
      </c>
      <c r="E2415" s="25"/>
      <c r="F2415" s="351">
        <v>1</v>
      </c>
      <c r="G2415" s="369" t="s">
        <v>2448</v>
      </c>
      <c r="H2415" s="369" t="s">
        <v>2449</v>
      </c>
      <c r="I2415" s="369" t="s">
        <v>2369</v>
      </c>
      <c r="J2415" s="369" t="s">
        <v>2374</v>
      </c>
      <c r="K2415" s="311"/>
      <c r="L2415" s="311"/>
      <c r="M2415" s="311"/>
      <c r="N2415" s="311"/>
      <c r="O2415" s="311"/>
      <c r="P2415" s="68"/>
      <c r="Q2415" s="68"/>
      <c r="R2415" s="127"/>
      <c r="S2415" s="26"/>
    </row>
    <row r="2416" spans="1:19" ht="30">
      <c r="A2416" s="24"/>
      <c r="B2416" s="25" t="s">
        <v>537</v>
      </c>
      <c r="C2416" s="26" t="s">
        <v>535</v>
      </c>
      <c r="D2416" s="351">
        <v>1</v>
      </c>
      <c r="E2416" s="25"/>
      <c r="F2416" s="351">
        <v>1</v>
      </c>
      <c r="G2416" s="369" t="s">
        <v>2448</v>
      </c>
      <c r="H2416" s="369" t="s">
        <v>2449</v>
      </c>
      <c r="I2416" s="369" t="s">
        <v>2369</v>
      </c>
      <c r="J2416" s="369" t="s">
        <v>2374</v>
      </c>
      <c r="K2416" s="311"/>
      <c r="L2416" s="311"/>
      <c r="M2416" s="311"/>
      <c r="N2416" s="311"/>
      <c r="O2416" s="311"/>
      <c r="P2416" s="68"/>
      <c r="Q2416" s="68"/>
      <c r="R2416" s="127"/>
      <c r="S2416" s="26"/>
    </row>
    <row r="2417" spans="1:19">
      <c r="A2417" s="24"/>
      <c r="B2417" s="25" t="s">
        <v>538</v>
      </c>
      <c r="C2417" s="26" t="s">
        <v>78</v>
      </c>
      <c r="D2417" s="351">
        <v>1</v>
      </c>
      <c r="E2417" s="25"/>
      <c r="F2417" s="351">
        <v>1</v>
      </c>
      <c r="G2417" s="369"/>
      <c r="H2417" s="369"/>
      <c r="I2417" s="369"/>
      <c r="J2417" s="369" t="s">
        <v>2381</v>
      </c>
      <c r="K2417" s="311"/>
      <c r="L2417" s="311"/>
      <c r="M2417" s="311"/>
      <c r="N2417" s="311"/>
      <c r="O2417" s="311"/>
      <c r="P2417" s="68"/>
      <c r="Q2417" s="68"/>
      <c r="R2417" s="127"/>
      <c r="S2417" s="26"/>
    </row>
    <row r="2418" spans="1:19" ht="28.5">
      <c r="A2418" s="24">
        <v>3</v>
      </c>
      <c r="B2418" s="27" t="s">
        <v>543</v>
      </c>
      <c r="C2418" s="26"/>
      <c r="D2418" s="351"/>
      <c r="E2418" s="25"/>
      <c r="F2418" s="351"/>
      <c r="G2418" s="370"/>
      <c r="H2418" s="370"/>
      <c r="I2418" s="370"/>
      <c r="J2418" s="370"/>
      <c r="K2418" s="26"/>
      <c r="L2418" s="26"/>
      <c r="M2418" s="26"/>
      <c r="N2418" s="26"/>
      <c r="O2418" s="26"/>
      <c r="P2418" s="26"/>
      <c r="Q2418" s="66"/>
      <c r="R2418" s="66"/>
      <c r="S2418" s="26"/>
    </row>
    <row r="2419" spans="1:19" ht="30">
      <c r="A2419" s="24"/>
      <c r="B2419" s="25" t="s">
        <v>540</v>
      </c>
      <c r="C2419" s="26" t="s">
        <v>7</v>
      </c>
      <c r="D2419" s="351">
        <v>95</v>
      </c>
      <c r="E2419" s="25"/>
      <c r="F2419" s="351">
        <v>95</v>
      </c>
      <c r="G2419" s="369" t="s">
        <v>2444</v>
      </c>
      <c r="H2419" s="369" t="s">
        <v>2445</v>
      </c>
      <c r="I2419" s="369" t="s">
        <v>2369</v>
      </c>
      <c r="J2419" s="369" t="s">
        <v>2371</v>
      </c>
      <c r="K2419" s="311">
        <v>1859768</v>
      </c>
      <c r="L2419" s="311">
        <v>0</v>
      </c>
      <c r="M2419" s="311">
        <v>449289.20996923075</v>
      </c>
      <c r="N2419" s="311">
        <v>220320.1070769231</v>
      </c>
      <c r="O2419" s="311">
        <v>154224.07495384617</v>
      </c>
      <c r="P2419" s="68">
        <f>SUM(K2419:O2419)</f>
        <v>2683601.392</v>
      </c>
      <c r="Q2419" s="68">
        <f>D2419*P2419</f>
        <v>254942132.24000001</v>
      </c>
      <c r="R2419" s="127">
        <f>F2419*P2419</f>
        <v>254942132.24000001</v>
      </c>
      <c r="S2419" s="26"/>
    </row>
    <row r="2420" spans="1:19">
      <c r="A2420" s="24"/>
      <c r="B2420" s="25" t="s">
        <v>369</v>
      </c>
      <c r="C2420" s="26" t="s">
        <v>535</v>
      </c>
      <c r="D2420" s="351">
        <v>1</v>
      </c>
      <c r="E2420" s="25"/>
      <c r="F2420" s="351">
        <v>1</v>
      </c>
      <c r="G2420" s="369" t="s">
        <v>2372</v>
      </c>
      <c r="H2420" s="369" t="s">
        <v>2373</v>
      </c>
      <c r="I2420" s="369" t="s">
        <v>2369</v>
      </c>
      <c r="J2420" s="369" t="s">
        <v>2374</v>
      </c>
      <c r="K2420" s="311"/>
      <c r="L2420" s="311"/>
      <c r="M2420" s="311"/>
      <c r="N2420" s="311"/>
      <c r="O2420" s="311"/>
      <c r="P2420" s="68"/>
      <c r="Q2420" s="68"/>
      <c r="R2420" s="127"/>
      <c r="S2420" s="26"/>
    </row>
    <row r="2421" spans="1:19">
      <c r="A2421" s="24"/>
      <c r="B2421" s="25" t="s">
        <v>315</v>
      </c>
      <c r="C2421" s="26" t="s">
        <v>535</v>
      </c>
      <c r="D2421" s="351">
        <v>2</v>
      </c>
      <c r="E2421" s="25"/>
      <c r="F2421" s="351">
        <v>2</v>
      </c>
      <c r="G2421" s="369" t="s">
        <v>2446</v>
      </c>
      <c r="H2421" s="369" t="s">
        <v>2447</v>
      </c>
      <c r="I2421" s="369" t="s">
        <v>2369</v>
      </c>
      <c r="J2421" s="369" t="s">
        <v>2374</v>
      </c>
      <c r="K2421" s="311"/>
      <c r="L2421" s="311"/>
      <c r="M2421" s="311"/>
      <c r="N2421" s="311"/>
      <c r="O2421" s="311"/>
      <c r="P2421" s="68"/>
      <c r="Q2421" s="68"/>
      <c r="R2421" s="127"/>
      <c r="S2421" s="26"/>
    </row>
    <row r="2422" spans="1:19">
      <c r="A2422" s="24"/>
      <c r="B2422" s="25" t="s">
        <v>166</v>
      </c>
      <c r="C2422" s="26" t="s">
        <v>535</v>
      </c>
      <c r="D2422" s="351">
        <v>5</v>
      </c>
      <c r="E2422" s="25"/>
      <c r="F2422" s="351">
        <v>5</v>
      </c>
      <c r="G2422" s="369" t="s">
        <v>2377</v>
      </c>
      <c r="H2422" s="369" t="s">
        <v>2378</v>
      </c>
      <c r="I2422" s="369" t="s">
        <v>2369</v>
      </c>
      <c r="J2422" s="369" t="s">
        <v>2374</v>
      </c>
      <c r="K2422" s="311"/>
      <c r="L2422" s="311"/>
      <c r="M2422" s="311"/>
      <c r="N2422" s="311"/>
      <c r="O2422" s="311"/>
      <c r="P2422" s="68"/>
      <c r="Q2422" s="68"/>
      <c r="R2422" s="127"/>
      <c r="S2422" s="26"/>
    </row>
    <row r="2423" spans="1:19">
      <c r="A2423" s="24"/>
      <c r="B2423" s="25" t="s">
        <v>167</v>
      </c>
      <c r="C2423" s="26" t="s">
        <v>535</v>
      </c>
      <c r="D2423" s="351">
        <v>1</v>
      </c>
      <c r="E2423" s="25"/>
      <c r="F2423" s="351">
        <v>1</v>
      </c>
      <c r="G2423" s="369" t="s">
        <v>2379</v>
      </c>
      <c r="H2423" s="369" t="s">
        <v>2380</v>
      </c>
      <c r="I2423" s="369" t="s">
        <v>2369</v>
      </c>
      <c r="J2423" s="369" t="s">
        <v>2374</v>
      </c>
      <c r="K2423" s="311"/>
      <c r="L2423" s="311"/>
      <c r="M2423" s="311"/>
      <c r="N2423" s="311"/>
      <c r="O2423" s="311"/>
      <c r="P2423" s="68"/>
      <c r="Q2423" s="68"/>
      <c r="R2423" s="127"/>
      <c r="S2423" s="26"/>
    </row>
    <row r="2424" spans="1:19" ht="30">
      <c r="A2424" s="24"/>
      <c r="B2424" s="25" t="s">
        <v>542</v>
      </c>
      <c r="C2424" s="26" t="s">
        <v>535</v>
      </c>
      <c r="D2424" s="351">
        <v>1</v>
      </c>
      <c r="E2424" s="25"/>
      <c r="F2424" s="351">
        <v>1</v>
      </c>
      <c r="G2424" s="369" t="s">
        <v>2448</v>
      </c>
      <c r="H2424" s="369" t="s">
        <v>2449</v>
      </c>
      <c r="I2424" s="369" t="s">
        <v>2369</v>
      </c>
      <c r="J2424" s="369" t="s">
        <v>2374</v>
      </c>
      <c r="K2424" s="311"/>
      <c r="L2424" s="311"/>
      <c r="M2424" s="311"/>
      <c r="N2424" s="311"/>
      <c r="O2424" s="311"/>
      <c r="P2424" s="68"/>
      <c r="Q2424" s="68"/>
      <c r="R2424" s="127"/>
      <c r="S2424" s="26"/>
    </row>
    <row r="2425" spans="1:19" ht="30">
      <c r="A2425" s="24"/>
      <c r="B2425" s="25" t="s">
        <v>537</v>
      </c>
      <c r="C2425" s="26" t="s">
        <v>535</v>
      </c>
      <c r="D2425" s="351">
        <v>1</v>
      </c>
      <c r="E2425" s="25"/>
      <c r="F2425" s="351">
        <v>1</v>
      </c>
      <c r="G2425" s="369" t="s">
        <v>2448</v>
      </c>
      <c r="H2425" s="369" t="s">
        <v>2449</v>
      </c>
      <c r="I2425" s="369" t="s">
        <v>2369</v>
      </c>
      <c r="J2425" s="369" t="s">
        <v>2374</v>
      </c>
      <c r="K2425" s="311"/>
      <c r="L2425" s="311"/>
      <c r="M2425" s="311"/>
      <c r="N2425" s="311"/>
      <c r="O2425" s="311"/>
      <c r="P2425" s="68"/>
      <c r="Q2425" s="68"/>
      <c r="R2425" s="127"/>
      <c r="S2425" s="26"/>
    </row>
    <row r="2426" spans="1:19">
      <c r="A2426" s="24"/>
      <c r="B2426" s="25" t="s">
        <v>538</v>
      </c>
      <c r="C2426" s="26" t="s">
        <v>78</v>
      </c>
      <c r="D2426" s="351">
        <v>1</v>
      </c>
      <c r="E2426" s="25"/>
      <c r="F2426" s="351">
        <v>1</v>
      </c>
      <c r="G2426" s="369"/>
      <c r="H2426" s="369"/>
      <c r="I2426" s="369"/>
      <c r="J2426" s="369" t="s">
        <v>2381</v>
      </c>
      <c r="K2426" s="311"/>
      <c r="L2426" s="311"/>
      <c r="M2426" s="311"/>
      <c r="N2426" s="311"/>
      <c r="O2426" s="311"/>
      <c r="P2426" s="68"/>
      <c r="Q2426" s="68"/>
      <c r="R2426" s="127"/>
      <c r="S2426" s="26"/>
    </row>
    <row r="2427" spans="1:19" ht="28.5">
      <c r="A2427" s="24">
        <v>4</v>
      </c>
      <c r="B2427" s="27" t="s">
        <v>544</v>
      </c>
      <c r="C2427" s="26"/>
      <c r="D2427" s="351"/>
      <c r="E2427" s="25"/>
      <c r="F2427" s="351"/>
      <c r="G2427" s="370"/>
      <c r="H2427" s="370"/>
      <c r="I2427" s="370"/>
      <c r="J2427" s="370"/>
      <c r="K2427" s="26"/>
      <c r="L2427" s="26"/>
      <c r="M2427" s="26"/>
      <c r="N2427" s="26"/>
      <c r="O2427" s="26"/>
      <c r="P2427" s="26"/>
      <c r="Q2427" s="66"/>
      <c r="R2427" s="66"/>
      <c r="S2427" s="26"/>
    </row>
    <row r="2428" spans="1:19" ht="30">
      <c r="A2428" s="24"/>
      <c r="B2428" s="25" t="s">
        <v>540</v>
      </c>
      <c r="C2428" s="26" t="s">
        <v>7</v>
      </c>
      <c r="D2428" s="351">
        <v>34</v>
      </c>
      <c r="E2428" s="25"/>
      <c r="F2428" s="351">
        <v>34</v>
      </c>
      <c r="G2428" s="369" t="s">
        <v>2444</v>
      </c>
      <c r="H2428" s="369" t="s">
        <v>2445</v>
      </c>
      <c r="I2428" s="369" t="s">
        <v>2369</v>
      </c>
      <c r="J2428" s="369" t="s">
        <v>2371</v>
      </c>
      <c r="K2428" s="311">
        <v>1792715</v>
      </c>
      <c r="L2428" s="311">
        <v>0</v>
      </c>
      <c r="M2428" s="311">
        <v>449289.20996923075</v>
      </c>
      <c r="N2428" s="311">
        <v>213810.1070769231</v>
      </c>
      <c r="O2428" s="311">
        <v>149667.07495384617</v>
      </c>
      <c r="P2428" s="68">
        <f>SUM(K2428:O2428)</f>
        <v>2605481.392</v>
      </c>
      <c r="Q2428" s="68">
        <f>D2428*P2428</f>
        <v>88586367.327999994</v>
      </c>
      <c r="R2428" s="127">
        <f>F2428*P2428</f>
        <v>88586367.327999994</v>
      </c>
      <c r="S2428" s="26"/>
    </row>
    <row r="2429" spans="1:19">
      <c r="A2429" s="24"/>
      <c r="B2429" s="25" t="s">
        <v>545</v>
      </c>
      <c r="C2429" s="26" t="s">
        <v>535</v>
      </c>
      <c r="D2429" s="351">
        <v>1</v>
      </c>
      <c r="E2429" s="25"/>
      <c r="F2429" s="351">
        <v>1</v>
      </c>
      <c r="G2429" s="369" t="s">
        <v>2450</v>
      </c>
      <c r="H2429" s="369" t="s">
        <v>2451</v>
      </c>
      <c r="I2429" s="369" t="s">
        <v>2369</v>
      </c>
      <c r="J2429" s="369" t="s">
        <v>2374</v>
      </c>
      <c r="K2429" s="311"/>
      <c r="L2429" s="311"/>
      <c r="M2429" s="311"/>
      <c r="N2429" s="311"/>
      <c r="O2429" s="311"/>
      <c r="P2429" s="68"/>
      <c r="Q2429" s="68"/>
      <c r="R2429" s="127"/>
      <c r="S2429" s="26"/>
    </row>
    <row r="2430" spans="1:19">
      <c r="A2430" s="24"/>
      <c r="B2430" s="25" t="s">
        <v>315</v>
      </c>
      <c r="C2430" s="26" t="s">
        <v>535</v>
      </c>
      <c r="D2430" s="351">
        <v>1</v>
      </c>
      <c r="E2430" s="25"/>
      <c r="F2430" s="351">
        <v>1</v>
      </c>
      <c r="G2430" s="369" t="s">
        <v>2446</v>
      </c>
      <c r="H2430" s="369" t="s">
        <v>2447</v>
      </c>
      <c r="I2430" s="369" t="s">
        <v>2369</v>
      </c>
      <c r="J2430" s="369" t="s">
        <v>2374</v>
      </c>
      <c r="K2430" s="311"/>
      <c r="L2430" s="311"/>
      <c r="M2430" s="311"/>
      <c r="N2430" s="311"/>
      <c r="O2430" s="311"/>
      <c r="P2430" s="68"/>
      <c r="Q2430" s="68"/>
      <c r="R2430" s="127"/>
      <c r="S2430" s="26"/>
    </row>
    <row r="2431" spans="1:19">
      <c r="A2431" s="24"/>
      <c r="B2431" s="25" t="s">
        <v>166</v>
      </c>
      <c r="C2431" s="26" t="s">
        <v>535</v>
      </c>
      <c r="D2431" s="351">
        <v>6</v>
      </c>
      <c r="E2431" s="25"/>
      <c r="F2431" s="351">
        <v>6</v>
      </c>
      <c r="G2431" s="369" t="s">
        <v>2377</v>
      </c>
      <c r="H2431" s="369" t="s">
        <v>2378</v>
      </c>
      <c r="I2431" s="369" t="s">
        <v>2369</v>
      </c>
      <c r="J2431" s="369" t="s">
        <v>2374</v>
      </c>
      <c r="K2431" s="311"/>
      <c r="L2431" s="311"/>
      <c r="M2431" s="311"/>
      <c r="N2431" s="311"/>
      <c r="O2431" s="311"/>
      <c r="P2431" s="68"/>
      <c r="Q2431" s="68"/>
      <c r="R2431" s="127"/>
      <c r="S2431" s="26"/>
    </row>
    <row r="2432" spans="1:19">
      <c r="A2432" s="24"/>
      <c r="B2432" s="25" t="s">
        <v>167</v>
      </c>
      <c r="C2432" s="26" t="s">
        <v>535</v>
      </c>
      <c r="D2432" s="351">
        <v>1</v>
      </c>
      <c r="E2432" s="25"/>
      <c r="F2432" s="351">
        <v>1</v>
      </c>
      <c r="G2432" s="369" t="s">
        <v>2379</v>
      </c>
      <c r="H2432" s="369" t="s">
        <v>2380</v>
      </c>
      <c r="I2432" s="369" t="s">
        <v>2369</v>
      </c>
      <c r="J2432" s="369" t="s">
        <v>2374</v>
      </c>
      <c r="K2432" s="311"/>
      <c r="L2432" s="311"/>
      <c r="M2432" s="311"/>
      <c r="N2432" s="311"/>
      <c r="O2432" s="311"/>
      <c r="P2432" s="68"/>
      <c r="Q2432" s="68"/>
      <c r="R2432" s="127"/>
      <c r="S2432" s="26"/>
    </row>
    <row r="2433" spans="1:19" ht="30">
      <c r="A2433" s="24"/>
      <c r="B2433" s="25" t="s">
        <v>542</v>
      </c>
      <c r="C2433" s="26" t="s">
        <v>535</v>
      </c>
      <c r="D2433" s="351">
        <v>1</v>
      </c>
      <c r="E2433" s="25"/>
      <c r="F2433" s="351">
        <v>1</v>
      </c>
      <c r="G2433" s="369" t="s">
        <v>2448</v>
      </c>
      <c r="H2433" s="369" t="s">
        <v>2449</v>
      </c>
      <c r="I2433" s="369" t="s">
        <v>2369</v>
      </c>
      <c r="J2433" s="369" t="s">
        <v>2374</v>
      </c>
      <c r="K2433" s="311"/>
      <c r="L2433" s="311"/>
      <c r="M2433" s="311"/>
      <c r="N2433" s="311"/>
      <c r="O2433" s="311"/>
      <c r="P2433" s="68"/>
      <c r="Q2433" s="68"/>
      <c r="R2433" s="127"/>
      <c r="S2433" s="26"/>
    </row>
    <row r="2434" spans="1:19" ht="30">
      <c r="A2434" s="24"/>
      <c r="B2434" s="25" t="s">
        <v>537</v>
      </c>
      <c r="C2434" s="26" t="s">
        <v>535</v>
      </c>
      <c r="D2434" s="351">
        <v>1</v>
      </c>
      <c r="E2434" s="25"/>
      <c r="F2434" s="351">
        <v>1</v>
      </c>
      <c r="G2434" s="369" t="s">
        <v>2448</v>
      </c>
      <c r="H2434" s="369" t="s">
        <v>2449</v>
      </c>
      <c r="I2434" s="369" t="s">
        <v>2369</v>
      </c>
      <c r="J2434" s="369" t="s">
        <v>2374</v>
      </c>
      <c r="K2434" s="311"/>
      <c r="L2434" s="311"/>
      <c r="M2434" s="311"/>
      <c r="N2434" s="311"/>
      <c r="O2434" s="311"/>
      <c r="P2434" s="68"/>
      <c r="Q2434" s="68"/>
      <c r="R2434" s="127"/>
      <c r="S2434" s="26"/>
    </row>
    <row r="2435" spans="1:19">
      <c r="A2435" s="24"/>
      <c r="B2435" s="25" t="s">
        <v>538</v>
      </c>
      <c r="C2435" s="26" t="s">
        <v>78</v>
      </c>
      <c r="D2435" s="351">
        <v>1</v>
      </c>
      <c r="E2435" s="25"/>
      <c r="F2435" s="351">
        <v>1</v>
      </c>
      <c r="G2435" s="369"/>
      <c r="H2435" s="369"/>
      <c r="I2435" s="369"/>
      <c r="J2435" s="369" t="s">
        <v>2381</v>
      </c>
      <c r="K2435" s="311"/>
      <c r="L2435" s="311"/>
      <c r="M2435" s="311"/>
      <c r="N2435" s="311"/>
      <c r="O2435" s="311"/>
      <c r="P2435" s="68"/>
      <c r="Q2435" s="68"/>
      <c r="R2435" s="127"/>
      <c r="S2435" s="26"/>
    </row>
    <row r="2436" spans="1:19" ht="28.5">
      <c r="A2436" s="24">
        <v>5</v>
      </c>
      <c r="B2436" s="27" t="s">
        <v>546</v>
      </c>
      <c r="C2436" s="26"/>
      <c r="D2436" s="351"/>
      <c r="E2436" s="25"/>
      <c r="F2436" s="351"/>
      <c r="G2436" s="370"/>
      <c r="H2436" s="370"/>
      <c r="I2436" s="370"/>
      <c r="J2436" s="370"/>
      <c r="K2436" s="26"/>
      <c r="L2436" s="26"/>
      <c r="M2436" s="26"/>
      <c r="N2436" s="26"/>
      <c r="O2436" s="26"/>
      <c r="P2436" s="26"/>
      <c r="Q2436" s="66"/>
      <c r="R2436" s="66"/>
      <c r="S2436" s="26"/>
    </row>
    <row r="2437" spans="1:19" ht="30">
      <c r="A2437" s="24"/>
      <c r="B2437" s="25" t="s">
        <v>540</v>
      </c>
      <c r="C2437" s="26" t="s">
        <v>7</v>
      </c>
      <c r="D2437" s="351">
        <v>34</v>
      </c>
      <c r="E2437" s="25"/>
      <c r="F2437" s="351">
        <v>34</v>
      </c>
      <c r="G2437" s="369" t="s">
        <v>2444</v>
      </c>
      <c r="H2437" s="369" t="s">
        <v>2445</v>
      </c>
      <c r="I2437" s="369" t="s">
        <v>2369</v>
      </c>
      <c r="J2437" s="369" t="s">
        <v>2371</v>
      </c>
      <c r="K2437" s="311">
        <v>1736477</v>
      </c>
      <c r="L2437" s="311">
        <v>0</v>
      </c>
      <c r="M2437" s="311">
        <v>425438.79716923076</v>
      </c>
      <c r="N2437" s="311">
        <v>206239.45107692308</v>
      </c>
      <c r="O2437" s="311">
        <v>144367.61575384616</v>
      </c>
      <c r="P2437" s="68">
        <f>SUM(K2437:O2437)</f>
        <v>2512522.8640000001</v>
      </c>
      <c r="Q2437" s="68">
        <f>D2437*P2437</f>
        <v>85425777.376000002</v>
      </c>
      <c r="R2437" s="127">
        <f>F2437*P2437</f>
        <v>85425777.376000002</v>
      </c>
      <c r="S2437" s="26"/>
    </row>
    <row r="2438" spans="1:19">
      <c r="A2438" s="24"/>
      <c r="B2438" s="25" t="s">
        <v>545</v>
      </c>
      <c r="C2438" s="26" t="s">
        <v>535</v>
      </c>
      <c r="D2438" s="351">
        <v>1</v>
      </c>
      <c r="E2438" s="25"/>
      <c r="F2438" s="351">
        <v>1</v>
      </c>
      <c r="G2438" s="369" t="s">
        <v>2450</v>
      </c>
      <c r="H2438" s="369" t="s">
        <v>2451</v>
      </c>
      <c r="I2438" s="369" t="s">
        <v>2369</v>
      </c>
      <c r="J2438" s="369" t="s">
        <v>2374</v>
      </c>
      <c r="K2438" s="311"/>
      <c r="L2438" s="311"/>
      <c r="M2438" s="311"/>
      <c r="N2438" s="311"/>
      <c r="O2438" s="311"/>
      <c r="P2438" s="68"/>
      <c r="Q2438" s="68"/>
      <c r="R2438" s="127"/>
      <c r="S2438" s="26"/>
    </row>
    <row r="2439" spans="1:19">
      <c r="A2439" s="24"/>
      <c r="B2439" s="25" t="s">
        <v>315</v>
      </c>
      <c r="C2439" s="26" t="s">
        <v>535</v>
      </c>
      <c r="D2439" s="351">
        <v>1</v>
      </c>
      <c r="E2439" s="25"/>
      <c r="F2439" s="351">
        <v>1</v>
      </c>
      <c r="G2439" s="369" t="s">
        <v>2446</v>
      </c>
      <c r="H2439" s="369" t="s">
        <v>2447</v>
      </c>
      <c r="I2439" s="369" t="s">
        <v>2369</v>
      </c>
      <c r="J2439" s="369" t="s">
        <v>2374</v>
      </c>
      <c r="K2439" s="311"/>
      <c r="L2439" s="311"/>
      <c r="M2439" s="311"/>
      <c r="N2439" s="311"/>
      <c r="O2439" s="311"/>
      <c r="P2439" s="68"/>
      <c r="Q2439" s="68"/>
      <c r="R2439" s="127"/>
      <c r="S2439" s="26"/>
    </row>
    <row r="2440" spans="1:19">
      <c r="A2440" s="24"/>
      <c r="B2440" s="25" t="s">
        <v>166</v>
      </c>
      <c r="C2440" s="26" t="s">
        <v>535</v>
      </c>
      <c r="D2440" s="351">
        <v>5</v>
      </c>
      <c r="E2440" s="25"/>
      <c r="F2440" s="351">
        <v>5</v>
      </c>
      <c r="G2440" s="369" t="s">
        <v>2377</v>
      </c>
      <c r="H2440" s="369" t="s">
        <v>2378</v>
      </c>
      <c r="I2440" s="369" t="s">
        <v>2369</v>
      </c>
      <c r="J2440" s="369" t="s">
        <v>2374</v>
      </c>
      <c r="K2440" s="311"/>
      <c r="L2440" s="311"/>
      <c r="M2440" s="311"/>
      <c r="N2440" s="311"/>
      <c r="O2440" s="311"/>
      <c r="P2440" s="68"/>
      <c r="Q2440" s="68"/>
      <c r="R2440" s="127"/>
      <c r="S2440" s="26"/>
    </row>
    <row r="2441" spans="1:19">
      <c r="A2441" s="24"/>
      <c r="B2441" s="25" t="s">
        <v>167</v>
      </c>
      <c r="C2441" s="26" t="s">
        <v>535</v>
      </c>
      <c r="D2441" s="351">
        <v>1</v>
      </c>
      <c r="E2441" s="25"/>
      <c r="F2441" s="351">
        <v>1</v>
      </c>
      <c r="G2441" s="369" t="s">
        <v>2379</v>
      </c>
      <c r="H2441" s="369" t="s">
        <v>2380</v>
      </c>
      <c r="I2441" s="369" t="s">
        <v>2369</v>
      </c>
      <c r="J2441" s="369" t="s">
        <v>2374</v>
      </c>
      <c r="K2441" s="311"/>
      <c r="L2441" s="311"/>
      <c r="M2441" s="311"/>
      <c r="N2441" s="311"/>
      <c r="O2441" s="311"/>
      <c r="P2441" s="68"/>
      <c r="Q2441" s="68"/>
      <c r="R2441" s="127"/>
      <c r="S2441" s="26"/>
    </row>
    <row r="2442" spans="1:19" ht="30">
      <c r="A2442" s="24"/>
      <c r="B2442" s="25" t="s">
        <v>547</v>
      </c>
      <c r="C2442" s="26" t="s">
        <v>535</v>
      </c>
      <c r="D2442" s="351">
        <v>1</v>
      </c>
      <c r="E2442" s="25"/>
      <c r="F2442" s="351">
        <v>1</v>
      </c>
      <c r="G2442" s="369" t="s">
        <v>2448</v>
      </c>
      <c r="H2442" s="369" t="s">
        <v>2449</v>
      </c>
      <c r="I2442" s="369" t="s">
        <v>2369</v>
      </c>
      <c r="J2442" s="369" t="s">
        <v>2374</v>
      </c>
      <c r="K2442" s="311"/>
      <c r="L2442" s="311"/>
      <c r="M2442" s="311"/>
      <c r="N2442" s="311"/>
      <c r="O2442" s="311"/>
      <c r="P2442" s="68"/>
      <c r="Q2442" s="68"/>
      <c r="R2442" s="127"/>
      <c r="S2442" s="26"/>
    </row>
    <row r="2443" spans="1:19" ht="30">
      <c r="A2443" s="24"/>
      <c r="B2443" s="25" t="s">
        <v>537</v>
      </c>
      <c r="C2443" s="26" t="s">
        <v>535</v>
      </c>
      <c r="D2443" s="351">
        <v>1</v>
      </c>
      <c r="E2443" s="25"/>
      <c r="F2443" s="351">
        <v>1</v>
      </c>
      <c r="G2443" s="369" t="s">
        <v>2448</v>
      </c>
      <c r="H2443" s="369" t="s">
        <v>2449</v>
      </c>
      <c r="I2443" s="369" t="s">
        <v>2369</v>
      </c>
      <c r="J2443" s="369" t="s">
        <v>2374</v>
      </c>
      <c r="K2443" s="311"/>
      <c r="L2443" s="311"/>
      <c r="M2443" s="311"/>
      <c r="N2443" s="311"/>
      <c r="O2443" s="311"/>
      <c r="P2443" s="68"/>
      <c r="Q2443" s="68"/>
      <c r="R2443" s="127"/>
      <c r="S2443" s="26"/>
    </row>
    <row r="2444" spans="1:19">
      <c r="A2444" s="24"/>
      <c r="B2444" s="25" t="s">
        <v>538</v>
      </c>
      <c r="C2444" s="26" t="s">
        <v>78</v>
      </c>
      <c r="D2444" s="351">
        <v>1</v>
      </c>
      <c r="E2444" s="25"/>
      <c r="F2444" s="351">
        <v>1</v>
      </c>
      <c r="G2444" s="369"/>
      <c r="H2444" s="369"/>
      <c r="I2444" s="369"/>
      <c r="J2444" s="369" t="s">
        <v>2381</v>
      </c>
      <c r="K2444" s="311"/>
      <c r="L2444" s="311"/>
      <c r="M2444" s="311"/>
      <c r="N2444" s="311"/>
      <c r="O2444" s="311"/>
      <c r="P2444" s="68"/>
      <c r="Q2444" s="68"/>
      <c r="R2444" s="127"/>
      <c r="S2444" s="26"/>
    </row>
    <row r="2445" spans="1:19" ht="42.75">
      <c r="A2445" s="24">
        <v>6</v>
      </c>
      <c r="B2445" s="27" t="s">
        <v>548</v>
      </c>
      <c r="C2445" s="26"/>
      <c r="D2445" s="351"/>
      <c r="E2445" s="25"/>
      <c r="F2445" s="351"/>
      <c r="G2445" s="370"/>
      <c r="H2445" s="370"/>
      <c r="I2445" s="370"/>
      <c r="J2445" s="370"/>
      <c r="K2445" s="26"/>
      <c r="L2445" s="26"/>
      <c r="M2445" s="26"/>
      <c r="N2445" s="26"/>
      <c r="O2445" s="26"/>
      <c r="P2445" s="26"/>
      <c r="Q2445" s="66"/>
      <c r="R2445" s="66"/>
      <c r="S2445" s="26"/>
    </row>
    <row r="2446" spans="1:19" ht="30">
      <c r="A2446" s="24"/>
      <c r="B2446" s="25" t="s">
        <v>540</v>
      </c>
      <c r="C2446" s="26" t="s">
        <v>7</v>
      </c>
      <c r="D2446" s="351">
        <v>204</v>
      </c>
      <c r="E2446" s="25"/>
      <c r="F2446" s="351">
        <v>204</v>
      </c>
      <c r="G2446" s="369" t="s">
        <v>2444</v>
      </c>
      <c r="H2446" s="369" t="s">
        <v>2445</v>
      </c>
      <c r="I2446" s="369" t="s">
        <v>2369</v>
      </c>
      <c r="J2446" s="369" t="s">
        <v>2371</v>
      </c>
      <c r="K2446" s="311">
        <v>1680239</v>
      </c>
      <c r="L2446" s="311">
        <v>0</v>
      </c>
      <c r="M2446" s="311">
        <v>401588.38436923077</v>
      </c>
      <c r="N2446" s="311">
        <v>198668.7950769231</v>
      </c>
      <c r="O2446" s="311">
        <v>139068.15655384617</v>
      </c>
      <c r="P2446" s="68">
        <f>SUM(K2446:O2446)</f>
        <v>2419564.3360000001</v>
      </c>
      <c r="Q2446" s="68">
        <f>D2446*P2446</f>
        <v>493591124.54400003</v>
      </c>
      <c r="R2446" s="127">
        <f>F2446*P2446</f>
        <v>493591124.54400003</v>
      </c>
      <c r="S2446" s="26"/>
    </row>
    <row r="2447" spans="1:19">
      <c r="A2447" s="24"/>
      <c r="B2447" s="25" t="s">
        <v>545</v>
      </c>
      <c r="C2447" s="26" t="s">
        <v>535</v>
      </c>
      <c r="D2447" s="351">
        <v>1</v>
      </c>
      <c r="E2447" s="25"/>
      <c r="F2447" s="351">
        <v>1</v>
      </c>
      <c r="G2447" s="369" t="s">
        <v>2450</v>
      </c>
      <c r="H2447" s="369" t="s">
        <v>2451</v>
      </c>
      <c r="I2447" s="369" t="s">
        <v>2369</v>
      </c>
      <c r="J2447" s="369" t="s">
        <v>2374</v>
      </c>
      <c r="K2447" s="311"/>
      <c r="L2447" s="311"/>
      <c r="M2447" s="311"/>
      <c r="N2447" s="311"/>
      <c r="O2447" s="311"/>
      <c r="P2447" s="68"/>
      <c r="Q2447" s="68"/>
      <c r="R2447" s="127"/>
      <c r="S2447" s="26"/>
    </row>
    <row r="2448" spans="1:19">
      <c r="A2448" s="24"/>
      <c r="B2448" s="25" t="s">
        <v>315</v>
      </c>
      <c r="C2448" s="26" t="s">
        <v>535</v>
      </c>
      <c r="D2448" s="351">
        <v>2</v>
      </c>
      <c r="E2448" s="25"/>
      <c r="F2448" s="351">
        <v>2</v>
      </c>
      <c r="G2448" s="369" t="s">
        <v>2446</v>
      </c>
      <c r="H2448" s="369" t="s">
        <v>2447</v>
      </c>
      <c r="I2448" s="369" t="s">
        <v>2369</v>
      </c>
      <c r="J2448" s="369" t="s">
        <v>2374</v>
      </c>
      <c r="K2448" s="311"/>
      <c r="L2448" s="311"/>
      <c r="M2448" s="311"/>
      <c r="N2448" s="311"/>
      <c r="O2448" s="311"/>
      <c r="P2448" s="68"/>
      <c r="Q2448" s="68"/>
      <c r="R2448" s="127"/>
      <c r="S2448" s="26"/>
    </row>
    <row r="2449" spans="1:19">
      <c r="A2449" s="24"/>
      <c r="B2449" s="25" t="s">
        <v>166</v>
      </c>
      <c r="C2449" s="26" t="s">
        <v>535</v>
      </c>
      <c r="D2449" s="351">
        <v>3</v>
      </c>
      <c r="E2449" s="25"/>
      <c r="F2449" s="351">
        <v>3</v>
      </c>
      <c r="G2449" s="369" t="s">
        <v>2377</v>
      </c>
      <c r="H2449" s="369" t="s">
        <v>2378</v>
      </c>
      <c r="I2449" s="369" t="s">
        <v>2369</v>
      </c>
      <c r="J2449" s="369" t="s">
        <v>2374</v>
      </c>
      <c r="K2449" s="311"/>
      <c r="L2449" s="311"/>
      <c r="M2449" s="311"/>
      <c r="N2449" s="311"/>
      <c r="O2449" s="311"/>
      <c r="P2449" s="68"/>
      <c r="Q2449" s="68"/>
      <c r="R2449" s="127"/>
      <c r="S2449" s="26"/>
    </row>
    <row r="2450" spans="1:19">
      <c r="A2450" s="24"/>
      <c r="B2450" s="25" t="s">
        <v>167</v>
      </c>
      <c r="C2450" s="26" t="s">
        <v>535</v>
      </c>
      <c r="D2450" s="351">
        <v>1</v>
      </c>
      <c r="E2450" s="25"/>
      <c r="F2450" s="351">
        <v>1</v>
      </c>
      <c r="G2450" s="369" t="s">
        <v>2379</v>
      </c>
      <c r="H2450" s="369" t="s">
        <v>2380</v>
      </c>
      <c r="I2450" s="369" t="s">
        <v>2369</v>
      </c>
      <c r="J2450" s="369" t="s">
        <v>2374</v>
      </c>
      <c r="K2450" s="311"/>
      <c r="L2450" s="311"/>
      <c r="M2450" s="311"/>
      <c r="N2450" s="311"/>
      <c r="O2450" s="311"/>
      <c r="P2450" s="68"/>
      <c r="Q2450" s="68"/>
      <c r="R2450" s="127"/>
      <c r="S2450" s="26"/>
    </row>
    <row r="2451" spans="1:19" ht="30">
      <c r="A2451" s="24"/>
      <c r="B2451" s="25" t="s">
        <v>549</v>
      </c>
      <c r="C2451" s="26" t="s">
        <v>535</v>
      </c>
      <c r="D2451" s="351">
        <v>1</v>
      </c>
      <c r="E2451" s="25"/>
      <c r="F2451" s="351">
        <v>1</v>
      </c>
      <c r="G2451" s="369" t="s">
        <v>2448</v>
      </c>
      <c r="H2451" s="369" t="s">
        <v>2449</v>
      </c>
      <c r="I2451" s="369" t="s">
        <v>2369</v>
      </c>
      <c r="J2451" s="369" t="s">
        <v>2374</v>
      </c>
      <c r="K2451" s="311"/>
      <c r="L2451" s="311"/>
      <c r="M2451" s="311"/>
      <c r="N2451" s="311"/>
      <c r="O2451" s="311"/>
      <c r="P2451" s="68"/>
      <c r="Q2451" s="68"/>
      <c r="R2451" s="127"/>
      <c r="S2451" s="26"/>
    </row>
    <row r="2452" spans="1:19" ht="30">
      <c r="A2452" s="24"/>
      <c r="B2452" s="25" t="s">
        <v>550</v>
      </c>
      <c r="C2452" s="26" t="s">
        <v>535</v>
      </c>
      <c r="D2452" s="351">
        <v>1</v>
      </c>
      <c r="E2452" s="25"/>
      <c r="F2452" s="351">
        <v>1</v>
      </c>
      <c r="G2452" s="369" t="s">
        <v>2448</v>
      </c>
      <c r="H2452" s="369" t="s">
        <v>2449</v>
      </c>
      <c r="I2452" s="369" t="s">
        <v>2369</v>
      </c>
      <c r="J2452" s="369" t="s">
        <v>2374</v>
      </c>
      <c r="K2452" s="311"/>
      <c r="L2452" s="311"/>
      <c r="M2452" s="311"/>
      <c r="N2452" s="311"/>
      <c r="O2452" s="311"/>
      <c r="P2452" s="68"/>
      <c r="Q2452" s="68"/>
      <c r="R2452" s="127"/>
      <c r="S2452" s="26"/>
    </row>
    <row r="2453" spans="1:19">
      <c r="A2453" s="24"/>
      <c r="B2453" s="25" t="s">
        <v>538</v>
      </c>
      <c r="C2453" s="26" t="s">
        <v>78</v>
      </c>
      <c r="D2453" s="351">
        <v>1</v>
      </c>
      <c r="E2453" s="25"/>
      <c r="F2453" s="351">
        <v>1</v>
      </c>
      <c r="G2453" s="369"/>
      <c r="H2453" s="369"/>
      <c r="I2453" s="369"/>
      <c r="J2453" s="369" t="s">
        <v>2381</v>
      </c>
      <c r="K2453" s="311"/>
      <c r="L2453" s="311"/>
      <c r="M2453" s="311"/>
      <c r="N2453" s="311"/>
      <c r="O2453" s="311"/>
      <c r="P2453" s="68"/>
      <c r="Q2453" s="68"/>
      <c r="R2453" s="127"/>
      <c r="S2453" s="26"/>
    </row>
    <row r="2454" spans="1:19" ht="28.5">
      <c r="A2454" s="24">
        <v>7</v>
      </c>
      <c r="B2454" s="27" t="s">
        <v>551</v>
      </c>
      <c r="C2454" s="26"/>
      <c r="D2454" s="351"/>
      <c r="E2454" s="25"/>
      <c r="F2454" s="351"/>
      <c r="G2454" s="370"/>
      <c r="H2454" s="370"/>
      <c r="I2454" s="370"/>
      <c r="J2454" s="370"/>
      <c r="K2454" s="26"/>
      <c r="L2454" s="26"/>
      <c r="M2454" s="26"/>
      <c r="N2454" s="26"/>
      <c r="O2454" s="26"/>
      <c r="P2454" s="26"/>
      <c r="Q2454" s="66"/>
      <c r="R2454" s="66"/>
      <c r="S2454" s="26"/>
    </row>
    <row r="2455" spans="1:19" ht="30">
      <c r="A2455" s="24"/>
      <c r="B2455" s="25" t="s">
        <v>552</v>
      </c>
      <c r="C2455" s="26" t="s">
        <v>7</v>
      </c>
      <c r="D2455" s="351">
        <v>3</v>
      </c>
      <c r="E2455" s="25"/>
      <c r="F2455" s="351">
        <v>3</v>
      </c>
      <c r="G2455" s="369" t="s">
        <v>2452</v>
      </c>
      <c r="H2455" s="369" t="s">
        <v>2453</v>
      </c>
      <c r="I2455" s="369" t="s">
        <v>2369</v>
      </c>
      <c r="J2455" s="369" t="s">
        <v>2371</v>
      </c>
      <c r="K2455" s="311">
        <v>2822148.5</v>
      </c>
      <c r="L2455" s="311">
        <v>0</v>
      </c>
      <c r="M2455" s="311">
        <v>673360.24869841291</v>
      </c>
      <c r="N2455" s="311">
        <v>333584.40253968257</v>
      </c>
      <c r="O2455" s="311">
        <v>233509.08177777781</v>
      </c>
      <c r="P2455" s="68">
        <f>SUM(K2455:O2455)</f>
        <v>4062602.2330158735</v>
      </c>
      <c r="Q2455" s="68">
        <f>D2455*P2455</f>
        <v>12187806.699047621</v>
      </c>
      <c r="R2455" s="127">
        <f>F2455*P2455</f>
        <v>12187806.699047621</v>
      </c>
      <c r="S2455" s="26"/>
    </row>
    <row r="2456" spans="1:19">
      <c r="A2456" s="24"/>
      <c r="B2456" s="25" t="s">
        <v>301</v>
      </c>
      <c r="C2456" s="26" t="s">
        <v>535</v>
      </c>
      <c r="D2456" s="351">
        <v>1</v>
      </c>
      <c r="E2456" s="25"/>
      <c r="F2456" s="351">
        <v>1</v>
      </c>
      <c r="G2456" s="369" t="s">
        <v>2454</v>
      </c>
      <c r="H2456" s="369" t="s">
        <v>2455</v>
      </c>
      <c r="I2456" s="369" t="s">
        <v>2369</v>
      </c>
      <c r="J2456" s="369" t="s">
        <v>2374</v>
      </c>
      <c r="K2456" s="311"/>
      <c r="L2456" s="311"/>
      <c r="M2456" s="311"/>
      <c r="N2456" s="311"/>
      <c r="O2456" s="311"/>
      <c r="P2456" s="68"/>
      <c r="Q2456" s="68"/>
      <c r="R2456" s="127"/>
      <c r="S2456" s="26"/>
    </row>
    <row r="2457" spans="1:19">
      <c r="A2457" s="24"/>
      <c r="B2457" s="25" t="s">
        <v>224</v>
      </c>
      <c r="C2457" s="26" t="s">
        <v>535</v>
      </c>
      <c r="D2457" s="351">
        <v>1</v>
      </c>
      <c r="E2457" s="25"/>
      <c r="F2457" s="351">
        <v>1</v>
      </c>
      <c r="G2457" s="369" t="s">
        <v>2456</v>
      </c>
      <c r="H2457" s="369" t="s">
        <v>2457</v>
      </c>
      <c r="I2457" s="369" t="s">
        <v>2369</v>
      </c>
      <c r="J2457" s="369" t="s">
        <v>2374</v>
      </c>
      <c r="K2457" s="311"/>
      <c r="L2457" s="311"/>
      <c r="M2457" s="311"/>
      <c r="N2457" s="311"/>
      <c r="O2457" s="311"/>
      <c r="P2457" s="68"/>
      <c r="Q2457" s="68"/>
      <c r="R2457" s="127"/>
      <c r="S2457" s="26"/>
    </row>
    <row r="2458" spans="1:19">
      <c r="A2458" s="24"/>
      <c r="B2458" s="25" t="s">
        <v>225</v>
      </c>
      <c r="C2458" s="26" t="s">
        <v>535</v>
      </c>
      <c r="D2458" s="351">
        <v>1</v>
      </c>
      <c r="E2458" s="25"/>
      <c r="F2458" s="351">
        <v>1</v>
      </c>
      <c r="G2458" s="369" t="s">
        <v>2458</v>
      </c>
      <c r="H2458" s="369" t="s">
        <v>2459</v>
      </c>
      <c r="I2458" s="369" t="s">
        <v>2369</v>
      </c>
      <c r="J2458" s="369" t="s">
        <v>2374</v>
      </c>
      <c r="K2458" s="311"/>
      <c r="L2458" s="311"/>
      <c r="M2458" s="311"/>
      <c r="N2458" s="311"/>
      <c r="O2458" s="311"/>
      <c r="P2458" s="68"/>
      <c r="Q2458" s="68"/>
      <c r="R2458" s="127"/>
      <c r="S2458" s="26"/>
    </row>
    <row r="2459" spans="1:19">
      <c r="A2459" s="24"/>
      <c r="B2459" s="25" t="s">
        <v>315</v>
      </c>
      <c r="C2459" s="26" t="s">
        <v>535</v>
      </c>
      <c r="D2459" s="351">
        <v>1</v>
      </c>
      <c r="E2459" s="25"/>
      <c r="F2459" s="351">
        <v>1</v>
      </c>
      <c r="G2459" s="369" t="s">
        <v>2446</v>
      </c>
      <c r="H2459" s="369" t="s">
        <v>2447</v>
      </c>
      <c r="I2459" s="369" t="s">
        <v>2369</v>
      </c>
      <c r="J2459" s="369" t="s">
        <v>2374</v>
      </c>
      <c r="K2459" s="311"/>
      <c r="L2459" s="311"/>
      <c r="M2459" s="311"/>
      <c r="N2459" s="311"/>
      <c r="O2459" s="311"/>
      <c r="P2459" s="68"/>
      <c r="Q2459" s="68"/>
      <c r="R2459" s="127"/>
      <c r="S2459" s="26"/>
    </row>
    <row r="2460" spans="1:19">
      <c r="A2460" s="24"/>
      <c r="B2460" s="25" t="s">
        <v>166</v>
      </c>
      <c r="C2460" s="26" t="s">
        <v>535</v>
      </c>
      <c r="D2460" s="351">
        <v>7</v>
      </c>
      <c r="E2460" s="25"/>
      <c r="F2460" s="351">
        <v>7</v>
      </c>
      <c r="G2460" s="369" t="s">
        <v>2377</v>
      </c>
      <c r="H2460" s="369" t="s">
        <v>2378</v>
      </c>
      <c r="I2460" s="369" t="s">
        <v>2369</v>
      </c>
      <c r="J2460" s="369" t="s">
        <v>2374</v>
      </c>
      <c r="K2460" s="311"/>
      <c r="L2460" s="311"/>
      <c r="M2460" s="311"/>
      <c r="N2460" s="311"/>
      <c r="O2460" s="311"/>
      <c r="P2460" s="68"/>
      <c r="Q2460" s="68"/>
      <c r="R2460" s="127"/>
      <c r="S2460" s="26"/>
    </row>
    <row r="2461" spans="1:19">
      <c r="A2461" s="24"/>
      <c r="B2461" s="25" t="s">
        <v>167</v>
      </c>
      <c r="C2461" s="26" t="s">
        <v>535</v>
      </c>
      <c r="D2461" s="351">
        <v>2</v>
      </c>
      <c r="E2461" s="25"/>
      <c r="F2461" s="351">
        <v>2</v>
      </c>
      <c r="G2461" s="369" t="s">
        <v>2379</v>
      </c>
      <c r="H2461" s="369" t="s">
        <v>2380</v>
      </c>
      <c r="I2461" s="369" t="s">
        <v>2369</v>
      </c>
      <c r="J2461" s="369" t="s">
        <v>2374</v>
      </c>
      <c r="K2461" s="311"/>
      <c r="L2461" s="311"/>
      <c r="M2461" s="311"/>
      <c r="N2461" s="311"/>
      <c r="O2461" s="311"/>
      <c r="P2461" s="68"/>
      <c r="Q2461" s="68"/>
      <c r="R2461" s="127"/>
      <c r="S2461" s="26"/>
    </row>
    <row r="2462" spans="1:19" ht="30">
      <c r="A2462" s="24"/>
      <c r="B2462" s="25" t="s">
        <v>542</v>
      </c>
      <c r="C2462" s="26" t="s">
        <v>535</v>
      </c>
      <c r="D2462" s="351">
        <v>1</v>
      </c>
      <c r="E2462" s="25"/>
      <c r="F2462" s="351">
        <v>1</v>
      </c>
      <c r="G2462" s="369" t="s">
        <v>2448</v>
      </c>
      <c r="H2462" s="369" t="s">
        <v>2449</v>
      </c>
      <c r="I2462" s="369" t="s">
        <v>2369</v>
      </c>
      <c r="J2462" s="369" t="s">
        <v>2374</v>
      </c>
      <c r="K2462" s="311"/>
      <c r="L2462" s="311"/>
      <c r="M2462" s="311"/>
      <c r="N2462" s="311"/>
      <c r="O2462" s="311"/>
      <c r="P2462" s="68"/>
      <c r="Q2462" s="68"/>
      <c r="R2462" s="127"/>
      <c r="S2462" s="26"/>
    </row>
    <row r="2463" spans="1:19" ht="30">
      <c r="A2463" s="24"/>
      <c r="B2463" s="25" t="s">
        <v>553</v>
      </c>
      <c r="C2463" s="26" t="s">
        <v>535</v>
      </c>
      <c r="D2463" s="351">
        <v>1</v>
      </c>
      <c r="E2463" s="25"/>
      <c r="F2463" s="351">
        <v>1</v>
      </c>
      <c r="G2463" s="369" t="s">
        <v>2460</v>
      </c>
      <c r="H2463" s="369" t="s">
        <v>2461</v>
      </c>
      <c r="I2463" s="369" t="s">
        <v>2369</v>
      </c>
      <c r="J2463" s="369" t="s">
        <v>2374</v>
      </c>
      <c r="K2463" s="311"/>
      <c r="L2463" s="311"/>
      <c r="M2463" s="311"/>
      <c r="N2463" s="311"/>
      <c r="O2463" s="311"/>
      <c r="P2463" s="68"/>
      <c r="Q2463" s="68"/>
      <c r="R2463" s="127"/>
      <c r="S2463" s="26"/>
    </row>
    <row r="2464" spans="1:19" ht="30">
      <c r="A2464" s="24"/>
      <c r="B2464" s="25" t="s">
        <v>537</v>
      </c>
      <c r="C2464" s="26" t="s">
        <v>535</v>
      </c>
      <c r="D2464" s="351">
        <v>1</v>
      </c>
      <c r="E2464" s="25"/>
      <c r="F2464" s="351">
        <v>1</v>
      </c>
      <c r="G2464" s="369" t="s">
        <v>2448</v>
      </c>
      <c r="H2464" s="369" t="s">
        <v>2449</v>
      </c>
      <c r="I2464" s="369" t="s">
        <v>2369</v>
      </c>
      <c r="J2464" s="369" t="s">
        <v>2374</v>
      </c>
      <c r="K2464" s="311"/>
      <c r="L2464" s="311"/>
      <c r="M2464" s="311"/>
      <c r="N2464" s="311"/>
      <c r="O2464" s="311"/>
      <c r="P2464" s="68"/>
      <c r="Q2464" s="68"/>
      <c r="R2464" s="127"/>
      <c r="S2464" s="26"/>
    </row>
    <row r="2465" spans="1:19">
      <c r="A2465" s="24"/>
      <c r="B2465" s="25" t="s">
        <v>538</v>
      </c>
      <c r="C2465" s="26" t="s">
        <v>78</v>
      </c>
      <c r="D2465" s="351">
        <v>1</v>
      </c>
      <c r="E2465" s="25"/>
      <c r="F2465" s="351">
        <v>1</v>
      </c>
      <c r="G2465" s="369"/>
      <c r="H2465" s="369"/>
      <c r="I2465" s="369"/>
      <c r="J2465" s="369" t="s">
        <v>2381</v>
      </c>
      <c r="K2465" s="311"/>
      <c r="L2465" s="311"/>
      <c r="M2465" s="311"/>
      <c r="N2465" s="311"/>
      <c r="O2465" s="311"/>
      <c r="P2465" s="68"/>
      <c r="Q2465" s="68"/>
      <c r="R2465" s="127"/>
      <c r="S2465" s="26"/>
    </row>
    <row r="2466" spans="1:19">
      <c r="A2466" s="24">
        <v>8</v>
      </c>
      <c r="B2466" s="27" t="s">
        <v>554</v>
      </c>
      <c r="C2466" s="26"/>
      <c r="D2466" s="351"/>
      <c r="E2466" s="25"/>
      <c r="F2466" s="351"/>
      <c r="G2466" s="370"/>
      <c r="H2466" s="370"/>
      <c r="I2466" s="370"/>
      <c r="J2466" s="370"/>
      <c r="K2466" s="26"/>
      <c r="L2466" s="26"/>
      <c r="M2466" s="26"/>
      <c r="N2466" s="26"/>
      <c r="O2466" s="26"/>
      <c r="P2466" s="26"/>
      <c r="Q2466" s="66"/>
      <c r="R2466" s="66"/>
      <c r="S2466" s="26"/>
    </row>
    <row r="2467" spans="1:19" ht="30">
      <c r="A2467" s="24"/>
      <c r="B2467" s="25" t="s">
        <v>555</v>
      </c>
      <c r="C2467" s="26" t="s">
        <v>7</v>
      </c>
      <c r="D2467" s="351">
        <v>1</v>
      </c>
      <c r="E2467" s="25"/>
      <c r="F2467" s="351">
        <v>1</v>
      </c>
      <c r="G2467" s="369" t="s">
        <v>2452</v>
      </c>
      <c r="H2467" s="369" t="s">
        <v>2453</v>
      </c>
      <c r="I2467" s="369" t="s">
        <v>2369</v>
      </c>
      <c r="J2467" s="369" t="s">
        <v>2371</v>
      </c>
      <c r="K2467" s="311">
        <v>5859031.4000000004</v>
      </c>
      <c r="L2467" s="311">
        <v>0</v>
      </c>
      <c r="M2467" s="311">
        <v>599977.62683174619</v>
      </c>
      <c r="N2467" s="311">
        <v>621933.36520634918</v>
      </c>
      <c r="O2467" s="311">
        <v>435353.35564444447</v>
      </c>
      <c r="P2467" s="68">
        <f>SUM(K2467:O2467)</f>
        <v>7516295.7476825397</v>
      </c>
      <c r="Q2467" s="68">
        <f>D2467*P2467</f>
        <v>7516295.7476825397</v>
      </c>
      <c r="R2467" s="127">
        <f>F2467*P2467</f>
        <v>7516295.7476825397</v>
      </c>
      <c r="S2467" s="26"/>
    </row>
    <row r="2468" spans="1:19">
      <c r="A2468" s="24"/>
      <c r="B2468" s="25" t="s">
        <v>301</v>
      </c>
      <c r="C2468" s="26" t="s">
        <v>535</v>
      </c>
      <c r="D2468" s="351">
        <v>1</v>
      </c>
      <c r="E2468" s="25"/>
      <c r="F2468" s="351">
        <v>1</v>
      </c>
      <c r="G2468" s="369" t="s">
        <v>2454</v>
      </c>
      <c r="H2468" s="369" t="s">
        <v>2455</v>
      </c>
      <c r="I2468" s="369" t="s">
        <v>2369</v>
      </c>
      <c r="J2468" s="369" t="s">
        <v>2374</v>
      </c>
      <c r="K2468" s="311"/>
      <c r="L2468" s="311"/>
      <c r="M2468" s="311"/>
      <c r="N2468" s="311"/>
      <c r="O2468" s="311"/>
      <c r="P2468" s="68"/>
      <c r="Q2468" s="68"/>
      <c r="R2468" s="127"/>
      <c r="S2468" s="26"/>
    </row>
    <row r="2469" spans="1:19">
      <c r="A2469" s="24"/>
      <c r="B2469" s="25" t="s">
        <v>224</v>
      </c>
      <c r="C2469" s="26" t="s">
        <v>535</v>
      </c>
      <c r="D2469" s="351">
        <v>1</v>
      </c>
      <c r="E2469" s="25"/>
      <c r="F2469" s="351">
        <v>1</v>
      </c>
      <c r="G2469" s="369" t="s">
        <v>2456</v>
      </c>
      <c r="H2469" s="369" t="s">
        <v>2457</v>
      </c>
      <c r="I2469" s="369" t="s">
        <v>2369</v>
      </c>
      <c r="J2469" s="369" t="s">
        <v>2374</v>
      </c>
      <c r="K2469" s="311"/>
      <c r="L2469" s="311"/>
      <c r="M2469" s="311"/>
      <c r="N2469" s="311"/>
      <c r="O2469" s="311"/>
      <c r="P2469" s="68"/>
      <c r="Q2469" s="68"/>
      <c r="R2469" s="127"/>
      <c r="S2469" s="26"/>
    </row>
    <row r="2470" spans="1:19">
      <c r="A2470" s="24"/>
      <c r="B2470" s="25" t="s">
        <v>315</v>
      </c>
      <c r="C2470" s="26" t="s">
        <v>535</v>
      </c>
      <c r="D2470" s="351">
        <v>1</v>
      </c>
      <c r="E2470" s="25"/>
      <c r="F2470" s="351">
        <v>1</v>
      </c>
      <c r="G2470" s="369" t="s">
        <v>2446</v>
      </c>
      <c r="H2470" s="369" t="s">
        <v>2447</v>
      </c>
      <c r="I2470" s="369" t="s">
        <v>2369</v>
      </c>
      <c r="J2470" s="369" t="s">
        <v>2374</v>
      </c>
      <c r="K2470" s="311"/>
      <c r="L2470" s="311"/>
      <c r="M2470" s="311"/>
      <c r="N2470" s="311"/>
      <c r="O2470" s="311"/>
      <c r="P2470" s="68"/>
      <c r="Q2470" s="68"/>
      <c r="R2470" s="127"/>
      <c r="S2470" s="26"/>
    </row>
    <row r="2471" spans="1:19">
      <c r="A2471" s="24"/>
      <c r="B2471" s="25" t="s">
        <v>166</v>
      </c>
      <c r="C2471" s="26" t="s">
        <v>535</v>
      </c>
      <c r="D2471" s="351">
        <v>5</v>
      </c>
      <c r="E2471" s="25"/>
      <c r="F2471" s="351">
        <v>5</v>
      </c>
      <c r="G2471" s="369" t="s">
        <v>2377</v>
      </c>
      <c r="H2471" s="369" t="s">
        <v>2378</v>
      </c>
      <c r="I2471" s="369" t="s">
        <v>2369</v>
      </c>
      <c r="J2471" s="369" t="s">
        <v>2374</v>
      </c>
      <c r="K2471" s="311"/>
      <c r="L2471" s="311"/>
      <c r="M2471" s="311"/>
      <c r="N2471" s="311"/>
      <c r="O2471" s="311"/>
      <c r="P2471" s="68"/>
      <c r="Q2471" s="68"/>
      <c r="R2471" s="127"/>
      <c r="S2471" s="26"/>
    </row>
    <row r="2472" spans="1:19">
      <c r="A2472" s="24"/>
      <c r="B2472" s="25" t="s">
        <v>167</v>
      </c>
      <c r="C2472" s="26" t="s">
        <v>535</v>
      </c>
      <c r="D2472" s="351">
        <v>2</v>
      </c>
      <c r="E2472" s="25"/>
      <c r="F2472" s="351">
        <v>2</v>
      </c>
      <c r="G2472" s="369" t="s">
        <v>2379</v>
      </c>
      <c r="H2472" s="369" t="s">
        <v>2380</v>
      </c>
      <c r="I2472" s="369" t="s">
        <v>2369</v>
      </c>
      <c r="J2472" s="369" t="s">
        <v>2374</v>
      </c>
      <c r="K2472" s="311"/>
      <c r="L2472" s="311"/>
      <c r="M2472" s="311"/>
      <c r="N2472" s="311"/>
      <c r="O2472" s="311"/>
      <c r="P2472" s="68"/>
      <c r="Q2472" s="68"/>
      <c r="R2472" s="127"/>
      <c r="S2472" s="26"/>
    </row>
    <row r="2473" spans="1:19" ht="30">
      <c r="A2473" s="24"/>
      <c r="B2473" s="25" t="s">
        <v>556</v>
      </c>
      <c r="C2473" s="26" t="s">
        <v>535</v>
      </c>
      <c r="D2473" s="351">
        <v>1</v>
      </c>
      <c r="E2473" s="25"/>
      <c r="F2473" s="351">
        <v>1</v>
      </c>
      <c r="G2473" s="369" t="s">
        <v>2462</v>
      </c>
      <c r="H2473" s="369">
        <v>411188</v>
      </c>
      <c r="I2473" s="369" t="s">
        <v>2369</v>
      </c>
      <c r="J2473" s="369" t="s">
        <v>2463</v>
      </c>
      <c r="K2473" s="311"/>
      <c r="L2473" s="311"/>
      <c r="M2473" s="311"/>
      <c r="N2473" s="311"/>
      <c r="O2473" s="311"/>
      <c r="P2473" s="68"/>
      <c r="Q2473" s="68"/>
      <c r="R2473" s="127"/>
      <c r="S2473" s="26"/>
    </row>
    <row r="2474" spans="1:19" ht="30">
      <c r="A2474" s="24"/>
      <c r="B2474" s="25" t="s">
        <v>542</v>
      </c>
      <c r="C2474" s="26" t="s">
        <v>535</v>
      </c>
      <c r="D2474" s="351">
        <v>1</v>
      </c>
      <c r="E2474" s="25"/>
      <c r="F2474" s="351">
        <v>1</v>
      </c>
      <c r="G2474" s="369" t="s">
        <v>2448</v>
      </c>
      <c r="H2474" s="369" t="s">
        <v>2449</v>
      </c>
      <c r="I2474" s="369" t="s">
        <v>2369</v>
      </c>
      <c r="J2474" s="369" t="s">
        <v>2374</v>
      </c>
      <c r="K2474" s="311"/>
      <c r="L2474" s="311"/>
      <c r="M2474" s="311"/>
      <c r="N2474" s="311"/>
      <c r="O2474" s="311"/>
      <c r="P2474" s="68"/>
      <c r="Q2474" s="68"/>
      <c r="R2474" s="127"/>
      <c r="S2474" s="26"/>
    </row>
    <row r="2475" spans="1:19">
      <c r="A2475" s="24"/>
      <c r="B2475" s="25" t="s">
        <v>538</v>
      </c>
      <c r="C2475" s="26" t="s">
        <v>78</v>
      </c>
      <c r="D2475" s="351">
        <v>1</v>
      </c>
      <c r="E2475" s="25"/>
      <c r="F2475" s="351">
        <v>1</v>
      </c>
      <c r="G2475" s="369"/>
      <c r="H2475" s="369"/>
      <c r="I2475" s="369"/>
      <c r="J2475" s="369" t="s">
        <v>2381</v>
      </c>
      <c r="K2475" s="311"/>
      <c r="L2475" s="311"/>
      <c r="M2475" s="311"/>
      <c r="N2475" s="311"/>
      <c r="O2475" s="311"/>
      <c r="P2475" s="68"/>
      <c r="Q2475" s="68"/>
      <c r="R2475" s="127"/>
      <c r="S2475" s="26"/>
    </row>
    <row r="2476" spans="1:19">
      <c r="A2476" s="24">
        <v>9</v>
      </c>
      <c r="B2476" s="27" t="s">
        <v>557</v>
      </c>
      <c r="C2476" s="26"/>
      <c r="D2476" s="351"/>
      <c r="E2476" s="25"/>
      <c r="F2476" s="351"/>
      <c r="G2476" s="370"/>
      <c r="H2476" s="370"/>
      <c r="I2476" s="370"/>
      <c r="J2476" s="370"/>
      <c r="K2476" s="26"/>
      <c r="L2476" s="26"/>
      <c r="M2476" s="26"/>
      <c r="N2476" s="26"/>
      <c r="O2476" s="26"/>
      <c r="P2476" s="26"/>
      <c r="Q2476" s="66"/>
      <c r="R2476" s="66"/>
      <c r="S2476" s="26"/>
    </row>
    <row r="2477" spans="1:19" ht="30">
      <c r="A2477" s="24"/>
      <c r="B2477" s="25" t="s">
        <v>558</v>
      </c>
      <c r="C2477" s="26" t="s">
        <v>7</v>
      </c>
      <c r="D2477" s="351">
        <v>1</v>
      </c>
      <c r="E2477" s="25"/>
      <c r="F2477" s="351">
        <v>1</v>
      </c>
      <c r="G2477" s="369" t="s">
        <v>2452</v>
      </c>
      <c r="H2477" s="369" t="s">
        <v>2453</v>
      </c>
      <c r="I2477" s="369" t="s">
        <v>2369</v>
      </c>
      <c r="J2477" s="369" t="s">
        <v>2371</v>
      </c>
      <c r="K2477" s="311">
        <v>5913662.6000000006</v>
      </c>
      <c r="L2477" s="311">
        <v>0</v>
      </c>
      <c r="M2477" s="311">
        <v>623828.03963174624</v>
      </c>
      <c r="N2477" s="311">
        <v>629348.02120634925</v>
      </c>
      <c r="O2477" s="311">
        <v>440543.6148444445</v>
      </c>
      <c r="P2477" s="68">
        <f>SUM(K2477:O2477)</f>
        <v>7607382.2756825397</v>
      </c>
      <c r="Q2477" s="68">
        <f>D2477*P2477</f>
        <v>7607382.2756825397</v>
      </c>
      <c r="R2477" s="127">
        <f>F2477*P2477</f>
        <v>7607382.2756825397</v>
      </c>
      <c r="S2477" s="26"/>
    </row>
    <row r="2478" spans="1:19">
      <c r="A2478" s="24"/>
      <c r="B2478" s="25" t="s">
        <v>301</v>
      </c>
      <c r="C2478" s="26" t="s">
        <v>535</v>
      </c>
      <c r="D2478" s="351">
        <v>1</v>
      </c>
      <c r="E2478" s="25"/>
      <c r="F2478" s="351">
        <v>1</v>
      </c>
      <c r="G2478" s="369" t="s">
        <v>2454</v>
      </c>
      <c r="H2478" s="369" t="s">
        <v>2455</v>
      </c>
      <c r="I2478" s="369" t="s">
        <v>2369</v>
      </c>
      <c r="J2478" s="369" t="s">
        <v>2374</v>
      </c>
      <c r="K2478" s="311"/>
      <c r="L2478" s="311"/>
      <c r="M2478" s="311"/>
      <c r="N2478" s="311"/>
      <c r="O2478" s="311"/>
      <c r="P2478" s="68"/>
      <c r="Q2478" s="68"/>
      <c r="R2478" s="127"/>
      <c r="S2478" s="26"/>
    </row>
    <row r="2479" spans="1:19">
      <c r="A2479" s="24"/>
      <c r="B2479" s="25" t="s">
        <v>224</v>
      </c>
      <c r="C2479" s="26" t="s">
        <v>535</v>
      </c>
      <c r="D2479" s="351">
        <v>1</v>
      </c>
      <c r="E2479" s="25"/>
      <c r="F2479" s="351">
        <v>1</v>
      </c>
      <c r="G2479" s="369" t="s">
        <v>2456</v>
      </c>
      <c r="H2479" s="369" t="s">
        <v>2457</v>
      </c>
      <c r="I2479" s="369" t="s">
        <v>2369</v>
      </c>
      <c r="J2479" s="369" t="s">
        <v>2374</v>
      </c>
      <c r="K2479" s="311"/>
      <c r="L2479" s="311"/>
      <c r="M2479" s="311"/>
      <c r="N2479" s="311"/>
      <c r="O2479" s="311"/>
      <c r="P2479" s="68"/>
      <c r="Q2479" s="68"/>
      <c r="R2479" s="127"/>
      <c r="S2479" s="26"/>
    </row>
    <row r="2480" spans="1:19">
      <c r="A2480" s="24"/>
      <c r="B2480" s="25" t="s">
        <v>315</v>
      </c>
      <c r="C2480" s="26" t="s">
        <v>535</v>
      </c>
      <c r="D2480" s="351">
        <v>2</v>
      </c>
      <c r="E2480" s="25"/>
      <c r="F2480" s="351">
        <v>2</v>
      </c>
      <c r="G2480" s="369" t="s">
        <v>2446</v>
      </c>
      <c r="H2480" s="369" t="s">
        <v>2447</v>
      </c>
      <c r="I2480" s="369" t="s">
        <v>2369</v>
      </c>
      <c r="J2480" s="369" t="s">
        <v>2374</v>
      </c>
      <c r="K2480" s="311"/>
      <c r="L2480" s="311"/>
      <c r="M2480" s="311"/>
      <c r="N2480" s="311"/>
      <c r="O2480" s="311"/>
      <c r="P2480" s="68"/>
      <c r="Q2480" s="68"/>
      <c r="R2480" s="127"/>
      <c r="S2480" s="26"/>
    </row>
    <row r="2481" spans="1:19">
      <c r="A2481" s="24"/>
      <c r="B2481" s="25" t="s">
        <v>166</v>
      </c>
      <c r="C2481" s="26" t="s">
        <v>535</v>
      </c>
      <c r="D2481" s="351">
        <v>5</v>
      </c>
      <c r="E2481" s="25"/>
      <c r="F2481" s="351">
        <v>5</v>
      </c>
      <c r="G2481" s="369" t="s">
        <v>2377</v>
      </c>
      <c r="H2481" s="369" t="s">
        <v>2378</v>
      </c>
      <c r="I2481" s="369" t="s">
        <v>2369</v>
      </c>
      <c r="J2481" s="369" t="s">
        <v>2374</v>
      </c>
      <c r="K2481" s="311"/>
      <c r="L2481" s="311"/>
      <c r="M2481" s="311"/>
      <c r="N2481" s="311"/>
      <c r="O2481" s="311"/>
      <c r="P2481" s="68"/>
      <c r="Q2481" s="68"/>
      <c r="R2481" s="127"/>
      <c r="S2481" s="26"/>
    </row>
    <row r="2482" spans="1:19">
      <c r="A2482" s="24"/>
      <c r="B2482" s="25" t="s">
        <v>167</v>
      </c>
      <c r="C2482" s="26" t="s">
        <v>535</v>
      </c>
      <c r="D2482" s="351">
        <v>2</v>
      </c>
      <c r="E2482" s="25"/>
      <c r="F2482" s="351">
        <v>2</v>
      </c>
      <c r="G2482" s="369" t="s">
        <v>2379</v>
      </c>
      <c r="H2482" s="369" t="s">
        <v>2380</v>
      </c>
      <c r="I2482" s="369" t="s">
        <v>2369</v>
      </c>
      <c r="J2482" s="369" t="s">
        <v>2374</v>
      </c>
      <c r="K2482" s="311"/>
      <c r="L2482" s="311"/>
      <c r="M2482" s="311"/>
      <c r="N2482" s="311"/>
      <c r="O2482" s="311"/>
      <c r="P2482" s="68"/>
      <c r="Q2482" s="68"/>
      <c r="R2482" s="127"/>
      <c r="S2482" s="26"/>
    </row>
    <row r="2483" spans="1:19" ht="30">
      <c r="A2483" s="24"/>
      <c r="B2483" s="25" t="s">
        <v>556</v>
      </c>
      <c r="C2483" s="26" t="s">
        <v>535</v>
      </c>
      <c r="D2483" s="351">
        <v>1</v>
      </c>
      <c r="E2483" s="25"/>
      <c r="F2483" s="351">
        <v>1</v>
      </c>
      <c r="G2483" s="369" t="s">
        <v>2462</v>
      </c>
      <c r="H2483" s="369">
        <v>411188</v>
      </c>
      <c r="I2483" s="369" t="s">
        <v>2369</v>
      </c>
      <c r="J2483" s="369" t="s">
        <v>2463</v>
      </c>
      <c r="K2483" s="311"/>
      <c r="L2483" s="311"/>
      <c r="M2483" s="311"/>
      <c r="N2483" s="311"/>
      <c r="O2483" s="311"/>
      <c r="P2483" s="68"/>
      <c r="Q2483" s="68"/>
      <c r="R2483" s="127"/>
      <c r="S2483" s="26"/>
    </row>
    <row r="2484" spans="1:19" ht="30">
      <c r="A2484" s="24"/>
      <c r="B2484" s="25" t="s">
        <v>537</v>
      </c>
      <c r="C2484" s="26" t="s">
        <v>535</v>
      </c>
      <c r="D2484" s="351">
        <v>1</v>
      </c>
      <c r="E2484" s="25"/>
      <c r="F2484" s="351">
        <v>1</v>
      </c>
      <c r="G2484" s="369" t="s">
        <v>2448</v>
      </c>
      <c r="H2484" s="369" t="s">
        <v>2449</v>
      </c>
      <c r="I2484" s="369" t="s">
        <v>2369</v>
      </c>
      <c r="J2484" s="369" t="s">
        <v>2374</v>
      </c>
      <c r="K2484" s="311"/>
      <c r="L2484" s="311"/>
      <c r="M2484" s="311"/>
      <c r="N2484" s="311"/>
      <c r="O2484" s="311"/>
      <c r="P2484" s="68"/>
      <c r="Q2484" s="68"/>
      <c r="R2484" s="127"/>
      <c r="S2484" s="26"/>
    </row>
    <row r="2485" spans="1:19">
      <c r="A2485" s="24"/>
      <c r="B2485" s="25" t="s">
        <v>538</v>
      </c>
      <c r="C2485" s="26" t="s">
        <v>78</v>
      </c>
      <c r="D2485" s="351">
        <v>1</v>
      </c>
      <c r="E2485" s="25"/>
      <c r="F2485" s="351">
        <v>1</v>
      </c>
      <c r="G2485" s="369"/>
      <c r="H2485" s="369"/>
      <c r="I2485" s="369"/>
      <c r="J2485" s="369" t="s">
        <v>2381</v>
      </c>
      <c r="K2485" s="311"/>
      <c r="L2485" s="311"/>
      <c r="M2485" s="311"/>
      <c r="N2485" s="311"/>
      <c r="O2485" s="311"/>
      <c r="P2485" s="68"/>
      <c r="Q2485" s="68"/>
      <c r="R2485" s="127"/>
      <c r="S2485" s="26"/>
    </row>
    <row r="2486" spans="1:19">
      <c r="A2486" s="24"/>
      <c r="B2486" s="27" t="s">
        <v>559</v>
      </c>
      <c r="C2486" s="26"/>
      <c r="D2486" s="351"/>
      <c r="E2486" s="25"/>
      <c r="F2486" s="351"/>
      <c r="G2486" s="26"/>
      <c r="H2486" s="26"/>
      <c r="I2486" s="26"/>
      <c r="J2486" s="26"/>
      <c r="K2486" s="311"/>
      <c r="L2486" s="311"/>
      <c r="M2486" s="311"/>
      <c r="N2486" s="311"/>
      <c r="O2486" s="311"/>
      <c r="P2486" s="68"/>
      <c r="Q2486" s="68"/>
      <c r="R2486" s="127"/>
      <c r="S2486" s="26"/>
    </row>
    <row r="2487" spans="1:19">
      <c r="A2487" s="24">
        <v>1</v>
      </c>
      <c r="B2487" s="27" t="s">
        <v>560</v>
      </c>
      <c r="C2487" s="26"/>
      <c r="D2487" s="351"/>
      <c r="E2487" s="25"/>
      <c r="F2487" s="351"/>
      <c r="G2487" s="26"/>
      <c r="H2487" s="26"/>
      <c r="I2487" s="26"/>
      <c r="J2487" s="26"/>
      <c r="K2487" s="311"/>
      <c r="L2487" s="311"/>
      <c r="M2487" s="311"/>
      <c r="N2487" s="311"/>
      <c r="O2487" s="311"/>
      <c r="P2487" s="68"/>
      <c r="Q2487" s="68"/>
      <c r="R2487" s="127"/>
      <c r="S2487" s="26"/>
    </row>
    <row r="2488" spans="1:19" ht="165">
      <c r="A2488" s="24"/>
      <c r="B2488" s="25" t="s">
        <v>561</v>
      </c>
      <c r="C2488" s="26" t="s">
        <v>17</v>
      </c>
      <c r="D2488" s="351">
        <v>8787</v>
      </c>
      <c r="E2488" s="25"/>
      <c r="F2488" s="351">
        <v>8787</v>
      </c>
      <c r="G2488" s="369" t="s">
        <v>2422</v>
      </c>
      <c r="H2488" s="369" t="s">
        <v>2423</v>
      </c>
      <c r="I2488" s="369" t="s">
        <v>2424</v>
      </c>
      <c r="J2488" s="369" t="s">
        <v>2328</v>
      </c>
      <c r="K2488" s="311">
        <v>108047</v>
      </c>
      <c r="L2488" s="311">
        <v>0</v>
      </c>
      <c r="M2488" s="311">
        <v>37641.241666666676</v>
      </c>
      <c r="N2488" s="311">
        <v>13821.083333333336</v>
      </c>
      <c r="O2488" s="311">
        <v>9674.758333333335</v>
      </c>
      <c r="P2488" s="68">
        <f t="shared" ref="P2488:P2490" si="28">SUM(K2488:O2488)</f>
        <v>169184.08333333334</v>
      </c>
      <c r="Q2488" s="68">
        <f>D2488*P2488</f>
        <v>1486620540.25</v>
      </c>
      <c r="R2488" s="127">
        <f>F2488*P2488</f>
        <v>1486620540.25</v>
      </c>
      <c r="S2488" s="26"/>
    </row>
    <row r="2489" spans="1:19" ht="150">
      <c r="A2489" s="24"/>
      <c r="B2489" s="25" t="s">
        <v>562</v>
      </c>
      <c r="C2489" s="26" t="s">
        <v>17</v>
      </c>
      <c r="D2489" s="351">
        <v>1545</v>
      </c>
      <c r="E2489" s="25"/>
      <c r="F2489" s="351">
        <v>1545</v>
      </c>
      <c r="G2489" s="369" t="s">
        <v>3352</v>
      </c>
      <c r="H2489" s="369" t="s">
        <v>3353</v>
      </c>
      <c r="I2489" s="369" t="s">
        <v>2424</v>
      </c>
      <c r="J2489" s="358" t="s">
        <v>2328</v>
      </c>
      <c r="K2489" s="311">
        <v>123600</v>
      </c>
      <c r="L2489" s="311">
        <v>0</v>
      </c>
      <c r="M2489" s="311">
        <v>37641.241666666676</v>
      </c>
      <c r="N2489" s="311">
        <v>15331.083333333336</v>
      </c>
      <c r="O2489" s="311">
        <v>10731.758333333335</v>
      </c>
      <c r="P2489" s="68">
        <f t="shared" si="28"/>
        <v>187304.08333333334</v>
      </c>
      <c r="Q2489" s="68">
        <f>D2489*P2489</f>
        <v>289384808.75</v>
      </c>
      <c r="R2489" s="127">
        <f>F2489*P2489</f>
        <v>289384808.75</v>
      </c>
      <c r="S2489" s="26"/>
    </row>
    <row r="2490" spans="1:19" ht="150">
      <c r="A2490" s="24"/>
      <c r="B2490" s="25" t="s">
        <v>563</v>
      </c>
      <c r="C2490" s="26" t="s">
        <v>17</v>
      </c>
      <c r="D2490" s="351">
        <v>632</v>
      </c>
      <c r="E2490" s="25"/>
      <c r="F2490" s="351">
        <v>632</v>
      </c>
      <c r="G2490" s="369" t="s">
        <v>2425</v>
      </c>
      <c r="H2490" s="369" t="s">
        <v>2426</v>
      </c>
      <c r="I2490" s="369" t="s">
        <v>2424</v>
      </c>
      <c r="J2490" s="358" t="s">
        <v>2328</v>
      </c>
      <c r="K2490" s="311">
        <v>171804</v>
      </c>
      <c r="L2490" s="311">
        <v>0</v>
      </c>
      <c r="M2490" s="311">
        <v>42332.407692307694</v>
      </c>
      <c r="N2490" s="311">
        <v>20426.23076923077</v>
      </c>
      <c r="O2490" s="311">
        <v>14298.361538461539</v>
      </c>
      <c r="P2490" s="68">
        <f t="shared" si="28"/>
        <v>248861</v>
      </c>
      <c r="Q2490" s="68">
        <f>D2490*P2490</f>
        <v>157280152</v>
      </c>
      <c r="R2490" s="127">
        <f>F2490*P2490</f>
        <v>157280152</v>
      </c>
      <c r="S2490" s="26"/>
    </row>
    <row r="2491" spans="1:19" ht="30">
      <c r="A2491" s="24"/>
      <c r="B2491" s="25" t="s">
        <v>564</v>
      </c>
      <c r="C2491" s="26" t="s">
        <v>17</v>
      </c>
      <c r="D2491" s="351">
        <v>503</v>
      </c>
      <c r="E2491" s="25"/>
      <c r="F2491" s="351">
        <v>503</v>
      </c>
      <c r="G2491" s="26"/>
      <c r="H2491" s="26"/>
      <c r="I2491" s="26"/>
      <c r="J2491" s="26"/>
      <c r="K2491" s="311"/>
      <c r="L2491" s="311"/>
      <c r="M2491" s="311"/>
      <c r="N2491" s="311"/>
      <c r="O2491" s="311"/>
      <c r="P2491" s="68"/>
      <c r="Q2491" s="68"/>
      <c r="R2491" s="127"/>
      <c r="S2491" s="26" t="s">
        <v>3198</v>
      </c>
    </row>
    <row r="2492" spans="1:19" ht="30">
      <c r="A2492" s="24"/>
      <c r="B2492" s="25" t="s">
        <v>565</v>
      </c>
      <c r="C2492" s="26" t="s">
        <v>17</v>
      </c>
      <c r="D2492" s="351">
        <v>503</v>
      </c>
      <c r="E2492" s="25"/>
      <c r="F2492" s="351">
        <v>503</v>
      </c>
      <c r="G2492" s="26"/>
      <c r="H2492" s="26"/>
      <c r="I2492" s="26"/>
      <c r="J2492" s="26"/>
      <c r="K2492" s="311"/>
      <c r="L2492" s="311"/>
      <c r="M2492" s="311"/>
      <c r="N2492" s="311"/>
      <c r="O2492" s="311"/>
      <c r="P2492" s="68"/>
      <c r="Q2492" s="68"/>
      <c r="R2492" s="127"/>
      <c r="S2492" s="26" t="s">
        <v>3198</v>
      </c>
    </row>
    <row r="2493" spans="1:19">
      <c r="A2493" s="24"/>
      <c r="B2493" s="25" t="s">
        <v>566</v>
      </c>
      <c r="C2493" s="26" t="s">
        <v>17</v>
      </c>
      <c r="D2493" s="351">
        <v>0</v>
      </c>
      <c r="E2493" s="25"/>
      <c r="F2493" s="351">
        <v>0</v>
      </c>
      <c r="G2493" s="26"/>
      <c r="H2493" s="26"/>
      <c r="I2493" s="26"/>
      <c r="J2493" s="26"/>
      <c r="K2493" s="311"/>
      <c r="L2493" s="311"/>
      <c r="M2493" s="311"/>
      <c r="N2493" s="311"/>
      <c r="O2493" s="311"/>
      <c r="P2493" s="68"/>
      <c r="Q2493" s="68"/>
      <c r="R2493" s="127"/>
      <c r="S2493" s="26"/>
    </row>
    <row r="2494" spans="1:19">
      <c r="A2494" s="24"/>
      <c r="B2494" s="25" t="s">
        <v>567</v>
      </c>
      <c r="C2494" s="26" t="s">
        <v>17</v>
      </c>
      <c r="D2494" s="351">
        <v>0</v>
      </c>
      <c r="E2494" s="25"/>
      <c r="F2494" s="351">
        <v>0</v>
      </c>
      <c r="G2494" s="26"/>
      <c r="H2494" s="26"/>
      <c r="I2494" s="26"/>
      <c r="J2494" s="26"/>
      <c r="K2494" s="311"/>
      <c r="L2494" s="311"/>
      <c r="M2494" s="311"/>
      <c r="N2494" s="311"/>
      <c r="O2494" s="311"/>
      <c r="P2494" s="68"/>
      <c r="Q2494" s="68"/>
      <c r="R2494" s="127"/>
      <c r="S2494" s="26"/>
    </row>
    <row r="2495" spans="1:19">
      <c r="A2495" s="24">
        <v>2</v>
      </c>
      <c r="B2495" s="27" t="s">
        <v>568</v>
      </c>
      <c r="C2495" s="26"/>
      <c r="D2495" s="351"/>
      <c r="E2495" s="25"/>
      <c r="F2495" s="351"/>
      <c r="G2495" s="26"/>
      <c r="H2495" s="26"/>
      <c r="I2495" s="26"/>
      <c r="J2495" s="26"/>
      <c r="K2495" s="26"/>
      <c r="L2495" s="26"/>
      <c r="M2495" s="26"/>
      <c r="N2495" s="26"/>
      <c r="O2495" s="26"/>
      <c r="P2495" s="26"/>
      <c r="Q2495" s="66"/>
      <c r="R2495" s="66"/>
      <c r="S2495" s="26"/>
    </row>
    <row r="2496" spans="1:19" ht="30">
      <c r="A2496" s="24"/>
      <c r="B2496" s="25" t="s">
        <v>569</v>
      </c>
      <c r="C2496" s="26" t="s">
        <v>17</v>
      </c>
      <c r="D2496" s="351">
        <v>2826</v>
      </c>
      <c r="E2496" s="25"/>
      <c r="F2496" s="351">
        <v>2826</v>
      </c>
      <c r="G2496" s="369" t="s">
        <v>2427</v>
      </c>
      <c r="H2496" s="369" t="s">
        <v>2546</v>
      </c>
      <c r="I2496" s="369" t="s">
        <v>2428</v>
      </c>
      <c r="J2496" s="369" t="s">
        <v>2429</v>
      </c>
      <c r="K2496" s="311">
        <v>33151.58</v>
      </c>
      <c r="L2496" s="311">
        <v>0</v>
      </c>
      <c r="M2496" s="311">
        <v>39099.738461538465</v>
      </c>
      <c r="N2496" s="311">
        <v>6678.753846153847</v>
      </c>
      <c r="O2496" s="311">
        <v>4675.127692307693</v>
      </c>
      <c r="P2496" s="68">
        <f t="shared" ref="P2496:P2502" si="29">SUM(K2496:O2496)</f>
        <v>83605.200000000012</v>
      </c>
      <c r="Q2496" s="68">
        <f t="shared" ref="Q2496:Q2502" si="30">D2496*P2496</f>
        <v>236268295.20000005</v>
      </c>
      <c r="R2496" s="127">
        <f t="shared" ref="R2496:R2502" si="31">F2496*P2496</f>
        <v>236268295.20000005</v>
      </c>
      <c r="S2496" s="26"/>
    </row>
    <row r="2497" spans="1:19" ht="30">
      <c r="A2497" s="24"/>
      <c r="B2497" s="25" t="s">
        <v>570</v>
      </c>
      <c r="C2497" s="26" t="s">
        <v>17</v>
      </c>
      <c r="D2497" s="351">
        <v>972</v>
      </c>
      <c r="E2497" s="25"/>
      <c r="F2497" s="351">
        <v>972</v>
      </c>
      <c r="G2497" s="369" t="s">
        <v>2430</v>
      </c>
      <c r="H2497" s="369" t="s">
        <v>2547</v>
      </c>
      <c r="I2497" s="369" t="s">
        <v>2428</v>
      </c>
      <c r="J2497" s="369" t="s">
        <v>2429</v>
      </c>
      <c r="K2497" s="311">
        <v>48601.58</v>
      </c>
      <c r="L2497" s="311">
        <v>0</v>
      </c>
      <c r="M2497" s="311">
        <v>44315.123076923082</v>
      </c>
      <c r="N2497" s="311">
        <v>8640.2923076923089</v>
      </c>
      <c r="O2497" s="311">
        <v>6048.2046153846159</v>
      </c>
      <c r="P2497" s="68">
        <f t="shared" si="29"/>
        <v>107605.20000000001</v>
      </c>
      <c r="Q2497" s="68">
        <f t="shared" si="30"/>
        <v>104592254.40000001</v>
      </c>
      <c r="R2497" s="127">
        <f t="shared" si="31"/>
        <v>104592254.40000001</v>
      </c>
      <c r="S2497" s="26"/>
    </row>
    <row r="2498" spans="1:19" ht="30">
      <c r="A2498" s="24"/>
      <c r="B2498" s="25" t="s">
        <v>571</v>
      </c>
      <c r="C2498" s="26" t="s">
        <v>17</v>
      </c>
      <c r="D2498" s="351">
        <v>22</v>
      </c>
      <c r="E2498" s="25"/>
      <c r="F2498" s="351">
        <v>22</v>
      </c>
      <c r="G2498" s="369" t="s">
        <v>2431</v>
      </c>
      <c r="H2498" s="369" t="s">
        <v>2548</v>
      </c>
      <c r="I2498" s="369" t="s">
        <v>2428</v>
      </c>
      <c r="J2498" s="369" t="s">
        <v>2429</v>
      </c>
      <c r="K2498" s="311">
        <v>68171.58</v>
      </c>
      <c r="L2498" s="311">
        <v>0</v>
      </c>
      <c r="M2498" s="311">
        <v>49530.507692307692</v>
      </c>
      <c r="N2498" s="311">
        <v>11001.83076923077</v>
      </c>
      <c r="O2498" s="311">
        <v>7701.2815384615387</v>
      </c>
      <c r="P2498" s="68">
        <f t="shared" si="29"/>
        <v>136405.20000000001</v>
      </c>
      <c r="Q2498" s="68">
        <f t="shared" si="30"/>
        <v>3000914.4000000004</v>
      </c>
      <c r="R2498" s="127">
        <f t="shared" si="31"/>
        <v>3000914.4000000004</v>
      </c>
      <c r="S2498" s="26"/>
    </row>
    <row r="2499" spans="1:19" ht="30">
      <c r="A2499" s="24"/>
      <c r="B2499" s="25" t="s">
        <v>572</v>
      </c>
      <c r="C2499" s="26" t="s">
        <v>17</v>
      </c>
      <c r="D2499" s="351">
        <v>2264</v>
      </c>
      <c r="E2499" s="25"/>
      <c r="F2499" s="351">
        <v>2264</v>
      </c>
      <c r="G2499" s="369" t="s">
        <v>2432</v>
      </c>
      <c r="H2499" s="369" t="s">
        <v>2549</v>
      </c>
      <c r="I2499" s="369" t="s">
        <v>2428</v>
      </c>
      <c r="J2499" s="369" t="s">
        <v>2429</v>
      </c>
      <c r="K2499" s="311">
        <v>36241.58</v>
      </c>
      <c r="L2499" s="311">
        <v>0</v>
      </c>
      <c r="M2499" s="311">
        <v>41707.43076923077</v>
      </c>
      <c r="N2499" s="311">
        <v>7209.5230769230766</v>
      </c>
      <c r="O2499" s="311">
        <v>5046.666153846154</v>
      </c>
      <c r="P2499" s="68">
        <f t="shared" si="29"/>
        <v>90205.2</v>
      </c>
      <c r="Q2499" s="68">
        <f t="shared" si="30"/>
        <v>204224572.79999998</v>
      </c>
      <c r="R2499" s="127">
        <f t="shared" si="31"/>
        <v>204224572.79999998</v>
      </c>
      <c r="S2499" s="26"/>
    </row>
    <row r="2500" spans="1:19" ht="30">
      <c r="A2500" s="24"/>
      <c r="B2500" s="25" t="s">
        <v>573</v>
      </c>
      <c r="C2500" s="26" t="s">
        <v>17</v>
      </c>
      <c r="D2500" s="351">
        <v>22</v>
      </c>
      <c r="E2500" s="25"/>
      <c r="F2500" s="351">
        <v>22</v>
      </c>
      <c r="G2500" s="369" t="s">
        <v>2433</v>
      </c>
      <c r="H2500" s="369" t="s">
        <v>2550</v>
      </c>
      <c r="I2500" s="369" t="s">
        <v>2428</v>
      </c>
      <c r="J2500" s="369" t="s">
        <v>2429</v>
      </c>
      <c r="K2500" s="311">
        <v>55811.58</v>
      </c>
      <c r="L2500" s="311">
        <v>0</v>
      </c>
      <c r="M2500" s="311">
        <v>46922.815384615387</v>
      </c>
      <c r="N2500" s="311">
        <v>9571.0615384615376</v>
      </c>
      <c r="O2500" s="311">
        <v>6699.7430769230768</v>
      </c>
      <c r="P2500" s="68">
        <f t="shared" si="29"/>
        <v>119005.2</v>
      </c>
      <c r="Q2500" s="68">
        <f t="shared" si="30"/>
        <v>2618114.4</v>
      </c>
      <c r="R2500" s="127">
        <f t="shared" si="31"/>
        <v>2618114.4</v>
      </c>
      <c r="S2500" s="26"/>
    </row>
    <row r="2501" spans="1:19" ht="30">
      <c r="A2501" s="24"/>
      <c r="B2501" s="25" t="s">
        <v>574</v>
      </c>
      <c r="C2501" s="26" t="s">
        <v>17</v>
      </c>
      <c r="D2501" s="351">
        <v>771</v>
      </c>
      <c r="E2501" s="25"/>
      <c r="F2501" s="351">
        <v>771</v>
      </c>
      <c r="G2501" s="369" t="s">
        <v>2434</v>
      </c>
      <c r="H2501" s="369" t="s">
        <v>2551</v>
      </c>
      <c r="I2501" s="369" t="s">
        <v>2428</v>
      </c>
      <c r="J2501" s="369" t="s">
        <v>2429</v>
      </c>
      <c r="K2501" s="311">
        <v>77441.58</v>
      </c>
      <c r="L2501" s="311">
        <v>0</v>
      </c>
      <c r="M2501" s="311">
        <v>44315.123076923082</v>
      </c>
      <c r="N2501" s="311">
        <v>11440.292307692309</v>
      </c>
      <c r="O2501" s="311">
        <v>8008.2046153846159</v>
      </c>
      <c r="P2501" s="68">
        <f t="shared" si="29"/>
        <v>141205.20000000001</v>
      </c>
      <c r="Q2501" s="68">
        <f t="shared" si="30"/>
        <v>108869209.2</v>
      </c>
      <c r="R2501" s="127">
        <f t="shared" si="31"/>
        <v>108869209.2</v>
      </c>
      <c r="S2501" s="26"/>
    </row>
    <row r="2502" spans="1:19" ht="45">
      <c r="A2502" s="24"/>
      <c r="B2502" s="25" t="s">
        <v>575</v>
      </c>
      <c r="C2502" s="26" t="s">
        <v>17</v>
      </c>
      <c r="D2502" s="351">
        <v>503</v>
      </c>
      <c r="E2502" s="25"/>
      <c r="F2502" s="351">
        <v>503</v>
      </c>
      <c r="G2502" s="369" t="s">
        <v>2435</v>
      </c>
      <c r="H2502" s="369" t="s">
        <v>2552</v>
      </c>
      <c r="I2502" s="369" t="s">
        <v>2428</v>
      </c>
      <c r="J2502" s="369" t="s">
        <v>2429</v>
      </c>
      <c r="K2502" s="311">
        <v>228851.58000000002</v>
      </c>
      <c r="L2502" s="311">
        <v>0</v>
      </c>
      <c r="M2502" s="311">
        <v>68026.86923076924</v>
      </c>
      <c r="N2502" s="311">
        <v>28238.676923076928</v>
      </c>
      <c r="O2502" s="311">
        <v>19767.073846153849</v>
      </c>
      <c r="P2502" s="68">
        <f t="shared" si="29"/>
        <v>344884.2</v>
      </c>
      <c r="Q2502" s="68">
        <f t="shared" si="30"/>
        <v>173476752.59999999</v>
      </c>
      <c r="R2502" s="127">
        <f t="shared" si="31"/>
        <v>173476752.59999999</v>
      </c>
      <c r="S2502" s="26"/>
    </row>
    <row r="2503" spans="1:19">
      <c r="A2503" s="24">
        <v>3</v>
      </c>
      <c r="B2503" s="27" t="s">
        <v>576</v>
      </c>
      <c r="C2503" s="26"/>
      <c r="D2503" s="351"/>
      <c r="E2503" s="25"/>
      <c r="F2503" s="351"/>
      <c r="G2503" s="369"/>
      <c r="H2503" s="369"/>
      <c r="I2503" s="369"/>
      <c r="J2503" s="369"/>
      <c r="K2503" s="26"/>
      <c r="L2503" s="26"/>
      <c r="M2503" s="26"/>
      <c r="N2503" s="26"/>
      <c r="O2503" s="26"/>
      <c r="P2503" s="26"/>
      <c r="Q2503" s="66"/>
      <c r="R2503" s="66"/>
      <c r="S2503" s="26"/>
    </row>
    <row r="2504" spans="1:19" ht="30">
      <c r="A2504" s="24"/>
      <c r="B2504" s="25" t="s">
        <v>577</v>
      </c>
      <c r="C2504" s="26" t="s">
        <v>535</v>
      </c>
      <c r="D2504" s="351">
        <v>5261</v>
      </c>
      <c r="E2504" s="25"/>
      <c r="F2504" s="351">
        <v>5261</v>
      </c>
      <c r="G2504" s="369" t="s">
        <v>2436</v>
      </c>
      <c r="H2504" s="369" t="s">
        <v>2553</v>
      </c>
      <c r="I2504" s="369" t="s">
        <v>2428</v>
      </c>
      <c r="J2504" s="369" t="s">
        <v>2429</v>
      </c>
      <c r="K2504" s="311">
        <v>88771.58</v>
      </c>
      <c r="L2504" s="311">
        <v>0</v>
      </c>
      <c r="M2504" s="311">
        <v>44315.123076923082</v>
      </c>
      <c r="N2504" s="311">
        <v>12540.292307692309</v>
      </c>
      <c r="O2504" s="311">
        <v>8778.2046153846168</v>
      </c>
      <c r="P2504" s="68">
        <f t="shared" ref="P2504:P2506" si="32">SUM(K2504:O2504)</f>
        <v>154405.20000000001</v>
      </c>
      <c r="Q2504" s="68">
        <f>D2504*P2504</f>
        <v>812325757.20000005</v>
      </c>
      <c r="R2504" s="127">
        <f>F2504*P2504</f>
        <v>812325757.20000005</v>
      </c>
      <c r="S2504" s="26"/>
    </row>
    <row r="2505" spans="1:19" ht="30">
      <c r="A2505" s="24"/>
      <c r="B2505" s="25" t="s">
        <v>578</v>
      </c>
      <c r="C2505" s="26" t="s">
        <v>535</v>
      </c>
      <c r="D2505" s="351">
        <v>2114</v>
      </c>
      <c r="E2505" s="25"/>
      <c r="F2505" s="351">
        <v>2114</v>
      </c>
      <c r="G2505" s="369" t="s">
        <v>2437</v>
      </c>
      <c r="H2505" s="369" t="s">
        <v>2554</v>
      </c>
      <c r="I2505" s="369" t="s">
        <v>2428</v>
      </c>
      <c r="J2505" s="369" t="s">
        <v>2429</v>
      </c>
      <c r="K2505" s="311">
        <v>88771.58</v>
      </c>
      <c r="L2505" s="311">
        <v>0</v>
      </c>
      <c r="M2505" s="311">
        <v>41707.43076923077</v>
      </c>
      <c r="N2505" s="311">
        <v>12309.523076923077</v>
      </c>
      <c r="O2505" s="311">
        <v>8616.666153846154</v>
      </c>
      <c r="P2505" s="68">
        <f t="shared" si="32"/>
        <v>151405.20000000001</v>
      </c>
      <c r="Q2505" s="68">
        <f>D2505*P2505</f>
        <v>320070592.80000001</v>
      </c>
      <c r="R2505" s="127">
        <f>F2505*P2505</f>
        <v>320070592.80000001</v>
      </c>
      <c r="S2505" s="26"/>
    </row>
    <row r="2506" spans="1:19" ht="60">
      <c r="A2506" s="24"/>
      <c r="B2506" s="25" t="s">
        <v>579</v>
      </c>
      <c r="C2506" s="26" t="s">
        <v>535</v>
      </c>
      <c r="D2506" s="351">
        <v>1274</v>
      </c>
      <c r="E2506" s="25"/>
      <c r="F2506" s="351">
        <v>1274</v>
      </c>
      <c r="G2506" s="369" t="s">
        <v>2438</v>
      </c>
      <c r="H2506" s="369" t="s">
        <v>2555</v>
      </c>
      <c r="I2506" s="369" t="s">
        <v>2428</v>
      </c>
      <c r="J2506" s="369" t="s">
        <v>2429</v>
      </c>
      <c r="K2506" s="311">
        <v>191771.58000000002</v>
      </c>
      <c r="L2506" s="311">
        <v>0</v>
      </c>
      <c r="M2506" s="311">
        <v>53007.43076923077</v>
      </c>
      <c r="N2506" s="311">
        <v>23309.523076923077</v>
      </c>
      <c r="O2506" s="311">
        <v>16316.666153846154</v>
      </c>
      <c r="P2506" s="68">
        <f t="shared" si="32"/>
        <v>284405.2</v>
      </c>
      <c r="Q2506" s="68">
        <f>D2506*P2506</f>
        <v>362332224.80000001</v>
      </c>
      <c r="R2506" s="127">
        <f>F2506*P2506</f>
        <v>362332224.80000001</v>
      </c>
      <c r="S2506" s="26"/>
    </row>
    <row r="2507" spans="1:19">
      <c r="A2507" s="24"/>
      <c r="B2507" s="25" t="s">
        <v>580</v>
      </c>
      <c r="C2507" s="26" t="s">
        <v>535</v>
      </c>
      <c r="D2507" s="351">
        <v>0</v>
      </c>
      <c r="E2507" s="25"/>
      <c r="F2507" s="351">
        <v>0</v>
      </c>
      <c r="G2507" s="369"/>
      <c r="H2507" s="369"/>
      <c r="I2507" s="369"/>
      <c r="J2507" s="369"/>
      <c r="K2507" s="311"/>
      <c r="L2507" s="311"/>
      <c r="M2507" s="311"/>
      <c r="N2507" s="311"/>
      <c r="O2507" s="311"/>
      <c r="P2507" s="68"/>
      <c r="Q2507" s="68"/>
      <c r="R2507" s="127"/>
      <c r="S2507" s="26"/>
    </row>
    <row r="2508" spans="1:19" ht="45">
      <c r="A2508" s="24"/>
      <c r="B2508" s="25" t="s">
        <v>581</v>
      </c>
      <c r="C2508" s="26" t="s">
        <v>535</v>
      </c>
      <c r="D2508" s="351">
        <v>2</v>
      </c>
      <c r="E2508" s="25"/>
      <c r="F2508" s="351">
        <v>2</v>
      </c>
      <c r="G2508" s="369" t="s">
        <v>2439</v>
      </c>
      <c r="H2508" s="369" t="s">
        <v>2440</v>
      </c>
      <c r="I2508" s="369" t="s">
        <v>2441</v>
      </c>
      <c r="J2508" s="369" t="s">
        <v>2374</v>
      </c>
      <c r="K2508" s="311">
        <v>581950</v>
      </c>
      <c r="L2508" s="311">
        <v>0</v>
      </c>
      <c r="M2508" s="311">
        <v>73015.38461538461</v>
      </c>
      <c r="N2508" s="311">
        <v>62961.538461538468</v>
      </c>
      <c r="O2508" s="311">
        <v>44073.076923076929</v>
      </c>
      <c r="P2508" s="68">
        <f t="shared" ref="P2508:P2509" si="33">SUM(K2508:O2508)</f>
        <v>762000</v>
      </c>
      <c r="Q2508" s="68">
        <f>D2508*P2508</f>
        <v>1524000</v>
      </c>
      <c r="R2508" s="127">
        <f>F2508*P2508</f>
        <v>1524000</v>
      </c>
      <c r="S2508" s="26"/>
    </row>
    <row r="2509" spans="1:19">
      <c r="A2509" s="24"/>
      <c r="B2509" s="25" t="s">
        <v>582</v>
      </c>
      <c r="C2509" s="26" t="s">
        <v>535</v>
      </c>
      <c r="D2509" s="351">
        <v>4421</v>
      </c>
      <c r="E2509" s="25"/>
      <c r="F2509" s="351">
        <v>4421</v>
      </c>
      <c r="G2509" s="369" t="s">
        <v>2442</v>
      </c>
      <c r="H2509" s="369" t="s">
        <v>2443</v>
      </c>
      <c r="I2509" s="365" t="s">
        <v>2368</v>
      </c>
      <c r="J2509" s="365" t="s">
        <v>2328</v>
      </c>
      <c r="K2509" s="311">
        <v>16746.600000000002</v>
      </c>
      <c r="L2509" s="311">
        <v>0</v>
      </c>
      <c r="M2509" s="311">
        <v>12746.400000000001</v>
      </c>
      <c r="N2509" s="311">
        <v>2610</v>
      </c>
      <c r="O2509" s="311">
        <v>1827.0000000000002</v>
      </c>
      <c r="P2509" s="68">
        <f t="shared" si="33"/>
        <v>33930.000000000007</v>
      </c>
      <c r="Q2509" s="68">
        <f>D2509*P2509</f>
        <v>150004530.00000003</v>
      </c>
      <c r="R2509" s="127">
        <f>F2509*P2509</f>
        <v>150004530.00000003</v>
      </c>
      <c r="S2509" s="26"/>
    </row>
    <row r="2510" spans="1:19">
      <c r="A2510" s="24"/>
      <c r="B2510" s="27" t="s">
        <v>2290</v>
      </c>
      <c r="C2510" s="26"/>
      <c r="D2510" s="351"/>
      <c r="E2510" s="25"/>
      <c r="F2510" s="351"/>
      <c r="G2510" s="26"/>
      <c r="H2510" s="26"/>
      <c r="I2510" s="26"/>
      <c r="J2510" s="26"/>
      <c r="K2510" s="26"/>
      <c r="L2510" s="26"/>
      <c r="M2510" s="26"/>
      <c r="N2510" s="26"/>
      <c r="O2510" s="26"/>
      <c r="P2510" s="26"/>
      <c r="Q2510" s="66"/>
      <c r="R2510" s="66"/>
      <c r="S2510" s="26"/>
    </row>
    <row r="2511" spans="1:19" ht="28.5">
      <c r="A2511" s="24">
        <v>1</v>
      </c>
      <c r="B2511" s="27" t="s">
        <v>583</v>
      </c>
      <c r="C2511" s="26"/>
      <c r="D2511" s="351"/>
      <c r="E2511" s="25"/>
      <c r="F2511" s="351"/>
      <c r="G2511" s="26"/>
      <c r="H2511" s="26"/>
      <c r="I2511" s="26"/>
      <c r="J2511" s="26"/>
      <c r="K2511" s="26"/>
      <c r="L2511" s="26"/>
      <c r="M2511" s="26"/>
      <c r="N2511" s="26"/>
      <c r="O2511" s="26"/>
      <c r="P2511" s="26"/>
      <c r="Q2511" s="66"/>
      <c r="R2511" s="66"/>
      <c r="S2511" s="26"/>
    </row>
    <row r="2512" spans="1:19">
      <c r="A2512" s="24"/>
      <c r="B2512" s="25" t="s">
        <v>506</v>
      </c>
      <c r="C2512" s="26" t="s">
        <v>117</v>
      </c>
      <c r="D2512" s="351">
        <v>99</v>
      </c>
      <c r="E2512" s="25"/>
      <c r="F2512" s="351">
        <v>99</v>
      </c>
      <c r="G2512" s="365" t="s">
        <v>2401</v>
      </c>
      <c r="H2512" s="369"/>
      <c r="I2512" s="365" t="s">
        <v>2330</v>
      </c>
      <c r="J2512" s="365" t="s">
        <v>2328</v>
      </c>
      <c r="K2512" s="311">
        <v>70083.424800000008</v>
      </c>
      <c r="L2512" s="311">
        <v>0</v>
      </c>
      <c r="M2512" s="311">
        <v>10376.74814814815</v>
      </c>
      <c r="N2512" s="311">
        <v>7347.968296296297</v>
      </c>
      <c r="O2512" s="311">
        <v>5143.5778074074078</v>
      </c>
      <c r="P2512" s="68">
        <f>SUM(K2512:O2512)</f>
        <v>92951.719051851862</v>
      </c>
      <c r="Q2512" s="68">
        <f>D2512*P2512</f>
        <v>9202220.1861333344</v>
      </c>
      <c r="R2512" s="127">
        <f>F2512*P2512</f>
        <v>9202220.1861333344</v>
      </c>
      <c r="S2512" s="26"/>
    </row>
    <row r="2513" spans="1:19" ht="28.5">
      <c r="A2513" s="24">
        <v>2</v>
      </c>
      <c r="B2513" s="27" t="s">
        <v>584</v>
      </c>
      <c r="C2513" s="26"/>
      <c r="D2513" s="351"/>
      <c r="E2513" s="25"/>
      <c r="F2513" s="351"/>
      <c r="G2513" s="369"/>
      <c r="H2513" s="369"/>
      <c r="I2513" s="369"/>
      <c r="J2513" s="369"/>
      <c r="K2513" s="26"/>
      <c r="L2513" s="26"/>
      <c r="M2513" s="26"/>
      <c r="N2513" s="26"/>
      <c r="O2513" s="26"/>
      <c r="P2513" s="26"/>
      <c r="Q2513" s="66"/>
      <c r="R2513" s="66"/>
      <c r="S2513" s="26"/>
    </row>
    <row r="2514" spans="1:19">
      <c r="A2514" s="24"/>
      <c r="B2514" s="25" t="s">
        <v>155</v>
      </c>
      <c r="C2514" s="26" t="s">
        <v>117</v>
      </c>
      <c r="D2514" s="351">
        <v>8796.8970000000008</v>
      </c>
      <c r="E2514" s="25"/>
      <c r="F2514" s="351">
        <v>8796.8970000000008</v>
      </c>
      <c r="G2514" s="365" t="s">
        <v>2365</v>
      </c>
      <c r="H2514" s="369"/>
      <c r="I2514" s="365" t="s">
        <v>2330</v>
      </c>
      <c r="J2514" s="365" t="s">
        <v>2328</v>
      </c>
      <c r="K2514" s="311">
        <v>21240.219600000004</v>
      </c>
      <c r="L2514" s="311">
        <v>0</v>
      </c>
      <c r="M2514" s="311">
        <v>5414.7925925925929</v>
      </c>
      <c r="N2514" s="311">
        <v>2427.8291851851855</v>
      </c>
      <c r="O2514" s="311">
        <v>1699.48042962963</v>
      </c>
      <c r="P2514" s="68">
        <f t="shared" ref="P2514:P2517" si="34">SUM(K2514:O2514)</f>
        <v>30782.321807407414</v>
      </c>
      <c r="Q2514" s="68">
        <f>D2514*P2514</f>
        <v>270788914.36061686</v>
      </c>
      <c r="R2514" s="127">
        <f>F2514*P2514</f>
        <v>270788914.36061686</v>
      </c>
      <c r="S2514" s="26"/>
    </row>
    <row r="2515" spans="1:19">
      <c r="A2515" s="24"/>
      <c r="B2515" s="25" t="s">
        <v>585</v>
      </c>
      <c r="C2515" s="26" t="s">
        <v>117</v>
      </c>
      <c r="D2515" s="351">
        <v>38939.692000000003</v>
      </c>
      <c r="E2515" s="25"/>
      <c r="F2515" s="351">
        <v>38939.692000000003</v>
      </c>
      <c r="G2515" s="365" t="s">
        <v>2366</v>
      </c>
      <c r="H2515" s="369"/>
      <c r="I2515" s="365" t="s">
        <v>2330</v>
      </c>
      <c r="J2515" s="365" t="s">
        <v>2328</v>
      </c>
      <c r="K2515" s="311">
        <v>14466.610800000002</v>
      </c>
      <c r="L2515" s="311">
        <v>0</v>
      </c>
      <c r="M2515" s="311">
        <v>4716.7037037037044</v>
      </c>
      <c r="N2515" s="311">
        <v>1744.6194074074076</v>
      </c>
      <c r="O2515" s="311">
        <v>1221.2335851851853</v>
      </c>
      <c r="P2515" s="68">
        <f t="shared" si="34"/>
        <v>22149.167496296301</v>
      </c>
      <c r="Q2515" s="68">
        <f>D2515*P2515</f>
        <v>862481760.36218917</v>
      </c>
      <c r="R2515" s="127">
        <f>F2515*P2515</f>
        <v>862481760.36218917</v>
      </c>
      <c r="S2515" s="26"/>
    </row>
    <row r="2516" spans="1:19">
      <c r="A2516" s="24"/>
      <c r="B2516" s="25" t="s">
        <v>514</v>
      </c>
      <c r="C2516" s="26" t="s">
        <v>117</v>
      </c>
      <c r="D2516" s="351">
        <v>124280.103</v>
      </c>
      <c r="E2516" s="25"/>
      <c r="F2516" s="351">
        <v>124280.103</v>
      </c>
      <c r="G2516" s="365" t="s">
        <v>2407</v>
      </c>
      <c r="H2516" s="369"/>
      <c r="I2516" s="365" t="s">
        <v>2330</v>
      </c>
      <c r="J2516" s="365" t="s">
        <v>2328</v>
      </c>
      <c r="K2516" s="311">
        <v>9030.3012000000017</v>
      </c>
      <c r="L2516" s="311">
        <v>0</v>
      </c>
      <c r="M2516" s="311">
        <v>4192.7185185185181</v>
      </c>
      <c r="N2516" s="311">
        <v>1199.505037037037</v>
      </c>
      <c r="O2516" s="311">
        <v>839.65352592592603</v>
      </c>
      <c r="P2516" s="68">
        <f t="shared" si="34"/>
        <v>15262.178281481483</v>
      </c>
      <c r="Q2516" s="68">
        <f>D2516*P2516</f>
        <v>1896785088.8268819</v>
      </c>
      <c r="R2516" s="127">
        <f>F2516*P2516</f>
        <v>1896785088.8268819</v>
      </c>
      <c r="S2516" s="26"/>
    </row>
    <row r="2517" spans="1:19">
      <c r="A2517" s="24"/>
      <c r="B2517" s="25" t="s">
        <v>515</v>
      </c>
      <c r="C2517" s="26" t="s">
        <v>117</v>
      </c>
      <c r="D2517" s="351">
        <v>221107.53599999999</v>
      </c>
      <c r="E2517" s="25"/>
      <c r="F2517" s="351">
        <v>221107.53599999999</v>
      </c>
      <c r="G2517" s="365" t="s">
        <v>2408</v>
      </c>
      <c r="H2517" s="369"/>
      <c r="I2517" s="365" t="s">
        <v>2330</v>
      </c>
      <c r="J2517" s="365" t="s">
        <v>2328</v>
      </c>
      <c r="K2517" s="311">
        <v>5903.6580000000013</v>
      </c>
      <c r="L2517" s="311">
        <v>0</v>
      </c>
      <c r="M2517" s="311">
        <v>3667.8962962962964</v>
      </c>
      <c r="N2517" s="311">
        <v>866.21259259259261</v>
      </c>
      <c r="O2517" s="311">
        <v>606.34881481481489</v>
      </c>
      <c r="P2517" s="68">
        <f t="shared" si="34"/>
        <v>11044.115703703705</v>
      </c>
      <c r="Q2517" s="68">
        <f>D2517*P2517</f>
        <v>2441937210.5448322</v>
      </c>
      <c r="R2517" s="127">
        <f>F2517*P2517</f>
        <v>2441937210.5448322</v>
      </c>
      <c r="S2517" s="26"/>
    </row>
    <row r="2518" spans="1:19">
      <c r="A2518" s="24">
        <v>3</v>
      </c>
      <c r="B2518" s="27" t="s">
        <v>145</v>
      </c>
      <c r="C2518" s="26"/>
      <c r="D2518" s="351"/>
      <c r="E2518" s="25"/>
      <c r="F2518" s="351"/>
      <c r="G2518" s="369"/>
      <c r="H2518" s="369"/>
      <c r="I2518" s="369"/>
      <c r="J2518" s="369"/>
      <c r="K2518" s="26"/>
      <c r="L2518" s="26"/>
      <c r="M2518" s="26"/>
      <c r="N2518" s="26"/>
      <c r="O2518" s="26"/>
      <c r="P2518" s="26"/>
      <c r="Q2518" s="66"/>
      <c r="R2518" s="66"/>
      <c r="S2518" s="26"/>
    </row>
    <row r="2519" spans="1:19">
      <c r="A2519" s="24"/>
      <c r="B2519" s="25" t="s">
        <v>586</v>
      </c>
      <c r="C2519" s="26" t="s">
        <v>117</v>
      </c>
      <c r="D2519" s="351">
        <v>0</v>
      </c>
      <c r="E2519" s="25"/>
      <c r="F2519" s="351">
        <v>0</v>
      </c>
      <c r="G2519" s="365"/>
      <c r="H2519" s="369"/>
      <c r="I2519" s="365"/>
      <c r="J2519" s="365"/>
      <c r="K2519" s="311"/>
      <c r="L2519" s="311"/>
      <c r="M2519" s="311"/>
      <c r="N2519" s="311"/>
      <c r="O2519" s="311"/>
      <c r="P2519" s="68"/>
      <c r="Q2519" s="68"/>
      <c r="R2519" s="127"/>
      <c r="S2519" s="26"/>
    </row>
    <row r="2520" spans="1:19">
      <c r="A2520" s="24"/>
      <c r="B2520" s="25" t="s">
        <v>155</v>
      </c>
      <c r="C2520" s="26" t="s">
        <v>117</v>
      </c>
      <c r="D2520" s="351">
        <v>4398.4380000000001</v>
      </c>
      <c r="E2520" s="25"/>
      <c r="F2520" s="351">
        <v>4398.4380000000001</v>
      </c>
      <c r="G2520" s="365" t="s">
        <v>2365</v>
      </c>
      <c r="H2520" s="369"/>
      <c r="I2520" s="365" t="s">
        <v>2330</v>
      </c>
      <c r="J2520" s="365" t="s">
        <v>2328</v>
      </c>
      <c r="K2520" s="311">
        <v>21240.219600000004</v>
      </c>
      <c r="L2520" s="311">
        <v>0</v>
      </c>
      <c r="M2520" s="311">
        <v>5414.7925925925929</v>
      </c>
      <c r="N2520" s="311">
        <v>2427.8291851851855</v>
      </c>
      <c r="O2520" s="311">
        <v>1699.48042962963</v>
      </c>
      <c r="P2520" s="68">
        <f t="shared" ref="P2520:P2522" si="35">SUM(K2520:O2520)</f>
        <v>30782.321807407414</v>
      </c>
      <c r="Q2520" s="68">
        <f>D2520*P2520</f>
        <v>135394133.96592945</v>
      </c>
      <c r="R2520" s="127">
        <f>F2520*P2520</f>
        <v>135394133.96592945</v>
      </c>
      <c r="S2520" s="26"/>
    </row>
    <row r="2521" spans="1:19">
      <c r="A2521" s="24"/>
      <c r="B2521" s="25" t="s">
        <v>585</v>
      </c>
      <c r="C2521" s="26" t="s">
        <v>117</v>
      </c>
      <c r="D2521" s="351">
        <v>19511.939000000002</v>
      </c>
      <c r="E2521" s="25"/>
      <c r="F2521" s="351">
        <v>19511.939000000002</v>
      </c>
      <c r="G2521" s="365" t="s">
        <v>2366</v>
      </c>
      <c r="H2521" s="369"/>
      <c r="I2521" s="365" t="s">
        <v>2330</v>
      </c>
      <c r="J2521" s="365" t="s">
        <v>2328</v>
      </c>
      <c r="K2521" s="311">
        <v>14466.610800000002</v>
      </c>
      <c r="L2521" s="311">
        <v>0</v>
      </c>
      <c r="M2521" s="311">
        <v>4716.7037037037044</v>
      </c>
      <c r="N2521" s="311">
        <v>1744.6194074074076</v>
      </c>
      <c r="O2521" s="311">
        <v>1221.2335851851853</v>
      </c>
      <c r="P2521" s="68">
        <f t="shared" si="35"/>
        <v>22149.167496296301</v>
      </c>
      <c r="Q2521" s="68">
        <f>D2521*P2521</f>
        <v>432173205.08851618</v>
      </c>
      <c r="R2521" s="127">
        <f>F2521*P2521</f>
        <v>432173205.08851618</v>
      </c>
      <c r="S2521" s="26"/>
    </row>
    <row r="2522" spans="1:19">
      <c r="A2522" s="24"/>
      <c r="B2522" s="25" t="s">
        <v>514</v>
      </c>
      <c r="C2522" s="26" t="s">
        <v>117</v>
      </c>
      <c r="D2522" s="351">
        <v>61993.275000000001</v>
      </c>
      <c r="E2522" s="25"/>
      <c r="F2522" s="351">
        <v>61993.275000000001</v>
      </c>
      <c r="G2522" s="365" t="s">
        <v>2407</v>
      </c>
      <c r="H2522" s="369"/>
      <c r="I2522" s="365" t="s">
        <v>2330</v>
      </c>
      <c r="J2522" s="365" t="s">
        <v>2328</v>
      </c>
      <c r="K2522" s="311">
        <v>9030.3012000000017</v>
      </c>
      <c r="L2522" s="311">
        <v>0</v>
      </c>
      <c r="M2522" s="311">
        <v>4192.7185185185181</v>
      </c>
      <c r="N2522" s="311">
        <v>1199.505037037037</v>
      </c>
      <c r="O2522" s="311">
        <v>839.65352592592603</v>
      </c>
      <c r="P2522" s="68">
        <f t="shared" si="35"/>
        <v>15262.178281481483</v>
      </c>
      <c r="Q2522" s="68">
        <f>D2522*P2522</f>
        <v>946152415.30290902</v>
      </c>
      <c r="R2522" s="127">
        <f>F2522*P2522</f>
        <v>946152415.30290902</v>
      </c>
      <c r="S2522" s="26"/>
    </row>
    <row r="2523" spans="1:19">
      <c r="A2523" s="24">
        <v>4</v>
      </c>
      <c r="B2523" s="27" t="s">
        <v>587</v>
      </c>
      <c r="C2523" s="26"/>
      <c r="D2523" s="351"/>
      <c r="E2523" s="25"/>
      <c r="F2523" s="351"/>
      <c r="G2523" s="369"/>
      <c r="H2523" s="369"/>
      <c r="I2523" s="369"/>
      <c r="J2523" s="369"/>
      <c r="K2523" s="26"/>
      <c r="L2523" s="26"/>
      <c r="M2523" s="26"/>
      <c r="N2523" s="26"/>
      <c r="O2523" s="26"/>
      <c r="P2523" s="26"/>
      <c r="Q2523" s="66"/>
      <c r="R2523" s="66"/>
      <c r="S2523" s="26"/>
    </row>
    <row r="2524" spans="1:19">
      <c r="A2524" s="24"/>
      <c r="B2524" s="25" t="s">
        <v>588</v>
      </c>
      <c r="C2524" s="26" t="s">
        <v>117</v>
      </c>
      <c r="D2524" s="351">
        <v>57939.6</v>
      </c>
      <c r="E2524" s="25"/>
      <c r="F2524" s="351">
        <v>57939.6</v>
      </c>
      <c r="G2524" s="365" t="s">
        <v>2412</v>
      </c>
      <c r="H2524" s="365" t="s">
        <v>2417</v>
      </c>
      <c r="I2524" s="365" t="s">
        <v>2368</v>
      </c>
      <c r="J2524" s="365" t="s">
        <v>2328</v>
      </c>
      <c r="K2524" s="311">
        <v>5976.6164383561654</v>
      </c>
      <c r="L2524" s="311">
        <v>0</v>
      </c>
      <c r="M2524" s="311">
        <v>11820.930000000002</v>
      </c>
      <c r="N2524" s="311">
        <v>1575.004109589041</v>
      </c>
      <c r="O2524" s="311">
        <v>1102.5028767123288</v>
      </c>
      <c r="P2524" s="68">
        <f t="shared" ref="P2524:P2529" si="36">SUM(K2524:O2524)</f>
        <v>20475.053424657537</v>
      </c>
      <c r="Q2524" s="68">
        <f t="shared" ref="Q2524:Q2529" si="37">D2524*P2524</f>
        <v>1186316405.4032879</v>
      </c>
      <c r="R2524" s="127">
        <f t="shared" ref="R2524:R2529" si="38">F2524*P2524</f>
        <v>1186316405.4032879</v>
      </c>
      <c r="S2524" s="26"/>
    </row>
    <row r="2525" spans="1:19" ht="30">
      <c r="A2525" s="24"/>
      <c r="B2525" s="25" t="s">
        <v>589</v>
      </c>
      <c r="C2525" s="26" t="s">
        <v>117</v>
      </c>
      <c r="D2525" s="351">
        <v>38626.400000000001</v>
      </c>
      <c r="E2525" s="25"/>
      <c r="F2525" s="351">
        <v>38626.400000000001</v>
      </c>
      <c r="G2525" s="365" t="s">
        <v>2410</v>
      </c>
      <c r="H2525" s="365" t="s">
        <v>2418</v>
      </c>
      <c r="I2525" s="365" t="s">
        <v>2368</v>
      </c>
      <c r="J2525" s="365" t="s">
        <v>2328</v>
      </c>
      <c r="K2525" s="311">
        <v>7184.0136986301386</v>
      </c>
      <c r="L2525" s="311">
        <v>0</v>
      </c>
      <c r="M2525" s="311">
        <v>40581.528571428578</v>
      </c>
      <c r="N2525" s="311">
        <v>4227.0391389432489</v>
      </c>
      <c r="O2525" s="311">
        <v>2958.9273972602746</v>
      </c>
      <c r="P2525" s="68">
        <f t="shared" si="36"/>
        <v>54951.508806262238</v>
      </c>
      <c r="Q2525" s="68">
        <f t="shared" si="37"/>
        <v>2122578959.7542078</v>
      </c>
      <c r="R2525" s="127">
        <f t="shared" si="38"/>
        <v>2122578959.7542078</v>
      </c>
      <c r="S2525" s="26"/>
    </row>
    <row r="2526" spans="1:19">
      <c r="A2526" s="24"/>
      <c r="B2526" s="25" t="s">
        <v>590</v>
      </c>
      <c r="C2526" s="26" t="s">
        <v>117</v>
      </c>
      <c r="D2526" s="351">
        <v>10380.6</v>
      </c>
      <c r="E2526" s="25"/>
      <c r="F2526" s="351">
        <v>10380.6</v>
      </c>
      <c r="G2526" s="365" t="s">
        <v>2412</v>
      </c>
      <c r="H2526" s="365" t="s">
        <v>2415</v>
      </c>
      <c r="I2526" s="365" t="s">
        <v>2368</v>
      </c>
      <c r="J2526" s="365" t="s">
        <v>2328</v>
      </c>
      <c r="K2526" s="311">
        <v>8673.1369863013715</v>
      </c>
      <c r="L2526" s="311">
        <v>0</v>
      </c>
      <c r="M2526" s="311">
        <v>12674.080000000002</v>
      </c>
      <c r="N2526" s="311">
        <v>1889.1342465753428</v>
      </c>
      <c r="O2526" s="311">
        <v>1322.39397260274</v>
      </c>
      <c r="P2526" s="68">
        <f t="shared" si="36"/>
        <v>24558.745205479456</v>
      </c>
      <c r="Q2526" s="68">
        <f t="shared" si="37"/>
        <v>254934510.48000005</v>
      </c>
      <c r="R2526" s="127">
        <f t="shared" si="38"/>
        <v>254934510.48000005</v>
      </c>
      <c r="S2526" s="26"/>
    </row>
    <row r="2527" spans="1:19" ht="30">
      <c r="A2527" s="24"/>
      <c r="B2527" s="25" t="s">
        <v>591</v>
      </c>
      <c r="C2527" s="26" t="s">
        <v>117</v>
      </c>
      <c r="D2527" s="351">
        <v>6920.4</v>
      </c>
      <c r="E2527" s="25"/>
      <c r="F2527" s="351">
        <v>6920.4</v>
      </c>
      <c r="G2527" s="365" t="s">
        <v>2410</v>
      </c>
      <c r="H2527" s="365" t="s">
        <v>2416</v>
      </c>
      <c r="I2527" s="365" t="s">
        <v>2368</v>
      </c>
      <c r="J2527" s="365" t="s">
        <v>2328</v>
      </c>
      <c r="K2527" s="311">
        <v>10524.479452054797</v>
      </c>
      <c r="L2527" s="311">
        <v>0</v>
      </c>
      <c r="M2527" s="311">
        <v>41190.114285714291</v>
      </c>
      <c r="N2527" s="311">
        <v>4576.5127201565556</v>
      </c>
      <c r="O2527" s="311">
        <v>3203.5589041095891</v>
      </c>
      <c r="P2527" s="68">
        <f t="shared" si="36"/>
        <v>59494.66536203523</v>
      </c>
      <c r="Q2527" s="68">
        <f t="shared" si="37"/>
        <v>411726882.17142856</v>
      </c>
      <c r="R2527" s="127">
        <f t="shared" si="38"/>
        <v>411726882.17142856</v>
      </c>
      <c r="S2527" s="26"/>
    </row>
    <row r="2528" spans="1:19">
      <c r="A2528" s="24"/>
      <c r="B2528" s="25" t="s">
        <v>592</v>
      </c>
      <c r="C2528" s="26" t="s">
        <v>117</v>
      </c>
      <c r="D2528" s="351">
        <v>2476.1999999999998</v>
      </c>
      <c r="E2528" s="25"/>
      <c r="F2528" s="351">
        <v>2476.1999999999998</v>
      </c>
      <c r="G2528" s="365" t="s">
        <v>2412</v>
      </c>
      <c r="H2528" s="365" t="s">
        <v>2413</v>
      </c>
      <c r="I2528" s="365" t="s">
        <v>2368</v>
      </c>
      <c r="J2528" s="365" t="s">
        <v>2328</v>
      </c>
      <c r="K2528" s="311">
        <v>17366.397260273974</v>
      </c>
      <c r="L2528" s="311">
        <v>0</v>
      </c>
      <c r="M2528" s="311">
        <v>14696.78</v>
      </c>
      <c r="N2528" s="311">
        <v>2837.4493150684934</v>
      </c>
      <c r="O2528" s="311">
        <v>1986.2145205479453</v>
      </c>
      <c r="P2528" s="68">
        <f t="shared" si="36"/>
        <v>36886.841095890413</v>
      </c>
      <c r="Q2528" s="68">
        <f t="shared" si="37"/>
        <v>91339195.921643838</v>
      </c>
      <c r="R2528" s="127">
        <f t="shared" si="38"/>
        <v>91339195.921643838</v>
      </c>
      <c r="S2528" s="26"/>
    </row>
    <row r="2529" spans="1:19" ht="30">
      <c r="A2529" s="24"/>
      <c r="B2529" s="25" t="s">
        <v>593</v>
      </c>
      <c r="C2529" s="26" t="s">
        <v>117</v>
      </c>
      <c r="D2529" s="351">
        <v>1650.8</v>
      </c>
      <c r="E2529" s="25"/>
      <c r="F2529" s="351">
        <v>1650.8</v>
      </c>
      <c r="G2529" s="365" t="s">
        <v>2410</v>
      </c>
      <c r="H2529" s="365" t="s">
        <v>2414</v>
      </c>
      <c r="I2529" s="365" t="s">
        <v>2368</v>
      </c>
      <c r="J2529" s="365" t="s">
        <v>2328</v>
      </c>
      <c r="K2529" s="311">
        <v>20143.410958904115</v>
      </c>
      <c r="L2529" s="311">
        <v>0</v>
      </c>
      <c r="M2529" s="311">
        <v>42635.707142857151</v>
      </c>
      <c r="N2529" s="311">
        <v>5555.6741682974571</v>
      </c>
      <c r="O2529" s="311">
        <v>3888.9719178082196</v>
      </c>
      <c r="P2529" s="68">
        <f t="shared" si="36"/>
        <v>72223.764187866938</v>
      </c>
      <c r="Q2529" s="68">
        <f t="shared" si="37"/>
        <v>119226989.92133074</v>
      </c>
      <c r="R2529" s="127">
        <f t="shared" si="38"/>
        <v>119226989.92133074</v>
      </c>
      <c r="S2529" s="26"/>
    </row>
    <row r="2530" spans="1:19">
      <c r="A2530" s="24">
        <v>5</v>
      </c>
      <c r="B2530" s="27" t="s">
        <v>529</v>
      </c>
      <c r="C2530" s="26"/>
      <c r="D2530" s="351"/>
      <c r="E2530" s="25"/>
      <c r="F2530" s="351"/>
      <c r="G2530" s="296"/>
      <c r="H2530" s="296"/>
      <c r="I2530" s="296"/>
      <c r="J2530" s="296"/>
      <c r="K2530" s="26"/>
      <c r="L2530" s="26"/>
      <c r="M2530" s="26"/>
      <c r="N2530" s="26"/>
      <c r="O2530" s="26"/>
      <c r="P2530" s="26"/>
      <c r="Q2530" s="66"/>
      <c r="R2530" s="66"/>
      <c r="S2530" s="26"/>
    </row>
    <row r="2531" spans="1:19">
      <c r="A2531" s="24"/>
      <c r="B2531" s="25" t="s">
        <v>594</v>
      </c>
      <c r="C2531" s="26" t="s">
        <v>117</v>
      </c>
      <c r="D2531" s="351">
        <v>6083</v>
      </c>
      <c r="E2531" s="25"/>
      <c r="F2531" s="351">
        <v>6083</v>
      </c>
      <c r="G2531" s="369"/>
      <c r="H2531" s="365" t="s">
        <v>2421</v>
      </c>
      <c r="I2531" s="365" t="s">
        <v>2368</v>
      </c>
      <c r="J2531" s="365" t="s">
        <v>2328</v>
      </c>
      <c r="K2531" s="311">
        <v>2350.4</v>
      </c>
      <c r="L2531" s="311">
        <v>0</v>
      </c>
      <c r="M2531" s="311">
        <v>5911.0300000000007</v>
      </c>
      <c r="N2531" s="311">
        <v>731.1</v>
      </c>
      <c r="O2531" s="311">
        <v>511.77000000000004</v>
      </c>
      <c r="P2531" s="68">
        <f t="shared" ref="P2531:P2532" si="39">SUM(K2531:O2531)</f>
        <v>9504.3000000000011</v>
      </c>
      <c r="Q2531" s="68">
        <f>D2531*P2531</f>
        <v>57814656.900000006</v>
      </c>
      <c r="R2531" s="127">
        <f>F2531*P2531</f>
        <v>57814656.900000006</v>
      </c>
      <c r="S2531" s="26"/>
    </row>
    <row r="2532" spans="1:19" ht="30">
      <c r="A2532" s="24"/>
      <c r="B2532" s="25" t="s">
        <v>595</v>
      </c>
      <c r="C2532" s="26" t="s">
        <v>78</v>
      </c>
      <c r="D2532" s="351">
        <v>503</v>
      </c>
      <c r="E2532" s="25"/>
      <c r="F2532" s="351">
        <v>503</v>
      </c>
      <c r="G2532" s="296"/>
      <c r="H2532" s="365"/>
      <c r="I2532" s="365" t="s">
        <v>2368</v>
      </c>
      <c r="J2532" s="365" t="s">
        <v>2328</v>
      </c>
      <c r="K2532" s="311">
        <v>621311.7221013644</v>
      </c>
      <c r="L2532" s="311">
        <v>0</v>
      </c>
      <c r="M2532" s="311">
        <v>558999.3877271798</v>
      </c>
      <c r="N2532" s="311">
        <v>104452.31060429596</v>
      </c>
      <c r="O2532" s="311">
        <v>73116.617423007177</v>
      </c>
      <c r="P2532" s="68">
        <f t="shared" si="39"/>
        <v>1357880.0378558475</v>
      </c>
      <c r="Q2532" s="68">
        <f>D2532*P2532</f>
        <v>683013659.04149127</v>
      </c>
      <c r="R2532" s="127">
        <f>F2532*P2532</f>
        <v>683013659.04149127</v>
      </c>
      <c r="S2532" s="26"/>
    </row>
    <row r="2533" spans="1:19">
      <c r="A2533" s="181" t="s">
        <v>518</v>
      </c>
      <c r="B2533" s="182" t="s">
        <v>596</v>
      </c>
      <c r="C2533" s="181"/>
      <c r="D2533" s="355"/>
      <c r="E2533" s="319"/>
      <c r="F2533" s="355"/>
      <c r="G2533" s="342"/>
      <c r="H2533" s="342"/>
      <c r="I2533" s="342"/>
      <c r="J2533" s="342"/>
      <c r="K2533" s="342"/>
      <c r="L2533" s="342"/>
      <c r="M2533" s="342"/>
      <c r="N2533" s="342"/>
      <c r="O2533" s="342"/>
      <c r="P2533" s="342"/>
      <c r="Q2533" s="208"/>
      <c r="R2533" s="208"/>
      <c r="S2533" s="342"/>
    </row>
    <row r="2534" spans="1:19">
      <c r="A2534" s="24"/>
      <c r="B2534" s="27" t="s">
        <v>597</v>
      </c>
      <c r="C2534" s="26"/>
      <c r="D2534" s="351"/>
      <c r="E2534" s="25"/>
      <c r="F2534" s="351"/>
      <c r="G2534" s="26"/>
      <c r="H2534" s="26"/>
      <c r="I2534" s="26"/>
      <c r="J2534" s="26"/>
      <c r="K2534" s="26"/>
      <c r="L2534" s="26"/>
      <c r="M2534" s="26"/>
      <c r="N2534" s="26"/>
      <c r="O2534" s="26"/>
      <c r="P2534" s="26"/>
      <c r="Q2534" s="66"/>
      <c r="R2534" s="66"/>
      <c r="S2534" s="26"/>
    </row>
    <row r="2535" spans="1:19" ht="135">
      <c r="A2535" s="24">
        <v>1</v>
      </c>
      <c r="B2535" s="25" t="s">
        <v>598</v>
      </c>
      <c r="C2535" s="26" t="s">
        <v>17</v>
      </c>
      <c r="D2535" s="351">
        <v>6</v>
      </c>
      <c r="E2535" s="25"/>
      <c r="F2535" s="351">
        <v>6</v>
      </c>
      <c r="G2535" s="371" t="s">
        <v>2464</v>
      </c>
      <c r="H2535" s="371" t="s">
        <v>2465</v>
      </c>
      <c r="I2535" s="369" t="s">
        <v>2424</v>
      </c>
      <c r="J2535" s="358" t="s">
        <v>2328</v>
      </c>
      <c r="K2535" s="311">
        <v>660951</v>
      </c>
      <c r="L2535" s="311">
        <v>0</v>
      </c>
      <c r="M2535" s="311">
        <v>62112.623076923082</v>
      </c>
      <c r="N2535" s="311">
        <v>69666.692307692312</v>
      </c>
      <c r="O2535" s="311">
        <v>48766.68461538462</v>
      </c>
      <c r="P2535" s="68">
        <f t="shared" ref="P2535:P2539" si="40">SUM(K2535:O2535)</f>
        <v>841497.00000000012</v>
      </c>
      <c r="Q2535" s="68">
        <f>D2535*P2535</f>
        <v>5048982.0000000009</v>
      </c>
      <c r="R2535" s="127">
        <f>F2535*P2535</f>
        <v>5048982.0000000009</v>
      </c>
      <c r="S2535" s="26"/>
    </row>
    <row r="2536" spans="1:19" ht="135">
      <c r="A2536" s="24">
        <v>2</v>
      </c>
      <c r="B2536" s="25" t="s">
        <v>599</v>
      </c>
      <c r="C2536" s="26" t="s">
        <v>17</v>
      </c>
      <c r="D2536" s="351">
        <v>400</v>
      </c>
      <c r="E2536" s="25"/>
      <c r="F2536" s="351">
        <v>400</v>
      </c>
      <c r="G2536" s="371" t="s">
        <v>2466</v>
      </c>
      <c r="H2536" s="371" t="s">
        <v>2467</v>
      </c>
      <c r="I2536" s="369" t="s">
        <v>2424</v>
      </c>
      <c r="J2536" s="358" t="s">
        <v>2328</v>
      </c>
      <c r="K2536" s="311">
        <v>534055</v>
      </c>
      <c r="L2536" s="311">
        <v>0</v>
      </c>
      <c r="M2536" s="311">
        <v>52991.784615384626</v>
      </c>
      <c r="N2536" s="311">
        <v>56539.538461538468</v>
      </c>
      <c r="O2536" s="311">
        <v>39577.676923076928</v>
      </c>
      <c r="P2536" s="68">
        <f t="shared" si="40"/>
        <v>683164.00000000012</v>
      </c>
      <c r="Q2536" s="68">
        <f>D2536*P2536</f>
        <v>273265600.00000006</v>
      </c>
      <c r="R2536" s="127">
        <f>F2536*P2536</f>
        <v>273265600.00000006</v>
      </c>
      <c r="S2536" s="26"/>
    </row>
    <row r="2537" spans="1:19" ht="135">
      <c r="A2537" s="24">
        <v>3</v>
      </c>
      <c r="B2537" s="25" t="s">
        <v>600</v>
      </c>
      <c r="C2537" s="26" t="s">
        <v>17</v>
      </c>
      <c r="D2537" s="351">
        <v>2</v>
      </c>
      <c r="E2537" s="25"/>
      <c r="F2537" s="351">
        <v>2</v>
      </c>
      <c r="G2537" s="371" t="s">
        <v>2468</v>
      </c>
      <c r="H2537" s="371" t="s">
        <v>2469</v>
      </c>
      <c r="I2537" s="369" t="s">
        <v>2424</v>
      </c>
      <c r="J2537" s="358" t="s">
        <v>2328</v>
      </c>
      <c r="K2537" s="311">
        <v>292211</v>
      </c>
      <c r="L2537" s="311">
        <v>0</v>
      </c>
      <c r="M2537" s="311">
        <v>57766.469230769231</v>
      </c>
      <c r="N2537" s="311">
        <v>33482.076923076929</v>
      </c>
      <c r="O2537" s="311">
        <v>23437.45384615385</v>
      </c>
      <c r="P2537" s="68">
        <f t="shared" si="40"/>
        <v>406897</v>
      </c>
      <c r="Q2537" s="68">
        <f>D2537*P2537</f>
        <v>813794</v>
      </c>
      <c r="R2537" s="127">
        <f>F2537*P2537</f>
        <v>813794</v>
      </c>
      <c r="S2537" s="26"/>
    </row>
    <row r="2538" spans="1:19" ht="135">
      <c r="A2538" s="24">
        <v>4</v>
      </c>
      <c r="B2538" s="25" t="s">
        <v>601</v>
      </c>
      <c r="C2538" s="26" t="s">
        <v>17</v>
      </c>
      <c r="D2538" s="351">
        <v>188</v>
      </c>
      <c r="E2538" s="25"/>
      <c r="F2538" s="351">
        <v>188</v>
      </c>
      <c r="G2538" s="371" t="s">
        <v>2470</v>
      </c>
      <c r="H2538" s="371" t="s">
        <v>2471</v>
      </c>
      <c r="I2538" s="369" t="s">
        <v>2424</v>
      </c>
      <c r="J2538" s="358" t="s">
        <v>2328</v>
      </c>
      <c r="K2538" s="311">
        <v>177263</v>
      </c>
      <c r="L2538" s="311">
        <v>0</v>
      </c>
      <c r="M2538" s="311">
        <v>48645.630769230767</v>
      </c>
      <c r="N2538" s="311">
        <v>21514.923076923078</v>
      </c>
      <c r="O2538" s="311">
        <v>15060.446153846155</v>
      </c>
      <c r="P2538" s="68">
        <f t="shared" si="40"/>
        <v>262484</v>
      </c>
      <c r="Q2538" s="68">
        <f>D2538*P2538</f>
        <v>49346992</v>
      </c>
      <c r="R2538" s="127">
        <f>F2538*P2538</f>
        <v>49346992</v>
      </c>
      <c r="S2538" s="26"/>
    </row>
    <row r="2539" spans="1:19" ht="135">
      <c r="A2539" s="24">
        <v>5</v>
      </c>
      <c r="B2539" s="25" t="s">
        <v>602</v>
      </c>
      <c r="C2539" s="26" t="s">
        <v>17</v>
      </c>
      <c r="D2539" s="351">
        <v>2</v>
      </c>
      <c r="E2539" s="25"/>
      <c r="F2539" s="351">
        <v>2</v>
      </c>
      <c r="G2539" s="371" t="s">
        <v>2472</v>
      </c>
      <c r="H2539" s="371" t="s">
        <v>2473</v>
      </c>
      <c r="I2539" s="369" t="s">
        <v>2424</v>
      </c>
      <c r="J2539" s="358" t="s">
        <v>2328</v>
      </c>
      <c r="K2539" s="311">
        <v>130501</v>
      </c>
      <c r="L2539" s="311">
        <v>0</v>
      </c>
      <c r="M2539" s="311">
        <v>48645.630769230767</v>
      </c>
      <c r="N2539" s="311">
        <v>16974.923076923074</v>
      </c>
      <c r="O2539" s="311">
        <v>11882.446153846155</v>
      </c>
      <c r="P2539" s="68">
        <f t="shared" si="40"/>
        <v>208004</v>
      </c>
      <c r="Q2539" s="68">
        <f>D2539*P2539</f>
        <v>416008</v>
      </c>
      <c r="R2539" s="127">
        <f>F2539*P2539</f>
        <v>416008</v>
      </c>
      <c r="S2539" s="26"/>
    </row>
    <row r="2540" spans="1:19" ht="30">
      <c r="A2540" s="24">
        <v>6</v>
      </c>
      <c r="B2540" s="25" t="s">
        <v>603</v>
      </c>
      <c r="C2540" s="26" t="s">
        <v>17</v>
      </c>
      <c r="D2540" s="351">
        <v>0</v>
      </c>
      <c r="E2540" s="25"/>
      <c r="F2540" s="351">
        <v>0</v>
      </c>
      <c r="G2540" s="371"/>
      <c r="H2540" s="371"/>
      <c r="I2540" s="371"/>
      <c r="J2540" s="358"/>
      <c r="K2540" s="311"/>
      <c r="L2540" s="311"/>
      <c r="M2540" s="311"/>
      <c r="N2540" s="311"/>
      <c r="O2540" s="311"/>
      <c r="P2540" s="68"/>
      <c r="Q2540" s="68"/>
      <c r="R2540" s="127"/>
      <c r="S2540" s="26"/>
    </row>
    <row r="2541" spans="1:19" ht="135">
      <c r="A2541" s="24">
        <v>7</v>
      </c>
      <c r="B2541" s="25" t="s">
        <v>604</v>
      </c>
      <c r="C2541" s="26" t="s">
        <v>17</v>
      </c>
      <c r="D2541" s="351">
        <v>60</v>
      </c>
      <c r="E2541" s="25"/>
      <c r="F2541" s="351">
        <v>60</v>
      </c>
      <c r="G2541" s="371" t="s">
        <v>2466</v>
      </c>
      <c r="H2541" s="371" t="s">
        <v>2467</v>
      </c>
      <c r="I2541" s="369" t="s">
        <v>2424</v>
      </c>
      <c r="J2541" s="358" t="s">
        <v>2328</v>
      </c>
      <c r="K2541" s="311">
        <v>534055</v>
      </c>
      <c r="L2541" s="311">
        <v>0</v>
      </c>
      <c r="M2541" s="311">
        <v>48645.630769230767</v>
      </c>
      <c r="N2541" s="311">
        <v>56154.923076923078</v>
      </c>
      <c r="O2541" s="311">
        <v>39308.446153846155</v>
      </c>
      <c r="P2541" s="68">
        <f t="shared" ref="P2541:P2547" si="41">SUM(K2541:O2541)</f>
        <v>678164</v>
      </c>
      <c r="Q2541" s="68">
        <f t="shared" ref="Q2541:Q2550" si="42">D2541*P2541</f>
        <v>40689840</v>
      </c>
      <c r="R2541" s="127">
        <f t="shared" ref="R2541:R2550" si="43">F2541*P2541</f>
        <v>40689840</v>
      </c>
      <c r="S2541" s="26"/>
    </row>
    <row r="2542" spans="1:19" ht="135">
      <c r="A2542" s="24">
        <v>8</v>
      </c>
      <c r="B2542" s="25" t="s">
        <v>605</v>
      </c>
      <c r="C2542" s="26" t="s">
        <v>17</v>
      </c>
      <c r="D2542" s="351">
        <v>33</v>
      </c>
      <c r="E2542" s="25"/>
      <c r="F2542" s="351">
        <v>33</v>
      </c>
      <c r="G2542" s="371" t="s">
        <v>2474</v>
      </c>
      <c r="H2542" s="371" t="s">
        <v>2475</v>
      </c>
      <c r="I2542" s="369" t="s">
        <v>2424</v>
      </c>
      <c r="J2542" s="358" t="s">
        <v>2328</v>
      </c>
      <c r="K2542" s="311">
        <v>370903</v>
      </c>
      <c r="L2542" s="311">
        <v>0</v>
      </c>
      <c r="M2542" s="311">
        <v>44299.476923076923</v>
      </c>
      <c r="N2542" s="311">
        <v>39930.307692307695</v>
      </c>
      <c r="O2542" s="311">
        <v>27951.215384615389</v>
      </c>
      <c r="P2542" s="68">
        <f t="shared" si="41"/>
        <v>483084</v>
      </c>
      <c r="Q2542" s="68">
        <f t="shared" si="42"/>
        <v>15941772</v>
      </c>
      <c r="R2542" s="127">
        <f t="shared" si="43"/>
        <v>15941772</v>
      </c>
      <c r="S2542" s="26"/>
    </row>
    <row r="2543" spans="1:19" ht="150">
      <c r="A2543" s="24">
        <v>9</v>
      </c>
      <c r="B2543" s="25" t="s">
        <v>606</v>
      </c>
      <c r="C2543" s="26" t="s">
        <v>17</v>
      </c>
      <c r="D2543" s="351">
        <v>92</v>
      </c>
      <c r="E2543" s="25"/>
      <c r="F2543" s="351">
        <v>92</v>
      </c>
      <c r="G2543" s="371" t="s">
        <v>2476</v>
      </c>
      <c r="H2543" s="371" t="s">
        <v>2477</v>
      </c>
      <c r="I2543" s="369" t="s">
        <v>2424</v>
      </c>
      <c r="J2543" s="358" t="s">
        <v>2328</v>
      </c>
      <c r="K2543" s="311">
        <v>653329</v>
      </c>
      <c r="L2543" s="311">
        <v>0</v>
      </c>
      <c r="M2543" s="311">
        <v>57766.469230769231</v>
      </c>
      <c r="N2543" s="311">
        <v>68542.076923076922</v>
      </c>
      <c r="O2543" s="311">
        <v>47979.453846153854</v>
      </c>
      <c r="P2543" s="68">
        <f t="shared" si="41"/>
        <v>827616.99999999988</v>
      </c>
      <c r="Q2543" s="68">
        <f t="shared" si="42"/>
        <v>76140763.999999985</v>
      </c>
      <c r="R2543" s="127">
        <f t="shared" si="43"/>
        <v>76140763.999999985</v>
      </c>
      <c r="S2543" s="26"/>
    </row>
    <row r="2544" spans="1:19" ht="150">
      <c r="A2544" s="24">
        <v>10</v>
      </c>
      <c r="B2544" s="25" t="s">
        <v>607</v>
      </c>
      <c r="C2544" s="26" t="s">
        <v>17</v>
      </c>
      <c r="D2544" s="351">
        <v>75</v>
      </c>
      <c r="E2544" s="25"/>
      <c r="F2544" s="351">
        <v>75</v>
      </c>
      <c r="G2544" s="371" t="s">
        <v>3354</v>
      </c>
      <c r="H2544" s="371" t="s">
        <v>2478</v>
      </c>
      <c r="I2544" s="369" t="s">
        <v>2424</v>
      </c>
      <c r="J2544" s="358" t="s">
        <v>2328</v>
      </c>
      <c r="K2544" s="311">
        <v>333308</v>
      </c>
      <c r="L2544" s="311">
        <v>0</v>
      </c>
      <c r="M2544" s="311">
        <v>37641.241666666676</v>
      </c>
      <c r="N2544" s="311">
        <v>35691.083333333336</v>
      </c>
      <c r="O2544" s="311">
        <v>24983.758333333335</v>
      </c>
      <c r="P2544" s="68">
        <f t="shared" si="41"/>
        <v>431624.08333333337</v>
      </c>
      <c r="Q2544" s="68">
        <f t="shared" si="42"/>
        <v>32371806.250000004</v>
      </c>
      <c r="R2544" s="127">
        <f t="shared" si="43"/>
        <v>32371806.250000004</v>
      </c>
      <c r="S2544" s="26"/>
    </row>
    <row r="2545" spans="1:19" ht="165">
      <c r="A2545" s="24">
        <v>11</v>
      </c>
      <c r="B2545" s="25" t="s">
        <v>608</v>
      </c>
      <c r="C2545" s="26" t="s">
        <v>17</v>
      </c>
      <c r="D2545" s="351">
        <v>2082</v>
      </c>
      <c r="E2545" s="25"/>
      <c r="F2545" s="351">
        <v>2082</v>
      </c>
      <c r="G2545" s="371" t="s">
        <v>2422</v>
      </c>
      <c r="H2545" s="371" t="s">
        <v>2423</v>
      </c>
      <c r="I2545" s="369" t="s">
        <v>2424</v>
      </c>
      <c r="J2545" s="358" t="s">
        <v>2328</v>
      </c>
      <c r="K2545" s="311">
        <v>108047</v>
      </c>
      <c r="L2545" s="311">
        <v>0</v>
      </c>
      <c r="M2545" s="311">
        <v>37641.241666666676</v>
      </c>
      <c r="N2545" s="311">
        <v>13821.083333333336</v>
      </c>
      <c r="O2545" s="311">
        <v>9674.758333333335</v>
      </c>
      <c r="P2545" s="68">
        <f t="shared" si="41"/>
        <v>169184.08333333334</v>
      </c>
      <c r="Q2545" s="68">
        <f t="shared" si="42"/>
        <v>352241261.5</v>
      </c>
      <c r="R2545" s="127">
        <f t="shared" si="43"/>
        <v>352241261.5</v>
      </c>
      <c r="S2545" s="26"/>
    </row>
    <row r="2546" spans="1:19" ht="150">
      <c r="A2546" s="24">
        <v>12</v>
      </c>
      <c r="B2546" s="25" t="s">
        <v>609</v>
      </c>
      <c r="C2546" s="26" t="s">
        <v>17</v>
      </c>
      <c r="D2546" s="351">
        <v>106</v>
      </c>
      <c r="E2546" s="25"/>
      <c r="F2546" s="351">
        <v>106</v>
      </c>
      <c r="G2546" s="371" t="s">
        <v>3352</v>
      </c>
      <c r="H2546" s="371" t="s">
        <v>3353</v>
      </c>
      <c r="I2546" s="369" t="s">
        <v>2424</v>
      </c>
      <c r="J2546" s="358" t="s">
        <v>2328</v>
      </c>
      <c r="K2546" s="311">
        <v>123600</v>
      </c>
      <c r="L2546" s="311">
        <v>0</v>
      </c>
      <c r="M2546" s="311">
        <v>37641.241666666676</v>
      </c>
      <c r="N2546" s="311">
        <v>15331.083333333336</v>
      </c>
      <c r="O2546" s="311">
        <v>10731.758333333335</v>
      </c>
      <c r="P2546" s="68">
        <f t="shared" si="41"/>
        <v>187304.08333333334</v>
      </c>
      <c r="Q2546" s="68">
        <f t="shared" si="42"/>
        <v>19854232.833333336</v>
      </c>
      <c r="R2546" s="127">
        <f t="shared" si="43"/>
        <v>19854232.833333336</v>
      </c>
      <c r="S2546" s="26"/>
    </row>
    <row r="2547" spans="1:19" ht="150">
      <c r="A2547" s="24">
        <v>13</v>
      </c>
      <c r="B2547" s="25" t="s">
        <v>610</v>
      </c>
      <c r="C2547" s="26" t="s">
        <v>17</v>
      </c>
      <c r="D2547" s="351">
        <v>496</v>
      </c>
      <c r="E2547" s="25"/>
      <c r="F2547" s="351">
        <v>496</v>
      </c>
      <c r="G2547" s="371" t="s">
        <v>2425</v>
      </c>
      <c r="H2547" s="371" t="s">
        <v>2426</v>
      </c>
      <c r="I2547" s="369" t="s">
        <v>2424</v>
      </c>
      <c r="J2547" s="358" t="s">
        <v>2328</v>
      </c>
      <c r="K2547" s="311">
        <v>171804</v>
      </c>
      <c r="L2547" s="311">
        <v>0</v>
      </c>
      <c r="M2547" s="311">
        <v>42332.407692307694</v>
      </c>
      <c r="N2547" s="311">
        <v>20426.23076923077</v>
      </c>
      <c r="O2547" s="311">
        <v>14298.361538461539</v>
      </c>
      <c r="P2547" s="68">
        <f t="shared" si="41"/>
        <v>248861</v>
      </c>
      <c r="Q2547" s="68">
        <f t="shared" si="42"/>
        <v>123435056</v>
      </c>
      <c r="R2547" s="127">
        <f t="shared" si="43"/>
        <v>123435056</v>
      </c>
      <c r="S2547" s="26"/>
    </row>
    <row r="2548" spans="1:19" ht="45">
      <c r="A2548" s="24">
        <v>14</v>
      </c>
      <c r="B2548" s="25" t="s">
        <v>611</v>
      </c>
      <c r="C2548" s="26" t="s">
        <v>17</v>
      </c>
      <c r="D2548" s="351">
        <v>18</v>
      </c>
      <c r="E2548" s="25"/>
      <c r="F2548" s="351">
        <v>18</v>
      </c>
      <c r="G2548" s="26"/>
      <c r="H2548" s="26"/>
      <c r="I2548" s="26"/>
      <c r="J2548" s="26" t="s">
        <v>3197</v>
      </c>
      <c r="K2548" s="311">
        <v>0</v>
      </c>
      <c r="L2548" s="311">
        <v>0</v>
      </c>
      <c r="M2548" s="311">
        <v>67954.8</v>
      </c>
      <c r="N2548" s="311">
        <v>61159.320000000007</v>
      </c>
      <c r="O2548" s="311">
        <v>40772.879999999997</v>
      </c>
      <c r="P2548" s="68">
        <f t="shared" ref="P2548" si="44">SUM(K2548:O2548)</f>
        <v>169887</v>
      </c>
      <c r="Q2548" s="68">
        <f t="shared" si="42"/>
        <v>3057966</v>
      </c>
      <c r="R2548" s="127">
        <f t="shared" si="43"/>
        <v>3057966</v>
      </c>
      <c r="S2548" s="26"/>
    </row>
    <row r="2549" spans="1:19" ht="45">
      <c r="A2549" s="24">
        <v>15</v>
      </c>
      <c r="B2549" s="25" t="s">
        <v>612</v>
      </c>
      <c r="C2549" s="26" t="s">
        <v>17</v>
      </c>
      <c r="D2549" s="351">
        <v>3</v>
      </c>
      <c r="E2549" s="25"/>
      <c r="F2549" s="351">
        <v>3</v>
      </c>
      <c r="G2549" s="26"/>
      <c r="H2549" s="26"/>
      <c r="I2549" s="26"/>
      <c r="J2549" s="26" t="s">
        <v>3197</v>
      </c>
      <c r="K2549" s="311">
        <v>0</v>
      </c>
      <c r="L2549" s="311">
        <v>0</v>
      </c>
      <c r="M2549" s="311">
        <v>47190.833333333336</v>
      </c>
      <c r="N2549" s="311">
        <v>42471.75</v>
      </c>
      <c r="O2549" s="311">
        <v>28314.5</v>
      </c>
      <c r="P2549" s="68">
        <f t="shared" ref="P2549:P2550" si="45">SUM(K2549:O2549)</f>
        <v>117977.08333333334</v>
      </c>
      <c r="Q2549" s="68">
        <f t="shared" si="42"/>
        <v>353931.25</v>
      </c>
      <c r="R2549" s="127">
        <f t="shared" si="43"/>
        <v>353931.25</v>
      </c>
      <c r="S2549" s="26"/>
    </row>
    <row r="2550" spans="1:19" ht="45">
      <c r="A2550" s="24">
        <v>16</v>
      </c>
      <c r="B2550" s="25" t="s">
        <v>613</v>
      </c>
      <c r="C2550" s="26" t="s">
        <v>17</v>
      </c>
      <c r="D2550" s="351">
        <v>48</v>
      </c>
      <c r="E2550" s="25"/>
      <c r="F2550" s="351">
        <v>48</v>
      </c>
      <c r="G2550" s="26"/>
      <c r="H2550" s="26"/>
      <c r="I2550" s="26"/>
      <c r="J2550" s="26" t="s">
        <v>3197</v>
      </c>
      <c r="K2550" s="311">
        <v>0</v>
      </c>
      <c r="L2550" s="311">
        <v>0</v>
      </c>
      <c r="M2550" s="311">
        <v>125000</v>
      </c>
      <c r="N2550" s="311">
        <v>112500</v>
      </c>
      <c r="O2550" s="311">
        <v>75000</v>
      </c>
      <c r="P2550" s="68">
        <f t="shared" si="45"/>
        <v>312500</v>
      </c>
      <c r="Q2550" s="68">
        <f t="shared" si="42"/>
        <v>15000000</v>
      </c>
      <c r="R2550" s="127">
        <f t="shared" si="43"/>
        <v>15000000</v>
      </c>
      <c r="S2550" s="26"/>
    </row>
    <row r="2551" spans="1:19">
      <c r="A2551" s="24">
        <v>17</v>
      </c>
      <c r="B2551" s="25" t="s">
        <v>614</v>
      </c>
      <c r="C2551" s="26" t="s">
        <v>17</v>
      </c>
      <c r="D2551" s="351">
        <v>0</v>
      </c>
      <c r="E2551" s="25"/>
      <c r="F2551" s="351">
        <v>0</v>
      </c>
      <c r="G2551" s="26"/>
      <c r="H2551" s="26"/>
      <c r="I2551" s="26"/>
      <c r="J2551" s="26"/>
      <c r="K2551" s="311"/>
      <c r="L2551" s="311"/>
      <c r="M2551" s="311"/>
      <c r="N2551" s="311"/>
      <c r="O2551" s="311"/>
      <c r="P2551" s="68"/>
      <c r="Q2551" s="68"/>
      <c r="R2551" s="127"/>
      <c r="S2551" s="26"/>
    </row>
    <row r="2552" spans="1:19" ht="90">
      <c r="A2552" s="24">
        <v>18</v>
      </c>
      <c r="B2552" s="25" t="s">
        <v>615</v>
      </c>
      <c r="C2552" s="26" t="s">
        <v>17</v>
      </c>
      <c r="D2552" s="351">
        <v>11</v>
      </c>
      <c r="E2552" s="25"/>
      <c r="F2552" s="351">
        <v>11</v>
      </c>
      <c r="G2552" s="371" t="s">
        <v>2479</v>
      </c>
      <c r="H2552" s="371" t="s">
        <v>2480</v>
      </c>
      <c r="I2552" s="371" t="s">
        <v>2424</v>
      </c>
      <c r="J2552" s="358" t="s">
        <v>2328</v>
      </c>
      <c r="K2552" s="311">
        <v>5028975</v>
      </c>
      <c r="L2552" s="311">
        <v>0</v>
      </c>
      <c r="M2552" s="311">
        <v>72139.200000000012</v>
      </c>
      <c r="N2552" s="311">
        <v>494634</v>
      </c>
      <c r="O2552" s="311">
        <v>346243.80000000005</v>
      </c>
      <c r="P2552" s="68">
        <f t="shared" ref="P2552:P2553" si="46">SUM(K2552:O2552)</f>
        <v>5941992</v>
      </c>
      <c r="Q2552" s="68">
        <f t="shared" ref="Q2552:Q2559" si="47">D2552*P2552</f>
        <v>65361912</v>
      </c>
      <c r="R2552" s="127">
        <f t="shared" ref="R2552:R2559" si="48">F2552*P2552</f>
        <v>65361912</v>
      </c>
      <c r="S2552" s="26"/>
    </row>
    <row r="2553" spans="1:19" ht="135">
      <c r="A2553" s="24">
        <v>19</v>
      </c>
      <c r="B2553" s="25" t="s">
        <v>616</v>
      </c>
      <c r="C2553" s="26" t="s">
        <v>17</v>
      </c>
      <c r="D2553" s="351">
        <v>12</v>
      </c>
      <c r="E2553" s="25"/>
      <c r="F2553" s="351">
        <v>12</v>
      </c>
      <c r="G2553" s="371" t="s">
        <v>2481</v>
      </c>
      <c r="H2553" s="371" t="s">
        <v>2482</v>
      </c>
      <c r="I2553" s="371" t="s">
        <v>2424</v>
      </c>
      <c r="J2553" s="358" t="s">
        <v>2374</v>
      </c>
      <c r="K2553" s="311">
        <v>249054</v>
      </c>
      <c r="L2553" s="311">
        <v>0</v>
      </c>
      <c r="M2553" s="311">
        <v>70625</v>
      </c>
      <c r="N2553" s="311">
        <v>30430</v>
      </c>
      <c r="O2553" s="311">
        <v>21301.000000000004</v>
      </c>
      <c r="P2553" s="68">
        <f t="shared" si="46"/>
        <v>371410</v>
      </c>
      <c r="Q2553" s="68">
        <f t="shared" si="47"/>
        <v>4456920</v>
      </c>
      <c r="R2553" s="127">
        <f t="shared" si="48"/>
        <v>4456920</v>
      </c>
      <c r="S2553" s="26"/>
    </row>
    <row r="2554" spans="1:19" ht="45">
      <c r="A2554" s="24">
        <v>20</v>
      </c>
      <c r="B2554" s="25" t="s">
        <v>617</v>
      </c>
      <c r="C2554" s="26" t="s">
        <v>17</v>
      </c>
      <c r="D2554" s="351">
        <v>6</v>
      </c>
      <c r="E2554" s="25"/>
      <c r="F2554" s="351">
        <v>6</v>
      </c>
      <c r="G2554" s="371"/>
      <c r="H2554" s="371"/>
      <c r="I2554" s="371"/>
      <c r="J2554" s="26" t="s">
        <v>3197</v>
      </c>
      <c r="K2554" s="311">
        <v>0</v>
      </c>
      <c r="L2554" s="311">
        <v>0</v>
      </c>
      <c r="M2554" s="311">
        <v>833333.33333333337</v>
      </c>
      <c r="N2554" s="311">
        <v>750000</v>
      </c>
      <c r="O2554" s="311">
        <v>500000</v>
      </c>
      <c r="P2554" s="68">
        <f t="shared" ref="P2554:P2559" si="49">SUM(K2554:O2554)</f>
        <v>2083333.3333333335</v>
      </c>
      <c r="Q2554" s="68">
        <f t="shared" si="47"/>
        <v>12500000</v>
      </c>
      <c r="R2554" s="127">
        <f t="shared" si="48"/>
        <v>12500000</v>
      </c>
      <c r="S2554" s="26"/>
    </row>
    <row r="2555" spans="1:19" ht="30">
      <c r="A2555" s="24">
        <v>21</v>
      </c>
      <c r="B2555" s="25" t="s">
        <v>618</v>
      </c>
      <c r="C2555" s="26" t="s">
        <v>117</v>
      </c>
      <c r="D2555" s="351">
        <v>1135</v>
      </c>
      <c r="E2555" s="25"/>
      <c r="F2555" s="351">
        <v>1135</v>
      </c>
      <c r="G2555" s="371" t="s">
        <v>2483</v>
      </c>
      <c r="H2555" s="371" t="s">
        <v>2484</v>
      </c>
      <c r="I2555" s="371" t="s">
        <v>2424</v>
      </c>
      <c r="J2555" s="358" t="s">
        <v>2328</v>
      </c>
      <c r="K2555" s="311">
        <v>68392</v>
      </c>
      <c r="L2555" s="311">
        <v>0</v>
      </c>
      <c r="M2555" s="311">
        <v>21658.623076923079</v>
      </c>
      <c r="N2555" s="311">
        <v>8556.6923076923085</v>
      </c>
      <c r="O2555" s="311">
        <v>5989.6846153846163</v>
      </c>
      <c r="P2555" s="68">
        <f t="shared" si="49"/>
        <v>104597</v>
      </c>
      <c r="Q2555" s="68">
        <f t="shared" si="47"/>
        <v>118717595</v>
      </c>
      <c r="R2555" s="127">
        <f t="shared" si="48"/>
        <v>118717595</v>
      </c>
      <c r="S2555" s="26"/>
    </row>
    <row r="2556" spans="1:19" ht="30">
      <c r="A2556" s="24">
        <v>22</v>
      </c>
      <c r="B2556" s="25" t="s">
        <v>619</v>
      </c>
      <c r="C2556" s="26" t="s">
        <v>17</v>
      </c>
      <c r="D2556" s="351">
        <v>135</v>
      </c>
      <c r="E2556" s="25"/>
      <c r="F2556" s="351">
        <v>135</v>
      </c>
      <c r="G2556" s="371" t="s">
        <v>2485</v>
      </c>
      <c r="H2556" s="371" t="s">
        <v>2486</v>
      </c>
      <c r="I2556" s="371" t="s">
        <v>2424</v>
      </c>
      <c r="J2556" s="358" t="s">
        <v>2374</v>
      </c>
      <c r="K2556" s="311">
        <v>813288</v>
      </c>
      <c r="L2556" s="311">
        <v>0</v>
      </c>
      <c r="M2556" s="311">
        <v>39115.384615384624</v>
      </c>
      <c r="N2556" s="311">
        <v>82421.538461538468</v>
      </c>
      <c r="O2556" s="311">
        <v>57695.076923076929</v>
      </c>
      <c r="P2556" s="68">
        <f t="shared" si="49"/>
        <v>992520</v>
      </c>
      <c r="Q2556" s="68">
        <f t="shared" si="47"/>
        <v>133990200</v>
      </c>
      <c r="R2556" s="127">
        <f t="shared" si="48"/>
        <v>133990200</v>
      </c>
      <c r="S2556" s="26"/>
    </row>
    <row r="2557" spans="1:19" ht="120">
      <c r="A2557" s="24">
        <v>23</v>
      </c>
      <c r="B2557" s="25" t="s">
        <v>620</v>
      </c>
      <c r="C2557" s="26" t="s">
        <v>117</v>
      </c>
      <c r="D2557" s="351">
        <v>93</v>
      </c>
      <c r="E2557" s="25"/>
      <c r="F2557" s="351">
        <v>93</v>
      </c>
      <c r="G2557" s="371" t="s">
        <v>2487</v>
      </c>
      <c r="H2557" s="371" t="s">
        <v>2488</v>
      </c>
      <c r="I2557" s="371" t="s">
        <v>2424</v>
      </c>
      <c r="J2557" s="358" t="s">
        <v>2374</v>
      </c>
      <c r="K2557" s="311">
        <v>1158132</v>
      </c>
      <c r="L2557" s="311">
        <v>0</v>
      </c>
      <c r="M2557" s="311">
        <v>54203.388000000006</v>
      </c>
      <c r="N2557" s="311">
        <v>117236.76000000001</v>
      </c>
      <c r="O2557" s="311">
        <v>82065.732000000018</v>
      </c>
      <c r="P2557" s="68">
        <f t="shared" si="49"/>
        <v>1411637.8800000001</v>
      </c>
      <c r="Q2557" s="68">
        <f t="shared" si="47"/>
        <v>131282322.84000002</v>
      </c>
      <c r="R2557" s="127">
        <f t="shared" si="48"/>
        <v>131282322.84000002</v>
      </c>
      <c r="S2557" s="26"/>
    </row>
    <row r="2558" spans="1:19">
      <c r="A2558" s="24">
        <v>24</v>
      </c>
      <c r="B2558" s="25" t="s">
        <v>621</v>
      </c>
      <c r="C2558" s="26" t="s">
        <v>117</v>
      </c>
      <c r="D2558" s="351">
        <v>650</v>
      </c>
      <c r="E2558" s="25"/>
      <c r="F2558" s="351">
        <v>650</v>
      </c>
      <c r="G2558" s="358" t="s">
        <v>2489</v>
      </c>
      <c r="H2558" s="358"/>
      <c r="I2558" s="358"/>
      <c r="J2558" s="358" t="s">
        <v>2328</v>
      </c>
      <c r="K2558" s="311">
        <v>4814.4000000000005</v>
      </c>
      <c r="L2558" s="311">
        <v>0</v>
      </c>
      <c r="M2558" s="311">
        <v>2407.2000000000007</v>
      </c>
      <c r="N2558" s="311">
        <v>612</v>
      </c>
      <c r="O2558" s="311">
        <v>428.40000000000003</v>
      </c>
      <c r="P2558" s="68">
        <f t="shared" si="49"/>
        <v>8262.0000000000018</v>
      </c>
      <c r="Q2558" s="68">
        <f t="shared" si="47"/>
        <v>5370300.0000000009</v>
      </c>
      <c r="R2558" s="127">
        <f t="shared" si="48"/>
        <v>5370300.0000000009</v>
      </c>
      <c r="S2558" s="26"/>
    </row>
    <row r="2559" spans="1:19">
      <c r="A2559" s="24">
        <v>25</v>
      </c>
      <c r="B2559" s="25" t="s">
        <v>622</v>
      </c>
      <c r="C2559" s="26" t="s">
        <v>623</v>
      </c>
      <c r="D2559" s="351">
        <v>650</v>
      </c>
      <c r="E2559" s="25"/>
      <c r="F2559" s="351">
        <v>650</v>
      </c>
      <c r="G2559" s="358" t="s">
        <v>2489</v>
      </c>
      <c r="H2559" s="358"/>
      <c r="I2559" s="358"/>
      <c r="J2559" s="358" t="s">
        <v>2328</v>
      </c>
      <c r="K2559" s="311">
        <v>113280.00000000001</v>
      </c>
      <c r="L2559" s="311">
        <v>0</v>
      </c>
      <c r="M2559" s="311">
        <v>118000.00000000001</v>
      </c>
      <c r="N2559" s="311">
        <v>19600</v>
      </c>
      <c r="O2559" s="311">
        <v>13720.000000000002</v>
      </c>
      <c r="P2559" s="68">
        <f t="shared" si="49"/>
        <v>264600.00000000006</v>
      </c>
      <c r="Q2559" s="68">
        <f t="shared" si="47"/>
        <v>171990000.00000003</v>
      </c>
      <c r="R2559" s="127">
        <f t="shared" si="48"/>
        <v>171990000.00000003</v>
      </c>
      <c r="S2559" s="26"/>
    </row>
    <row r="2560" spans="1:19">
      <c r="A2560" s="24"/>
      <c r="B2560" s="27" t="s">
        <v>624</v>
      </c>
      <c r="C2560" s="26"/>
      <c r="D2560" s="351"/>
      <c r="E2560" s="25"/>
      <c r="F2560" s="351"/>
      <c r="G2560" s="371"/>
      <c r="H2560" s="371"/>
      <c r="I2560" s="371"/>
      <c r="J2560" s="371"/>
      <c r="K2560" s="26"/>
      <c r="L2560" s="26"/>
      <c r="M2560" s="26"/>
      <c r="N2560" s="26"/>
      <c r="O2560" s="26"/>
      <c r="P2560" s="26"/>
      <c r="Q2560" s="66"/>
      <c r="R2560" s="66"/>
      <c r="S2560" s="26"/>
    </row>
    <row r="2561" spans="1:19" ht="30">
      <c r="A2561" s="24">
        <v>1</v>
      </c>
      <c r="B2561" s="25" t="s">
        <v>625</v>
      </c>
      <c r="C2561" s="26" t="s">
        <v>17</v>
      </c>
      <c r="D2561" s="351">
        <v>274</v>
      </c>
      <c r="E2561" s="25"/>
      <c r="F2561" s="351">
        <v>274</v>
      </c>
      <c r="G2561" s="369" t="s">
        <v>2427</v>
      </c>
      <c r="H2561" s="369" t="s">
        <v>2556</v>
      </c>
      <c r="I2561" s="369" t="s">
        <v>2428</v>
      </c>
      <c r="J2561" s="369" t="s">
        <v>2429</v>
      </c>
      <c r="K2561" s="311">
        <v>33151.58</v>
      </c>
      <c r="L2561" s="311">
        <v>0</v>
      </c>
      <c r="M2561" s="311">
        <v>39099.738461538465</v>
      </c>
      <c r="N2561" s="311">
        <v>6678.753846153847</v>
      </c>
      <c r="O2561" s="311">
        <v>4675.127692307693</v>
      </c>
      <c r="P2561" s="68">
        <f t="shared" ref="P2561:P2564" si="50">SUM(K2561:O2561)</f>
        <v>83605.200000000012</v>
      </c>
      <c r="Q2561" s="68">
        <f>D2561*P2561</f>
        <v>22907824.800000004</v>
      </c>
      <c r="R2561" s="127">
        <f>F2561*P2561</f>
        <v>22907824.800000004</v>
      </c>
      <c r="S2561" s="26"/>
    </row>
    <row r="2562" spans="1:19" ht="30">
      <c r="A2562" s="24">
        <v>2</v>
      </c>
      <c r="B2562" s="25" t="s">
        <v>626</v>
      </c>
      <c r="C2562" s="26" t="s">
        <v>17</v>
      </c>
      <c r="D2562" s="351">
        <v>77</v>
      </c>
      <c r="E2562" s="25"/>
      <c r="F2562" s="351">
        <v>77</v>
      </c>
      <c r="G2562" s="369" t="s">
        <v>2430</v>
      </c>
      <c r="H2562" s="369" t="s">
        <v>2547</v>
      </c>
      <c r="I2562" s="369" t="s">
        <v>2428</v>
      </c>
      <c r="J2562" s="369" t="s">
        <v>2429</v>
      </c>
      <c r="K2562" s="311">
        <v>48601.58</v>
      </c>
      <c r="L2562" s="311">
        <v>0</v>
      </c>
      <c r="M2562" s="311">
        <v>44315.123076923082</v>
      </c>
      <c r="N2562" s="311">
        <v>8640.2923076923089</v>
      </c>
      <c r="O2562" s="311">
        <v>6048.2046153846159</v>
      </c>
      <c r="P2562" s="68">
        <f t="shared" si="50"/>
        <v>107605.20000000001</v>
      </c>
      <c r="Q2562" s="68">
        <f>D2562*P2562</f>
        <v>8285600.4000000013</v>
      </c>
      <c r="R2562" s="127">
        <f>F2562*P2562</f>
        <v>8285600.4000000013</v>
      </c>
      <c r="S2562" s="26"/>
    </row>
    <row r="2563" spans="1:19" ht="30">
      <c r="A2563" s="24">
        <v>3</v>
      </c>
      <c r="B2563" s="25" t="s">
        <v>627</v>
      </c>
      <c r="C2563" s="26" t="s">
        <v>17</v>
      </c>
      <c r="D2563" s="351">
        <v>10</v>
      </c>
      <c r="E2563" s="25"/>
      <c r="F2563" s="351">
        <v>10</v>
      </c>
      <c r="G2563" s="369" t="s">
        <v>2431</v>
      </c>
      <c r="H2563" s="369" t="s">
        <v>2548</v>
      </c>
      <c r="I2563" s="369" t="s">
        <v>2428</v>
      </c>
      <c r="J2563" s="369" t="s">
        <v>2429</v>
      </c>
      <c r="K2563" s="311">
        <v>68171.58</v>
      </c>
      <c r="L2563" s="311">
        <v>0</v>
      </c>
      <c r="M2563" s="311">
        <v>49530.507692307692</v>
      </c>
      <c r="N2563" s="311">
        <v>11001.83076923077</v>
      </c>
      <c r="O2563" s="311">
        <v>7701.2815384615387</v>
      </c>
      <c r="P2563" s="68">
        <f t="shared" si="50"/>
        <v>136405.20000000001</v>
      </c>
      <c r="Q2563" s="68">
        <f>D2563*P2563</f>
        <v>1364052</v>
      </c>
      <c r="R2563" s="127">
        <f>F2563*P2563</f>
        <v>1364052</v>
      </c>
      <c r="S2563" s="26"/>
    </row>
    <row r="2564" spans="1:19" ht="30">
      <c r="A2564" s="24">
        <v>4</v>
      </c>
      <c r="B2564" s="25" t="s">
        <v>628</v>
      </c>
      <c r="C2564" s="26" t="s">
        <v>17</v>
      </c>
      <c r="D2564" s="351">
        <v>22</v>
      </c>
      <c r="E2564" s="25"/>
      <c r="F2564" s="351">
        <v>22</v>
      </c>
      <c r="G2564" s="369" t="s">
        <v>2432</v>
      </c>
      <c r="H2564" s="369" t="s">
        <v>2549</v>
      </c>
      <c r="I2564" s="369" t="s">
        <v>2428</v>
      </c>
      <c r="J2564" s="369" t="s">
        <v>2429</v>
      </c>
      <c r="K2564" s="311">
        <v>36241.58</v>
      </c>
      <c r="L2564" s="311">
        <v>0</v>
      </c>
      <c r="M2564" s="311">
        <v>41707.43076923077</v>
      </c>
      <c r="N2564" s="311">
        <v>7209.5230769230766</v>
      </c>
      <c r="O2564" s="311">
        <v>5046.666153846154</v>
      </c>
      <c r="P2564" s="68">
        <f t="shared" si="50"/>
        <v>90205.2</v>
      </c>
      <c r="Q2564" s="68">
        <f>D2564*P2564</f>
        <v>1984514.4</v>
      </c>
      <c r="R2564" s="127">
        <f>F2564*P2564</f>
        <v>1984514.4</v>
      </c>
      <c r="S2564" s="26"/>
    </row>
    <row r="2565" spans="1:19">
      <c r="A2565" s="24"/>
      <c r="B2565" s="27" t="s">
        <v>576</v>
      </c>
      <c r="C2565" s="26"/>
      <c r="D2565" s="351"/>
      <c r="E2565" s="25"/>
      <c r="F2565" s="351"/>
      <c r="G2565" s="371"/>
      <c r="H2565" s="371"/>
      <c r="I2565" s="371"/>
      <c r="J2565" s="371"/>
      <c r="K2565" s="26"/>
      <c r="L2565" s="26"/>
      <c r="M2565" s="26"/>
      <c r="N2565" s="26"/>
      <c r="O2565" s="26"/>
      <c r="P2565" s="26"/>
      <c r="Q2565" s="66"/>
      <c r="R2565" s="66"/>
      <c r="S2565" s="26"/>
    </row>
    <row r="2566" spans="1:19" ht="30">
      <c r="A2566" s="24">
        <v>1</v>
      </c>
      <c r="B2566" s="25" t="s">
        <v>629</v>
      </c>
      <c r="C2566" s="26" t="s">
        <v>17</v>
      </c>
      <c r="D2566" s="351">
        <v>180</v>
      </c>
      <c r="E2566" s="25"/>
      <c r="F2566" s="351">
        <v>180</v>
      </c>
      <c r="G2566" s="369" t="s">
        <v>2436</v>
      </c>
      <c r="H2566" s="369" t="s">
        <v>2553</v>
      </c>
      <c r="I2566" s="369" t="s">
        <v>2428</v>
      </c>
      <c r="J2566" s="369" t="s">
        <v>2429</v>
      </c>
      <c r="K2566" s="311">
        <v>88771.58</v>
      </c>
      <c r="L2566" s="311">
        <v>0</v>
      </c>
      <c r="M2566" s="311">
        <v>44315.123076923082</v>
      </c>
      <c r="N2566" s="311">
        <v>12540.292307692309</v>
      </c>
      <c r="O2566" s="311">
        <v>8778.2046153846168</v>
      </c>
      <c r="P2566" s="68">
        <f t="shared" ref="P2566:P2569" si="51">SUM(K2566:O2566)</f>
        <v>154405.20000000001</v>
      </c>
      <c r="Q2566" s="68">
        <f>D2566*P2566</f>
        <v>27792936.000000004</v>
      </c>
      <c r="R2566" s="127">
        <f>F2566*P2566</f>
        <v>27792936.000000004</v>
      </c>
      <c r="S2566" s="26"/>
    </row>
    <row r="2567" spans="1:19" ht="60">
      <c r="A2567" s="24">
        <v>2</v>
      </c>
      <c r="B2567" s="25" t="s">
        <v>630</v>
      </c>
      <c r="C2567" s="26" t="s">
        <v>17</v>
      </c>
      <c r="D2567" s="351">
        <v>60</v>
      </c>
      <c r="E2567" s="25"/>
      <c r="F2567" s="351">
        <v>60</v>
      </c>
      <c r="G2567" s="369" t="s">
        <v>2438</v>
      </c>
      <c r="H2567" s="369" t="s">
        <v>2555</v>
      </c>
      <c r="I2567" s="369" t="s">
        <v>2428</v>
      </c>
      <c r="J2567" s="369" t="s">
        <v>2429</v>
      </c>
      <c r="K2567" s="311">
        <v>191771.58000000002</v>
      </c>
      <c r="L2567" s="311">
        <v>0</v>
      </c>
      <c r="M2567" s="311">
        <v>53007.43076923077</v>
      </c>
      <c r="N2567" s="311">
        <v>23309.523076923077</v>
      </c>
      <c r="O2567" s="311">
        <v>16316.666153846154</v>
      </c>
      <c r="P2567" s="68">
        <f t="shared" si="51"/>
        <v>284405.2</v>
      </c>
      <c r="Q2567" s="68">
        <f>D2567*P2567</f>
        <v>17064312</v>
      </c>
      <c r="R2567" s="127">
        <f>F2567*P2567</f>
        <v>17064312</v>
      </c>
      <c r="S2567" s="26"/>
    </row>
    <row r="2568" spans="1:19" ht="45">
      <c r="A2568" s="24">
        <v>3</v>
      </c>
      <c r="B2568" s="25" t="s">
        <v>631</v>
      </c>
      <c r="C2568" s="26"/>
      <c r="D2568" s="351">
        <v>6</v>
      </c>
      <c r="E2568" s="25"/>
      <c r="F2568" s="351">
        <v>6</v>
      </c>
      <c r="G2568" s="369" t="s">
        <v>2439</v>
      </c>
      <c r="H2568" s="369" t="s">
        <v>2440</v>
      </c>
      <c r="I2568" s="369" t="s">
        <v>2441</v>
      </c>
      <c r="J2568" s="369" t="s">
        <v>2374</v>
      </c>
      <c r="K2568" s="311">
        <v>581950</v>
      </c>
      <c r="L2568" s="311">
        <v>0</v>
      </c>
      <c r="M2568" s="311">
        <v>73015.38461538461</v>
      </c>
      <c r="N2568" s="311">
        <v>62961.538461538468</v>
      </c>
      <c r="O2568" s="311">
        <v>44073.076923076929</v>
      </c>
      <c r="P2568" s="68">
        <f t="shared" si="51"/>
        <v>762000</v>
      </c>
      <c r="Q2568" s="68">
        <f>D2568*P2568</f>
        <v>4572000</v>
      </c>
      <c r="R2568" s="127">
        <f>F2568*P2568</f>
        <v>4572000</v>
      </c>
      <c r="S2568" s="26"/>
    </row>
    <row r="2569" spans="1:19">
      <c r="A2569" s="24">
        <v>4</v>
      </c>
      <c r="B2569" s="25" t="s">
        <v>632</v>
      </c>
      <c r="C2569" s="26" t="s">
        <v>17</v>
      </c>
      <c r="D2569" s="351">
        <v>3934</v>
      </c>
      <c r="E2569" s="25"/>
      <c r="F2569" s="351">
        <v>3934</v>
      </c>
      <c r="G2569" s="371" t="s">
        <v>2442</v>
      </c>
      <c r="H2569" s="369" t="s">
        <v>2443</v>
      </c>
      <c r="I2569" s="365" t="s">
        <v>2368</v>
      </c>
      <c r="J2569" s="365" t="s">
        <v>2328</v>
      </c>
      <c r="K2569" s="311">
        <v>16746.600000000002</v>
      </c>
      <c r="L2569" s="311">
        <v>0</v>
      </c>
      <c r="M2569" s="311">
        <v>12746.400000000001</v>
      </c>
      <c r="N2569" s="311">
        <v>2610</v>
      </c>
      <c r="O2569" s="311">
        <v>1827.0000000000002</v>
      </c>
      <c r="P2569" s="68">
        <f t="shared" si="51"/>
        <v>33930.000000000007</v>
      </c>
      <c r="Q2569" s="68">
        <f>D2569*P2569</f>
        <v>133480620.00000003</v>
      </c>
      <c r="R2569" s="127">
        <f>F2569*P2569</f>
        <v>133480620.00000003</v>
      </c>
      <c r="S2569" s="26"/>
    </row>
    <row r="2570" spans="1:19">
      <c r="A2570" s="181" t="s">
        <v>633</v>
      </c>
      <c r="B2570" s="182" t="s">
        <v>712</v>
      </c>
      <c r="C2570" s="181"/>
      <c r="D2570" s="355"/>
      <c r="E2570" s="319"/>
      <c r="F2570" s="355"/>
      <c r="G2570" s="596"/>
      <c r="H2570" s="596"/>
      <c r="I2570" s="596"/>
      <c r="J2570" s="596"/>
      <c r="K2570" s="342"/>
      <c r="L2570" s="342"/>
      <c r="M2570" s="342"/>
      <c r="N2570" s="342"/>
      <c r="O2570" s="342"/>
      <c r="P2570" s="342"/>
      <c r="Q2570" s="208"/>
      <c r="R2570" s="208"/>
      <c r="S2570" s="342"/>
    </row>
    <row r="2571" spans="1:19" ht="45">
      <c r="A2571" s="24">
        <v>1</v>
      </c>
      <c r="B2571" s="25" t="s">
        <v>634</v>
      </c>
      <c r="C2571" s="26" t="s">
        <v>117</v>
      </c>
      <c r="D2571" s="351">
        <v>35</v>
      </c>
      <c r="E2571" s="25"/>
      <c r="F2571" s="351">
        <v>35</v>
      </c>
      <c r="G2571" s="372" t="s">
        <v>3065</v>
      </c>
      <c r="H2571" s="372"/>
      <c r="I2571" s="372" t="s">
        <v>2596</v>
      </c>
      <c r="J2571" s="358" t="s">
        <v>2328</v>
      </c>
      <c r="K2571" s="311">
        <v>557649.79200000002</v>
      </c>
      <c r="L2571" s="311">
        <v>0</v>
      </c>
      <c r="M2571" s="311">
        <v>113008.2576923077</v>
      </c>
      <c r="N2571" s="311">
        <v>60239.450769230774</v>
      </c>
      <c r="O2571" s="311">
        <v>42167.615538461541</v>
      </c>
      <c r="P2571" s="68">
        <f t="shared" ref="P2571:P2574" si="52">SUM(K2571:O2571)</f>
        <v>773065.11599999992</v>
      </c>
      <c r="Q2571" s="68">
        <f>D2571*P2571</f>
        <v>27057279.059999999</v>
      </c>
      <c r="R2571" s="127">
        <f>F2571*P2571</f>
        <v>27057279.059999999</v>
      </c>
      <c r="S2571" s="26"/>
    </row>
    <row r="2572" spans="1:19" ht="60">
      <c r="A2572" s="24"/>
      <c r="B2572" s="25" t="s">
        <v>635</v>
      </c>
      <c r="C2572" s="26" t="s">
        <v>8</v>
      </c>
      <c r="D2572" s="351">
        <v>4</v>
      </c>
      <c r="E2572" s="25"/>
      <c r="F2572" s="351">
        <v>4</v>
      </c>
      <c r="G2572" s="358" t="s">
        <v>3066</v>
      </c>
      <c r="H2572" s="358"/>
      <c r="I2572" s="372" t="s">
        <v>2596</v>
      </c>
      <c r="J2572" s="358" t="s">
        <v>2328</v>
      </c>
      <c r="K2572" s="311">
        <v>1139318.2080000001</v>
      </c>
      <c r="L2572" s="311">
        <v>0</v>
      </c>
      <c r="M2572" s="311">
        <v>104936.2392857143</v>
      </c>
      <c r="N2572" s="311">
        <v>111927.67285714285</v>
      </c>
      <c r="O2572" s="311">
        <v>78349.370999999999</v>
      </c>
      <c r="P2572" s="68">
        <f t="shared" si="52"/>
        <v>1434531.4911428571</v>
      </c>
      <c r="Q2572" s="68">
        <f>D2572*P2572</f>
        <v>5738125.9645714285</v>
      </c>
      <c r="R2572" s="127">
        <f>F2572*P2572</f>
        <v>5738125.9645714285</v>
      </c>
      <c r="S2572" s="26"/>
    </row>
    <row r="2573" spans="1:19" ht="60">
      <c r="A2573" s="24"/>
      <c r="B2573" s="25" t="s">
        <v>636</v>
      </c>
      <c r="C2573" s="26" t="s">
        <v>8</v>
      </c>
      <c r="D2573" s="351">
        <v>7</v>
      </c>
      <c r="E2573" s="25"/>
      <c r="F2573" s="351">
        <v>7</v>
      </c>
      <c r="G2573" s="358" t="s">
        <v>3067</v>
      </c>
      <c r="H2573" s="358"/>
      <c r="I2573" s="372" t="s">
        <v>2596</v>
      </c>
      <c r="J2573" s="358" t="s">
        <v>2328</v>
      </c>
      <c r="K2573" s="311">
        <v>1348567.4160000002</v>
      </c>
      <c r="L2573" s="311">
        <v>0</v>
      </c>
      <c r="M2573" s="311">
        <v>209872.4785714286</v>
      </c>
      <c r="N2573" s="311">
        <v>140065.34571428574</v>
      </c>
      <c r="O2573" s="311">
        <v>98045.742000000027</v>
      </c>
      <c r="P2573" s="68">
        <f t="shared" si="52"/>
        <v>1796550.9822857147</v>
      </c>
      <c r="Q2573" s="68">
        <f>D2573*P2573</f>
        <v>12575856.876000002</v>
      </c>
      <c r="R2573" s="127">
        <f>F2573*P2573</f>
        <v>12575856.876000002</v>
      </c>
      <c r="S2573" s="26"/>
    </row>
    <row r="2574" spans="1:19" ht="45">
      <c r="A2574" s="24"/>
      <c r="B2574" s="25" t="s">
        <v>637</v>
      </c>
      <c r="C2574" s="26" t="s">
        <v>8</v>
      </c>
      <c r="D2574" s="351">
        <v>3</v>
      </c>
      <c r="E2574" s="25"/>
      <c r="F2574" s="351">
        <v>3</v>
      </c>
      <c r="G2574" s="358" t="s">
        <v>3068</v>
      </c>
      <c r="H2574" s="358"/>
      <c r="I2574" s="372" t="s">
        <v>2596</v>
      </c>
      <c r="J2574" s="358" t="s">
        <v>2328</v>
      </c>
      <c r="K2574" s="311">
        <v>1220642.1360000002</v>
      </c>
      <c r="L2574" s="311">
        <v>0</v>
      </c>
      <c r="M2574" s="311">
        <v>157404.35892857146</v>
      </c>
      <c r="N2574" s="311">
        <v>123897.34928571431</v>
      </c>
      <c r="O2574" s="311">
        <v>86728.144500000024</v>
      </c>
      <c r="P2574" s="68">
        <f t="shared" si="52"/>
        <v>1588671.9887142859</v>
      </c>
      <c r="Q2574" s="68">
        <f>D2574*P2574</f>
        <v>4766015.9661428574</v>
      </c>
      <c r="R2574" s="127">
        <f>F2574*P2574</f>
        <v>4766015.9661428574</v>
      </c>
      <c r="S2574" s="26"/>
    </row>
    <row r="2575" spans="1:19">
      <c r="A2575" s="24"/>
      <c r="B2575" s="25" t="s">
        <v>638</v>
      </c>
      <c r="C2575" s="26" t="s">
        <v>8</v>
      </c>
      <c r="D2575" s="351">
        <v>0</v>
      </c>
      <c r="E2575" s="25"/>
      <c r="F2575" s="351">
        <v>0</v>
      </c>
      <c r="G2575" s="358"/>
      <c r="H2575" s="358"/>
      <c r="I2575" s="358"/>
      <c r="J2575" s="358"/>
      <c r="K2575" s="311"/>
      <c r="L2575" s="311"/>
      <c r="M2575" s="311"/>
      <c r="N2575" s="311"/>
      <c r="O2575" s="311"/>
      <c r="P2575" s="68"/>
      <c r="Q2575" s="68"/>
      <c r="R2575" s="127"/>
      <c r="S2575" s="26"/>
    </row>
    <row r="2576" spans="1:19">
      <c r="A2576" s="24"/>
      <c r="B2576" s="25" t="s">
        <v>639</v>
      </c>
      <c r="C2576" s="26" t="s">
        <v>8</v>
      </c>
      <c r="D2576" s="351">
        <v>0</v>
      </c>
      <c r="E2576" s="25"/>
      <c r="F2576" s="351">
        <v>0</v>
      </c>
      <c r="G2576" s="358"/>
      <c r="H2576" s="358"/>
      <c r="I2576" s="358"/>
      <c r="J2576" s="358"/>
      <c r="K2576" s="311"/>
      <c r="L2576" s="311"/>
      <c r="M2576" s="311"/>
      <c r="N2576" s="311"/>
      <c r="O2576" s="311"/>
      <c r="P2576" s="68"/>
      <c r="Q2576" s="68"/>
      <c r="R2576" s="127"/>
      <c r="S2576" s="26"/>
    </row>
    <row r="2577" spans="1:19" ht="60">
      <c r="A2577" s="24"/>
      <c r="B2577" s="25" t="s">
        <v>640</v>
      </c>
      <c r="C2577" s="26" t="s">
        <v>8</v>
      </c>
      <c r="D2577" s="351">
        <v>2</v>
      </c>
      <c r="E2577" s="25"/>
      <c r="F2577" s="351">
        <v>2</v>
      </c>
      <c r="G2577" s="358" t="s">
        <v>3069</v>
      </c>
      <c r="H2577" s="373"/>
      <c r="I2577" s="372" t="s">
        <v>2596</v>
      </c>
      <c r="J2577" s="358" t="s">
        <v>2328</v>
      </c>
      <c r="K2577" s="311">
        <v>1139318.2080000001</v>
      </c>
      <c r="L2577" s="311">
        <v>0</v>
      </c>
      <c r="M2577" s="311">
        <v>104936.2392857143</v>
      </c>
      <c r="N2577" s="311">
        <v>111927.67285714285</v>
      </c>
      <c r="O2577" s="311">
        <v>78349.370999999999</v>
      </c>
      <c r="P2577" s="68">
        <f t="shared" ref="P2577:P2583" si="53">SUM(K2577:O2577)</f>
        <v>1434531.4911428571</v>
      </c>
      <c r="Q2577" s="68">
        <f t="shared" ref="Q2577:Q2583" si="54">D2577*P2577</f>
        <v>2869062.9822857142</v>
      </c>
      <c r="R2577" s="127">
        <f t="shared" ref="R2577:R2583" si="55">F2577*P2577</f>
        <v>2869062.9822857142</v>
      </c>
      <c r="S2577" s="26"/>
    </row>
    <row r="2578" spans="1:19" ht="60">
      <c r="A2578" s="24"/>
      <c r="B2578" s="25" t="s">
        <v>641</v>
      </c>
      <c r="C2578" s="26" t="s">
        <v>8</v>
      </c>
      <c r="D2578" s="351">
        <v>1</v>
      </c>
      <c r="E2578" s="25"/>
      <c r="F2578" s="351">
        <v>1</v>
      </c>
      <c r="G2578" s="358" t="s">
        <v>3070</v>
      </c>
      <c r="H2578" s="373"/>
      <c r="I2578" s="372" t="s">
        <v>2596</v>
      </c>
      <c r="J2578" s="358" t="s">
        <v>2328</v>
      </c>
      <c r="K2578" s="311">
        <v>1139318.2080000001</v>
      </c>
      <c r="L2578" s="311">
        <v>0</v>
      </c>
      <c r="M2578" s="311">
        <v>104936.2392857143</v>
      </c>
      <c r="N2578" s="311">
        <v>111927.67285714285</v>
      </c>
      <c r="O2578" s="311">
        <v>78349.370999999999</v>
      </c>
      <c r="P2578" s="68">
        <f t="shared" si="53"/>
        <v>1434531.4911428571</v>
      </c>
      <c r="Q2578" s="68">
        <f t="shared" si="54"/>
        <v>1434531.4911428571</v>
      </c>
      <c r="R2578" s="127">
        <f t="shared" si="55"/>
        <v>1434531.4911428571</v>
      </c>
      <c r="S2578" s="26"/>
    </row>
    <row r="2579" spans="1:19" ht="45">
      <c r="A2579" s="24"/>
      <c r="B2579" s="25" t="s">
        <v>642</v>
      </c>
      <c r="C2579" s="26" t="s">
        <v>8</v>
      </c>
      <c r="D2579" s="351">
        <v>2</v>
      </c>
      <c r="E2579" s="25"/>
      <c r="F2579" s="351">
        <v>2</v>
      </c>
      <c r="G2579" s="358" t="s">
        <v>3071</v>
      </c>
      <c r="H2579" s="373"/>
      <c r="I2579" s="372" t="s">
        <v>2596</v>
      </c>
      <c r="J2579" s="358" t="s">
        <v>2328</v>
      </c>
      <c r="K2579" s="311">
        <v>948082.96799999999</v>
      </c>
      <c r="L2579" s="311">
        <v>0</v>
      </c>
      <c r="M2579" s="311">
        <v>104936.2392857143</v>
      </c>
      <c r="N2579" s="311">
        <v>94699.272857142845</v>
      </c>
      <c r="O2579" s="311">
        <v>66289.490999999995</v>
      </c>
      <c r="P2579" s="68">
        <f t="shared" si="53"/>
        <v>1214007.9711428571</v>
      </c>
      <c r="Q2579" s="68">
        <f t="shared" si="54"/>
        <v>2428015.9422857142</v>
      </c>
      <c r="R2579" s="127">
        <f t="shared" si="55"/>
        <v>2428015.9422857142</v>
      </c>
      <c r="S2579" s="26"/>
    </row>
    <row r="2580" spans="1:19" ht="45">
      <c r="A2580" s="24">
        <v>2</v>
      </c>
      <c r="B2580" s="25" t="s">
        <v>643</v>
      </c>
      <c r="C2580" s="26" t="s">
        <v>117</v>
      </c>
      <c r="D2580" s="351">
        <v>160</v>
      </c>
      <c r="E2580" s="25"/>
      <c r="F2580" s="351">
        <v>160</v>
      </c>
      <c r="G2580" s="372" t="s">
        <v>3072</v>
      </c>
      <c r="H2580" s="358"/>
      <c r="I2580" s="372" t="s">
        <v>2596</v>
      </c>
      <c r="J2580" s="358" t="s">
        <v>2328</v>
      </c>
      <c r="K2580" s="311">
        <v>521230.24800000002</v>
      </c>
      <c r="L2580" s="311">
        <v>0</v>
      </c>
      <c r="M2580" s="311">
        <v>91379.796923076938</v>
      </c>
      <c r="N2580" s="311">
        <v>55044.387692307697</v>
      </c>
      <c r="O2580" s="311">
        <v>38531.071384615389</v>
      </c>
      <c r="P2580" s="68">
        <f t="shared" si="53"/>
        <v>706185.50400000007</v>
      </c>
      <c r="Q2580" s="68">
        <f t="shared" si="54"/>
        <v>112989680.64000002</v>
      </c>
      <c r="R2580" s="127">
        <f t="shared" si="55"/>
        <v>112989680.64000002</v>
      </c>
      <c r="S2580" s="26"/>
    </row>
    <row r="2581" spans="1:19" ht="60">
      <c r="A2581" s="24"/>
      <c r="B2581" s="25" t="s">
        <v>644</v>
      </c>
      <c r="C2581" s="26" t="s">
        <v>8</v>
      </c>
      <c r="D2581" s="351">
        <v>9</v>
      </c>
      <c r="E2581" s="25"/>
      <c r="F2581" s="351">
        <v>9</v>
      </c>
      <c r="G2581" s="358" t="s">
        <v>3073</v>
      </c>
      <c r="H2581" s="358"/>
      <c r="I2581" s="372" t="s">
        <v>2596</v>
      </c>
      <c r="J2581" s="358" t="s">
        <v>2328</v>
      </c>
      <c r="K2581" s="311">
        <v>947430.28800000006</v>
      </c>
      <c r="L2581" s="311">
        <v>0</v>
      </c>
      <c r="M2581" s="311">
        <v>84852.668571428585</v>
      </c>
      <c r="N2581" s="311">
        <v>92863.165714285715</v>
      </c>
      <c r="O2581" s="311">
        <v>65004.216</v>
      </c>
      <c r="P2581" s="68">
        <f t="shared" si="53"/>
        <v>1190150.3382857144</v>
      </c>
      <c r="Q2581" s="68">
        <f t="shared" si="54"/>
        <v>10711353.044571429</v>
      </c>
      <c r="R2581" s="127">
        <f t="shared" si="55"/>
        <v>10711353.044571429</v>
      </c>
      <c r="S2581" s="26"/>
    </row>
    <row r="2582" spans="1:19" ht="60">
      <c r="A2582" s="24"/>
      <c r="B2582" s="25" t="s">
        <v>645</v>
      </c>
      <c r="C2582" s="26" t="s">
        <v>8</v>
      </c>
      <c r="D2582" s="351">
        <v>3</v>
      </c>
      <c r="E2582" s="25"/>
      <c r="F2582" s="351">
        <v>3</v>
      </c>
      <c r="G2582" s="358" t="s">
        <v>3074</v>
      </c>
      <c r="H2582" s="358"/>
      <c r="I2582" s="372" t="s">
        <v>2596</v>
      </c>
      <c r="J2582" s="358" t="s">
        <v>2328</v>
      </c>
      <c r="K2582" s="311">
        <v>947430.28800000006</v>
      </c>
      <c r="L2582" s="311">
        <v>0</v>
      </c>
      <c r="M2582" s="311">
        <v>84852.668571428585</v>
      </c>
      <c r="N2582" s="311">
        <v>92863.165714285715</v>
      </c>
      <c r="O2582" s="311">
        <v>65004.216</v>
      </c>
      <c r="P2582" s="68">
        <f t="shared" si="53"/>
        <v>1190150.3382857144</v>
      </c>
      <c r="Q2582" s="68">
        <f t="shared" si="54"/>
        <v>3570451.0148571432</v>
      </c>
      <c r="R2582" s="127">
        <f t="shared" si="55"/>
        <v>3570451.0148571432</v>
      </c>
      <c r="S2582" s="26"/>
    </row>
    <row r="2583" spans="1:19" ht="45">
      <c r="A2583" s="24"/>
      <c r="B2583" s="25" t="s">
        <v>646</v>
      </c>
      <c r="C2583" s="26" t="s">
        <v>8</v>
      </c>
      <c r="D2583" s="351">
        <v>3</v>
      </c>
      <c r="E2583" s="25"/>
      <c r="F2583" s="351">
        <v>3</v>
      </c>
      <c r="G2583" s="358" t="s">
        <v>3075</v>
      </c>
      <c r="H2583" s="358"/>
      <c r="I2583" s="372" t="s">
        <v>2596</v>
      </c>
      <c r="J2583" s="358" t="s">
        <v>2328</v>
      </c>
      <c r="K2583" s="311">
        <v>1005518.808</v>
      </c>
      <c r="L2583" s="311">
        <v>0</v>
      </c>
      <c r="M2583" s="311">
        <v>127279.0028571429</v>
      </c>
      <c r="N2583" s="311">
        <v>101850.90857142858</v>
      </c>
      <c r="O2583" s="311">
        <v>71295.636000000013</v>
      </c>
      <c r="P2583" s="68">
        <f t="shared" si="53"/>
        <v>1305944.3554285713</v>
      </c>
      <c r="Q2583" s="68">
        <f t="shared" si="54"/>
        <v>3917833.066285714</v>
      </c>
      <c r="R2583" s="127">
        <f t="shared" si="55"/>
        <v>3917833.066285714</v>
      </c>
      <c r="S2583" s="26"/>
    </row>
    <row r="2584" spans="1:19">
      <c r="A2584" s="24"/>
      <c r="B2584" s="25" t="s">
        <v>647</v>
      </c>
      <c r="C2584" s="26" t="s">
        <v>8</v>
      </c>
      <c r="D2584" s="351">
        <v>0</v>
      </c>
      <c r="E2584" s="25"/>
      <c r="F2584" s="351">
        <v>0</v>
      </c>
      <c r="G2584" s="358"/>
      <c r="H2584" s="358"/>
      <c r="I2584" s="358"/>
      <c r="J2584" s="358"/>
      <c r="K2584" s="311"/>
      <c r="L2584" s="311"/>
      <c r="M2584" s="311"/>
      <c r="N2584" s="311"/>
      <c r="O2584" s="311"/>
      <c r="P2584" s="68"/>
      <c r="Q2584" s="68"/>
      <c r="R2584" s="127"/>
      <c r="S2584" s="26"/>
    </row>
    <row r="2585" spans="1:19" ht="60">
      <c r="A2585" s="24"/>
      <c r="B2585" s="25" t="s">
        <v>648</v>
      </c>
      <c r="C2585" s="26" t="s">
        <v>8</v>
      </c>
      <c r="D2585" s="351">
        <v>5</v>
      </c>
      <c r="E2585" s="25"/>
      <c r="F2585" s="351">
        <v>5</v>
      </c>
      <c r="G2585" s="358" t="s">
        <v>3076</v>
      </c>
      <c r="H2585" s="373"/>
      <c r="I2585" s="372" t="s">
        <v>2596</v>
      </c>
      <c r="J2585" s="358" t="s">
        <v>2328</v>
      </c>
      <c r="K2585" s="311">
        <v>1005518.808</v>
      </c>
      <c r="L2585" s="311">
        <v>0</v>
      </c>
      <c r="M2585" s="311">
        <v>127279.0028571429</v>
      </c>
      <c r="N2585" s="311">
        <v>101850.90857142858</v>
      </c>
      <c r="O2585" s="311">
        <v>71295.636000000013</v>
      </c>
      <c r="P2585" s="68">
        <f t="shared" ref="P2585:P2627" si="56">SUM(K2585:O2585)</f>
        <v>1305944.3554285713</v>
      </c>
      <c r="Q2585" s="68">
        <f t="shared" ref="Q2585:Q2627" si="57">D2585*P2585</f>
        <v>6529721.7771428563</v>
      </c>
      <c r="R2585" s="127">
        <f t="shared" ref="R2585:R2627" si="58">F2585*P2585</f>
        <v>6529721.7771428563</v>
      </c>
      <c r="S2585" s="26"/>
    </row>
    <row r="2586" spans="1:19" ht="60">
      <c r="A2586" s="24"/>
      <c r="B2586" s="25" t="s">
        <v>649</v>
      </c>
      <c r="C2586" s="26" t="s">
        <v>8</v>
      </c>
      <c r="D2586" s="351">
        <v>2</v>
      </c>
      <c r="E2586" s="25"/>
      <c r="F2586" s="351">
        <v>2</v>
      </c>
      <c r="G2586" s="358" t="s">
        <v>3077</v>
      </c>
      <c r="H2586" s="373"/>
      <c r="I2586" s="372" t="s">
        <v>2596</v>
      </c>
      <c r="J2586" s="358" t="s">
        <v>2328</v>
      </c>
      <c r="K2586" s="311">
        <v>1005518.808</v>
      </c>
      <c r="L2586" s="311">
        <v>0</v>
      </c>
      <c r="M2586" s="311">
        <v>127279.0028571429</v>
      </c>
      <c r="N2586" s="311">
        <v>101850.90857142858</v>
      </c>
      <c r="O2586" s="311">
        <v>71295.636000000013</v>
      </c>
      <c r="P2586" s="68">
        <f t="shared" si="56"/>
        <v>1305944.3554285713</v>
      </c>
      <c r="Q2586" s="68">
        <f t="shared" si="57"/>
        <v>2611888.7108571427</v>
      </c>
      <c r="R2586" s="127">
        <f t="shared" si="58"/>
        <v>2611888.7108571427</v>
      </c>
      <c r="S2586" s="26"/>
    </row>
    <row r="2587" spans="1:19" ht="60">
      <c r="A2587" s="24"/>
      <c r="B2587" s="25" t="s">
        <v>650</v>
      </c>
      <c r="C2587" s="26" t="s">
        <v>8</v>
      </c>
      <c r="D2587" s="351">
        <v>1</v>
      </c>
      <c r="E2587" s="25"/>
      <c r="F2587" s="351">
        <v>1</v>
      </c>
      <c r="G2587" s="358" t="s">
        <v>3078</v>
      </c>
      <c r="H2587" s="373"/>
      <c r="I2587" s="372" t="s">
        <v>2596</v>
      </c>
      <c r="J2587" s="358" t="s">
        <v>2328</v>
      </c>
      <c r="K2587" s="311">
        <v>1156810.0320000001</v>
      </c>
      <c r="L2587" s="311">
        <v>0</v>
      </c>
      <c r="M2587" s="311">
        <v>169705.33714285717</v>
      </c>
      <c r="N2587" s="311">
        <v>119235.29142857144</v>
      </c>
      <c r="O2587" s="311">
        <v>83464.704000000012</v>
      </c>
      <c r="P2587" s="68">
        <f t="shared" si="56"/>
        <v>1529215.3645714286</v>
      </c>
      <c r="Q2587" s="68">
        <f t="shared" si="57"/>
        <v>1529215.3645714286</v>
      </c>
      <c r="R2587" s="127">
        <f t="shared" si="58"/>
        <v>1529215.3645714286</v>
      </c>
      <c r="S2587" s="26"/>
    </row>
    <row r="2588" spans="1:19" ht="60">
      <c r="A2588" s="24"/>
      <c r="B2588" s="25" t="s">
        <v>651</v>
      </c>
      <c r="C2588" s="26" t="s">
        <v>8</v>
      </c>
      <c r="D2588" s="351">
        <v>2</v>
      </c>
      <c r="E2588" s="25"/>
      <c r="F2588" s="351">
        <v>2</v>
      </c>
      <c r="G2588" s="358" t="s">
        <v>3079</v>
      </c>
      <c r="H2588" s="373"/>
      <c r="I2588" s="372" t="s">
        <v>2596</v>
      </c>
      <c r="J2588" s="358" t="s">
        <v>2328</v>
      </c>
      <c r="K2588" s="311">
        <v>947430.28800000006</v>
      </c>
      <c r="L2588" s="311">
        <v>0</v>
      </c>
      <c r="M2588" s="311">
        <v>84852.668571428585</v>
      </c>
      <c r="N2588" s="311">
        <v>92863.165714285715</v>
      </c>
      <c r="O2588" s="311">
        <v>65004.216</v>
      </c>
      <c r="P2588" s="68">
        <f t="shared" si="56"/>
        <v>1190150.3382857144</v>
      </c>
      <c r="Q2588" s="68">
        <f t="shared" si="57"/>
        <v>2380300.6765714288</v>
      </c>
      <c r="R2588" s="127">
        <f t="shared" si="58"/>
        <v>2380300.6765714288</v>
      </c>
      <c r="S2588" s="26"/>
    </row>
    <row r="2589" spans="1:19" ht="45">
      <c r="A2589" s="24"/>
      <c r="B2589" s="25" t="s">
        <v>652</v>
      </c>
      <c r="C2589" s="26" t="s">
        <v>8</v>
      </c>
      <c r="D2589" s="351">
        <v>2</v>
      </c>
      <c r="E2589" s="25"/>
      <c r="F2589" s="351">
        <v>2</v>
      </c>
      <c r="G2589" s="358" t="s">
        <v>3080</v>
      </c>
      <c r="H2589" s="373"/>
      <c r="I2589" s="372" t="s">
        <v>2596</v>
      </c>
      <c r="J2589" s="358" t="s">
        <v>2328</v>
      </c>
      <c r="K2589" s="311">
        <v>886078.36800000002</v>
      </c>
      <c r="L2589" s="311">
        <v>0</v>
      </c>
      <c r="M2589" s="311">
        <v>84852.668571428585</v>
      </c>
      <c r="N2589" s="311">
        <v>87335.965714285718</v>
      </c>
      <c r="O2589" s="311">
        <v>61135.175999999999</v>
      </c>
      <c r="P2589" s="68">
        <f t="shared" si="56"/>
        <v>1119402.1782857142</v>
      </c>
      <c r="Q2589" s="68">
        <f t="shared" si="57"/>
        <v>2238804.3565714285</v>
      </c>
      <c r="R2589" s="127">
        <f t="shared" si="58"/>
        <v>2238804.3565714285</v>
      </c>
      <c r="S2589" s="26"/>
    </row>
    <row r="2590" spans="1:19" ht="45">
      <c r="A2590" s="24">
        <v>3</v>
      </c>
      <c r="B2590" s="25" t="s">
        <v>653</v>
      </c>
      <c r="C2590" s="26" t="s">
        <v>117</v>
      </c>
      <c r="D2590" s="351">
        <v>181</v>
      </c>
      <c r="E2590" s="25"/>
      <c r="F2590" s="351">
        <v>181</v>
      </c>
      <c r="G2590" s="372" t="s">
        <v>3081</v>
      </c>
      <c r="H2590" s="373"/>
      <c r="I2590" s="372" t="s">
        <v>2596</v>
      </c>
      <c r="J2590" s="358" t="s">
        <v>2328</v>
      </c>
      <c r="K2590" s="311">
        <v>484680.16800000001</v>
      </c>
      <c r="L2590" s="311">
        <v>0</v>
      </c>
      <c r="M2590" s="311">
        <v>73518.930000000008</v>
      </c>
      <c r="N2590" s="311">
        <v>50170.98</v>
      </c>
      <c r="O2590" s="311">
        <v>35119.686000000002</v>
      </c>
      <c r="P2590" s="68">
        <f t="shared" si="56"/>
        <v>643489.76399999997</v>
      </c>
      <c r="Q2590" s="68">
        <f t="shared" si="57"/>
        <v>116471647.28399999</v>
      </c>
      <c r="R2590" s="127">
        <f t="shared" si="58"/>
        <v>116471647.28399999</v>
      </c>
      <c r="S2590" s="26"/>
    </row>
    <row r="2591" spans="1:19" ht="60">
      <c r="A2591" s="24"/>
      <c r="B2591" s="25" t="s">
        <v>654</v>
      </c>
      <c r="C2591" s="26" t="s">
        <v>8</v>
      </c>
      <c r="D2591" s="351">
        <v>2</v>
      </c>
      <c r="E2591" s="25"/>
      <c r="F2591" s="351">
        <v>2</v>
      </c>
      <c r="G2591" s="358" t="s">
        <v>3082</v>
      </c>
      <c r="H2591" s="373"/>
      <c r="I2591" s="372" t="s">
        <v>2596</v>
      </c>
      <c r="J2591" s="358" t="s">
        <v>2328</v>
      </c>
      <c r="K2591" s="311">
        <v>755672.9040000001</v>
      </c>
      <c r="L2591" s="311">
        <v>0</v>
      </c>
      <c r="M2591" s="311">
        <v>68267.577857142867</v>
      </c>
      <c r="N2591" s="311">
        <v>74120.018571428576</v>
      </c>
      <c r="O2591" s="311">
        <v>51884.013000000006</v>
      </c>
      <c r="P2591" s="68">
        <f t="shared" si="56"/>
        <v>949944.51342857163</v>
      </c>
      <c r="Q2591" s="68">
        <f t="shared" si="57"/>
        <v>1899889.0268571433</v>
      </c>
      <c r="R2591" s="127">
        <f t="shared" si="58"/>
        <v>1899889.0268571433</v>
      </c>
      <c r="S2591" s="26"/>
    </row>
    <row r="2592" spans="1:19" ht="60">
      <c r="A2592" s="24"/>
      <c r="B2592" s="25" t="s">
        <v>655</v>
      </c>
      <c r="C2592" s="26" t="s">
        <v>8</v>
      </c>
      <c r="D2592" s="351">
        <v>1</v>
      </c>
      <c r="E2592" s="25"/>
      <c r="F2592" s="351">
        <v>1</v>
      </c>
      <c r="G2592" s="358" t="s">
        <v>3083</v>
      </c>
      <c r="H2592" s="373"/>
      <c r="I2592" s="372" t="s">
        <v>2596</v>
      </c>
      <c r="J2592" s="358" t="s">
        <v>2328</v>
      </c>
      <c r="K2592" s="311">
        <v>755672.9040000001</v>
      </c>
      <c r="L2592" s="311">
        <v>0</v>
      </c>
      <c r="M2592" s="311">
        <v>68267.577857142867</v>
      </c>
      <c r="N2592" s="311">
        <v>74120.018571428576</v>
      </c>
      <c r="O2592" s="311">
        <v>51884.013000000006</v>
      </c>
      <c r="P2592" s="68">
        <f t="shared" si="56"/>
        <v>949944.51342857163</v>
      </c>
      <c r="Q2592" s="68">
        <f t="shared" si="57"/>
        <v>949944.51342857163</v>
      </c>
      <c r="R2592" s="127">
        <f t="shared" si="58"/>
        <v>949944.51342857163</v>
      </c>
      <c r="S2592" s="26"/>
    </row>
    <row r="2593" spans="1:19" ht="45">
      <c r="A2593" s="24"/>
      <c r="B2593" s="25" t="s">
        <v>656</v>
      </c>
      <c r="C2593" s="26" t="s">
        <v>8</v>
      </c>
      <c r="D2593" s="351">
        <v>1</v>
      </c>
      <c r="E2593" s="25"/>
      <c r="F2593" s="351">
        <v>1</v>
      </c>
      <c r="G2593" s="358" t="s">
        <v>3084</v>
      </c>
      <c r="H2593" s="373"/>
      <c r="I2593" s="372" t="s">
        <v>2596</v>
      </c>
      <c r="J2593" s="358" t="s">
        <v>2328</v>
      </c>
      <c r="K2593" s="311">
        <v>790656.55200000003</v>
      </c>
      <c r="L2593" s="311">
        <v>0</v>
      </c>
      <c r="M2593" s="311">
        <v>102401.3667857143</v>
      </c>
      <c r="N2593" s="311">
        <v>80292.387857142865</v>
      </c>
      <c r="O2593" s="311">
        <v>56204.671500000004</v>
      </c>
      <c r="P2593" s="68">
        <f t="shared" si="56"/>
        <v>1029554.9781428572</v>
      </c>
      <c r="Q2593" s="68">
        <f t="shared" si="57"/>
        <v>1029554.9781428572</v>
      </c>
      <c r="R2593" s="127">
        <f t="shared" si="58"/>
        <v>1029554.9781428572</v>
      </c>
      <c r="S2593" s="26"/>
    </row>
    <row r="2594" spans="1:19" ht="60">
      <c r="A2594" s="24"/>
      <c r="B2594" s="25" t="s">
        <v>657</v>
      </c>
      <c r="C2594" s="26" t="s">
        <v>8</v>
      </c>
      <c r="D2594" s="351">
        <v>2</v>
      </c>
      <c r="E2594" s="25"/>
      <c r="F2594" s="351">
        <v>2</v>
      </c>
      <c r="G2594" s="358" t="s">
        <v>3085</v>
      </c>
      <c r="H2594" s="373"/>
      <c r="I2594" s="372" t="s">
        <v>2596</v>
      </c>
      <c r="J2594" s="358" t="s">
        <v>2328</v>
      </c>
      <c r="K2594" s="311">
        <v>755672.9040000001</v>
      </c>
      <c r="L2594" s="311">
        <v>0</v>
      </c>
      <c r="M2594" s="311">
        <v>68267.577857142867</v>
      </c>
      <c r="N2594" s="311">
        <v>74120.018571428576</v>
      </c>
      <c r="O2594" s="311">
        <v>51884.013000000006</v>
      </c>
      <c r="P2594" s="68">
        <f t="shared" si="56"/>
        <v>949944.51342857163</v>
      </c>
      <c r="Q2594" s="68">
        <f t="shared" si="57"/>
        <v>1899889.0268571433</v>
      </c>
      <c r="R2594" s="127">
        <f t="shared" si="58"/>
        <v>1899889.0268571433</v>
      </c>
      <c r="S2594" s="26"/>
    </row>
    <row r="2595" spans="1:19" ht="45">
      <c r="A2595" s="24">
        <v>4</v>
      </c>
      <c r="B2595" s="25" t="s">
        <v>658</v>
      </c>
      <c r="C2595" s="26" t="s">
        <v>117</v>
      </c>
      <c r="D2595" s="351">
        <v>30</v>
      </c>
      <c r="E2595" s="25"/>
      <c r="F2595" s="351">
        <v>30</v>
      </c>
      <c r="G2595" s="372" t="s">
        <v>3086</v>
      </c>
      <c r="H2595" s="358"/>
      <c r="I2595" s="372" t="s">
        <v>2596</v>
      </c>
      <c r="J2595" s="358" t="s">
        <v>2328</v>
      </c>
      <c r="K2595" s="311">
        <v>448260.62400000001</v>
      </c>
      <c r="L2595" s="311">
        <v>0</v>
      </c>
      <c r="M2595" s="311">
        <v>59240.250000000007</v>
      </c>
      <c r="N2595" s="311">
        <v>45626.34</v>
      </c>
      <c r="O2595" s="311">
        <v>31938.438000000002</v>
      </c>
      <c r="P2595" s="68">
        <f t="shared" si="56"/>
        <v>585065.652</v>
      </c>
      <c r="Q2595" s="68">
        <f t="shared" si="57"/>
        <v>17551969.559999999</v>
      </c>
      <c r="R2595" s="127">
        <f t="shared" si="58"/>
        <v>17551969.559999999</v>
      </c>
      <c r="S2595" s="26"/>
    </row>
    <row r="2596" spans="1:19" ht="45">
      <c r="A2596" s="24">
        <v>5</v>
      </c>
      <c r="B2596" s="25" t="s">
        <v>659</v>
      </c>
      <c r="C2596" s="26" t="s">
        <v>117</v>
      </c>
      <c r="D2596" s="351">
        <v>8</v>
      </c>
      <c r="E2596" s="25"/>
      <c r="F2596" s="351">
        <v>8</v>
      </c>
      <c r="G2596" s="372" t="s">
        <v>3087</v>
      </c>
      <c r="H2596" s="373"/>
      <c r="I2596" s="372" t="s">
        <v>2596</v>
      </c>
      <c r="J2596" s="358" t="s">
        <v>2328</v>
      </c>
      <c r="K2596" s="311">
        <v>429985.58399999997</v>
      </c>
      <c r="L2596" s="311">
        <v>0</v>
      </c>
      <c r="M2596" s="311">
        <v>51260.711538461546</v>
      </c>
      <c r="N2596" s="311">
        <v>43273.786153846158</v>
      </c>
      <c r="O2596" s="311">
        <v>30291.650307692311</v>
      </c>
      <c r="P2596" s="68">
        <f t="shared" si="56"/>
        <v>554811.73200000008</v>
      </c>
      <c r="Q2596" s="68">
        <f t="shared" si="57"/>
        <v>4438493.8560000006</v>
      </c>
      <c r="R2596" s="127">
        <f t="shared" si="58"/>
        <v>4438493.8560000006</v>
      </c>
      <c r="S2596" s="26"/>
    </row>
    <row r="2597" spans="1:19" ht="45">
      <c r="A2597" s="24">
        <v>6</v>
      </c>
      <c r="B2597" s="25" t="s">
        <v>660</v>
      </c>
      <c r="C2597" s="26" t="s">
        <v>117</v>
      </c>
      <c r="D2597" s="351">
        <v>91</v>
      </c>
      <c r="E2597" s="25"/>
      <c r="F2597" s="351">
        <v>91</v>
      </c>
      <c r="G2597" s="372" t="s">
        <v>3088</v>
      </c>
      <c r="H2597" s="373"/>
      <c r="I2597" s="372" t="s">
        <v>2596</v>
      </c>
      <c r="J2597" s="358" t="s">
        <v>2328</v>
      </c>
      <c r="K2597" s="311">
        <v>963094.60800000001</v>
      </c>
      <c r="L2597" s="311">
        <v>0</v>
      </c>
      <c r="M2597" s="311">
        <v>90505.937500000015</v>
      </c>
      <c r="N2597" s="311">
        <v>94774.654999999999</v>
      </c>
      <c r="O2597" s="311">
        <v>66342.258499999996</v>
      </c>
      <c r="P2597" s="68">
        <f t="shared" si="56"/>
        <v>1214717.459</v>
      </c>
      <c r="Q2597" s="68">
        <f t="shared" si="57"/>
        <v>110539288.76900001</v>
      </c>
      <c r="R2597" s="127">
        <f t="shared" si="58"/>
        <v>110539288.76900001</v>
      </c>
      <c r="S2597" s="26"/>
    </row>
    <row r="2598" spans="1:19" ht="60">
      <c r="A2598" s="24"/>
      <c r="B2598" s="25" t="s">
        <v>661</v>
      </c>
      <c r="C2598" s="26" t="s">
        <v>8</v>
      </c>
      <c r="D2598" s="351">
        <v>3</v>
      </c>
      <c r="E2598" s="25"/>
      <c r="F2598" s="351">
        <v>3</v>
      </c>
      <c r="G2598" s="358" t="s">
        <v>3089</v>
      </c>
      <c r="H2598" s="373"/>
      <c r="I2598" s="372" t="s">
        <v>2596</v>
      </c>
      <c r="J2598" s="358" t="s">
        <v>2328</v>
      </c>
      <c r="K2598" s="311">
        <v>1347131.52</v>
      </c>
      <c r="L2598" s="311">
        <v>0</v>
      </c>
      <c r="M2598" s="311">
        <v>84041.227678571435</v>
      </c>
      <c r="N2598" s="311">
        <v>128800.4767857143</v>
      </c>
      <c r="O2598" s="311">
        <v>90160.33375000002</v>
      </c>
      <c r="P2598" s="68">
        <f t="shared" si="56"/>
        <v>1650133.5582142856</v>
      </c>
      <c r="Q2598" s="68">
        <f t="shared" si="57"/>
        <v>4950400.6746428572</v>
      </c>
      <c r="R2598" s="127">
        <f t="shared" si="58"/>
        <v>4950400.6746428572</v>
      </c>
      <c r="S2598" s="26"/>
    </row>
    <row r="2599" spans="1:19" ht="60">
      <c r="A2599" s="24"/>
      <c r="B2599" s="25" t="s">
        <v>662</v>
      </c>
      <c r="C2599" s="26" t="s">
        <v>8</v>
      </c>
      <c r="D2599" s="351">
        <v>6</v>
      </c>
      <c r="E2599" s="25"/>
      <c r="F2599" s="351">
        <v>6</v>
      </c>
      <c r="G2599" s="358" t="s">
        <v>3090</v>
      </c>
      <c r="H2599" s="373"/>
      <c r="I2599" s="372" t="s">
        <v>2596</v>
      </c>
      <c r="J2599" s="358" t="s">
        <v>2328</v>
      </c>
      <c r="K2599" s="311">
        <v>1347131.52</v>
      </c>
      <c r="L2599" s="311">
        <v>0</v>
      </c>
      <c r="M2599" s="311">
        <v>84041.227678571435</v>
      </c>
      <c r="N2599" s="311">
        <v>128800.4767857143</v>
      </c>
      <c r="O2599" s="311">
        <v>90160.33375000002</v>
      </c>
      <c r="P2599" s="68">
        <f t="shared" si="56"/>
        <v>1650133.5582142856</v>
      </c>
      <c r="Q2599" s="68">
        <f t="shared" si="57"/>
        <v>9900801.3492857143</v>
      </c>
      <c r="R2599" s="127">
        <f t="shared" si="58"/>
        <v>9900801.3492857143</v>
      </c>
      <c r="S2599" s="26"/>
    </row>
    <row r="2600" spans="1:19" ht="60">
      <c r="A2600" s="24"/>
      <c r="B2600" s="25" t="s">
        <v>663</v>
      </c>
      <c r="C2600" s="26" t="s">
        <v>8</v>
      </c>
      <c r="D2600" s="351">
        <v>11</v>
      </c>
      <c r="E2600" s="25"/>
      <c r="F2600" s="351">
        <v>11</v>
      </c>
      <c r="G2600" s="358" t="s">
        <v>3091</v>
      </c>
      <c r="H2600" s="373"/>
      <c r="I2600" s="372" t="s">
        <v>2596</v>
      </c>
      <c r="J2600" s="358" t="s">
        <v>2328</v>
      </c>
      <c r="K2600" s="311">
        <v>1548026.4240000001</v>
      </c>
      <c r="L2600" s="311">
        <v>0</v>
      </c>
      <c r="M2600" s="311">
        <v>126061.84151785716</v>
      </c>
      <c r="N2600" s="311">
        <v>150617.75517857142</v>
      </c>
      <c r="O2600" s="311">
        <v>105432.428625</v>
      </c>
      <c r="P2600" s="68">
        <f t="shared" si="56"/>
        <v>1930138.4493214288</v>
      </c>
      <c r="Q2600" s="68">
        <f t="shared" si="57"/>
        <v>21231522.942535717</v>
      </c>
      <c r="R2600" s="127">
        <f t="shared" si="58"/>
        <v>21231522.942535717</v>
      </c>
      <c r="S2600" s="26"/>
    </row>
    <row r="2601" spans="1:19" ht="45">
      <c r="A2601" s="24"/>
      <c r="B2601" s="25" t="s">
        <v>664</v>
      </c>
      <c r="C2601" s="26" t="s">
        <v>8</v>
      </c>
      <c r="D2601" s="351">
        <v>10</v>
      </c>
      <c r="E2601" s="25"/>
      <c r="F2601" s="351">
        <v>10</v>
      </c>
      <c r="G2601" s="358" t="s">
        <v>3092</v>
      </c>
      <c r="H2601" s="373"/>
      <c r="I2601" s="372" t="s">
        <v>2596</v>
      </c>
      <c r="J2601" s="358" t="s">
        <v>2328</v>
      </c>
      <c r="K2601" s="311">
        <v>1548026.4240000001</v>
      </c>
      <c r="L2601" s="311">
        <v>0</v>
      </c>
      <c r="M2601" s="311">
        <v>126061.84151785716</v>
      </c>
      <c r="N2601" s="311">
        <v>150617.75517857142</v>
      </c>
      <c r="O2601" s="311">
        <v>105432.428625</v>
      </c>
      <c r="P2601" s="68">
        <f t="shared" si="56"/>
        <v>1930138.4493214288</v>
      </c>
      <c r="Q2601" s="68">
        <f t="shared" si="57"/>
        <v>19301384.493214287</v>
      </c>
      <c r="R2601" s="127">
        <f t="shared" si="58"/>
        <v>19301384.493214287</v>
      </c>
      <c r="S2601" s="26"/>
    </row>
    <row r="2602" spans="1:19" ht="60">
      <c r="A2602" s="24"/>
      <c r="B2602" s="25" t="s">
        <v>665</v>
      </c>
      <c r="C2602" s="26" t="s">
        <v>8</v>
      </c>
      <c r="D2602" s="351">
        <v>4</v>
      </c>
      <c r="E2602" s="25"/>
      <c r="F2602" s="351">
        <v>4</v>
      </c>
      <c r="G2602" s="358" t="s">
        <v>3093</v>
      </c>
      <c r="H2602" s="373"/>
      <c r="I2602" s="372" t="s">
        <v>2596</v>
      </c>
      <c r="J2602" s="358" t="s">
        <v>2328</v>
      </c>
      <c r="K2602" s="311">
        <v>1636660.3680000002</v>
      </c>
      <c r="L2602" s="311">
        <v>0</v>
      </c>
      <c r="M2602" s="311">
        <v>168082.45535714287</v>
      </c>
      <c r="N2602" s="311">
        <v>162321.43357142858</v>
      </c>
      <c r="O2602" s="311">
        <v>113625.00350000001</v>
      </c>
      <c r="P2602" s="68">
        <f t="shared" si="56"/>
        <v>2080689.2604285718</v>
      </c>
      <c r="Q2602" s="68">
        <f t="shared" si="57"/>
        <v>8322757.0417142874</v>
      </c>
      <c r="R2602" s="127">
        <f t="shared" si="58"/>
        <v>8322757.0417142874</v>
      </c>
      <c r="S2602" s="26"/>
    </row>
    <row r="2603" spans="1:19" ht="60">
      <c r="A2603" s="24"/>
      <c r="B2603" s="25" t="s">
        <v>666</v>
      </c>
      <c r="C2603" s="26" t="s">
        <v>8</v>
      </c>
      <c r="D2603" s="351">
        <v>4</v>
      </c>
      <c r="E2603" s="25"/>
      <c r="F2603" s="351">
        <v>4</v>
      </c>
      <c r="G2603" s="358" t="s">
        <v>3094</v>
      </c>
      <c r="H2603" s="373"/>
      <c r="I2603" s="372" t="s">
        <v>2596</v>
      </c>
      <c r="J2603" s="358" t="s">
        <v>2328</v>
      </c>
      <c r="K2603" s="311">
        <v>1636660.3680000002</v>
      </c>
      <c r="L2603" s="311">
        <v>0</v>
      </c>
      <c r="M2603" s="311">
        <v>168082.45535714287</v>
      </c>
      <c r="N2603" s="311">
        <v>162321.43357142858</v>
      </c>
      <c r="O2603" s="311">
        <v>113625.00350000001</v>
      </c>
      <c r="P2603" s="68">
        <f t="shared" si="56"/>
        <v>2080689.2604285718</v>
      </c>
      <c r="Q2603" s="68">
        <f t="shared" si="57"/>
        <v>8322757.0417142874</v>
      </c>
      <c r="R2603" s="127">
        <f t="shared" si="58"/>
        <v>8322757.0417142874</v>
      </c>
      <c r="S2603" s="26"/>
    </row>
    <row r="2604" spans="1:19" ht="45">
      <c r="A2604" s="24"/>
      <c r="B2604" s="25" t="s">
        <v>667</v>
      </c>
      <c r="C2604" s="26" t="s">
        <v>8</v>
      </c>
      <c r="D2604" s="351">
        <v>2</v>
      </c>
      <c r="E2604" s="25"/>
      <c r="F2604" s="351">
        <v>2</v>
      </c>
      <c r="G2604" s="358" t="s">
        <v>3095</v>
      </c>
      <c r="H2604" s="373"/>
      <c r="I2604" s="372" t="s">
        <v>2596</v>
      </c>
      <c r="J2604" s="358" t="s">
        <v>2328</v>
      </c>
      <c r="K2604" s="311">
        <v>1637313.0480000002</v>
      </c>
      <c r="L2604" s="311">
        <v>0</v>
      </c>
      <c r="M2604" s="311">
        <v>84041.227678571435</v>
      </c>
      <c r="N2604" s="311">
        <v>154942.95678571431</v>
      </c>
      <c r="O2604" s="311">
        <v>108460.06975000002</v>
      </c>
      <c r="P2604" s="68">
        <f t="shared" si="56"/>
        <v>1984757.3022142858</v>
      </c>
      <c r="Q2604" s="68">
        <f t="shared" si="57"/>
        <v>3969514.6044285716</v>
      </c>
      <c r="R2604" s="127">
        <f t="shared" si="58"/>
        <v>3969514.6044285716</v>
      </c>
      <c r="S2604" s="26"/>
    </row>
    <row r="2605" spans="1:19" ht="60">
      <c r="A2605" s="24"/>
      <c r="B2605" s="25" t="s">
        <v>668</v>
      </c>
      <c r="C2605" s="26" t="s">
        <v>8</v>
      </c>
      <c r="D2605" s="351">
        <v>4</v>
      </c>
      <c r="E2605" s="25"/>
      <c r="F2605" s="351">
        <v>4</v>
      </c>
      <c r="G2605" s="358" t="s">
        <v>3096</v>
      </c>
      <c r="H2605" s="373"/>
      <c r="I2605" s="372" t="s">
        <v>2596</v>
      </c>
      <c r="J2605" s="358" t="s">
        <v>2328</v>
      </c>
      <c r="K2605" s="311">
        <v>1347131.52</v>
      </c>
      <c r="L2605" s="311">
        <v>0</v>
      </c>
      <c r="M2605" s="311">
        <v>84041.227678571435</v>
      </c>
      <c r="N2605" s="311">
        <v>128800.4767857143</v>
      </c>
      <c r="O2605" s="311">
        <v>90160.33375000002</v>
      </c>
      <c r="P2605" s="68">
        <f t="shared" si="56"/>
        <v>1650133.5582142856</v>
      </c>
      <c r="Q2605" s="68">
        <f t="shared" si="57"/>
        <v>6600534.2328571426</v>
      </c>
      <c r="R2605" s="127">
        <f t="shared" si="58"/>
        <v>6600534.2328571426</v>
      </c>
      <c r="S2605" s="26"/>
    </row>
    <row r="2606" spans="1:19" ht="60">
      <c r="A2606" s="24"/>
      <c r="B2606" s="25" t="s">
        <v>669</v>
      </c>
      <c r="C2606" s="26" t="s">
        <v>8</v>
      </c>
      <c r="D2606" s="351">
        <v>8</v>
      </c>
      <c r="E2606" s="25"/>
      <c r="F2606" s="351">
        <v>8</v>
      </c>
      <c r="G2606" s="358" t="s">
        <v>3097</v>
      </c>
      <c r="H2606" s="373"/>
      <c r="I2606" s="372" t="s">
        <v>2596</v>
      </c>
      <c r="J2606" s="358" t="s">
        <v>2328</v>
      </c>
      <c r="K2606" s="311">
        <v>1347131.52</v>
      </c>
      <c r="L2606" s="311">
        <v>0</v>
      </c>
      <c r="M2606" s="311">
        <v>84041.227678571435</v>
      </c>
      <c r="N2606" s="311">
        <v>128800.4767857143</v>
      </c>
      <c r="O2606" s="311">
        <v>90160.33375000002</v>
      </c>
      <c r="P2606" s="68">
        <f t="shared" si="56"/>
        <v>1650133.5582142856</v>
      </c>
      <c r="Q2606" s="68">
        <f t="shared" si="57"/>
        <v>13201068.465714285</v>
      </c>
      <c r="R2606" s="127">
        <f t="shared" si="58"/>
        <v>13201068.465714285</v>
      </c>
      <c r="S2606" s="26"/>
    </row>
    <row r="2607" spans="1:19" ht="45">
      <c r="A2607" s="24">
        <v>7</v>
      </c>
      <c r="B2607" s="25" t="s">
        <v>670</v>
      </c>
      <c r="C2607" s="26" t="s">
        <v>117</v>
      </c>
      <c r="D2607" s="351">
        <v>612</v>
      </c>
      <c r="E2607" s="25"/>
      <c r="F2607" s="351">
        <v>612</v>
      </c>
      <c r="G2607" s="372" t="s">
        <v>3098</v>
      </c>
      <c r="H2607" s="358"/>
      <c r="I2607" s="372" t="s">
        <v>2596</v>
      </c>
      <c r="J2607" s="358" t="s">
        <v>2328</v>
      </c>
      <c r="K2607" s="311">
        <v>585062.35199999996</v>
      </c>
      <c r="L2607" s="311">
        <v>0</v>
      </c>
      <c r="M2607" s="311">
        <v>78314.975961538454</v>
      </c>
      <c r="N2607" s="311">
        <v>59638.848846153851</v>
      </c>
      <c r="O2607" s="311">
        <v>41747.194192307696</v>
      </c>
      <c r="P2607" s="68">
        <f t="shared" si="56"/>
        <v>764763.37099999993</v>
      </c>
      <c r="Q2607" s="68">
        <f t="shared" si="57"/>
        <v>468035183.05199993</v>
      </c>
      <c r="R2607" s="127">
        <f t="shared" si="58"/>
        <v>468035183.05199993</v>
      </c>
      <c r="S2607" s="26"/>
    </row>
    <row r="2608" spans="1:19" ht="60">
      <c r="A2608" s="24"/>
      <c r="B2608" s="25" t="s">
        <v>671</v>
      </c>
      <c r="C2608" s="26" t="s">
        <v>8</v>
      </c>
      <c r="D2608" s="351">
        <v>46</v>
      </c>
      <c r="E2608" s="25"/>
      <c r="F2608" s="351">
        <v>46</v>
      </c>
      <c r="G2608" s="358" t="s">
        <v>3099</v>
      </c>
      <c r="H2608" s="358"/>
      <c r="I2608" s="372" t="s">
        <v>2596</v>
      </c>
      <c r="J2608" s="358" t="s">
        <v>2328</v>
      </c>
      <c r="K2608" s="311">
        <v>697192.77600000007</v>
      </c>
      <c r="L2608" s="311">
        <v>0</v>
      </c>
      <c r="M2608" s="311">
        <v>72721.04910714287</v>
      </c>
      <c r="N2608" s="311">
        <v>69245.651071428569</v>
      </c>
      <c r="O2608" s="311">
        <v>48471.955750000001</v>
      </c>
      <c r="P2608" s="68">
        <f t="shared" si="56"/>
        <v>887631.43192857143</v>
      </c>
      <c r="Q2608" s="68">
        <f t="shared" si="57"/>
        <v>40831045.868714288</v>
      </c>
      <c r="R2608" s="127">
        <f t="shared" si="58"/>
        <v>40831045.868714288</v>
      </c>
      <c r="S2608" s="26"/>
    </row>
    <row r="2609" spans="1:19" ht="60">
      <c r="A2609" s="24"/>
      <c r="B2609" s="25" t="s">
        <v>672</v>
      </c>
      <c r="C2609" s="26" t="s">
        <v>8</v>
      </c>
      <c r="D2609" s="351">
        <v>19</v>
      </c>
      <c r="E2609" s="25"/>
      <c r="F2609" s="351">
        <v>19</v>
      </c>
      <c r="G2609" s="358" t="s">
        <v>3100</v>
      </c>
      <c r="H2609" s="358"/>
      <c r="I2609" s="372" t="s">
        <v>2596</v>
      </c>
      <c r="J2609" s="358" t="s">
        <v>2328</v>
      </c>
      <c r="K2609" s="311">
        <v>697192.77600000007</v>
      </c>
      <c r="L2609" s="311">
        <v>0</v>
      </c>
      <c r="M2609" s="311">
        <v>72721.04910714287</v>
      </c>
      <c r="N2609" s="311">
        <v>69245.651071428569</v>
      </c>
      <c r="O2609" s="311">
        <v>48471.955750000001</v>
      </c>
      <c r="P2609" s="68">
        <f t="shared" si="56"/>
        <v>887631.43192857143</v>
      </c>
      <c r="Q2609" s="68">
        <f t="shared" si="57"/>
        <v>16864997.206642859</v>
      </c>
      <c r="R2609" s="127">
        <f t="shared" si="58"/>
        <v>16864997.206642859</v>
      </c>
      <c r="S2609" s="26"/>
    </row>
    <row r="2610" spans="1:19" ht="45">
      <c r="A2610" s="24"/>
      <c r="B2610" s="25" t="s">
        <v>673</v>
      </c>
      <c r="C2610" s="26" t="s">
        <v>8</v>
      </c>
      <c r="D2610" s="351">
        <v>20</v>
      </c>
      <c r="E2610" s="25"/>
      <c r="F2610" s="351">
        <v>20</v>
      </c>
      <c r="G2610" s="358" t="s">
        <v>3101</v>
      </c>
      <c r="H2610" s="358"/>
      <c r="I2610" s="372" t="s">
        <v>2596</v>
      </c>
      <c r="J2610" s="358" t="s">
        <v>2328</v>
      </c>
      <c r="K2610" s="311">
        <v>821332.51199999999</v>
      </c>
      <c r="L2610" s="311">
        <v>0</v>
      </c>
      <c r="M2610" s="311">
        <v>109081.5736607143</v>
      </c>
      <c r="N2610" s="311">
        <v>83647.156607142868</v>
      </c>
      <c r="O2610" s="311">
        <v>58553.009625000006</v>
      </c>
      <c r="P2610" s="68">
        <f t="shared" si="56"/>
        <v>1072614.2518928573</v>
      </c>
      <c r="Q2610" s="68">
        <f t="shared" si="57"/>
        <v>21452285.037857145</v>
      </c>
      <c r="R2610" s="127">
        <f t="shared" si="58"/>
        <v>21452285.037857145</v>
      </c>
      <c r="S2610" s="26"/>
    </row>
    <row r="2611" spans="1:19" ht="45">
      <c r="A2611" s="24"/>
      <c r="B2611" s="25" t="s">
        <v>674</v>
      </c>
      <c r="C2611" s="26" t="s">
        <v>8</v>
      </c>
      <c r="D2611" s="351">
        <v>1</v>
      </c>
      <c r="E2611" s="25"/>
      <c r="F2611" s="351">
        <v>1</v>
      </c>
      <c r="G2611" s="358" t="s">
        <v>3102</v>
      </c>
      <c r="H2611" s="358"/>
      <c r="I2611" s="372" t="s">
        <v>2596</v>
      </c>
      <c r="J2611" s="358" t="s">
        <v>2328</v>
      </c>
      <c r="K2611" s="311">
        <v>880465.32000000007</v>
      </c>
      <c r="L2611" s="311">
        <v>0</v>
      </c>
      <c r="M2611" s="311">
        <v>145442.09821428574</v>
      </c>
      <c r="N2611" s="311">
        <v>92192.182142857157</v>
      </c>
      <c r="O2611" s="311">
        <v>64534.527500000011</v>
      </c>
      <c r="P2611" s="68">
        <f t="shared" si="56"/>
        <v>1182634.1278571431</v>
      </c>
      <c r="Q2611" s="68">
        <f t="shared" si="57"/>
        <v>1182634.1278571431</v>
      </c>
      <c r="R2611" s="127">
        <f t="shared" si="58"/>
        <v>1182634.1278571431</v>
      </c>
      <c r="S2611" s="26"/>
    </row>
    <row r="2612" spans="1:19" ht="60">
      <c r="A2612" s="24"/>
      <c r="B2612" s="25" t="s">
        <v>675</v>
      </c>
      <c r="C2612" s="26" t="s">
        <v>8</v>
      </c>
      <c r="D2612" s="351">
        <v>11</v>
      </c>
      <c r="E2612" s="25"/>
      <c r="F2612" s="351">
        <v>11</v>
      </c>
      <c r="G2612" s="358" t="s">
        <v>3103</v>
      </c>
      <c r="H2612" s="358"/>
      <c r="I2612" s="372" t="s">
        <v>2596</v>
      </c>
      <c r="J2612" s="358" t="s">
        <v>2328</v>
      </c>
      <c r="K2612" s="311">
        <v>697192.77600000007</v>
      </c>
      <c r="L2612" s="311">
        <v>0</v>
      </c>
      <c r="M2612" s="311">
        <v>72721.04910714287</v>
      </c>
      <c r="N2612" s="311">
        <v>69245.651071428569</v>
      </c>
      <c r="O2612" s="311">
        <v>48471.955750000001</v>
      </c>
      <c r="P2612" s="68">
        <f t="shared" si="56"/>
        <v>887631.43192857143</v>
      </c>
      <c r="Q2612" s="68">
        <f t="shared" si="57"/>
        <v>9763945.7512142863</v>
      </c>
      <c r="R2612" s="127">
        <f t="shared" si="58"/>
        <v>9763945.7512142863</v>
      </c>
      <c r="S2612" s="26"/>
    </row>
    <row r="2613" spans="1:19" ht="45">
      <c r="A2613" s="24"/>
      <c r="B2613" s="25" t="s">
        <v>676</v>
      </c>
      <c r="C2613" s="26" t="s">
        <v>8</v>
      </c>
      <c r="D2613" s="351">
        <v>3</v>
      </c>
      <c r="E2613" s="25"/>
      <c r="F2613" s="351">
        <v>3</v>
      </c>
      <c r="G2613" s="358" t="s">
        <v>3104</v>
      </c>
      <c r="H2613" s="373"/>
      <c r="I2613" s="372" t="s">
        <v>2596</v>
      </c>
      <c r="J2613" s="358" t="s">
        <v>2328</v>
      </c>
      <c r="K2613" s="311">
        <v>994553.7840000001</v>
      </c>
      <c r="L2613" s="311">
        <v>0</v>
      </c>
      <c r="M2613" s="311">
        <v>72721.04910714287</v>
      </c>
      <c r="N2613" s="311">
        <v>96034.931071428582</v>
      </c>
      <c r="O2613" s="311">
        <v>67224.451750000007</v>
      </c>
      <c r="P2613" s="68">
        <f t="shared" si="56"/>
        <v>1230534.2159285715</v>
      </c>
      <c r="Q2613" s="68">
        <f t="shared" si="57"/>
        <v>3691602.6477857148</v>
      </c>
      <c r="R2613" s="127">
        <f t="shared" si="58"/>
        <v>3691602.6477857148</v>
      </c>
      <c r="S2613" s="26"/>
    </row>
    <row r="2614" spans="1:19" ht="60">
      <c r="A2614" s="24"/>
      <c r="B2614" s="25" t="s">
        <v>677</v>
      </c>
      <c r="C2614" s="26" t="s">
        <v>8</v>
      </c>
      <c r="D2614" s="351">
        <v>5</v>
      </c>
      <c r="E2614" s="25"/>
      <c r="F2614" s="351">
        <v>5</v>
      </c>
      <c r="G2614" s="358" t="s">
        <v>3105</v>
      </c>
      <c r="H2614" s="373"/>
      <c r="I2614" s="372" t="s">
        <v>2596</v>
      </c>
      <c r="J2614" s="358" t="s">
        <v>2328</v>
      </c>
      <c r="K2614" s="311">
        <v>821332.51199999999</v>
      </c>
      <c r="L2614" s="311">
        <v>0</v>
      </c>
      <c r="M2614" s="311">
        <v>109081.5736607143</v>
      </c>
      <c r="N2614" s="311">
        <v>83647.156607142868</v>
      </c>
      <c r="O2614" s="311">
        <v>58553.009625000006</v>
      </c>
      <c r="P2614" s="68">
        <f t="shared" si="56"/>
        <v>1072614.2518928573</v>
      </c>
      <c r="Q2614" s="68">
        <f t="shared" si="57"/>
        <v>5363071.2594642863</v>
      </c>
      <c r="R2614" s="127">
        <f t="shared" si="58"/>
        <v>5363071.2594642863</v>
      </c>
      <c r="S2614" s="26"/>
    </row>
    <row r="2615" spans="1:19" ht="45">
      <c r="A2615" s="24">
        <v>8</v>
      </c>
      <c r="B2615" s="25" t="s">
        <v>678</v>
      </c>
      <c r="C2615" s="26" t="s">
        <v>117</v>
      </c>
      <c r="D2615" s="351">
        <v>731</v>
      </c>
      <c r="E2615" s="25"/>
      <c r="F2615" s="351">
        <v>731</v>
      </c>
      <c r="G2615" s="372" t="s">
        <v>3106</v>
      </c>
      <c r="H2615" s="358"/>
      <c r="I2615" s="372" t="s">
        <v>2596</v>
      </c>
      <c r="J2615" s="358" t="s">
        <v>2328</v>
      </c>
      <c r="K2615" s="311">
        <v>443300.25599999999</v>
      </c>
      <c r="L2615" s="311">
        <v>0</v>
      </c>
      <c r="M2615" s="311">
        <v>62346.011538461542</v>
      </c>
      <c r="N2615" s="311">
        <v>45454.306153846155</v>
      </c>
      <c r="O2615" s="311">
        <v>31818.014307692312</v>
      </c>
      <c r="P2615" s="68">
        <f t="shared" si="56"/>
        <v>582918.58799999999</v>
      </c>
      <c r="Q2615" s="68">
        <f t="shared" si="57"/>
        <v>426113487.82800001</v>
      </c>
      <c r="R2615" s="127">
        <f t="shared" si="58"/>
        <v>426113487.82800001</v>
      </c>
      <c r="S2615" s="26"/>
    </row>
    <row r="2616" spans="1:19" ht="60">
      <c r="A2616" s="24"/>
      <c r="B2616" s="25" t="s">
        <v>679</v>
      </c>
      <c r="C2616" s="26" t="s">
        <v>8</v>
      </c>
      <c r="D2616" s="351">
        <v>26</v>
      </c>
      <c r="E2616" s="25"/>
      <c r="F2616" s="351">
        <v>26</v>
      </c>
      <c r="G2616" s="358" t="s">
        <v>3107</v>
      </c>
      <c r="H2616" s="358"/>
      <c r="I2616" s="372" t="s">
        <v>2596</v>
      </c>
      <c r="J2616" s="358" t="s">
        <v>2328</v>
      </c>
      <c r="K2616" s="311">
        <v>443300.25599999999</v>
      </c>
      <c r="L2616" s="311">
        <v>0</v>
      </c>
      <c r="M2616" s="311">
        <v>57892.725000000006</v>
      </c>
      <c r="N2616" s="311">
        <v>45060.21</v>
      </c>
      <c r="O2616" s="311">
        <v>31542.147000000001</v>
      </c>
      <c r="P2616" s="68">
        <f t="shared" si="56"/>
        <v>577795.33799999999</v>
      </c>
      <c r="Q2616" s="68">
        <f t="shared" si="57"/>
        <v>15022678.787999999</v>
      </c>
      <c r="R2616" s="127">
        <f t="shared" si="58"/>
        <v>15022678.787999999</v>
      </c>
      <c r="S2616" s="26"/>
    </row>
    <row r="2617" spans="1:19" ht="60">
      <c r="A2617" s="24"/>
      <c r="B2617" s="25" t="s">
        <v>680</v>
      </c>
      <c r="C2617" s="26" t="s">
        <v>8</v>
      </c>
      <c r="D2617" s="351">
        <v>49</v>
      </c>
      <c r="E2617" s="25"/>
      <c r="F2617" s="351">
        <v>49</v>
      </c>
      <c r="G2617" s="358" t="s">
        <v>3108</v>
      </c>
      <c r="H2617" s="358"/>
      <c r="I2617" s="372" t="s">
        <v>2596</v>
      </c>
      <c r="J2617" s="358" t="s">
        <v>2328</v>
      </c>
      <c r="K2617" s="311">
        <v>443300.25599999999</v>
      </c>
      <c r="L2617" s="311">
        <v>0</v>
      </c>
      <c r="M2617" s="311">
        <v>57892.725000000006</v>
      </c>
      <c r="N2617" s="311">
        <v>45060.21</v>
      </c>
      <c r="O2617" s="311">
        <v>31542.147000000001</v>
      </c>
      <c r="P2617" s="68">
        <f t="shared" si="56"/>
        <v>577795.33799999999</v>
      </c>
      <c r="Q2617" s="68">
        <f t="shared" si="57"/>
        <v>28311971.561999999</v>
      </c>
      <c r="R2617" s="127">
        <f t="shared" si="58"/>
        <v>28311971.561999999</v>
      </c>
      <c r="S2617" s="26"/>
    </row>
    <row r="2618" spans="1:19" ht="45">
      <c r="A2618" s="24"/>
      <c r="B2618" s="25" t="s">
        <v>681</v>
      </c>
      <c r="C2618" s="26" t="s">
        <v>8</v>
      </c>
      <c r="D2618" s="351">
        <v>3</v>
      </c>
      <c r="E2618" s="25"/>
      <c r="F2618" s="351">
        <v>3</v>
      </c>
      <c r="G2618" s="358" t="s">
        <v>3109</v>
      </c>
      <c r="H2618" s="358"/>
      <c r="I2618" s="372" t="s">
        <v>2596</v>
      </c>
      <c r="J2618" s="358" t="s">
        <v>2328</v>
      </c>
      <c r="K2618" s="311">
        <v>531803.66399999999</v>
      </c>
      <c r="L2618" s="311">
        <v>0</v>
      </c>
      <c r="M2618" s="311">
        <v>86839.087500000009</v>
      </c>
      <c r="N2618" s="311">
        <v>55595.114999999991</v>
      </c>
      <c r="O2618" s="311">
        <v>38916.580499999996</v>
      </c>
      <c r="P2618" s="68">
        <f t="shared" si="56"/>
        <v>713154.44700000004</v>
      </c>
      <c r="Q2618" s="68">
        <f t="shared" si="57"/>
        <v>2139463.341</v>
      </c>
      <c r="R2618" s="127">
        <f t="shared" si="58"/>
        <v>2139463.341</v>
      </c>
      <c r="S2618" s="26"/>
    </row>
    <row r="2619" spans="1:19" ht="45">
      <c r="A2619" s="24"/>
      <c r="B2619" s="25" t="s">
        <v>682</v>
      </c>
      <c r="C2619" s="26" t="s">
        <v>8</v>
      </c>
      <c r="D2619" s="351">
        <v>5</v>
      </c>
      <c r="E2619" s="25"/>
      <c r="F2619" s="351">
        <v>5</v>
      </c>
      <c r="G2619" s="358" t="s">
        <v>3110</v>
      </c>
      <c r="H2619" s="373"/>
      <c r="I2619" s="372" t="s">
        <v>2596</v>
      </c>
      <c r="J2619" s="358" t="s">
        <v>2328</v>
      </c>
      <c r="K2619" s="311">
        <v>753453.79200000002</v>
      </c>
      <c r="L2619" s="311">
        <v>0</v>
      </c>
      <c r="M2619" s="311">
        <v>57892.725000000006</v>
      </c>
      <c r="N2619" s="311">
        <v>73001.97</v>
      </c>
      <c r="O2619" s="311">
        <v>51101.379000000001</v>
      </c>
      <c r="P2619" s="68">
        <f t="shared" si="56"/>
        <v>935449.86599999992</v>
      </c>
      <c r="Q2619" s="68">
        <f t="shared" si="57"/>
        <v>4677249.33</v>
      </c>
      <c r="R2619" s="127">
        <f t="shared" si="58"/>
        <v>4677249.33</v>
      </c>
      <c r="S2619" s="26"/>
    </row>
    <row r="2620" spans="1:19" ht="45">
      <c r="A2620" s="24">
        <v>9</v>
      </c>
      <c r="B2620" s="25" t="s">
        <v>683</v>
      </c>
      <c r="C2620" s="26" t="s">
        <v>117</v>
      </c>
      <c r="D2620" s="351">
        <v>187</v>
      </c>
      <c r="E2620" s="25"/>
      <c r="F2620" s="351">
        <v>187</v>
      </c>
      <c r="G2620" s="372" t="s">
        <v>3111</v>
      </c>
      <c r="H2620" s="358"/>
      <c r="I2620" s="372" t="s">
        <v>2596</v>
      </c>
      <c r="J2620" s="358" t="s">
        <v>2328</v>
      </c>
      <c r="K2620" s="311">
        <v>514181.304</v>
      </c>
      <c r="L2620" s="311">
        <v>0</v>
      </c>
      <c r="M2620" s="311">
        <v>78314.975961538454</v>
      </c>
      <c r="N2620" s="311">
        <v>53253.168846153843</v>
      </c>
      <c r="O2620" s="311">
        <v>37277.218192307693</v>
      </c>
      <c r="P2620" s="68">
        <f t="shared" si="56"/>
        <v>683026.66700000013</v>
      </c>
      <c r="Q2620" s="68">
        <f t="shared" si="57"/>
        <v>127725986.72900003</v>
      </c>
      <c r="R2620" s="127">
        <f t="shared" si="58"/>
        <v>127725986.72900003</v>
      </c>
      <c r="S2620" s="26"/>
    </row>
    <row r="2621" spans="1:19" ht="60">
      <c r="A2621" s="24"/>
      <c r="B2621" s="25" t="s">
        <v>684</v>
      </c>
      <c r="C2621" s="26" t="s">
        <v>8</v>
      </c>
      <c r="D2621" s="351">
        <v>3</v>
      </c>
      <c r="E2621" s="25"/>
      <c r="F2621" s="351">
        <v>3</v>
      </c>
      <c r="G2621" s="358" t="s">
        <v>3112</v>
      </c>
      <c r="H2621" s="358"/>
      <c r="I2621" s="372" t="s">
        <v>2596</v>
      </c>
      <c r="J2621" s="358" t="s">
        <v>2328</v>
      </c>
      <c r="K2621" s="311">
        <v>614563.48800000013</v>
      </c>
      <c r="L2621" s="311">
        <v>0</v>
      </c>
      <c r="M2621" s="311">
        <v>72721.04910714287</v>
      </c>
      <c r="N2621" s="311">
        <v>61801.571071428574</v>
      </c>
      <c r="O2621" s="311">
        <v>43261.099750000008</v>
      </c>
      <c r="P2621" s="68">
        <f t="shared" si="56"/>
        <v>792347.20792857162</v>
      </c>
      <c r="Q2621" s="68">
        <f t="shared" si="57"/>
        <v>2377041.6237857146</v>
      </c>
      <c r="R2621" s="127">
        <f t="shared" si="58"/>
        <v>2377041.6237857146</v>
      </c>
      <c r="S2621" s="26"/>
    </row>
    <row r="2622" spans="1:19" ht="45">
      <c r="A2622" s="24"/>
      <c r="B2622" s="25" t="s">
        <v>685</v>
      </c>
      <c r="C2622" s="26" t="s">
        <v>8</v>
      </c>
      <c r="D2622" s="351">
        <v>76</v>
      </c>
      <c r="E2622" s="25"/>
      <c r="F2622" s="351">
        <v>76</v>
      </c>
      <c r="G2622" s="358" t="s">
        <v>3113</v>
      </c>
      <c r="H2622" s="358"/>
      <c r="I2622" s="372" t="s">
        <v>2596</v>
      </c>
      <c r="J2622" s="358" t="s">
        <v>2328</v>
      </c>
      <c r="K2622" s="311">
        <v>614563.48800000013</v>
      </c>
      <c r="L2622" s="311">
        <v>0</v>
      </c>
      <c r="M2622" s="311">
        <v>72721.04910714287</v>
      </c>
      <c r="N2622" s="311">
        <v>61801.571071428574</v>
      </c>
      <c r="O2622" s="311">
        <v>43261.099750000008</v>
      </c>
      <c r="P2622" s="68">
        <f t="shared" si="56"/>
        <v>792347.20792857162</v>
      </c>
      <c r="Q2622" s="68">
        <f t="shared" si="57"/>
        <v>60218387.802571446</v>
      </c>
      <c r="R2622" s="127">
        <f t="shared" si="58"/>
        <v>60218387.802571446</v>
      </c>
      <c r="S2622" s="26"/>
    </row>
    <row r="2623" spans="1:19" ht="45">
      <c r="A2623" s="24"/>
      <c r="B2623" s="25" t="s">
        <v>686</v>
      </c>
      <c r="C2623" s="26" t="s">
        <v>8</v>
      </c>
      <c r="D2623" s="351">
        <v>77</v>
      </c>
      <c r="E2623" s="25"/>
      <c r="F2623" s="351">
        <v>77</v>
      </c>
      <c r="G2623" s="358" t="s">
        <v>3114</v>
      </c>
      <c r="H2623" s="358"/>
      <c r="I2623" s="372" t="s">
        <v>2596</v>
      </c>
      <c r="J2623" s="358" t="s">
        <v>2328</v>
      </c>
      <c r="K2623" s="311">
        <v>720819.79200000002</v>
      </c>
      <c r="L2623" s="311">
        <v>0</v>
      </c>
      <c r="M2623" s="311">
        <v>109081.5736607143</v>
      </c>
      <c r="N2623" s="311">
        <v>74591.956607142856</v>
      </c>
      <c r="O2623" s="311">
        <v>52214.369625000007</v>
      </c>
      <c r="P2623" s="68">
        <f t="shared" si="56"/>
        <v>956707.6918928572</v>
      </c>
      <c r="Q2623" s="68">
        <f t="shared" si="57"/>
        <v>73666492.275750011</v>
      </c>
      <c r="R2623" s="127">
        <f t="shared" si="58"/>
        <v>73666492.275750011</v>
      </c>
      <c r="S2623" s="26"/>
    </row>
    <row r="2624" spans="1:19" ht="60">
      <c r="A2624" s="24"/>
      <c r="B2624" s="25" t="s">
        <v>687</v>
      </c>
      <c r="C2624" s="26" t="s">
        <v>8</v>
      </c>
      <c r="D2624" s="351">
        <v>38</v>
      </c>
      <c r="E2624" s="25"/>
      <c r="F2624" s="351">
        <v>38</v>
      </c>
      <c r="G2624" s="358" t="s">
        <v>3115</v>
      </c>
      <c r="H2624" s="373"/>
      <c r="I2624" s="372" t="s">
        <v>2596</v>
      </c>
      <c r="J2624" s="358" t="s">
        <v>2328</v>
      </c>
      <c r="K2624" s="311">
        <v>720819.79200000002</v>
      </c>
      <c r="L2624" s="311">
        <v>0</v>
      </c>
      <c r="M2624" s="311">
        <v>109081.5736607143</v>
      </c>
      <c r="N2624" s="311">
        <v>74591.956607142856</v>
      </c>
      <c r="O2624" s="311">
        <v>52214.369625000007</v>
      </c>
      <c r="P2624" s="68">
        <f t="shared" si="56"/>
        <v>956707.6918928572</v>
      </c>
      <c r="Q2624" s="68">
        <f t="shared" si="57"/>
        <v>36354892.291928574</v>
      </c>
      <c r="R2624" s="127">
        <f t="shared" si="58"/>
        <v>36354892.291928574</v>
      </c>
      <c r="S2624" s="26"/>
    </row>
    <row r="2625" spans="1:19" ht="60">
      <c r="A2625" s="24"/>
      <c r="B2625" s="25" t="s">
        <v>675</v>
      </c>
      <c r="C2625" s="26" t="s">
        <v>8</v>
      </c>
      <c r="D2625" s="351">
        <v>3</v>
      </c>
      <c r="E2625" s="25"/>
      <c r="F2625" s="351">
        <v>3</v>
      </c>
      <c r="G2625" s="358" t="s">
        <v>3116</v>
      </c>
      <c r="H2625" s="358"/>
      <c r="I2625" s="372" t="s">
        <v>2596</v>
      </c>
      <c r="J2625" s="358" t="s">
        <v>2328</v>
      </c>
      <c r="K2625" s="311">
        <v>614563.48800000013</v>
      </c>
      <c r="L2625" s="311">
        <v>0</v>
      </c>
      <c r="M2625" s="311">
        <v>72721.04910714287</v>
      </c>
      <c r="N2625" s="311">
        <v>61801.571071428574</v>
      </c>
      <c r="O2625" s="311">
        <v>43261.099750000008</v>
      </c>
      <c r="P2625" s="68">
        <f t="shared" si="56"/>
        <v>792347.20792857162</v>
      </c>
      <c r="Q2625" s="68">
        <f t="shared" si="57"/>
        <v>2377041.6237857146</v>
      </c>
      <c r="R2625" s="127">
        <f t="shared" si="58"/>
        <v>2377041.6237857146</v>
      </c>
      <c r="S2625" s="26"/>
    </row>
    <row r="2626" spans="1:19" ht="45">
      <c r="A2626" s="24">
        <v>10</v>
      </c>
      <c r="B2626" s="25" t="s">
        <v>688</v>
      </c>
      <c r="C2626" s="26" t="s">
        <v>117</v>
      </c>
      <c r="D2626" s="351">
        <v>2024</v>
      </c>
      <c r="E2626" s="25"/>
      <c r="F2626" s="351">
        <v>2024</v>
      </c>
      <c r="G2626" s="372" t="s">
        <v>3053</v>
      </c>
      <c r="H2626" s="358"/>
      <c r="I2626" s="372" t="s">
        <v>2596</v>
      </c>
      <c r="J2626" s="358" t="s">
        <v>2328</v>
      </c>
      <c r="K2626" s="311">
        <v>378162.79200000007</v>
      </c>
      <c r="L2626" s="311">
        <v>0</v>
      </c>
      <c r="M2626" s="311">
        <v>62346.011538461542</v>
      </c>
      <c r="N2626" s="311">
        <v>39586.066153846157</v>
      </c>
      <c r="O2626" s="311">
        <v>27710.246307692312</v>
      </c>
      <c r="P2626" s="68">
        <f t="shared" si="56"/>
        <v>507805.1160000001</v>
      </c>
      <c r="Q2626" s="68">
        <f t="shared" si="57"/>
        <v>1027797554.7840002</v>
      </c>
      <c r="R2626" s="127">
        <f t="shared" si="58"/>
        <v>1027797554.7840002</v>
      </c>
      <c r="S2626" s="26"/>
    </row>
    <row r="2627" spans="1:19" ht="60">
      <c r="A2627" s="24"/>
      <c r="B2627" s="25" t="s">
        <v>689</v>
      </c>
      <c r="C2627" s="26" t="s">
        <v>8</v>
      </c>
      <c r="D2627" s="351">
        <v>39</v>
      </c>
      <c r="E2627" s="25"/>
      <c r="F2627" s="351">
        <v>39</v>
      </c>
      <c r="G2627" s="358" t="s">
        <v>3054</v>
      </c>
      <c r="H2627" s="358"/>
      <c r="I2627" s="372" t="s">
        <v>2596</v>
      </c>
      <c r="J2627" s="358" t="s">
        <v>2328</v>
      </c>
      <c r="K2627" s="311">
        <v>378162.79200000007</v>
      </c>
      <c r="L2627" s="311">
        <v>0</v>
      </c>
      <c r="M2627" s="311">
        <v>57892.725000000006</v>
      </c>
      <c r="N2627" s="311">
        <v>39191.97</v>
      </c>
      <c r="O2627" s="311">
        <v>27434.379000000004</v>
      </c>
      <c r="P2627" s="68">
        <f t="shared" si="56"/>
        <v>502681.8660000001</v>
      </c>
      <c r="Q2627" s="68">
        <f t="shared" si="57"/>
        <v>19604592.774000004</v>
      </c>
      <c r="R2627" s="127">
        <f t="shared" si="58"/>
        <v>19604592.774000004</v>
      </c>
      <c r="S2627" s="26"/>
    </row>
    <row r="2628" spans="1:19">
      <c r="A2628" s="24"/>
      <c r="B2628" s="25" t="s">
        <v>690</v>
      </c>
      <c r="C2628" s="26" t="s">
        <v>8</v>
      </c>
      <c r="D2628" s="351">
        <v>0</v>
      </c>
      <c r="E2628" s="25"/>
      <c r="F2628" s="351">
        <v>0</v>
      </c>
      <c r="G2628" s="358"/>
      <c r="H2628" s="358"/>
      <c r="I2628" s="358"/>
      <c r="J2628" s="358"/>
      <c r="K2628" s="311"/>
      <c r="L2628" s="311"/>
      <c r="M2628" s="311"/>
      <c r="N2628" s="311"/>
      <c r="O2628" s="311"/>
      <c r="P2628" s="68"/>
      <c r="Q2628" s="68"/>
      <c r="R2628" s="127"/>
      <c r="S2628" s="26"/>
    </row>
    <row r="2629" spans="1:19">
      <c r="A2629" s="24"/>
      <c r="B2629" s="25" t="s">
        <v>691</v>
      </c>
      <c r="C2629" s="26" t="s">
        <v>117</v>
      </c>
      <c r="D2629" s="351">
        <v>0</v>
      </c>
      <c r="E2629" s="25"/>
      <c r="F2629" s="351">
        <v>0</v>
      </c>
      <c r="G2629" s="358"/>
      <c r="H2629" s="358"/>
      <c r="I2629" s="358"/>
      <c r="J2629" s="358"/>
      <c r="K2629" s="311"/>
      <c r="L2629" s="311"/>
      <c r="M2629" s="311"/>
      <c r="N2629" s="311"/>
      <c r="O2629" s="311"/>
      <c r="P2629" s="68"/>
      <c r="Q2629" s="68"/>
      <c r="R2629" s="127"/>
      <c r="S2629" s="26"/>
    </row>
    <row r="2630" spans="1:19">
      <c r="A2630" s="24"/>
      <c r="B2630" s="25" t="s">
        <v>692</v>
      </c>
      <c r="C2630" s="26" t="s">
        <v>8</v>
      </c>
      <c r="D2630" s="351">
        <v>196</v>
      </c>
      <c r="E2630" s="25"/>
      <c r="F2630" s="351">
        <v>196</v>
      </c>
      <c r="G2630" s="373" t="s">
        <v>2490</v>
      </c>
      <c r="H2630" s="373"/>
      <c r="I2630" s="373"/>
      <c r="J2630" s="358" t="s">
        <v>2328</v>
      </c>
      <c r="K2630" s="311">
        <v>93531.520000000019</v>
      </c>
      <c r="L2630" s="311">
        <v>0</v>
      </c>
      <c r="M2630" s="311">
        <v>11800.000000000002</v>
      </c>
      <c r="N2630" s="311">
        <v>8926.4</v>
      </c>
      <c r="O2630" s="311">
        <v>6248.4800000000005</v>
      </c>
      <c r="P2630" s="68">
        <f t="shared" ref="P2630:P2633" si="59">SUM(K2630:O2630)</f>
        <v>120506.40000000001</v>
      </c>
      <c r="Q2630" s="68">
        <f>D2630*P2630</f>
        <v>23619254.400000002</v>
      </c>
      <c r="R2630" s="127">
        <f>F2630*P2630</f>
        <v>23619254.400000002</v>
      </c>
      <c r="S2630" s="26"/>
    </row>
    <row r="2631" spans="1:19">
      <c r="A2631" s="24">
        <v>11</v>
      </c>
      <c r="B2631" s="25" t="s">
        <v>693</v>
      </c>
      <c r="C2631" s="26" t="s">
        <v>117</v>
      </c>
      <c r="D2631" s="351">
        <v>1549</v>
      </c>
      <c r="E2631" s="25"/>
      <c r="F2631" s="351">
        <v>1549</v>
      </c>
      <c r="G2631" s="373" t="s">
        <v>2490</v>
      </c>
      <c r="H2631" s="358"/>
      <c r="I2631" s="358"/>
      <c r="J2631" s="358" t="s">
        <v>2328</v>
      </c>
      <c r="K2631" s="311">
        <v>142308.00000000003</v>
      </c>
      <c r="L2631" s="311">
        <v>0</v>
      </c>
      <c r="M2631" s="311">
        <v>34644.800000000003</v>
      </c>
      <c r="N2631" s="311">
        <v>14996</v>
      </c>
      <c r="O2631" s="311">
        <v>10497.2</v>
      </c>
      <c r="P2631" s="68">
        <f t="shared" si="59"/>
        <v>202446.00000000006</v>
      </c>
      <c r="Q2631" s="68">
        <f>D2631*P2631</f>
        <v>313588854.00000012</v>
      </c>
      <c r="R2631" s="127">
        <f>F2631*P2631</f>
        <v>313588854.00000012</v>
      </c>
      <c r="S2631" s="26"/>
    </row>
    <row r="2632" spans="1:19">
      <c r="A2632" s="24">
        <v>12</v>
      </c>
      <c r="B2632" s="25" t="s">
        <v>694</v>
      </c>
      <c r="C2632" s="26" t="s">
        <v>117</v>
      </c>
      <c r="D2632" s="351">
        <v>3474</v>
      </c>
      <c r="E2632" s="25"/>
      <c r="F2632" s="351">
        <v>3474</v>
      </c>
      <c r="G2632" s="358" t="s">
        <v>2489</v>
      </c>
      <c r="H2632" s="358"/>
      <c r="I2632" s="358"/>
      <c r="J2632" s="358" t="s">
        <v>2328</v>
      </c>
      <c r="K2632" s="311">
        <v>17700.000000000004</v>
      </c>
      <c r="L2632" s="311">
        <v>0</v>
      </c>
      <c r="M2632" s="311">
        <v>6419.2000000000016</v>
      </c>
      <c r="N2632" s="311">
        <v>2044</v>
      </c>
      <c r="O2632" s="311">
        <v>1430.8000000000002</v>
      </c>
      <c r="P2632" s="68">
        <f t="shared" si="59"/>
        <v>27594.000000000004</v>
      </c>
      <c r="Q2632" s="68">
        <f>D2632*P2632</f>
        <v>95861556.000000015</v>
      </c>
      <c r="R2632" s="127">
        <f>F2632*P2632</f>
        <v>95861556.000000015</v>
      </c>
      <c r="S2632" s="26"/>
    </row>
    <row r="2633" spans="1:19">
      <c r="A2633" s="24">
        <v>13</v>
      </c>
      <c r="B2633" s="25" t="s">
        <v>622</v>
      </c>
      <c r="C2633" s="26" t="s">
        <v>623</v>
      </c>
      <c r="D2633" s="351">
        <v>48</v>
      </c>
      <c r="E2633" s="25"/>
      <c r="F2633" s="351">
        <v>48</v>
      </c>
      <c r="G2633" s="358" t="s">
        <v>2489</v>
      </c>
      <c r="H2633" s="358"/>
      <c r="I2633" s="358"/>
      <c r="J2633" s="358" t="s">
        <v>2328</v>
      </c>
      <c r="K2633" s="311">
        <v>285324.00000000006</v>
      </c>
      <c r="L2633" s="311">
        <v>0</v>
      </c>
      <c r="M2633" s="311">
        <v>59000.000000000007</v>
      </c>
      <c r="N2633" s="311">
        <v>29180</v>
      </c>
      <c r="O2633" s="311">
        <v>20426.000000000004</v>
      </c>
      <c r="P2633" s="68">
        <f t="shared" si="59"/>
        <v>393930.00000000006</v>
      </c>
      <c r="Q2633" s="68">
        <f>D2633*P2633</f>
        <v>18908640.000000004</v>
      </c>
      <c r="R2633" s="127">
        <f>F2633*P2633</f>
        <v>18908640.000000004</v>
      </c>
      <c r="S2633" s="26" t="s">
        <v>2491</v>
      </c>
    </row>
    <row r="2634" spans="1:19" s="93" customFormat="1">
      <c r="A2634" s="181"/>
      <c r="B2634" s="182" t="s">
        <v>695</v>
      </c>
      <c r="C2634" s="181"/>
      <c r="D2634" s="355"/>
      <c r="E2634" s="319"/>
      <c r="F2634" s="355"/>
      <c r="G2634" s="342"/>
      <c r="H2634" s="342"/>
      <c r="I2634" s="342"/>
      <c r="J2634" s="342"/>
      <c r="K2634" s="342"/>
      <c r="L2634" s="342"/>
      <c r="M2634" s="342"/>
      <c r="N2634" s="342"/>
      <c r="O2634" s="342"/>
      <c r="P2634" s="342"/>
      <c r="Q2634" s="208"/>
      <c r="R2634" s="208"/>
      <c r="S2634" s="342"/>
    </row>
    <row r="2635" spans="1:19" ht="60">
      <c r="A2635" s="24">
        <v>1</v>
      </c>
      <c r="B2635" s="25" t="s">
        <v>696</v>
      </c>
      <c r="C2635" s="26"/>
      <c r="D2635" s="351"/>
      <c r="E2635" s="25"/>
      <c r="F2635" s="351"/>
      <c r="G2635" s="26"/>
      <c r="H2635" s="26"/>
      <c r="I2635" s="26"/>
      <c r="J2635" s="26"/>
      <c r="K2635" s="26"/>
      <c r="L2635" s="26"/>
      <c r="M2635" s="26"/>
      <c r="N2635" s="26"/>
      <c r="O2635" s="26"/>
      <c r="P2635" s="26"/>
      <c r="Q2635" s="66"/>
      <c r="R2635" s="66"/>
      <c r="S2635" s="26"/>
    </row>
    <row r="2636" spans="1:19" ht="30">
      <c r="A2636" s="24"/>
      <c r="B2636" s="25" t="s">
        <v>697</v>
      </c>
      <c r="C2636" s="26" t="s">
        <v>117</v>
      </c>
      <c r="D2636" s="351">
        <v>8.3000000000000007</v>
      </c>
      <c r="E2636" s="25"/>
      <c r="F2636" s="351">
        <v>8.3000000000000007</v>
      </c>
      <c r="G2636" s="26" t="s">
        <v>2492</v>
      </c>
      <c r="H2636" s="26" t="s">
        <v>2493</v>
      </c>
      <c r="I2636" s="26" t="s">
        <v>2494</v>
      </c>
      <c r="J2636" s="26" t="s">
        <v>2374</v>
      </c>
      <c r="K2636" s="311">
        <v>13491454.999999998</v>
      </c>
      <c r="L2636" s="311">
        <v>0</v>
      </c>
      <c r="M2636" s="311">
        <v>324875.00000000006</v>
      </c>
      <c r="N2636" s="311">
        <v>1338600</v>
      </c>
      <c r="O2636" s="311">
        <v>937020</v>
      </c>
      <c r="P2636" s="68">
        <f t="shared" ref="P2636:P2639" si="60">SUM(K2636:O2636)</f>
        <v>16091949.999999998</v>
      </c>
      <c r="Q2636" s="68">
        <f>D2636*P2636</f>
        <v>133563185</v>
      </c>
      <c r="R2636" s="127">
        <f>F2636*P2636</f>
        <v>133563185</v>
      </c>
      <c r="S2636" s="26"/>
    </row>
    <row r="2637" spans="1:19" ht="30">
      <c r="A2637" s="24"/>
      <c r="B2637" s="25" t="s">
        <v>698</v>
      </c>
      <c r="C2637" s="26" t="s">
        <v>699</v>
      </c>
      <c r="D2637" s="351">
        <v>4</v>
      </c>
      <c r="E2637" s="25"/>
      <c r="F2637" s="351">
        <v>4</v>
      </c>
      <c r="G2637" s="26" t="s">
        <v>2495</v>
      </c>
      <c r="H2637" s="26" t="s">
        <v>2496</v>
      </c>
      <c r="I2637" s="26" t="s">
        <v>2494</v>
      </c>
      <c r="J2637" s="26" t="s">
        <v>2374</v>
      </c>
      <c r="K2637" s="311">
        <v>10146427</v>
      </c>
      <c r="L2637" s="311">
        <v>0</v>
      </c>
      <c r="M2637" s="311">
        <v>428835.00000000006</v>
      </c>
      <c r="N2637" s="311">
        <v>1023040</v>
      </c>
      <c r="O2637" s="311">
        <v>716128.00000000012</v>
      </c>
      <c r="P2637" s="68">
        <f t="shared" si="60"/>
        <v>12314430</v>
      </c>
      <c r="Q2637" s="68">
        <f>D2637*P2637</f>
        <v>49257720</v>
      </c>
      <c r="R2637" s="127">
        <f>F2637*P2637</f>
        <v>49257720</v>
      </c>
      <c r="S2637" s="26"/>
    </row>
    <row r="2638" spans="1:19" ht="30">
      <c r="A2638" s="24"/>
      <c r="B2638" s="25" t="s">
        <v>700</v>
      </c>
      <c r="C2638" s="26" t="s">
        <v>699</v>
      </c>
      <c r="D2638" s="351">
        <v>2</v>
      </c>
      <c r="E2638" s="25"/>
      <c r="F2638" s="351">
        <v>2</v>
      </c>
      <c r="G2638" s="26" t="s">
        <v>2497</v>
      </c>
      <c r="H2638" s="26" t="s">
        <v>2498</v>
      </c>
      <c r="I2638" s="26" t="s">
        <v>2494</v>
      </c>
      <c r="J2638" s="26" t="s">
        <v>2374</v>
      </c>
      <c r="K2638" s="311">
        <v>5073213.5</v>
      </c>
      <c r="L2638" s="311">
        <v>0</v>
      </c>
      <c r="M2638" s="311">
        <v>452000.00000000006</v>
      </c>
      <c r="N2638" s="311">
        <v>532545</v>
      </c>
      <c r="O2638" s="311">
        <v>372781.50000000006</v>
      </c>
      <c r="P2638" s="68">
        <f t="shared" si="60"/>
        <v>6430540</v>
      </c>
      <c r="Q2638" s="68">
        <f>D2638*P2638</f>
        <v>12861080</v>
      </c>
      <c r="R2638" s="127">
        <f>F2638*P2638</f>
        <v>12861080</v>
      </c>
      <c r="S2638" s="26"/>
    </row>
    <row r="2639" spans="1:19" ht="30">
      <c r="A2639" s="24"/>
      <c r="B2639" s="25" t="s">
        <v>701</v>
      </c>
      <c r="C2639" s="26" t="s">
        <v>8</v>
      </c>
      <c r="D2639" s="351">
        <v>5</v>
      </c>
      <c r="E2639" s="25"/>
      <c r="F2639" s="351">
        <v>5</v>
      </c>
      <c r="G2639" s="26" t="s">
        <v>2499</v>
      </c>
      <c r="H2639" s="26" t="s">
        <v>2500</v>
      </c>
      <c r="I2639" s="26" t="s">
        <v>2494</v>
      </c>
      <c r="J2639" s="26" t="s">
        <v>2374</v>
      </c>
      <c r="K2639" s="311">
        <v>298494</v>
      </c>
      <c r="L2639" s="311">
        <v>0</v>
      </c>
      <c r="M2639" s="311">
        <v>428835.00000000006</v>
      </c>
      <c r="N2639" s="311">
        <v>66930</v>
      </c>
      <c r="O2639" s="311">
        <v>46851.000000000007</v>
      </c>
      <c r="P2639" s="68">
        <f t="shared" si="60"/>
        <v>841110</v>
      </c>
      <c r="Q2639" s="68">
        <f>D2639*P2639</f>
        <v>4205550</v>
      </c>
      <c r="R2639" s="127">
        <f>F2639*P2639</f>
        <v>4205550</v>
      </c>
      <c r="S2639" s="26"/>
    </row>
    <row r="2640" spans="1:19" ht="60">
      <c r="A2640" s="24">
        <v>2</v>
      </c>
      <c r="B2640" s="25" t="s">
        <v>702</v>
      </c>
      <c r="C2640" s="26"/>
      <c r="D2640" s="351"/>
      <c r="E2640" s="25"/>
      <c r="F2640" s="351"/>
      <c r="G2640" s="26"/>
      <c r="H2640" s="26"/>
      <c r="I2640" s="26"/>
      <c r="J2640" s="26"/>
      <c r="K2640" s="26"/>
      <c r="L2640" s="26"/>
      <c r="M2640" s="26"/>
      <c r="N2640" s="26"/>
      <c r="O2640" s="26"/>
      <c r="P2640" s="26"/>
      <c r="Q2640" s="66"/>
      <c r="R2640" s="66"/>
      <c r="S2640" s="26"/>
    </row>
    <row r="2641" spans="1:19" ht="30">
      <c r="A2641" s="24"/>
      <c r="B2641" s="25" t="s">
        <v>697</v>
      </c>
      <c r="C2641" s="26" t="s">
        <v>117</v>
      </c>
      <c r="D2641" s="351">
        <v>6</v>
      </c>
      <c r="E2641" s="25"/>
      <c r="F2641" s="351">
        <v>6</v>
      </c>
      <c r="G2641" s="26" t="s">
        <v>2492</v>
      </c>
      <c r="H2641" s="26" t="s">
        <v>2501</v>
      </c>
      <c r="I2641" s="26" t="s">
        <v>2494</v>
      </c>
      <c r="J2641" s="26" t="s">
        <v>2374</v>
      </c>
      <c r="K2641" s="311">
        <v>7424445.9999999991</v>
      </c>
      <c r="L2641" s="311">
        <v>0</v>
      </c>
      <c r="M2641" s="311">
        <v>259900</v>
      </c>
      <c r="N2641" s="311">
        <v>743820</v>
      </c>
      <c r="O2641" s="311">
        <v>520674</v>
      </c>
      <c r="P2641" s="68">
        <f t="shared" ref="P2641:P2644" si="61">SUM(K2641:O2641)</f>
        <v>8948840</v>
      </c>
      <c r="Q2641" s="68">
        <f>D2641*P2641</f>
        <v>53693040</v>
      </c>
      <c r="R2641" s="127">
        <f>F2641*P2641</f>
        <v>53693040</v>
      </c>
      <c r="S2641" s="26"/>
    </row>
    <row r="2642" spans="1:19" ht="30">
      <c r="A2642" s="24"/>
      <c r="B2642" s="25" t="s">
        <v>698</v>
      </c>
      <c r="C2642" s="26" t="s">
        <v>699</v>
      </c>
      <c r="D2642" s="351">
        <v>4</v>
      </c>
      <c r="E2642" s="25"/>
      <c r="F2642" s="351">
        <v>4</v>
      </c>
      <c r="G2642" s="26" t="s">
        <v>2495</v>
      </c>
      <c r="H2642" s="26" t="s">
        <v>2502</v>
      </c>
      <c r="I2642" s="26" t="s">
        <v>2494</v>
      </c>
      <c r="J2642" s="26" t="s">
        <v>2374</v>
      </c>
      <c r="K2642" s="311">
        <v>5935529.5</v>
      </c>
      <c r="L2642" s="311">
        <v>0</v>
      </c>
      <c r="M2642" s="311">
        <v>428835.00000000006</v>
      </c>
      <c r="N2642" s="311">
        <v>614215</v>
      </c>
      <c r="O2642" s="311">
        <v>429950.50000000006</v>
      </c>
      <c r="P2642" s="68">
        <f t="shared" si="61"/>
        <v>7408530</v>
      </c>
      <c r="Q2642" s="68">
        <f>D2642*P2642</f>
        <v>29634120</v>
      </c>
      <c r="R2642" s="127">
        <f>F2642*P2642</f>
        <v>29634120</v>
      </c>
      <c r="S2642" s="26"/>
    </row>
    <row r="2643" spans="1:19" ht="30">
      <c r="A2643" s="24"/>
      <c r="B2643" s="25" t="s">
        <v>703</v>
      </c>
      <c r="C2643" s="26" t="s">
        <v>699</v>
      </c>
      <c r="D2643" s="351">
        <v>2</v>
      </c>
      <c r="E2643" s="25"/>
      <c r="F2643" s="351">
        <v>2</v>
      </c>
      <c r="G2643" s="26" t="s">
        <v>2497</v>
      </c>
      <c r="H2643" s="26" t="s">
        <v>2503</v>
      </c>
      <c r="I2643" s="26" t="s">
        <v>2494</v>
      </c>
      <c r="J2643" s="26" t="s">
        <v>2374</v>
      </c>
      <c r="K2643" s="311">
        <v>5445146.5</v>
      </c>
      <c r="L2643" s="311">
        <v>0</v>
      </c>
      <c r="M2643" s="311">
        <v>452000.00000000006</v>
      </c>
      <c r="N2643" s="311">
        <v>568655</v>
      </c>
      <c r="O2643" s="311">
        <v>398058.50000000006</v>
      </c>
      <c r="P2643" s="68">
        <f t="shared" si="61"/>
        <v>6863860</v>
      </c>
      <c r="Q2643" s="68">
        <f>D2643*P2643</f>
        <v>13727720</v>
      </c>
      <c r="R2643" s="127">
        <f>F2643*P2643</f>
        <v>13727720</v>
      </c>
      <c r="S2643" s="26"/>
    </row>
    <row r="2644" spans="1:19" ht="30">
      <c r="A2644" s="24"/>
      <c r="B2644" s="25" t="s">
        <v>701</v>
      </c>
      <c r="C2644" s="26" t="s">
        <v>8</v>
      </c>
      <c r="D2644" s="351">
        <v>3</v>
      </c>
      <c r="E2644" s="25"/>
      <c r="F2644" s="351">
        <v>3</v>
      </c>
      <c r="G2644" s="26" t="s">
        <v>2499</v>
      </c>
      <c r="H2644" s="26" t="s">
        <v>2504</v>
      </c>
      <c r="I2644" s="26" t="s">
        <v>2494</v>
      </c>
      <c r="J2644" s="26" t="s">
        <v>2374</v>
      </c>
      <c r="K2644" s="311">
        <v>238084.49999999997</v>
      </c>
      <c r="L2644" s="311">
        <v>0</v>
      </c>
      <c r="M2644" s="311">
        <v>428835.00000000006</v>
      </c>
      <c r="N2644" s="311">
        <v>61065</v>
      </c>
      <c r="O2644" s="311">
        <v>42745.500000000007</v>
      </c>
      <c r="P2644" s="68">
        <f t="shared" si="61"/>
        <v>770730</v>
      </c>
      <c r="Q2644" s="68">
        <f>D2644*P2644</f>
        <v>2312190</v>
      </c>
      <c r="R2644" s="127">
        <f>F2644*P2644</f>
        <v>2312190</v>
      </c>
      <c r="S2644" s="26"/>
    </row>
    <row r="2645" spans="1:19" ht="60">
      <c r="A2645" s="24">
        <v>3</v>
      </c>
      <c r="B2645" s="25" t="s">
        <v>704</v>
      </c>
      <c r="C2645" s="26"/>
      <c r="D2645" s="351"/>
      <c r="E2645" s="25"/>
      <c r="F2645" s="351"/>
      <c r="G2645" s="26"/>
      <c r="H2645" s="26"/>
      <c r="I2645" s="26"/>
      <c r="J2645" s="26"/>
      <c r="K2645" s="26"/>
      <c r="L2645" s="26"/>
      <c r="M2645" s="26"/>
      <c r="N2645" s="26"/>
      <c r="O2645" s="26"/>
      <c r="P2645" s="26"/>
      <c r="Q2645" s="66"/>
      <c r="R2645" s="66"/>
      <c r="S2645" s="26"/>
    </row>
    <row r="2646" spans="1:19" ht="30">
      <c r="A2646" s="24"/>
      <c r="B2646" s="25" t="s">
        <v>697</v>
      </c>
      <c r="C2646" s="26" t="s">
        <v>117</v>
      </c>
      <c r="D2646" s="351">
        <v>56</v>
      </c>
      <c r="E2646" s="25"/>
      <c r="F2646" s="351">
        <v>56</v>
      </c>
      <c r="G2646" s="26" t="s">
        <v>2492</v>
      </c>
      <c r="H2646" s="26" t="s">
        <v>2505</v>
      </c>
      <c r="I2646" s="26" t="s">
        <v>2494</v>
      </c>
      <c r="J2646" s="26" t="s">
        <v>2374</v>
      </c>
      <c r="K2646" s="311">
        <v>7091601.4999999991</v>
      </c>
      <c r="L2646" s="311">
        <v>0</v>
      </c>
      <c r="M2646" s="311">
        <v>324875.00000000006</v>
      </c>
      <c r="N2646" s="311">
        <v>717255</v>
      </c>
      <c r="O2646" s="311">
        <v>502078.5</v>
      </c>
      <c r="P2646" s="68">
        <f t="shared" ref="P2646:P2655" si="62">SUM(K2646:O2646)</f>
        <v>8635810</v>
      </c>
      <c r="Q2646" s="68">
        <f t="shared" ref="Q2646:Q2655" si="63">D2646*P2646</f>
        <v>483605360</v>
      </c>
      <c r="R2646" s="127">
        <f t="shared" ref="R2646:R2655" si="64">F2646*P2646</f>
        <v>483605360</v>
      </c>
      <c r="S2646" s="26"/>
    </row>
    <row r="2647" spans="1:19" ht="30">
      <c r="A2647" s="24"/>
      <c r="B2647" s="25" t="s">
        <v>705</v>
      </c>
      <c r="C2647" s="26" t="s">
        <v>117</v>
      </c>
      <c r="D2647" s="351">
        <v>67</v>
      </c>
      <c r="E2647" s="25"/>
      <c r="F2647" s="351">
        <v>67</v>
      </c>
      <c r="G2647" s="26" t="s">
        <v>2492</v>
      </c>
      <c r="H2647" s="26" t="s">
        <v>2506</v>
      </c>
      <c r="I2647" s="26" t="s">
        <v>2494</v>
      </c>
      <c r="J2647" s="26" t="s">
        <v>2374</v>
      </c>
      <c r="K2647" s="311">
        <v>7091601.4999999991</v>
      </c>
      <c r="L2647" s="311">
        <v>0</v>
      </c>
      <c r="M2647" s="311">
        <v>324875.00000000006</v>
      </c>
      <c r="N2647" s="311">
        <v>717255</v>
      </c>
      <c r="O2647" s="311">
        <v>502078.5</v>
      </c>
      <c r="P2647" s="68">
        <f t="shared" si="62"/>
        <v>8635810</v>
      </c>
      <c r="Q2647" s="68">
        <f t="shared" si="63"/>
        <v>578599270</v>
      </c>
      <c r="R2647" s="127">
        <f t="shared" si="64"/>
        <v>578599270</v>
      </c>
      <c r="S2647" s="26"/>
    </row>
    <row r="2648" spans="1:19" ht="30">
      <c r="A2648" s="24"/>
      <c r="B2648" s="25" t="s">
        <v>706</v>
      </c>
      <c r="C2648" s="26" t="s">
        <v>699</v>
      </c>
      <c r="D2648" s="351">
        <v>20</v>
      </c>
      <c r="E2648" s="25"/>
      <c r="F2648" s="351">
        <v>20</v>
      </c>
      <c r="G2648" s="26" t="s">
        <v>2507</v>
      </c>
      <c r="H2648" s="26" t="s">
        <v>2508</v>
      </c>
      <c r="I2648" s="26" t="s">
        <v>2494</v>
      </c>
      <c r="J2648" s="26" t="s">
        <v>2374</v>
      </c>
      <c r="K2648" s="311">
        <v>933385.99999999988</v>
      </c>
      <c r="L2648" s="311">
        <v>0</v>
      </c>
      <c r="M2648" s="311">
        <v>428835.00000000006</v>
      </c>
      <c r="N2648" s="311">
        <v>128570</v>
      </c>
      <c r="O2648" s="311">
        <v>89999.000000000015</v>
      </c>
      <c r="P2648" s="68">
        <f t="shared" si="62"/>
        <v>1580790</v>
      </c>
      <c r="Q2648" s="68">
        <f t="shared" si="63"/>
        <v>31615800</v>
      </c>
      <c r="R2648" s="127">
        <f t="shared" si="64"/>
        <v>31615800</v>
      </c>
      <c r="S2648" s="26"/>
    </row>
    <row r="2649" spans="1:19" ht="30">
      <c r="A2649" s="24"/>
      <c r="B2649" s="25" t="s">
        <v>698</v>
      </c>
      <c r="C2649" s="26" t="s">
        <v>699</v>
      </c>
      <c r="D2649" s="351">
        <v>10</v>
      </c>
      <c r="E2649" s="25"/>
      <c r="F2649" s="351">
        <v>10</v>
      </c>
      <c r="G2649" s="26" t="s">
        <v>2495</v>
      </c>
      <c r="H2649" s="26" t="s">
        <v>2509</v>
      </c>
      <c r="I2649" s="26" t="s">
        <v>2494</v>
      </c>
      <c r="J2649" s="26" t="s">
        <v>2374</v>
      </c>
      <c r="K2649" s="311">
        <v>5435670.5</v>
      </c>
      <c r="L2649" s="311">
        <v>0</v>
      </c>
      <c r="M2649" s="311">
        <v>428835.00000000006</v>
      </c>
      <c r="N2649" s="311">
        <v>565685</v>
      </c>
      <c r="O2649" s="311">
        <v>395979.50000000006</v>
      </c>
      <c r="P2649" s="68">
        <f t="shared" si="62"/>
        <v>6826170</v>
      </c>
      <c r="Q2649" s="68">
        <f t="shared" si="63"/>
        <v>68261700</v>
      </c>
      <c r="R2649" s="127">
        <f t="shared" si="64"/>
        <v>68261700</v>
      </c>
      <c r="S2649" s="26"/>
    </row>
    <row r="2650" spans="1:19" ht="30">
      <c r="A2650" s="24"/>
      <c r="B2650" s="25" t="s">
        <v>700</v>
      </c>
      <c r="C2650" s="26" t="s">
        <v>699</v>
      </c>
      <c r="D2650" s="351">
        <v>1</v>
      </c>
      <c r="E2650" s="25"/>
      <c r="F2650" s="351">
        <v>1</v>
      </c>
      <c r="G2650" s="26" t="s">
        <v>2497</v>
      </c>
      <c r="H2650" s="26" t="s">
        <v>2510</v>
      </c>
      <c r="I2650" s="26" t="s">
        <v>2494</v>
      </c>
      <c r="J2650" s="26" t="s">
        <v>2374</v>
      </c>
      <c r="K2650" s="311">
        <v>5351571</v>
      </c>
      <c r="L2650" s="311">
        <v>0</v>
      </c>
      <c r="M2650" s="311">
        <v>452000.00000000006</v>
      </c>
      <c r="N2650" s="311">
        <v>559570</v>
      </c>
      <c r="O2650" s="311">
        <v>391699.00000000006</v>
      </c>
      <c r="P2650" s="68">
        <f t="shared" si="62"/>
        <v>6754840</v>
      </c>
      <c r="Q2650" s="68">
        <f t="shared" si="63"/>
        <v>6754840</v>
      </c>
      <c r="R2650" s="127">
        <f t="shared" si="64"/>
        <v>6754840</v>
      </c>
      <c r="S2650" s="26"/>
    </row>
    <row r="2651" spans="1:19" ht="30">
      <c r="A2651" s="24"/>
      <c r="B2651" s="25" t="s">
        <v>707</v>
      </c>
      <c r="C2651" s="26" t="s">
        <v>8</v>
      </c>
      <c r="D2651" s="351">
        <v>1</v>
      </c>
      <c r="E2651" s="25"/>
      <c r="F2651" s="351">
        <v>1</v>
      </c>
      <c r="G2651" s="26" t="s">
        <v>2511</v>
      </c>
      <c r="H2651" s="26" t="s">
        <v>2512</v>
      </c>
      <c r="I2651" s="26" t="s">
        <v>2494</v>
      </c>
      <c r="J2651" s="26" t="s">
        <v>2374</v>
      </c>
      <c r="K2651" s="311">
        <v>822042.99999999988</v>
      </c>
      <c r="L2651" s="311">
        <v>0</v>
      </c>
      <c r="M2651" s="311">
        <v>428835.00000000006</v>
      </c>
      <c r="N2651" s="311">
        <v>117760</v>
      </c>
      <c r="O2651" s="311">
        <v>82432.000000000015</v>
      </c>
      <c r="P2651" s="68">
        <f t="shared" si="62"/>
        <v>1451070</v>
      </c>
      <c r="Q2651" s="68">
        <f t="shared" si="63"/>
        <v>1451070</v>
      </c>
      <c r="R2651" s="127">
        <f t="shared" si="64"/>
        <v>1451070</v>
      </c>
      <c r="S2651" s="26"/>
    </row>
    <row r="2652" spans="1:19" ht="30">
      <c r="A2652" s="24"/>
      <c r="B2652" s="25" t="s">
        <v>701</v>
      </c>
      <c r="C2652" s="26" t="s">
        <v>8</v>
      </c>
      <c r="D2652" s="351">
        <v>10</v>
      </c>
      <c r="E2652" s="25"/>
      <c r="F2652" s="351">
        <v>10</v>
      </c>
      <c r="G2652" s="26" t="s">
        <v>2499</v>
      </c>
      <c r="H2652" s="26" t="s">
        <v>2513</v>
      </c>
      <c r="I2652" s="26" t="s">
        <v>2494</v>
      </c>
      <c r="J2652" s="26" t="s">
        <v>2374</v>
      </c>
      <c r="K2652" s="311">
        <v>248744.99999999997</v>
      </c>
      <c r="L2652" s="311">
        <v>0</v>
      </c>
      <c r="M2652" s="311">
        <v>428835.00000000006</v>
      </c>
      <c r="N2652" s="311">
        <v>62100</v>
      </c>
      <c r="O2652" s="311">
        <v>43470.000000000007</v>
      </c>
      <c r="P2652" s="68">
        <f t="shared" si="62"/>
        <v>783150</v>
      </c>
      <c r="Q2652" s="68">
        <f t="shared" si="63"/>
        <v>7831500</v>
      </c>
      <c r="R2652" s="127">
        <f t="shared" si="64"/>
        <v>7831500</v>
      </c>
      <c r="S2652" s="26"/>
    </row>
    <row r="2653" spans="1:19" ht="30">
      <c r="A2653" s="24"/>
      <c r="B2653" s="25" t="s">
        <v>708</v>
      </c>
      <c r="C2653" s="26" t="s">
        <v>8</v>
      </c>
      <c r="D2653" s="351">
        <v>25</v>
      </c>
      <c r="E2653" s="25"/>
      <c r="F2653" s="351">
        <v>25</v>
      </c>
      <c r="G2653" s="26" t="s">
        <v>2514</v>
      </c>
      <c r="H2653" s="26" t="s">
        <v>2515</v>
      </c>
      <c r="I2653" s="26" t="s">
        <v>2494</v>
      </c>
      <c r="J2653" s="26" t="s">
        <v>2374</v>
      </c>
      <c r="K2653" s="311">
        <v>514072.99999999994</v>
      </c>
      <c r="L2653" s="311">
        <v>0</v>
      </c>
      <c r="M2653" s="311">
        <v>428835.00000000006</v>
      </c>
      <c r="N2653" s="311">
        <v>87860</v>
      </c>
      <c r="O2653" s="311">
        <v>61502.000000000007</v>
      </c>
      <c r="P2653" s="68">
        <f t="shared" si="62"/>
        <v>1092270</v>
      </c>
      <c r="Q2653" s="68">
        <f t="shared" si="63"/>
        <v>27306750</v>
      </c>
      <c r="R2653" s="127">
        <f t="shared" si="64"/>
        <v>27306750</v>
      </c>
      <c r="S2653" s="26"/>
    </row>
    <row r="2654" spans="1:19" ht="30">
      <c r="A2654" s="24"/>
      <c r="B2654" s="25" t="s">
        <v>709</v>
      </c>
      <c r="C2654" s="26" t="s">
        <v>8</v>
      </c>
      <c r="D2654" s="351">
        <v>19</v>
      </c>
      <c r="E2654" s="25"/>
      <c r="F2654" s="351">
        <v>19</v>
      </c>
      <c r="G2654" s="26" t="s">
        <v>2516</v>
      </c>
      <c r="H2654" s="26" t="s">
        <v>2517</v>
      </c>
      <c r="I2654" s="26" t="s">
        <v>2494</v>
      </c>
      <c r="J2654" s="26" t="s">
        <v>2374</v>
      </c>
      <c r="K2654" s="311">
        <v>9782785.5</v>
      </c>
      <c r="L2654" s="311">
        <v>0</v>
      </c>
      <c r="M2654" s="311">
        <v>452000.00000000006</v>
      </c>
      <c r="N2654" s="311">
        <v>989785</v>
      </c>
      <c r="O2654" s="311">
        <v>692849.50000000012</v>
      </c>
      <c r="P2654" s="68">
        <f t="shared" si="62"/>
        <v>11917420</v>
      </c>
      <c r="Q2654" s="68">
        <f t="shared" si="63"/>
        <v>226430980</v>
      </c>
      <c r="R2654" s="127">
        <f t="shared" si="64"/>
        <v>226430980</v>
      </c>
      <c r="S2654" s="26"/>
    </row>
    <row r="2655" spans="1:19" ht="30">
      <c r="A2655" s="24"/>
      <c r="B2655" s="25" t="s">
        <v>710</v>
      </c>
      <c r="C2655" s="26" t="s">
        <v>17</v>
      </c>
      <c r="D2655" s="351">
        <v>1</v>
      </c>
      <c r="E2655" s="25"/>
      <c r="F2655" s="351">
        <v>1</v>
      </c>
      <c r="G2655" s="26" t="s">
        <v>2518</v>
      </c>
      <c r="H2655" s="26" t="s">
        <v>2519</v>
      </c>
      <c r="I2655" s="26" t="s">
        <v>2494</v>
      </c>
      <c r="J2655" s="26" t="s">
        <v>2374</v>
      </c>
      <c r="K2655" s="311">
        <v>8125669.9999999991</v>
      </c>
      <c r="L2655" s="311">
        <v>0</v>
      </c>
      <c r="M2655" s="311">
        <v>452000.00000000006</v>
      </c>
      <c r="N2655" s="311">
        <v>828900</v>
      </c>
      <c r="O2655" s="311">
        <v>580230</v>
      </c>
      <c r="P2655" s="68">
        <f t="shared" si="62"/>
        <v>9986800</v>
      </c>
      <c r="Q2655" s="68">
        <f t="shared" si="63"/>
        <v>9986800</v>
      </c>
      <c r="R2655" s="127">
        <f t="shared" si="64"/>
        <v>9986800</v>
      </c>
      <c r="S2655" s="26"/>
    </row>
    <row r="2656" spans="1:19" ht="60">
      <c r="A2656" s="24">
        <v>4</v>
      </c>
      <c r="B2656" s="25" t="s">
        <v>711</v>
      </c>
      <c r="C2656" s="26"/>
      <c r="D2656" s="351"/>
      <c r="E2656" s="25"/>
      <c r="F2656" s="351"/>
      <c r="G2656" s="26"/>
      <c r="H2656" s="26"/>
      <c r="I2656" s="26"/>
      <c r="J2656" s="26"/>
      <c r="K2656" s="26"/>
      <c r="L2656" s="26"/>
      <c r="M2656" s="26"/>
      <c r="N2656" s="26"/>
      <c r="O2656" s="26"/>
      <c r="P2656" s="26"/>
      <c r="Q2656" s="66"/>
      <c r="R2656" s="66"/>
      <c r="S2656" s="26"/>
    </row>
    <row r="2657" spans="1:19" ht="30">
      <c r="A2657" s="24"/>
      <c r="B2657" s="25" t="s">
        <v>697</v>
      </c>
      <c r="C2657" s="26" t="s">
        <v>117</v>
      </c>
      <c r="D2657" s="351">
        <v>87</v>
      </c>
      <c r="E2657" s="25"/>
      <c r="F2657" s="351">
        <v>87</v>
      </c>
      <c r="G2657" s="26" t="s">
        <v>2492</v>
      </c>
      <c r="H2657" s="26" t="s">
        <v>2505</v>
      </c>
      <c r="I2657" s="26" t="s">
        <v>2494</v>
      </c>
      <c r="J2657" s="26" t="s">
        <v>2374</v>
      </c>
      <c r="K2657" s="311">
        <v>7091601.4999999991</v>
      </c>
      <c r="L2657" s="311">
        <v>0</v>
      </c>
      <c r="M2657" s="311">
        <v>324875.00000000006</v>
      </c>
      <c r="N2657" s="311">
        <v>717255</v>
      </c>
      <c r="O2657" s="311">
        <v>502078.5</v>
      </c>
      <c r="P2657" s="68">
        <f t="shared" ref="P2657:P2665" si="65">SUM(K2657:O2657)</f>
        <v>8635810</v>
      </c>
      <c r="Q2657" s="68">
        <f t="shared" ref="Q2657:Q2665" si="66">D2657*P2657</f>
        <v>751315470</v>
      </c>
      <c r="R2657" s="127">
        <f t="shared" ref="R2657:R2665" si="67">F2657*P2657</f>
        <v>751315470</v>
      </c>
      <c r="S2657" s="26"/>
    </row>
    <row r="2658" spans="1:19" ht="30">
      <c r="A2658" s="24"/>
      <c r="B2658" s="25" t="s">
        <v>705</v>
      </c>
      <c r="C2658" s="26" t="s">
        <v>117</v>
      </c>
      <c r="D2658" s="351">
        <v>59.5</v>
      </c>
      <c r="E2658" s="25"/>
      <c r="F2658" s="351">
        <v>59.5</v>
      </c>
      <c r="G2658" s="26" t="s">
        <v>2492</v>
      </c>
      <c r="H2658" s="26" t="s">
        <v>2506</v>
      </c>
      <c r="I2658" s="26" t="s">
        <v>2494</v>
      </c>
      <c r="J2658" s="26" t="s">
        <v>2374</v>
      </c>
      <c r="K2658" s="311">
        <v>7156748.9999999991</v>
      </c>
      <c r="L2658" s="311">
        <v>0</v>
      </c>
      <c r="M2658" s="311">
        <v>324875.00000000006</v>
      </c>
      <c r="N2658" s="311">
        <v>723580</v>
      </c>
      <c r="O2658" s="311">
        <v>506506</v>
      </c>
      <c r="P2658" s="68">
        <f t="shared" si="65"/>
        <v>8711710</v>
      </c>
      <c r="Q2658" s="68">
        <f t="shared" si="66"/>
        <v>518346745</v>
      </c>
      <c r="R2658" s="127">
        <f t="shared" si="67"/>
        <v>518346745</v>
      </c>
      <c r="S2658" s="26"/>
    </row>
    <row r="2659" spans="1:19" ht="30">
      <c r="A2659" s="24"/>
      <c r="B2659" s="25" t="s">
        <v>706</v>
      </c>
      <c r="C2659" s="26" t="s">
        <v>699</v>
      </c>
      <c r="D2659" s="351">
        <v>17</v>
      </c>
      <c r="E2659" s="25"/>
      <c r="F2659" s="351">
        <v>17</v>
      </c>
      <c r="G2659" s="26" t="s">
        <v>2507</v>
      </c>
      <c r="H2659" s="26" t="s">
        <v>2508</v>
      </c>
      <c r="I2659" s="26" t="s">
        <v>2494</v>
      </c>
      <c r="J2659" s="26" t="s">
        <v>2374</v>
      </c>
      <c r="K2659" s="311">
        <v>933385.99999999988</v>
      </c>
      <c r="L2659" s="311">
        <v>0</v>
      </c>
      <c r="M2659" s="311">
        <v>428835.00000000006</v>
      </c>
      <c r="N2659" s="311">
        <v>128570</v>
      </c>
      <c r="O2659" s="311">
        <v>89999.000000000015</v>
      </c>
      <c r="P2659" s="68">
        <f t="shared" si="65"/>
        <v>1580790</v>
      </c>
      <c r="Q2659" s="68">
        <f t="shared" si="66"/>
        <v>26873430</v>
      </c>
      <c r="R2659" s="127">
        <f t="shared" si="67"/>
        <v>26873430</v>
      </c>
      <c r="S2659" s="26"/>
    </row>
    <row r="2660" spans="1:19" ht="30">
      <c r="A2660" s="24"/>
      <c r="B2660" s="25" t="s">
        <v>698</v>
      </c>
      <c r="C2660" s="26" t="s">
        <v>699</v>
      </c>
      <c r="D2660" s="351">
        <v>10</v>
      </c>
      <c r="E2660" s="25"/>
      <c r="F2660" s="351">
        <v>10</v>
      </c>
      <c r="G2660" s="26" t="s">
        <v>2495</v>
      </c>
      <c r="H2660" s="26" t="s">
        <v>2509</v>
      </c>
      <c r="I2660" s="26" t="s">
        <v>2494</v>
      </c>
      <c r="J2660" s="26" t="s">
        <v>2374</v>
      </c>
      <c r="K2660" s="311">
        <v>5435670.5</v>
      </c>
      <c r="L2660" s="311">
        <v>0</v>
      </c>
      <c r="M2660" s="311">
        <v>428835.00000000006</v>
      </c>
      <c r="N2660" s="311">
        <v>565685</v>
      </c>
      <c r="O2660" s="311">
        <v>395979.50000000006</v>
      </c>
      <c r="P2660" s="68">
        <f t="shared" si="65"/>
        <v>6826170</v>
      </c>
      <c r="Q2660" s="68">
        <f t="shared" si="66"/>
        <v>68261700</v>
      </c>
      <c r="R2660" s="127">
        <f t="shared" si="67"/>
        <v>68261700</v>
      </c>
      <c r="S2660" s="26"/>
    </row>
    <row r="2661" spans="1:19" ht="30">
      <c r="A2661" s="24"/>
      <c r="B2661" s="25" t="s">
        <v>700</v>
      </c>
      <c r="C2661" s="26" t="s">
        <v>699</v>
      </c>
      <c r="D2661" s="351">
        <v>1</v>
      </c>
      <c r="E2661" s="25"/>
      <c r="F2661" s="351">
        <v>1</v>
      </c>
      <c r="G2661" s="26" t="s">
        <v>2497</v>
      </c>
      <c r="H2661" s="26" t="s">
        <v>2510</v>
      </c>
      <c r="I2661" s="26" t="s">
        <v>2494</v>
      </c>
      <c r="J2661" s="26" t="s">
        <v>2374</v>
      </c>
      <c r="K2661" s="311">
        <v>5351571</v>
      </c>
      <c r="L2661" s="311">
        <v>0</v>
      </c>
      <c r="M2661" s="311">
        <v>452000.00000000006</v>
      </c>
      <c r="N2661" s="311">
        <v>559570</v>
      </c>
      <c r="O2661" s="311">
        <v>391699.00000000006</v>
      </c>
      <c r="P2661" s="68">
        <f t="shared" si="65"/>
        <v>6754840</v>
      </c>
      <c r="Q2661" s="68">
        <f t="shared" si="66"/>
        <v>6754840</v>
      </c>
      <c r="R2661" s="127">
        <f t="shared" si="67"/>
        <v>6754840</v>
      </c>
      <c r="S2661" s="26"/>
    </row>
    <row r="2662" spans="1:19" ht="30">
      <c r="A2662" s="24"/>
      <c r="B2662" s="25" t="s">
        <v>707</v>
      </c>
      <c r="C2662" s="26" t="s">
        <v>8</v>
      </c>
      <c r="D2662" s="351">
        <v>1</v>
      </c>
      <c r="E2662" s="25"/>
      <c r="F2662" s="351">
        <v>1</v>
      </c>
      <c r="G2662" s="26" t="s">
        <v>2511</v>
      </c>
      <c r="H2662" s="26" t="s">
        <v>2512</v>
      </c>
      <c r="I2662" s="26" t="s">
        <v>2494</v>
      </c>
      <c r="J2662" s="26" t="s">
        <v>2374</v>
      </c>
      <c r="K2662" s="311">
        <v>822042.99999999988</v>
      </c>
      <c r="L2662" s="311">
        <v>0</v>
      </c>
      <c r="M2662" s="311">
        <v>428835.00000000006</v>
      </c>
      <c r="N2662" s="311">
        <v>117760</v>
      </c>
      <c r="O2662" s="311">
        <v>82432.000000000015</v>
      </c>
      <c r="P2662" s="68">
        <f t="shared" si="65"/>
        <v>1451070</v>
      </c>
      <c r="Q2662" s="68">
        <f t="shared" si="66"/>
        <v>1451070</v>
      </c>
      <c r="R2662" s="127">
        <f t="shared" si="67"/>
        <v>1451070</v>
      </c>
      <c r="S2662" s="26"/>
    </row>
    <row r="2663" spans="1:19" ht="30">
      <c r="A2663" s="24"/>
      <c r="B2663" s="25" t="s">
        <v>701</v>
      </c>
      <c r="C2663" s="26" t="s">
        <v>8</v>
      </c>
      <c r="D2663" s="351">
        <v>10</v>
      </c>
      <c r="E2663" s="25"/>
      <c r="F2663" s="351">
        <v>10</v>
      </c>
      <c r="G2663" s="26" t="s">
        <v>2499</v>
      </c>
      <c r="H2663" s="26" t="s">
        <v>2513</v>
      </c>
      <c r="I2663" s="26" t="s">
        <v>2494</v>
      </c>
      <c r="J2663" s="26" t="s">
        <v>2374</v>
      </c>
      <c r="K2663" s="311">
        <v>248744.99999999997</v>
      </c>
      <c r="L2663" s="311">
        <v>0</v>
      </c>
      <c r="M2663" s="311">
        <v>428835.00000000006</v>
      </c>
      <c r="N2663" s="311">
        <v>62100</v>
      </c>
      <c r="O2663" s="311">
        <v>43470.000000000007</v>
      </c>
      <c r="P2663" s="68">
        <f t="shared" si="65"/>
        <v>783150</v>
      </c>
      <c r="Q2663" s="68">
        <f t="shared" si="66"/>
        <v>7831500</v>
      </c>
      <c r="R2663" s="127">
        <f t="shared" si="67"/>
        <v>7831500</v>
      </c>
      <c r="S2663" s="26"/>
    </row>
    <row r="2664" spans="1:19" ht="30">
      <c r="A2664" s="24"/>
      <c r="B2664" s="25" t="s">
        <v>708</v>
      </c>
      <c r="C2664" s="26" t="s">
        <v>8</v>
      </c>
      <c r="D2664" s="351">
        <v>22</v>
      </c>
      <c r="E2664" s="25"/>
      <c r="F2664" s="351">
        <v>22</v>
      </c>
      <c r="G2664" s="26" t="s">
        <v>2514</v>
      </c>
      <c r="H2664" s="26" t="s">
        <v>2515</v>
      </c>
      <c r="I2664" s="26" t="s">
        <v>2494</v>
      </c>
      <c r="J2664" s="26" t="s">
        <v>2374</v>
      </c>
      <c r="K2664" s="311">
        <v>514072.99999999994</v>
      </c>
      <c r="L2664" s="311">
        <v>0</v>
      </c>
      <c r="M2664" s="311">
        <v>428835.00000000006</v>
      </c>
      <c r="N2664" s="311">
        <v>87860</v>
      </c>
      <c r="O2664" s="311">
        <v>61502.000000000007</v>
      </c>
      <c r="P2664" s="68">
        <f t="shared" si="65"/>
        <v>1092270</v>
      </c>
      <c r="Q2664" s="68">
        <f t="shared" si="66"/>
        <v>24029940</v>
      </c>
      <c r="R2664" s="127">
        <f t="shared" si="67"/>
        <v>24029940</v>
      </c>
      <c r="S2664" s="26"/>
    </row>
    <row r="2665" spans="1:19" ht="30">
      <c r="A2665" s="24"/>
      <c r="B2665" s="25" t="s">
        <v>709</v>
      </c>
      <c r="C2665" s="26" t="s">
        <v>8</v>
      </c>
      <c r="D2665" s="351">
        <v>17</v>
      </c>
      <c r="E2665" s="25"/>
      <c r="F2665" s="351">
        <v>17</v>
      </c>
      <c r="G2665" s="26" t="s">
        <v>2516</v>
      </c>
      <c r="H2665" s="26" t="s">
        <v>2517</v>
      </c>
      <c r="I2665" s="26" t="s">
        <v>2494</v>
      </c>
      <c r="J2665" s="26" t="s">
        <v>2374</v>
      </c>
      <c r="K2665" s="311">
        <v>9782785.5</v>
      </c>
      <c r="L2665" s="311">
        <v>0</v>
      </c>
      <c r="M2665" s="311">
        <v>452000.00000000006</v>
      </c>
      <c r="N2665" s="311">
        <v>989785</v>
      </c>
      <c r="O2665" s="311">
        <v>692849.50000000012</v>
      </c>
      <c r="P2665" s="68">
        <f t="shared" si="65"/>
        <v>11917420</v>
      </c>
      <c r="Q2665" s="68">
        <f t="shared" si="66"/>
        <v>202596140</v>
      </c>
      <c r="R2665" s="127">
        <f t="shared" si="67"/>
        <v>202596140</v>
      </c>
      <c r="S2665" s="26"/>
    </row>
    <row r="2666" spans="1:19">
      <c r="A2666" s="24" t="s">
        <v>713</v>
      </c>
      <c r="B2666" s="27" t="s">
        <v>714</v>
      </c>
      <c r="C2666" s="24"/>
      <c r="D2666" s="351"/>
      <c r="E2666" s="25"/>
      <c r="F2666" s="351"/>
      <c r="G2666" s="26"/>
      <c r="H2666" s="26"/>
      <c r="I2666" s="26"/>
      <c r="J2666" s="26"/>
      <c r="K2666" s="26"/>
      <c r="L2666" s="26"/>
      <c r="M2666" s="26"/>
      <c r="N2666" s="26"/>
      <c r="O2666" s="26"/>
      <c r="P2666" s="26"/>
      <c r="Q2666" s="66"/>
      <c r="R2666" s="66"/>
      <c r="S2666" s="26"/>
    </row>
    <row r="2667" spans="1:19" ht="30">
      <c r="A2667" s="24">
        <v>1</v>
      </c>
      <c r="B2667" s="25" t="s">
        <v>715</v>
      </c>
      <c r="C2667" s="26" t="s">
        <v>8</v>
      </c>
      <c r="D2667" s="351">
        <v>1</v>
      </c>
      <c r="E2667" s="25"/>
      <c r="F2667" s="351">
        <v>1</v>
      </c>
      <c r="G2667" s="375" t="s">
        <v>2520</v>
      </c>
      <c r="H2667" s="375" t="s">
        <v>2521</v>
      </c>
      <c r="I2667" s="375" t="s">
        <v>2522</v>
      </c>
      <c r="J2667" s="375" t="s">
        <v>2523</v>
      </c>
      <c r="K2667" s="311">
        <v>7345000.0000000009</v>
      </c>
      <c r="L2667" s="311">
        <v>0</v>
      </c>
      <c r="M2667" s="311">
        <v>565000</v>
      </c>
      <c r="N2667" s="311">
        <v>700000</v>
      </c>
      <c r="O2667" s="311">
        <v>490000.00000000006</v>
      </c>
      <c r="P2667" s="68">
        <f t="shared" ref="P2667:P2670" si="68">SUM(K2667:O2667)</f>
        <v>9100000</v>
      </c>
      <c r="Q2667" s="68">
        <f>D2667*P2667</f>
        <v>9100000</v>
      </c>
      <c r="R2667" s="127">
        <f>F2667*P2667</f>
        <v>9100000</v>
      </c>
      <c r="S2667" s="26"/>
    </row>
    <row r="2668" spans="1:19" ht="30">
      <c r="A2668" s="24">
        <v>2</v>
      </c>
      <c r="B2668" s="25" t="s">
        <v>716</v>
      </c>
      <c r="C2668" s="26" t="s">
        <v>78</v>
      </c>
      <c r="D2668" s="351">
        <v>1</v>
      </c>
      <c r="E2668" s="25"/>
      <c r="F2668" s="351">
        <v>1</v>
      </c>
      <c r="G2668" s="374" t="s">
        <v>2524</v>
      </c>
      <c r="H2668" s="374"/>
      <c r="I2668" s="361" t="s">
        <v>2525</v>
      </c>
      <c r="J2668" s="361" t="s">
        <v>2526</v>
      </c>
      <c r="K2668" s="311">
        <v>6780000.0000000009</v>
      </c>
      <c r="L2668" s="311">
        <v>0</v>
      </c>
      <c r="M2668" s="311">
        <v>395500.00000000006</v>
      </c>
      <c r="N2668" s="311">
        <v>635000</v>
      </c>
      <c r="O2668" s="311">
        <v>444500.00000000006</v>
      </c>
      <c r="P2668" s="68">
        <f t="shared" si="68"/>
        <v>8255000.0000000009</v>
      </c>
      <c r="Q2668" s="68">
        <f>D2668*P2668</f>
        <v>8255000.0000000009</v>
      </c>
      <c r="R2668" s="127">
        <f>F2668*P2668</f>
        <v>8255000.0000000009</v>
      </c>
      <c r="S2668" s="26"/>
    </row>
    <row r="2669" spans="1:19">
      <c r="A2669" s="24">
        <v>3</v>
      </c>
      <c r="B2669" s="25" t="s">
        <v>717</v>
      </c>
      <c r="C2669" s="26" t="s">
        <v>117</v>
      </c>
      <c r="D2669" s="351">
        <v>519</v>
      </c>
      <c r="E2669" s="25"/>
      <c r="F2669" s="351">
        <v>519</v>
      </c>
      <c r="G2669" s="374" t="s">
        <v>2527</v>
      </c>
      <c r="H2669" s="374"/>
      <c r="I2669" s="365" t="s">
        <v>2330</v>
      </c>
      <c r="J2669" s="365" t="s">
        <v>2328</v>
      </c>
      <c r="K2669" s="311">
        <v>218019.79440000001</v>
      </c>
      <c r="L2669" s="311">
        <v>0</v>
      </c>
      <c r="M2669" s="311">
        <v>15848.024000000001</v>
      </c>
      <c r="N2669" s="311">
        <v>21404.296000000002</v>
      </c>
      <c r="O2669" s="311">
        <v>14983.0072</v>
      </c>
      <c r="P2669" s="68">
        <f t="shared" si="68"/>
        <v>270255.12160000001</v>
      </c>
      <c r="Q2669" s="68">
        <f>D2669*P2669</f>
        <v>140262408.11040002</v>
      </c>
      <c r="R2669" s="127">
        <f>F2669*P2669</f>
        <v>140262408.11040002</v>
      </c>
      <c r="S2669" s="26"/>
    </row>
    <row r="2670" spans="1:19">
      <c r="A2670" s="24">
        <v>4</v>
      </c>
      <c r="B2670" s="25" t="s">
        <v>718</v>
      </c>
      <c r="C2670" s="26" t="s">
        <v>117</v>
      </c>
      <c r="D2670" s="351">
        <v>1310</v>
      </c>
      <c r="E2670" s="25"/>
      <c r="F2670" s="351">
        <v>1310</v>
      </c>
      <c r="G2670" s="374" t="s">
        <v>2528</v>
      </c>
      <c r="H2670" s="374" t="s">
        <v>2529</v>
      </c>
      <c r="I2670" s="361" t="s">
        <v>2525</v>
      </c>
      <c r="J2670" s="361" t="s">
        <v>2526</v>
      </c>
      <c r="K2670" s="311">
        <v>363069.00000000006</v>
      </c>
      <c r="L2670" s="311">
        <v>0</v>
      </c>
      <c r="M2670" s="311">
        <v>28250.000000000004</v>
      </c>
      <c r="N2670" s="311">
        <v>34630</v>
      </c>
      <c r="O2670" s="311">
        <v>24241.000000000004</v>
      </c>
      <c r="P2670" s="68">
        <f t="shared" si="68"/>
        <v>450190.00000000006</v>
      </c>
      <c r="Q2670" s="68">
        <f>D2670*P2670</f>
        <v>589748900.00000012</v>
      </c>
      <c r="R2670" s="127">
        <f>F2670*P2670</f>
        <v>589748900.00000012</v>
      </c>
      <c r="S2670" s="26"/>
    </row>
    <row r="2671" spans="1:19">
      <c r="A2671" s="24">
        <v>5</v>
      </c>
      <c r="B2671" s="25" t="s">
        <v>719</v>
      </c>
      <c r="C2671" s="26" t="s">
        <v>117</v>
      </c>
      <c r="D2671" s="351">
        <v>0</v>
      </c>
      <c r="E2671" s="25"/>
      <c r="F2671" s="351">
        <v>0</v>
      </c>
      <c r="G2671" s="374"/>
      <c r="H2671" s="374"/>
      <c r="I2671" s="365"/>
      <c r="J2671" s="365"/>
      <c r="K2671" s="311"/>
      <c r="L2671" s="311"/>
      <c r="M2671" s="311"/>
      <c r="N2671" s="311"/>
      <c r="O2671" s="311"/>
      <c r="P2671" s="68"/>
      <c r="Q2671" s="68"/>
      <c r="R2671" s="127"/>
      <c r="S2671" s="26"/>
    </row>
    <row r="2672" spans="1:19">
      <c r="A2672" s="24">
        <v>6</v>
      </c>
      <c r="B2672" s="25" t="s">
        <v>720</v>
      </c>
      <c r="C2672" s="26" t="s">
        <v>117</v>
      </c>
      <c r="D2672" s="351">
        <v>36</v>
      </c>
      <c r="E2672" s="25"/>
      <c r="F2672" s="351">
        <v>36</v>
      </c>
      <c r="G2672" s="374" t="s">
        <v>2530</v>
      </c>
      <c r="H2672" s="374"/>
      <c r="I2672" s="365" t="s">
        <v>2330</v>
      </c>
      <c r="J2672" s="365" t="s">
        <v>2328</v>
      </c>
      <c r="K2672" s="311">
        <v>51236.452800000006</v>
      </c>
      <c r="L2672" s="311">
        <v>0</v>
      </c>
      <c r="M2672" s="311">
        <v>7437.1384615384613</v>
      </c>
      <c r="N2672" s="311">
        <v>5358.7458461538472</v>
      </c>
      <c r="O2672" s="311">
        <v>3751.122092307693</v>
      </c>
      <c r="P2672" s="68">
        <f t="shared" ref="P2672:P2681" si="69">SUM(K2672:O2672)</f>
        <v>67783.459200000012</v>
      </c>
      <c r="Q2672" s="68">
        <f t="shared" ref="Q2672:Q2681" si="70">D2672*P2672</f>
        <v>2440204.5312000006</v>
      </c>
      <c r="R2672" s="127">
        <f t="shared" ref="R2672:R2681" si="71">F2672*P2672</f>
        <v>2440204.5312000006</v>
      </c>
      <c r="S2672" s="26"/>
    </row>
    <row r="2673" spans="1:19">
      <c r="A2673" s="24">
        <v>7</v>
      </c>
      <c r="B2673" s="25" t="s">
        <v>721</v>
      </c>
      <c r="C2673" s="26" t="s">
        <v>117</v>
      </c>
      <c r="D2673" s="351">
        <v>30</v>
      </c>
      <c r="E2673" s="25"/>
      <c r="F2673" s="351">
        <v>30</v>
      </c>
      <c r="G2673" s="374" t="s">
        <v>2531</v>
      </c>
      <c r="H2673" s="374"/>
      <c r="I2673" s="365" t="s">
        <v>2330</v>
      </c>
      <c r="J2673" s="365" t="s">
        <v>2328</v>
      </c>
      <c r="K2673" s="311">
        <v>379087.83</v>
      </c>
      <c r="L2673" s="311">
        <v>0</v>
      </c>
      <c r="M2673" s="311">
        <v>21126.291666666672</v>
      </c>
      <c r="N2673" s="311">
        <v>36648.283333333333</v>
      </c>
      <c r="O2673" s="311">
        <v>25653.798333333336</v>
      </c>
      <c r="P2673" s="68">
        <f t="shared" si="69"/>
        <v>462516.20333333337</v>
      </c>
      <c r="Q2673" s="68">
        <f t="shared" si="70"/>
        <v>13875486.100000001</v>
      </c>
      <c r="R2673" s="127">
        <f t="shared" si="71"/>
        <v>13875486.100000001</v>
      </c>
      <c r="S2673" s="26"/>
    </row>
    <row r="2674" spans="1:19">
      <c r="A2674" s="24">
        <v>8</v>
      </c>
      <c r="B2674" s="25" t="s">
        <v>722</v>
      </c>
      <c r="C2674" s="26" t="s">
        <v>117</v>
      </c>
      <c r="D2674" s="351">
        <v>79</v>
      </c>
      <c r="E2674" s="25"/>
      <c r="F2674" s="351">
        <v>79</v>
      </c>
      <c r="G2674" s="374" t="s">
        <v>2532</v>
      </c>
      <c r="H2674" s="374"/>
      <c r="I2674" s="365" t="s">
        <v>2330</v>
      </c>
      <c r="J2674" s="365" t="s">
        <v>2328</v>
      </c>
      <c r="K2674" s="311">
        <v>772044.25320000015</v>
      </c>
      <c r="L2674" s="311">
        <v>0</v>
      </c>
      <c r="M2674" s="311">
        <v>30759.582608695655</v>
      </c>
      <c r="N2674" s="311">
        <v>73551.83495652175</v>
      </c>
      <c r="O2674" s="311">
        <v>51486.284469565231</v>
      </c>
      <c r="P2674" s="68">
        <f t="shared" si="69"/>
        <v>927841.95523478277</v>
      </c>
      <c r="Q2674" s="68">
        <f t="shared" si="70"/>
        <v>73299514.463547841</v>
      </c>
      <c r="R2674" s="127">
        <f t="shared" si="71"/>
        <v>73299514.463547841</v>
      </c>
      <c r="S2674" s="26"/>
    </row>
    <row r="2675" spans="1:19">
      <c r="A2675" s="24">
        <v>9</v>
      </c>
      <c r="B2675" s="25" t="s">
        <v>723</v>
      </c>
      <c r="C2675" s="26" t="s">
        <v>117</v>
      </c>
      <c r="D2675" s="351">
        <v>642</v>
      </c>
      <c r="E2675" s="25"/>
      <c r="F2675" s="351">
        <v>642</v>
      </c>
      <c r="G2675" s="365" t="s">
        <v>2533</v>
      </c>
      <c r="H2675" s="374"/>
      <c r="I2675" s="365" t="s">
        <v>2330</v>
      </c>
      <c r="J2675" s="365" t="s">
        <v>2328</v>
      </c>
      <c r="K2675" s="311">
        <v>391257.72360000008</v>
      </c>
      <c r="L2675" s="311">
        <v>0</v>
      </c>
      <c r="M2675" s="311">
        <v>21126.291666666672</v>
      </c>
      <c r="N2675" s="311">
        <v>37764.787333333334</v>
      </c>
      <c r="O2675" s="311">
        <v>26435.351133333337</v>
      </c>
      <c r="P2675" s="68">
        <f t="shared" si="69"/>
        <v>476584.15373333346</v>
      </c>
      <c r="Q2675" s="68">
        <f t="shared" si="70"/>
        <v>305967026.69680005</v>
      </c>
      <c r="R2675" s="127">
        <f t="shared" si="71"/>
        <v>305967026.69680005</v>
      </c>
      <c r="S2675" s="26"/>
    </row>
    <row r="2676" spans="1:19">
      <c r="A2676" s="24">
        <v>10</v>
      </c>
      <c r="B2676" s="25" t="s">
        <v>724</v>
      </c>
      <c r="C2676" s="26" t="s">
        <v>117</v>
      </c>
      <c r="D2676" s="351">
        <v>168</v>
      </c>
      <c r="E2676" s="25"/>
      <c r="F2676" s="351">
        <v>168</v>
      </c>
      <c r="G2676" s="365" t="s">
        <v>2363</v>
      </c>
      <c r="H2676" s="374"/>
      <c r="I2676" s="365" t="s">
        <v>2330</v>
      </c>
      <c r="J2676" s="365" t="s">
        <v>2328</v>
      </c>
      <c r="K2676" s="311">
        <v>54275.98320000001</v>
      </c>
      <c r="L2676" s="311">
        <v>0</v>
      </c>
      <c r="M2676" s="311">
        <v>7437.1384615384613</v>
      </c>
      <c r="N2676" s="311">
        <v>5637.601846153847</v>
      </c>
      <c r="O2676" s="311">
        <v>3946.3212923076931</v>
      </c>
      <c r="P2676" s="68">
        <f t="shared" si="69"/>
        <v>71297.044800000003</v>
      </c>
      <c r="Q2676" s="68">
        <f t="shared" si="70"/>
        <v>11977903.5264</v>
      </c>
      <c r="R2676" s="127">
        <f t="shared" si="71"/>
        <v>11977903.5264</v>
      </c>
      <c r="S2676" s="26"/>
    </row>
    <row r="2677" spans="1:19" ht="30">
      <c r="A2677" s="24">
        <v>11</v>
      </c>
      <c r="B2677" s="25" t="s">
        <v>725</v>
      </c>
      <c r="C2677" s="26" t="s">
        <v>8</v>
      </c>
      <c r="D2677" s="351">
        <v>54</v>
      </c>
      <c r="E2677" s="25"/>
      <c r="F2677" s="351">
        <v>54</v>
      </c>
      <c r="G2677" s="363" t="s">
        <v>2534</v>
      </c>
      <c r="H2677" s="363" t="s">
        <v>2535</v>
      </c>
      <c r="I2677" s="363" t="s">
        <v>2525</v>
      </c>
      <c r="J2677" s="363" t="s">
        <v>2526</v>
      </c>
      <c r="K2677" s="311">
        <v>2531200.0000000005</v>
      </c>
      <c r="L2677" s="311">
        <v>0</v>
      </c>
      <c r="M2677" s="311">
        <v>50850.000000000007</v>
      </c>
      <c r="N2677" s="311">
        <v>228500</v>
      </c>
      <c r="O2677" s="311">
        <v>159950.00000000003</v>
      </c>
      <c r="P2677" s="68">
        <f t="shared" si="69"/>
        <v>2970500.0000000005</v>
      </c>
      <c r="Q2677" s="68">
        <f t="shared" si="70"/>
        <v>160407000.00000003</v>
      </c>
      <c r="R2677" s="127">
        <f t="shared" si="71"/>
        <v>160407000.00000003</v>
      </c>
      <c r="S2677" s="26"/>
    </row>
    <row r="2678" spans="1:19" ht="210">
      <c r="A2678" s="24">
        <v>12</v>
      </c>
      <c r="B2678" s="25" t="s">
        <v>726</v>
      </c>
      <c r="C2678" s="26" t="s">
        <v>8</v>
      </c>
      <c r="D2678" s="351">
        <v>8</v>
      </c>
      <c r="E2678" s="29" t="s">
        <v>1898</v>
      </c>
      <c r="F2678" s="351">
        <v>8</v>
      </c>
      <c r="G2678" s="361" t="s">
        <v>2536</v>
      </c>
      <c r="H2678" s="361" t="s">
        <v>2537</v>
      </c>
      <c r="I2678" s="361" t="s">
        <v>2525</v>
      </c>
      <c r="J2678" s="361" t="s">
        <v>2526</v>
      </c>
      <c r="K2678" s="311">
        <v>1090450</v>
      </c>
      <c r="L2678" s="311">
        <v>0</v>
      </c>
      <c r="M2678" s="311">
        <v>339000.00000000006</v>
      </c>
      <c r="N2678" s="311">
        <v>126500</v>
      </c>
      <c r="O2678" s="311">
        <v>88550.000000000015</v>
      </c>
      <c r="P2678" s="68">
        <f t="shared" si="69"/>
        <v>1644500</v>
      </c>
      <c r="Q2678" s="68">
        <f t="shared" si="70"/>
        <v>13156000</v>
      </c>
      <c r="R2678" s="127">
        <f t="shared" si="71"/>
        <v>13156000</v>
      </c>
      <c r="S2678" s="26"/>
    </row>
    <row r="2679" spans="1:19" ht="30">
      <c r="A2679" s="24">
        <v>13</v>
      </c>
      <c r="B2679" s="25" t="s">
        <v>727</v>
      </c>
      <c r="C2679" s="26" t="s">
        <v>17</v>
      </c>
      <c r="D2679" s="351">
        <v>6</v>
      </c>
      <c r="E2679" s="25"/>
      <c r="F2679" s="351">
        <v>6</v>
      </c>
      <c r="G2679" s="361" t="s">
        <v>2538</v>
      </c>
      <c r="H2679" s="361" t="s">
        <v>2539</v>
      </c>
      <c r="I2679" s="361" t="s">
        <v>2525</v>
      </c>
      <c r="J2679" s="361" t="s">
        <v>2526</v>
      </c>
      <c r="K2679" s="311">
        <v>1695000.0000000002</v>
      </c>
      <c r="L2679" s="311">
        <v>0</v>
      </c>
      <c r="M2679" s="311">
        <v>197750.00000000003</v>
      </c>
      <c r="N2679" s="311">
        <v>167500</v>
      </c>
      <c r="O2679" s="311">
        <v>117250.00000000001</v>
      </c>
      <c r="P2679" s="68">
        <f t="shared" si="69"/>
        <v>2177500.0000000005</v>
      </c>
      <c r="Q2679" s="68">
        <f t="shared" si="70"/>
        <v>13065000.000000004</v>
      </c>
      <c r="R2679" s="127">
        <f t="shared" si="71"/>
        <v>13065000.000000004</v>
      </c>
      <c r="S2679" s="26"/>
    </row>
    <row r="2680" spans="1:19" ht="60">
      <c r="A2680" s="24">
        <v>14</v>
      </c>
      <c r="B2680" s="25" t="s">
        <v>728</v>
      </c>
      <c r="C2680" s="26" t="s">
        <v>623</v>
      </c>
      <c r="D2680" s="351">
        <v>1</v>
      </c>
      <c r="E2680" s="29" t="s">
        <v>1899</v>
      </c>
      <c r="F2680" s="351">
        <v>1</v>
      </c>
      <c r="G2680" s="361"/>
      <c r="H2680" s="361"/>
      <c r="I2680" s="361"/>
      <c r="J2680" s="361" t="s">
        <v>2328</v>
      </c>
      <c r="K2680" s="311">
        <v>213205117.47156003</v>
      </c>
      <c r="L2680" s="311">
        <v>0</v>
      </c>
      <c r="M2680" s="311">
        <v>32292797.670766558</v>
      </c>
      <c r="N2680" s="311">
        <v>20804908.062909033</v>
      </c>
      <c r="O2680" s="311">
        <v>14563435.644036323</v>
      </c>
      <c r="P2680" s="68">
        <f t="shared" si="69"/>
        <v>280866258.84927195</v>
      </c>
      <c r="Q2680" s="68">
        <f t="shared" si="70"/>
        <v>280866258.84927195</v>
      </c>
      <c r="R2680" s="127">
        <f t="shared" si="71"/>
        <v>280866258.84927195</v>
      </c>
      <c r="S2680" s="26"/>
    </row>
    <row r="2681" spans="1:19" ht="45">
      <c r="A2681" s="24">
        <v>15</v>
      </c>
      <c r="B2681" s="25" t="s">
        <v>729</v>
      </c>
      <c r="C2681" s="26" t="s">
        <v>117</v>
      </c>
      <c r="D2681" s="351">
        <v>513</v>
      </c>
      <c r="E2681" s="376"/>
      <c r="F2681" s="353">
        <v>513</v>
      </c>
      <c r="G2681" s="362" t="s">
        <v>2410</v>
      </c>
      <c r="H2681" s="362" t="s">
        <v>2411</v>
      </c>
      <c r="I2681" s="362" t="s">
        <v>2368</v>
      </c>
      <c r="J2681" s="362" t="s">
        <v>2328</v>
      </c>
      <c r="K2681" s="311">
        <v>33092.746575342469</v>
      </c>
      <c r="L2681" s="311">
        <v>0</v>
      </c>
      <c r="M2681" s="311">
        <v>45965.01</v>
      </c>
      <c r="N2681" s="311">
        <v>6996.2616438356172</v>
      </c>
      <c r="O2681" s="311">
        <v>4897.3831506849319</v>
      </c>
      <c r="P2681" s="68">
        <f t="shared" si="69"/>
        <v>90951.40136986303</v>
      </c>
      <c r="Q2681" s="68">
        <f t="shared" si="70"/>
        <v>46658068.902739733</v>
      </c>
      <c r="R2681" s="127">
        <f t="shared" si="71"/>
        <v>46658068.902739733</v>
      </c>
      <c r="S2681" s="377" t="s">
        <v>2540</v>
      </c>
    </row>
    <row r="2682" spans="1:19" s="93" customFormat="1" ht="14.25">
      <c r="A2682" s="229" t="s">
        <v>1124</v>
      </c>
      <c r="B2682" s="230" t="s">
        <v>1882</v>
      </c>
      <c r="C2682" s="231"/>
      <c r="D2682" s="380"/>
      <c r="E2682" s="385"/>
      <c r="F2682" s="288"/>
      <c r="G2682" s="288"/>
      <c r="H2682" s="288"/>
      <c r="I2682" s="288"/>
      <c r="J2682" s="288"/>
      <c r="K2682" s="288"/>
      <c r="L2682" s="288"/>
      <c r="M2682" s="288"/>
      <c r="N2682" s="288"/>
      <c r="O2682" s="288"/>
      <c r="P2682" s="288"/>
      <c r="Q2682" s="279">
        <f>SUBTOTAL(9,Q2683:Q2684)</f>
        <v>0</v>
      </c>
      <c r="R2682" s="279">
        <f>SUBTOTAL(9,R2683:R2684)</f>
        <v>42725529.600000001</v>
      </c>
      <c r="S2682" s="288"/>
    </row>
    <row r="2683" spans="1:19" ht="45">
      <c r="A2683" s="24"/>
      <c r="B2683" s="29" t="s">
        <v>2543</v>
      </c>
      <c r="C2683" s="26" t="s">
        <v>117</v>
      </c>
      <c r="D2683" s="351"/>
      <c r="E2683" s="376"/>
      <c r="F2683" s="353">
        <v>1200</v>
      </c>
      <c r="G2683" s="26"/>
      <c r="H2683" s="26" t="s">
        <v>2541</v>
      </c>
      <c r="I2683" s="26" t="s">
        <v>2368</v>
      </c>
      <c r="J2683" s="26" t="s">
        <v>2328</v>
      </c>
      <c r="K2683" s="311">
        <v>4935.84</v>
      </c>
      <c r="L2683" s="311">
        <v>0</v>
      </c>
      <c r="M2683" s="311">
        <v>6970.7440000000006</v>
      </c>
      <c r="N2683" s="311">
        <v>1053.68</v>
      </c>
      <c r="O2683" s="311">
        <v>737.57600000000002</v>
      </c>
      <c r="P2683" s="68">
        <f t="shared" ref="P2683:P2684" si="72">SUM(K2683:O2683)</f>
        <v>13697.84</v>
      </c>
      <c r="Q2683" s="68">
        <f>D2683*P2683</f>
        <v>0</v>
      </c>
      <c r="R2683" s="127">
        <f>F2683*P2683</f>
        <v>16437408</v>
      </c>
      <c r="S2683" s="377" t="s">
        <v>2540</v>
      </c>
    </row>
    <row r="2684" spans="1:19" ht="45">
      <c r="A2684" s="24"/>
      <c r="B2684" s="29" t="s">
        <v>2544</v>
      </c>
      <c r="C2684" s="26" t="s">
        <v>117</v>
      </c>
      <c r="D2684" s="351"/>
      <c r="E2684" s="376"/>
      <c r="F2684" s="353">
        <v>1200</v>
      </c>
      <c r="G2684" s="26"/>
      <c r="H2684" s="26" t="s">
        <v>2542</v>
      </c>
      <c r="I2684" s="26" t="s">
        <v>2368</v>
      </c>
      <c r="J2684" s="26" t="s">
        <v>2328</v>
      </c>
      <c r="K2684" s="311">
        <v>10957.564800000002</v>
      </c>
      <c r="L2684" s="311">
        <v>0</v>
      </c>
      <c r="M2684" s="311">
        <v>8084.4720000000016</v>
      </c>
      <c r="N2684" s="311">
        <v>1685.1360000000002</v>
      </c>
      <c r="O2684" s="311">
        <v>1179.5952000000002</v>
      </c>
      <c r="P2684" s="68">
        <f t="shared" si="72"/>
        <v>21906.768</v>
      </c>
      <c r="Q2684" s="68">
        <f>D2684*P2684</f>
        <v>0</v>
      </c>
      <c r="R2684" s="127">
        <f>F2684*P2684</f>
        <v>26288121.600000001</v>
      </c>
      <c r="S2684" s="377" t="s">
        <v>2540</v>
      </c>
    </row>
    <row r="2685" spans="1:19">
      <c r="A2685" s="24"/>
      <c r="B2685" s="29"/>
      <c r="C2685" s="26"/>
      <c r="D2685" s="351"/>
      <c r="E2685" s="25"/>
      <c r="F2685" s="26"/>
      <c r="G2685" s="26"/>
      <c r="H2685" s="26"/>
      <c r="I2685" s="26"/>
      <c r="J2685" s="26"/>
      <c r="K2685" s="26"/>
      <c r="L2685" s="26"/>
      <c r="M2685" s="26"/>
      <c r="N2685" s="26"/>
      <c r="O2685" s="26"/>
      <c r="P2685" s="26"/>
      <c r="Q2685" s="66"/>
      <c r="R2685" s="66"/>
      <c r="S2685" s="26"/>
    </row>
    <row r="2686" spans="1:19">
      <c r="A2686" s="234"/>
      <c r="B2686" s="264" t="s">
        <v>2296</v>
      </c>
      <c r="C2686" s="235"/>
      <c r="D2686" s="356"/>
      <c r="E2686" s="321"/>
      <c r="F2686" s="235"/>
      <c r="G2686" s="235"/>
      <c r="H2686" s="235"/>
      <c r="I2686" s="235"/>
      <c r="J2686" s="235"/>
      <c r="K2686" s="235"/>
      <c r="L2686" s="235"/>
      <c r="M2686" s="235"/>
      <c r="N2686" s="235"/>
      <c r="O2686" s="235"/>
      <c r="P2686" s="235"/>
      <c r="Q2686" s="320"/>
      <c r="R2686" s="320"/>
      <c r="S2686" s="235"/>
    </row>
    <row r="2687" spans="1:19" s="93" customFormat="1" ht="14.25">
      <c r="A2687" s="261" t="s">
        <v>2291</v>
      </c>
      <c r="B2687" s="262" t="s">
        <v>2292</v>
      </c>
      <c r="C2687" s="263"/>
      <c r="D2687" s="387"/>
      <c r="E2687" s="388"/>
      <c r="F2687" s="389"/>
      <c r="G2687" s="389"/>
      <c r="H2687" s="389"/>
      <c r="I2687" s="389"/>
      <c r="J2687" s="389"/>
      <c r="K2687" s="389"/>
      <c r="L2687" s="389"/>
      <c r="M2687" s="389"/>
      <c r="N2687" s="389"/>
      <c r="O2687" s="389"/>
      <c r="P2687" s="389"/>
      <c r="Q2687" s="390">
        <f>Q9+Q2682</f>
        <v>76346265118.552505</v>
      </c>
      <c r="R2687" s="390">
        <f>R9+R2682</f>
        <v>76388990648.152512</v>
      </c>
      <c r="S2687" s="389"/>
    </row>
  </sheetData>
  <autoFilter ref="A8:S2687" xr:uid="{22DCB1DD-61CD-406D-AE22-DE5739E5EFA3}"/>
  <mergeCells count="16">
    <mergeCell ref="S6:S7"/>
    <mergeCell ref="A5:E5"/>
    <mergeCell ref="E6:E7"/>
    <mergeCell ref="F6:F7"/>
    <mergeCell ref="G6:J6"/>
    <mergeCell ref="K6:P6"/>
    <mergeCell ref="Q6:R6"/>
    <mergeCell ref="B6:B7"/>
    <mergeCell ref="C6:C7"/>
    <mergeCell ref="D6:D7"/>
    <mergeCell ref="F5:S5"/>
    <mergeCell ref="A302:A307"/>
    <mergeCell ref="A135:A141"/>
    <mergeCell ref="A164:A170"/>
    <mergeCell ref="A270:A276"/>
    <mergeCell ref="A6:A7"/>
  </mergeCells>
  <phoneticPr fontId="22" type="noConversion"/>
  <printOptions horizontalCentered="1"/>
  <pageMargins left="0.39370078740157483" right="0.39370078740157483" top="0.59055118110236227" bottom="0.39370078740157483" header="0.19685039370078741" footer="0.19685039370078741"/>
  <pageSetup scale="42" fitToHeight="100" orientation="landscape" horizontalDpi="1200" verticalDpi="1200" r:id="rId1"/>
  <headerFooter>
    <oddFooter>Page &amp;P&amp;R&amp;A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3C285-7D01-40B8-8FDE-477D32A057CF}">
  <sheetPr>
    <tabColor theme="8" tint="0.79998168889431442"/>
    <outlinePr summaryBelow="0"/>
    <pageSetUpPr fitToPage="1"/>
  </sheetPr>
  <dimension ref="A1:S55"/>
  <sheetViews>
    <sheetView zoomScaleNormal="100" zoomScaleSheetLayoutView="55" workbookViewId="0">
      <pane xSplit="6" ySplit="8" topLeftCell="K39" activePane="bottomRight" state="frozen"/>
      <selection pane="topRight" activeCell="G1" sqref="G1"/>
      <selection pane="bottomLeft" activeCell="A9" sqref="A9"/>
      <selection pane="bottomRight" activeCell="S55" sqref="S55"/>
    </sheetView>
  </sheetViews>
  <sheetFormatPr defaultColWidth="8.7109375" defaultRowHeight="15"/>
  <cols>
    <col min="1" max="1" width="5.7109375" style="97" customWidth="1"/>
    <col min="2" max="2" width="60.7109375" style="97" customWidth="1"/>
    <col min="3" max="3" width="10.7109375" style="98" customWidth="1"/>
    <col min="4" max="4" width="10.7109375" style="348" customWidth="1"/>
    <col min="5" max="5" width="20.7109375" style="98" customWidth="1"/>
    <col min="6" max="6" width="10.7109375" style="343" customWidth="1"/>
    <col min="7" max="7" width="40.7109375" style="343" customWidth="1"/>
    <col min="8" max="18" width="15.7109375" style="343" customWidth="1"/>
    <col min="19" max="19" width="20.7109375" style="343" customWidth="1"/>
    <col min="20" max="16384" width="8.7109375" style="97"/>
  </cols>
  <sheetData>
    <row r="1" spans="1:19" s="95" customFormat="1" ht="15.75" thickTop="1">
      <c r="A1" s="41" t="s">
        <v>0</v>
      </c>
      <c r="B1" s="94"/>
      <c r="C1" s="395"/>
      <c r="D1" s="348"/>
      <c r="E1" s="395"/>
      <c r="F1" s="343"/>
      <c r="G1" s="343"/>
      <c r="H1" s="343"/>
      <c r="I1" s="343"/>
      <c r="J1" s="343"/>
      <c r="K1" s="343"/>
      <c r="L1" s="343"/>
      <c r="M1" s="343"/>
      <c r="N1" s="343"/>
      <c r="O1" s="343"/>
      <c r="P1" s="343"/>
      <c r="Q1" s="343"/>
      <c r="R1" s="343"/>
      <c r="S1" s="343"/>
    </row>
    <row r="2" spans="1:19" s="95" customFormat="1">
      <c r="A2" s="41" t="s">
        <v>1</v>
      </c>
      <c r="C2" s="98"/>
      <c r="D2" s="348"/>
      <c r="E2" s="98"/>
      <c r="F2" s="343"/>
      <c r="G2" s="343"/>
      <c r="H2" s="343"/>
      <c r="I2" s="343"/>
      <c r="J2" s="343"/>
      <c r="K2" s="343"/>
      <c r="L2" s="343"/>
      <c r="M2" s="343"/>
      <c r="N2" s="343"/>
      <c r="O2" s="343"/>
      <c r="P2" s="343"/>
      <c r="Q2" s="343"/>
      <c r="R2" s="343"/>
      <c r="S2" s="343"/>
    </row>
    <row r="3" spans="1:19" s="95" customFormat="1">
      <c r="A3" s="41" t="s">
        <v>730</v>
      </c>
      <c r="C3" s="98"/>
      <c r="D3" s="348"/>
      <c r="E3" s="98"/>
      <c r="F3" s="343"/>
      <c r="G3" s="343"/>
      <c r="H3" s="343"/>
      <c r="I3" s="343"/>
      <c r="J3" s="343"/>
      <c r="K3" s="343"/>
      <c r="L3" s="343"/>
      <c r="M3" s="343"/>
      <c r="N3" s="343"/>
      <c r="O3" s="343"/>
      <c r="P3" s="343"/>
      <c r="Q3" s="343"/>
      <c r="R3" s="343"/>
      <c r="S3" s="343"/>
    </row>
    <row r="4" spans="1:19">
      <c r="A4" s="96"/>
      <c r="F4" s="325"/>
      <c r="G4" s="325"/>
      <c r="H4" s="325"/>
      <c r="I4" s="325"/>
      <c r="J4" s="325"/>
      <c r="K4" s="325"/>
      <c r="L4" s="325"/>
      <c r="M4" s="325"/>
      <c r="N4" s="325"/>
      <c r="O4" s="325"/>
      <c r="P4" s="325"/>
      <c r="Q4" s="325"/>
      <c r="R4" s="325"/>
      <c r="S4" s="325"/>
    </row>
    <row r="5" spans="1:19">
      <c r="A5" s="687" t="s">
        <v>1864</v>
      </c>
      <c r="B5" s="687"/>
      <c r="C5" s="687"/>
      <c r="D5" s="687"/>
      <c r="E5" s="687"/>
      <c r="F5" s="690" t="s">
        <v>2325</v>
      </c>
      <c r="G5" s="690"/>
      <c r="H5" s="690"/>
      <c r="I5" s="690"/>
      <c r="J5" s="690"/>
      <c r="K5" s="690"/>
      <c r="L5" s="690"/>
      <c r="M5" s="690"/>
      <c r="N5" s="690"/>
      <c r="O5" s="690"/>
      <c r="P5" s="690"/>
      <c r="Q5" s="690"/>
      <c r="R5" s="690"/>
      <c r="S5" s="690"/>
    </row>
    <row r="6" spans="1:19">
      <c r="A6" s="688" t="s">
        <v>731</v>
      </c>
      <c r="B6" s="689" t="s">
        <v>1865</v>
      </c>
      <c r="C6" s="688" t="s">
        <v>4</v>
      </c>
      <c r="D6" s="677" t="s">
        <v>1866</v>
      </c>
      <c r="E6" s="688" t="s">
        <v>5</v>
      </c>
      <c r="F6" s="691" t="s">
        <v>1867</v>
      </c>
      <c r="G6" s="677" t="s">
        <v>1868</v>
      </c>
      <c r="H6" s="677"/>
      <c r="I6" s="677"/>
      <c r="J6" s="677"/>
      <c r="K6" s="677" t="s">
        <v>1869</v>
      </c>
      <c r="L6" s="677"/>
      <c r="M6" s="677"/>
      <c r="N6" s="677"/>
      <c r="O6" s="677"/>
      <c r="P6" s="677"/>
      <c r="Q6" s="692" t="s">
        <v>1870</v>
      </c>
      <c r="R6" s="693"/>
      <c r="S6" s="666" t="s">
        <v>5</v>
      </c>
    </row>
    <row r="7" spans="1:19" ht="28.5">
      <c r="A7" s="688"/>
      <c r="B7" s="689"/>
      <c r="C7" s="688"/>
      <c r="D7" s="677"/>
      <c r="E7" s="688"/>
      <c r="F7" s="691"/>
      <c r="G7" s="258" t="s">
        <v>1871</v>
      </c>
      <c r="H7" s="258" t="s">
        <v>1847</v>
      </c>
      <c r="I7" s="258" t="s">
        <v>1848</v>
      </c>
      <c r="J7" s="258" t="s">
        <v>1849</v>
      </c>
      <c r="K7" s="259" t="s">
        <v>1850</v>
      </c>
      <c r="L7" s="259" t="s">
        <v>1859</v>
      </c>
      <c r="M7" s="259" t="s">
        <v>1872</v>
      </c>
      <c r="N7" s="259" t="s">
        <v>1873</v>
      </c>
      <c r="O7" s="259" t="s">
        <v>1851</v>
      </c>
      <c r="P7" s="259" t="s">
        <v>1874</v>
      </c>
      <c r="Q7" s="223" t="s">
        <v>1875</v>
      </c>
      <c r="R7" s="223" t="s">
        <v>1876</v>
      </c>
      <c r="S7" s="666"/>
    </row>
    <row r="8" spans="1:19" ht="28.5">
      <c r="A8" s="237">
        <v>1</v>
      </c>
      <c r="B8" s="225">
        <v>2</v>
      </c>
      <c r="C8" s="237">
        <v>3</v>
      </c>
      <c r="D8" s="421">
        <v>4</v>
      </c>
      <c r="E8" s="237">
        <v>5</v>
      </c>
      <c r="F8" s="228">
        <v>6</v>
      </c>
      <c r="G8" s="228">
        <v>7</v>
      </c>
      <c r="H8" s="228">
        <v>8</v>
      </c>
      <c r="I8" s="228">
        <v>9</v>
      </c>
      <c r="J8" s="228">
        <v>10</v>
      </c>
      <c r="K8" s="228">
        <v>11</v>
      </c>
      <c r="L8" s="228">
        <v>12</v>
      </c>
      <c r="M8" s="228">
        <v>13</v>
      </c>
      <c r="N8" s="228">
        <v>14</v>
      </c>
      <c r="O8" s="228">
        <v>15</v>
      </c>
      <c r="P8" s="228" t="s">
        <v>1877</v>
      </c>
      <c r="Q8" s="228" t="s">
        <v>1878</v>
      </c>
      <c r="R8" s="228" t="s">
        <v>1879</v>
      </c>
      <c r="S8" s="228">
        <v>19</v>
      </c>
    </row>
    <row r="9" spans="1:19" s="71" customFormat="1" ht="14.25">
      <c r="A9" s="239" t="s">
        <v>111</v>
      </c>
      <c r="B9" s="240" t="s">
        <v>112</v>
      </c>
      <c r="C9" s="243"/>
      <c r="D9" s="383"/>
      <c r="E9" s="243"/>
      <c r="F9" s="382"/>
      <c r="G9" s="382"/>
      <c r="H9" s="382"/>
      <c r="I9" s="382"/>
      <c r="J9" s="382"/>
      <c r="K9" s="382"/>
      <c r="L9" s="382"/>
      <c r="M9" s="382"/>
      <c r="N9" s="382"/>
      <c r="O9" s="382"/>
      <c r="P9" s="382"/>
      <c r="Q9" s="384">
        <f>SUBTOTAL(9,Q10:Q49)</f>
        <v>2459021433.5238295</v>
      </c>
      <c r="R9" s="384">
        <f>SUBTOTAL(9,R10:R49)</f>
        <v>2459021433.5238295</v>
      </c>
      <c r="S9" s="382"/>
    </row>
    <row r="10" spans="1:19" s="102" customFormat="1">
      <c r="A10" s="99" t="s">
        <v>113</v>
      </c>
      <c r="B10" s="100" t="s">
        <v>1853</v>
      </c>
      <c r="C10" s="101"/>
      <c r="D10" s="360"/>
      <c r="E10" s="392"/>
      <c r="F10" s="26"/>
      <c r="G10" s="396"/>
      <c r="H10" s="26"/>
      <c r="I10" s="26"/>
      <c r="J10" s="26"/>
      <c r="K10" s="66"/>
      <c r="L10" s="66"/>
      <c r="M10" s="66"/>
      <c r="N10" s="66"/>
      <c r="O10" s="66"/>
      <c r="P10" s="66"/>
      <c r="Q10" s="66"/>
      <c r="R10" s="66"/>
      <c r="S10" s="26"/>
    </row>
    <row r="11" spans="1:19" ht="30">
      <c r="A11" s="103" t="s">
        <v>732</v>
      </c>
      <c r="B11" s="104" t="s">
        <v>745</v>
      </c>
      <c r="C11" s="105" t="s">
        <v>8</v>
      </c>
      <c r="D11" s="361">
        <v>10</v>
      </c>
      <c r="E11" s="393" t="s">
        <v>750</v>
      </c>
      <c r="F11" s="361">
        <v>10</v>
      </c>
      <c r="G11" s="26" t="s">
        <v>2593</v>
      </c>
      <c r="H11" s="26" t="s">
        <v>2594</v>
      </c>
      <c r="I11" s="26" t="s">
        <v>2368</v>
      </c>
      <c r="J11" s="26" t="s">
        <v>2328</v>
      </c>
      <c r="K11" s="311">
        <v>4730.18</v>
      </c>
      <c r="L11" s="311">
        <v>0</v>
      </c>
      <c r="M11" s="311">
        <v>24391.727999999999</v>
      </c>
      <c r="N11" s="311">
        <v>2577.16</v>
      </c>
      <c r="O11" s="311">
        <v>1804.0120000000002</v>
      </c>
      <c r="P11" s="68">
        <f>SUM(K11:O11)</f>
        <v>33503.08</v>
      </c>
      <c r="Q11" s="68">
        <f>D11*P11</f>
        <v>335030.80000000005</v>
      </c>
      <c r="R11" s="127">
        <f>F11*P11</f>
        <v>335030.80000000005</v>
      </c>
      <c r="S11" s="26" t="s">
        <v>750</v>
      </c>
    </row>
    <row r="12" spans="1:19" ht="30">
      <c r="A12" s="103" t="s">
        <v>735</v>
      </c>
      <c r="B12" s="104" t="s">
        <v>746</v>
      </c>
      <c r="C12" s="105" t="s">
        <v>117</v>
      </c>
      <c r="D12" s="361">
        <v>100</v>
      </c>
      <c r="E12" s="393"/>
      <c r="F12" s="361">
        <v>100</v>
      </c>
      <c r="G12" s="26" t="s">
        <v>2412</v>
      </c>
      <c r="H12" s="26" t="s">
        <v>2417</v>
      </c>
      <c r="I12" s="26" t="s">
        <v>2368</v>
      </c>
      <c r="J12" s="26" t="s">
        <v>2328</v>
      </c>
      <c r="K12" s="311">
        <v>5976.6164383561654</v>
      </c>
      <c r="L12" s="311">
        <v>0</v>
      </c>
      <c r="M12" s="311">
        <v>21887.874</v>
      </c>
      <c r="N12" s="311">
        <v>2465.8841095890411</v>
      </c>
      <c r="O12" s="311">
        <v>1726.1188767123288</v>
      </c>
      <c r="P12" s="68">
        <f>SUM(K12:O12)</f>
        <v>32056.493424657536</v>
      </c>
      <c r="Q12" s="68">
        <f>D12*P12</f>
        <v>3205649.3424657537</v>
      </c>
      <c r="R12" s="127">
        <f>F12*P12</f>
        <v>3205649.3424657537</v>
      </c>
      <c r="S12" s="26" t="s">
        <v>2595</v>
      </c>
    </row>
    <row r="13" spans="1:19">
      <c r="A13" s="99" t="s">
        <v>114</v>
      </c>
      <c r="B13" s="100" t="s">
        <v>747</v>
      </c>
      <c r="C13" s="105"/>
      <c r="D13" s="361">
        <v>0</v>
      </c>
      <c r="E13" s="393"/>
      <c r="F13" s="361">
        <v>0</v>
      </c>
      <c r="G13" s="26"/>
      <c r="H13" s="26"/>
      <c r="I13" s="26"/>
      <c r="J13" s="26"/>
      <c r="K13" s="66"/>
      <c r="L13" s="66"/>
      <c r="M13" s="66"/>
      <c r="N13" s="66"/>
      <c r="O13" s="66"/>
      <c r="P13" s="66"/>
      <c r="Q13" s="66"/>
      <c r="R13" s="66"/>
      <c r="S13" s="26"/>
    </row>
    <row r="14" spans="1:19" ht="30">
      <c r="A14" s="103">
        <v>1</v>
      </c>
      <c r="B14" s="104" t="s">
        <v>748</v>
      </c>
      <c r="C14" s="105" t="s">
        <v>8</v>
      </c>
      <c r="D14" s="361">
        <v>1109</v>
      </c>
      <c r="E14" s="393" t="s">
        <v>750</v>
      </c>
      <c r="F14" s="361">
        <v>1109</v>
      </c>
      <c r="G14" s="26" t="s">
        <v>2593</v>
      </c>
      <c r="H14" s="26" t="s">
        <v>2594</v>
      </c>
      <c r="I14" s="26" t="s">
        <v>2368</v>
      </c>
      <c r="J14" s="26" t="s">
        <v>2328</v>
      </c>
      <c r="K14" s="311">
        <v>4730.18</v>
      </c>
      <c r="L14" s="311">
        <v>0</v>
      </c>
      <c r="M14" s="311">
        <v>24391.727999999999</v>
      </c>
      <c r="N14" s="311">
        <v>2577.16</v>
      </c>
      <c r="O14" s="311">
        <v>1804.0120000000002</v>
      </c>
      <c r="P14" s="68">
        <f t="shared" ref="P14:P17" si="0">SUM(K14:O14)</f>
        <v>33503.08</v>
      </c>
      <c r="Q14" s="68">
        <f>D14*P14</f>
        <v>37154915.719999999</v>
      </c>
      <c r="R14" s="127">
        <f>F14*P14</f>
        <v>37154915.719999999</v>
      </c>
      <c r="S14" s="26" t="s">
        <v>750</v>
      </c>
    </row>
    <row r="15" spans="1:19" ht="30">
      <c r="A15" s="103">
        <v>2</v>
      </c>
      <c r="B15" s="104" t="s">
        <v>749</v>
      </c>
      <c r="C15" s="105" t="s">
        <v>8</v>
      </c>
      <c r="D15" s="361">
        <v>1109</v>
      </c>
      <c r="E15" s="393" t="s">
        <v>750</v>
      </c>
      <c r="F15" s="361">
        <v>1109</v>
      </c>
      <c r="G15" s="26" t="s">
        <v>2593</v>
      </c>
      <c r="H15" s="26" t="s">
        <v>2594</v>
      </c>
      <c r="I15" s="26" t="s">
        <v>2368</v>
      </c>
      <c r="J15" s="26" t="s">
        <v>2328</v>
      </c>
      <c r="K15" s="311">
        <v>4730.18</v>
      </c>
      <c r="L15" s="311">
        <v>0</v>
      </c>
      <c r="M15" s="311">
        <v>24391.727999999999</v>
      </c>
      <c r="N15" s="311">
        <v>2577.16</v>
      </c>
      <c r="O15" s="311">
        <v>1804.0120000000002</v>
      </c>
      <c r="P15" s="68">
        <f t="shared" si="0"/>
        <v>33503.08</v>
      </c>
      <c r="Q15" s="68">
        <f>D15*P15</f>
        <v>37154915.719999999</v>
      </c>
      <c r="R15" s="127">
        <f>F15*P15</f>
        <v>37154915.719999999</v>
      </c>
      <c r="S15" s="26" t="s">
        <v>750</v>
      </c>
    </row>
    <row r="16" spans="1:19" ht="30">
      <c r="A16" s="103">
        <v>3</v>
      </c>
      <c r="B16" s="104" t="s">
        <v>746</v>
      </c>
      <c r="C16" s="105" t="s">
        <v>117</v>
      </c>
      <c r="D16" s="361">
        <v>15826</v>
      </c>
      <c r="E16" s="393"/>
      <c r="F16" s="361">
        <v>15826</v>
      </c>
      <c r="G16" s="26" t="s">
        <v>2412</v>
      </c>
      <c r="H16" s="26" t="s">
        <v>2417</v>
      </c>
      <c r="I16" s="26" t="s">
        <v>2368</v>
      </c>
      <c r="J16" s="26" t="s">
        <v>2328</v>
      </c>
      <c r="K16" s="311">
        <v>5976.6164383561654</v>
      </c>
      <c r="L16" s="311">
        <v>0</v>
      </c>
      <c r="M16" s="311">
        <v>21887.874</v>
      </c>
      <c r="N16" s="311">
        <v>2465.8841095890411</v>
      </c>
      <c r="O16" s="311">
        <v>1726.1188767123288</v>
      </c>
      <c r="P16" s="68">
        <f t="shared" si="0"/>
        <v>32056.493424657536</v>
      </c>
      <c r="Q16" s="68">
        <f>D16*P16</f>
        <v>507326064.93863016</v>
      </c>
      <c r="R16" s="127">
        <f>F16*P16</f>
        <v>507326064.93863016</v>
      </c>
      <c r="S16" s="26" t="s">
        <v>2595</v>
      </c>
    </row>
    <row r="17" spans="1:19">
      <c r="A17" s="103">
        <v>4</v>
      </c>
      <c r="B17" s="104" t="s">
        <v>743</v>
      </c>
      <c r="C17" s="105" t="s">
        <v>78</v>
      </c>
      <c r="D17" s="361">
        <v>1</v>
      </c>
      <c r="E17" s="393"/>
      <c r="F17" s="361">
        <v>1</v>
      </c>
      <c r="G17" s="26"/>
      <c r="H17" s="26"/>
      <c r="I17" s="26" t="s">
        <v>2368</v>
      </c>
      <c r="J17" s="26" t="s">
        <v>2328</v>
      </c>
      <c r="K17" s="311">
        <v>39758102.728767134</v>
      </c>
      <c r="L17" s="311">
        <v>0</v>
      </c>
      <c r="M17" s="311">
        <v>36401045.306400008</v>
      </c>
      <c r="N17" s="311">
        <v>6454165.0877260286</v>
      </c>
      <c r="O17" s="311">
        <v>4517915.5614082199</v>
      </c>
      <c r="P17" s="68">
        <f t="shared" si="0"/>
        <v>87131228.684301391</v>
      </c>
      <c r="Q17" s="68">
        <f>D17*P17</f>
        <v>87131228.684301391</v>
      </c>
      <c r="R17" s="127">
        <f>F17*P17</f>
        <v>87131228.684301391</v>
      </c>
      <c r="S17" s="26"/>
    </row>
    <row r="18" spans="1:19">
      <c r="A18" s="99" t="s">
        <v>144</v>
      </c>
      <c r="B18" s="106" t="s">
        <v>712</v>
      </c>
      <c r="C18" s="101"/>
      <c r="D18" s="361"/>
      <c r="E18" s="101"/>
      <c r="F18" s="361"/>
      <c r="G18" s="26"/>
      <c r="H18" s="26"/>
      <c r="I18" s="26"/>
      <c r="J18" s="26"/>
      <c r="K18" s="66"/>
      <c r="L18" s="66"/>
      <c r="M18" s="66"/>
      <c r="N18" s="66"/>
      <c r="O18" s="66"/>
      <c r="P18" s="66"/>
      <c r="Q18" s="66"/>
      <c r="R18" s="66"/>
      <c r="S18" s="26"/>
    </row>
    <row r="19" spans="1:19" ht="30">
      <c r="A19" s="99">
        <v>1</v>
      </c>
      <c r="B19" s="106" t="s">
        <v>733</v>
      </c>
      <c r="C19" s="105" t="s">
        <v>117</v>
      </c>
      <c r="D19" s="361">
        <v>209.3</v>
      </c>
      <c r="E19" s="105"/>
      <c r="F19" s="361">
        <v>209.3</v>
      </c>
      <c r="G19" s="372" t="s">
        <v>3045</v>
      </c>
      <c r="H19" s="372"/>
      <c r="I19" s="372" t="s">
        <v>2596</v>
      </c>
      <c r="J19" s="358" t="s">
        <v>2328</v>
      </c>
      <c r="K19" s="311">
        <v>365109.19200000004</v>
      </c>
      <c r="L19" s="311">
        <v>0</v>
      </c>
      <c r="M19" s="311">
        <v>66302.141538461539</v>
      </c>
      <c r="N19" s="311">
        <v>38760.166153846156</v>
      </c>
      <c r="O19" s="311">
        <v>27132.116307692311</v>
      </c>
      <c r="P19" s="68">
        <f t="shared" ref="P19:P23" si="1">SUM(K19:O19)</f>
        <v>497303.61600000004</v>
      </c>
      <c r="Q19" s="68">
        <f>D19*P19</f>
        <v>104085646.82880001</v>
      </c>
      <c r="R19" s="127">
        <f>F19*P19</f>
        <v>104085646.82880001</v>
      </c>
      <c r="S19" s="26"/>
    </row>
    <row r="20" spans="1:19" ht="30">
      <c r="A20" s="103"/>
      <c r="B20" s="107" t="s">
        <v>1903</v>
      </c>
      <c r="C20" s="105" t="s">
        <v>8</v>
      </c>
      <c r="D20" s="361">
        <v>2</v>
      </c>
      <c r="E20" s="105"/>
      <c r="F20" s="361">
        <v>2</v>
      </c>
      <c r="G20" s="358" t="s">
        <v>3046</v>
      </c>
      <c r="H20" s="351"/>
      <c r="I20" s="372" t="s">
        <v>2596</v>
      </c>
      <c r="J20" s="363" t="s">
        <v>2328</v>
      </c>
      <c r="K20" s="311">
        <v>598768.63199999998</v>
      </c>
      <c r="L20" s="311">
        <v>0</v>
      </c>
      <c r="M20" s="311">
        <v>92349.411428571446</v>
      </c>
      <c r="N20" s="311">
        <v>62115.634285714281</v>
      </c>
      <c r="O20" s="311">
        <v>43480.944000000003</v>
      </c>
      <c r="P20" s="68">
        <f t="shared" si="1"/>
        <v>796714.62171428569</v>
      </c>
      <c r="Q20" s="68">
        <f>D20*P20</f>
        <v>1593429.2434285714</v>
      </c>
      <c r="R20" s="127">
        <f>F20*P20</f>
        <v>1593429.2434285714</v>
      </c>
      <c r="S20" s="26"/>
    </row>
    <row r="21" spans="1:19" ht="45">
      <c r="A21" s="103"/>
      <c r="B21" s="107" t="s">
        <v>1904</v>
      </c>
      <c r="C21" s="105" t="s">
        <v>8</v>
      </c>
      <c r="D21" s="361">
        <v>8</v>
      </c>
      <c r="E21" s="105"/>
      <c r="F21" s="361">
        <v>8</v>
      </c>
      <c r="G21" s="358" t="s">
        <v>3047</v>
      </c>
      <c r="H21" s="351"/>
      <c r="I21" s="372" t="s">
        <v>2596</v>
      </c>
      <c r="J21" s="363" t="s">
        <v>2328</v>
      </c>
      <c r="K21" s="311">
        <v>581276.80800000008</v>
      </c>
      <c r="L21" s="311">
        <v>0</v>
      </c>
      <c r="M21" s="311">
        <v>61566.274285714302</v>
      </c>
      <c r="N21" s="311">
        <v>57815.622857142858</v>
      </c>
      <c r="O21" s="311">
        <v>40470.936000000002</v>
      </c>
      <c r="P21" s="68">
        <f t="shared" si="1"/>
        <v>741129.64114285714</v>
      </c>
      <c r="Q21" s="68">
        <f>D21*P21</f>
        <v>5929037.1291428572</v>
      </c>
      <c r="R21" s="127">
        <f>F21*P21</f>
        <v>5929037.1291428572</v>
      </c>
      <c r="S21" s="26"/>
    </row>
    <row r="22" spans="1:19" ht="45">
      <c r="A22" s="103"/>
      <c r="B22" s="107" t="s">
        <v>1905</v>
      </c>
      <c r="C22" s="105" t="s">
        <v>8</v>
      </c>
      <c r="D22" s="361">
        <v>4</v>
      </c>
      <c r="E22" s="105"/>
      <c r="F22" s="361">
        <v>4</v>
      </c>
      <c r="G22" s="358" t="s">
        <v>3048</v>
      </c>
      <c r="H22" s="351"/>
      <c r="I22" s="372" t="s">
        <v>2596</v>
      </c>
      <c r="J22" s="363" t="s">
        <v>2328</v>
      </c>
      <c r="K22" s="311">
        <v>581276.80800000008</v>
      </c>
      <c r="L22" s="311">
        <v>0</v>
      </c>
      <c r="M22" s="311">
        <v>61566.274285714302</v>
      </c>
      <c r="N22" s="311">
        <v>57815.622857142858</v>
      </c>
      <c r="O22" s="311">
        <v>40470.936000000002</v>
      </c>
      <c r="P22" s="68">
        <f t="shared" si="1"/>
        <v>741129.64114285714</v>
      </c>
      <c r="Q22" s="68">
        <f>D22*P22</f>
        <v>2964518.5645714286</v>
      </c>
      <c r="R22" s="127">
        <f>F22*P22</f>
        <v>2964518.5645714286</v>
      </c>
      <c r="S22" s="26"/>
    </row>
    <row r="23" spans="1:19" ht="30">
      <c r="A23" s="99">
        <v>2</v>
      </c>
      <c r="B23" s="106" t="s">
        <v>734</v>
      </c>
      <c r="C23" s="105" t="s">
        <v>117</v>
      </c>
      <c r="D23" s="361">
        <v>48.8</v>
      </c>
      <c r="E23" s="105"/>
      <c r="F23" s="361">
        <v>48.8</v>
      </c>
      <c r="G23" s="372" t="s">
        <v>3049</v>
      </c>
      <c r="H23" s="351"/>
      <c r="I23" s="372" t="s">
        <v>2596</v>
      </c>
      <c r="J23" s="363" t="s">
        <v>2328</v>
      </c>
      <c r="K23" s="311">
        <v>346834.15200000006</v>
      </c>
      <c r="L23" s="311">
        <v>0</v>
      </c>
      <c r="M23" s="311">
        <v>59240.250000000007</v>
      </c>
      <c r="N23" s="311">
        <v>36488.82</v>
      </c>
      <c r="O23" s="311">
        <v>25542.174000000003</v>
      </c>
      <c r="P23" s="68">
        <f t="shared" si="1"/>
        <v>468105.39600000007</v>
      </c>
      <c r="Q23" s="68">
        <f>D23*P23</f>
        <v>22843543.324800003</v>
      </c>
      <c r="R23" s="127">
        <f>F23*P23</f>
        <v>22843543.324800003</v>
      </c>
      <c r="S23" s="26"/>
    </row>
    <row r="24" spans="1:19">
      <c r="A24" s="103"/>
      <c r="B24" s="107" t="s">
        <v>664</v>
      </c>
      <c r="C24" s="105" t="s">
        <v>8</v>
      </c>
      <c r="D24" s="361">
        <v>0</v>
      </c>
      <c r="E24" s="105"/>
      <c r="F24" s="361">
        <v>0</v>
      </c>
      <c r="G24" s="358"/>
      <c r="H24" s="351"/>
      <c r="I24" s="372"/>
      <c r="J24" s="363"/>
      <c r="K24" s="311"/>
      <c r="L24" s="311"/>
      <c r="M24" s="311"/>
      <c r="N24" s="311"/>
      <c r="O24" s="311"/>
      <c r="P24" s="68"/>
      <c r="Q24" s="68"/>
      <c r="R24" s="127"/>
      <c r="S24" s="26"/>
    </row>
    <row r="25" spans="1:19">
      <c r="A25" s="103"/>
      <c r="B25" s="107" t="s">
        <v>662</v>
      </c>
      <c r="C25" s="105" t="s">
        <v>8</v>
      </c>
      <c r="D25" s="361">
        <v>0</v>
      </c>
      <c r="E25" s="105"/>
      <c r="F25" s="361">
        <v>0</v>
      </c>
      <c r="G25" s="358"/>
      <c r="H25" s="351"/>
      <c r="I25" s="372"/>
      <c r="J25" s="363"/>
      <c r="K25" s="311"/>
      <c r="L25" s="311"/>
      <c r="M25" s="311"/>
      <c r="N25" s="311"/>
      <c r="O25" s="311"/>
      <c r="P25" s="68"/>
      <c r="Q25" s="68"/>
      <c r="R25" s="127"/>
      <c r="S25" s="26"/>
    </row>
    <row r="26" spans="1:19" ht="45">
      <c r="A26" s="103"/>
      <c r="B26" s="107" t="s">
        <v>1906</v>
      </c>
      <c r="C26" s="105" t="s">
        <v>8</v>
      </c>
      <c r="D26" s="361">
        <v>1</v>
      </c>
      <c r="E26" s="105"/>
      <c r="F26" s="361">
        <v>1</v>
      </c>
      <c r="G26" s="358" t="s">
        <v>3050</v>
      </c>
      <c r="H26" s="351"/>
      <c r="I26" s="372" t="s">
        <v>2596</v>
      </c>
      <c r="J26" s="363" t="s">
        <v>2328</v>
      </c>
      <c r="K26" s="311">
        <v>651113.56800000009</v>
      </c>
      <c r="L26" s="311">
        <v>0</v>
      </c>
      <c r="M26" s="311">
        <v>123132.5485714286</v>
      </c>
      <c r="N26" s="311">
        <v>69555.565714285724</v>
      </c>
      <c r="O26" s="311">
        <v>48688.896000000008</v>
      </c>
      <c r="P26" s="68">
        <f t="shared" ref="P26:P28" si="2">SUM(K26:O26)</f>
        <v>892490.57828571438</v>
      </c>
      <c r="Q26" s="68">
        <f>D26*P26</f>
        <v>892490.57828571438</v>
      </c>
      <c r="R26" s="127">
        <f>F26*P26</f>
        <v>892490.57828571438</v>
      </c>
      <c r="S26" s="26"/>
    </row>
    <row r="27" spans="1:19" ht="45">
      <c r="A27" s="103"/>
      <c r="B27" s="107" t="s">
        <v>1907</v>
      </c>
      <c r="C27" s="105" t="s">
        <v>8</v>
      </c>
      <c r="D27" s="361">
        <v>5</v>
      </c>
      <c r="E27" s="105"/>
      <c r="F27" s="361">
        <v>5</v>
      </c>
      <c r="G27" s="358" t="s">
        <v>3051</v>
      </c>
      <c r="H27" s="351"/>
      <c r="I27" s="372" t="s">
        <v>2596</v>
      </c>
      <c r="J27" s="363" t="s">
        <v>2328</v>
      </c>
      <c r="K27" s="311">
        <v>488204.64</v>
      </c>
      <c r="L27" s="311">
        <v>0</v>
      </c>
      <c r="M27" s="311">
        <v>55008.80357142858</v>
      </c>
      <c r="N27" s="311">
        <v>48850.435714285719</v>
      </c>
      <c r="O27" s="311">
        <v>34195.305000000008</v>
      </c>
      <c r="P27" s="68">
        <f t="shared" si="2"/>
        <v>626259.18428571429</v>
      </c>
      <c r="Q27" s="68">
        <f>D27*P27</f>
        <v>3131295.9214285715</v>
      </c>
      <c r="R27" s="127">
        <f>F27*P27</f>
        <v>3131295.9214285715</v>
      </c>
      <c r="S27" s="26"/>
    </row>
    <row r="28" spans="1:19" ht="45">
      <c r="A28" s="103"/>
      <c r="B28" s="107" t="s">
        <v>1908</v>
      </c>
      <c r="C28" s="105" t="s">
        <v>8</v>
      </c>
      <c r="D28" s="361">
        <v>1</v>
      </c>
      <c r="E28" s="105"/>
      <c r="F28" s="361">
        <v>1</v>
      </c>
      <c r="G28" s="358" t="s">
        <v>3052</v>
      </c>
      <c r="H28" s="351"/>
      <c r="I28" s="372" t="s">
        <v>2596</v>
      </c>
      <c r="J28" s="363" t="s">
        <v>2328</v>
      </c>
      <c r="K28" s="311">
        <v>488204.64</v>
      </c>
      <c r="L28" s="311">
        <v>0</v>
      </c>
      <c r="M28" s="311">
        <v>55008.80357142858</v>
      </c>
      <c r="N28" s="311">
        <v>48850.435714285719</v>
      </c>
      <c r="O28" s="311">
        <v>34195.305000000008</v>
      </c>
      <c r="P28" s="68">
        <f t="shared" si="2"/>
        <v>626259.18428571429</v>
      </c>
      <c r="Q28" s="68">
        <f>D28*P28</f>
        <v>626259.18428571429</v>
      </c>
      <c r="R28" s="127">
        <f>F28*P28</f>
        <v>626259.18428571429</v>
      </c>
      <c r="S28" s="26"/>
    </row>
    <row r="29" spans="1:19">
      <c r="A29" s="99">
        <v>3</v>
      </c>
      <c r="B29" s="106" t="s">
        <v>737</v>
      </c>
      <c r="C29" s="105" t="s">
        <v>117</v>
      </c>
      <c r="D29" s="361">
        <v>0</v>
      </c>
      <c r="E29" s="105"/>
      <c r="F29" s="361">
        <v>0</v>
      </c>
      <c r="G29" s="372"/>
      <c r="H29" s="351"/>
      <c r="I29" s="372"/>
      <c r="J29" s="363"/>
      <c r="K29" s="311"/>
      <c r="L29" s="311"/>
      <c r="M29" s="311"/>
      <c r="N29" s="311"/>
      <c r="O29" s="311"/>
      <c r="P29" s="68"/>
      <c r="Q29" s="68"/>
      <c r="R29" s="127"/>
      <c r="S29" s="26"/>
    </row>
    <row r="30" spans="1:19">
      <c r="A30" s="103"/>
      <c r="B30" s="107" t="s">
        <v>679</v>
      </c>
      <c r="C30" s="105" t="s">
        <v>8</v>
      </c>
      <c r="D30" s="361">
        <v>0</v>
      </c>
      <c r="E30" s="105"/>
      <c r="F30" s="361">
        <v>0</v>
      </c>
      <c r="G30" s="358"/>
      <c r="H30" s="351"/>
      <c r="I30" s="372"/>
      <c r="J30" s="363"/>
      <c r="K30" s="311"/>
      <c r="L30" s="311"/>
      <c r="M30" s="311"/>
      <c r="N30" s="311"/>
      <c r="O30" s="311"/>
      <c r="P30" s="68"/>
      <c r="Q30" s="68"/>
      <c r="R30" s="127"/>
      <c r="S30" s="26"/>
    </row>
    <row r="31" spans="1:19">
      <c r="A31" s="103"/>
      <c r="B31" s="107" t="s">
        <v>681</v>
      </c>
      <c r="C31" s="105" t="s">
        <v>8</v>
      </c>
      <c r="D31" s="361">
        <v>0</v>
      </c>
      <c r="E31" s="105"/>
      <c r="F31" s="361">
        <v>0</v>
      </c>
      <c r="G31" s="358"/>
      <c r="H31" s="351"/>
      <c r="I31" s="372"/>
      <c r="J31" s="363"/>
      <c r="K31" s="311"/>
      <c r="L31" s="311"/>
      <c r="M31" s="311"/>
      <c r="N31" s="311"/>
      <c r="O31" s="311"/>
      <c r="P31" s="68"/>
      <c r="Q31" s="68"/>
      <c r="R31" s="127"/>
      <c r="S31" s="26"/>
    </row>
    <row r="32" spans="1:19" ht="30">
      <c r="A32" s="99">
        <v>4</v>
      </c>
      <c r="B32" s="106" t="s">
        <v>739</v>
      </c>
      <c r="C32" s="105" t="s">
        <v>117</v>
      </c>
      <c r="D32" s="361">
        <v>871.99000000000012</v>
      </c>
      <c r="E32" s="105"/>
      <c r="F32" s="361">
        <v>871.99000000000012</v>
      </c>
      <c r="G32" s="372" t="s">
        <v>3053</v>
      </c>
      <c r="H32" s="351"/>
      <c r="I32" s="372" t="s">
        <v>2596</v>
      </c>
      <c r="J32" s="363" t="s">
        <v>2328</v>
      </c>
      <c r="K32" s="311">
        <v>378162.79200000007</v>
      </c>
      <c r="L32" s="311">
        <v>0</v>
      </c>
      <c r="M32" s="311">
        <v>62346.011538461542</v>
      </c>
      <c r="N32" s="311">
        <v>39586.066153846157</v>
      </c>
      <c r="O32" s="311">
        <v>27710.246307692312</v>
      </c>
      <c r="P32" s="68">
        <f t="shared" ref="P32:P46" si="3">SUM(K32:O32)</f>
        <v>507805.1160000001</v>
      </c>
      <c r="Q32" s="68">
        <f t="shared" ref="Q32:Q46" si="4">D32*P32</f>
        <v>442800983.10084015</v>
      </c>
      <c r="R32" s="127">
        <f t="shared" ref="R32:R46" si="5">F32*P32</f>
        <v>442800983.10084015</v>
      </c>
      <c r="S32" s="26"/>
    </row>
    <row r="33" spans="1:19" ht="45">
      <c r="A33" s="103"/>
      <c r="B33" s="107" t="s">
        <v>689</v>
      </c>
      <c r="C33" s="105" t="s">
        <v>8</v>
      </c>
      <c r="D33" s="361">
        <v>40</v>
      </c>
      <c r="E33" s="105"/>
      <c r="F33" s="361">
        <v>40</v>
      </c>
      <c r="G33" s="358" t="s">
        <v>3054</v>
      </c>
      <c r="H33" s="351"/>
      <c r="I33" s="372" t="s">
        <v>2596</v>
      </c>
      <c r="J33" s="363" t="s">
        <v>2328</v>
      </c>
      <c r="K33" s="311">
        <v>378162.79200000007</v>
      </c>
      <c r="L33" s="311">
        <v>0</v>
      </c>
      <c r="M33" s="311">
        <v>57892.725000000006</v>
      </c>
      <c r="N33" s="311">
        <v>39191.97</v>
      </c>
      <c r="O33" s="311">
        <v>27434.379000000004</v>
      </c>
      <c r="P33" s="68">
        <f t="shared" si="3"/>
        <v>502681.8660000001</v>
      </c>
      <c r="Q33" s="68">
        <f t="shared" si="4"/>
        <v>20107274.640000004</v>
      </c>
      <c r="R33" s="127">
        <f t="shared" si="5"/>
        <v>20107274.640000004</v>
      </c>
      <c r="S33" s="26"/>
    </row>
    <row r="34" spans="1:19" ht="45">
      <c r="A34" s="103"/>
      <c r="B34" s="107" t="s">
        <v>690</v>
      </c>
      <c r="C34" s="105" t="s">
        <v>8</v>
      </c>
      <c r="D34" s="361">
        <v>5</v>
      </c>
      <c r="E34" s="105"/>
      <c r="F34" s="361">
        <v>5</v>
      </c>
      <c r="G34" s="358" t="s">
        <v>3055</v>
      </c>
      <c r="H34" s="351"/>
      <c r="I34" s="372" t="s">
        <v>2596</v>
      </c>
      <c r="J34" s="363" t="s">
        <v>2328</v>
      </c>
      <c r="K34" s="311">
        <v>378162.79200000007</v>
      </c>
      <c r="L34" s="311">
        <v>0</v>
      </c>
      <c r="M34" s="311">
        <v>57892.725000000006</v>
      </c>
      <c r="N34" s="311">
        <v>39191.97</v>
      </c>
      <c r="O34" s="311">
        <v>27434.379000000004</v>
      </c>
      <c r="P34" s="68">
        <f t="shared" si="3"/>
        <v>502681.8660000001</v>
      </c>
      <c r="Q34" s="68">
        <f t="shared" si="4"/>
        <v>2513409.3300000005</v>
      </c>
      <c r="R34" s="127">
        <f t="shared" si="5"/>
        <v>2513409.3300000005</v>
      </c>
      <c r="S34" s="26"/>
    </row>
    <row r="35" spans="1:19" ht="30">
      <c r="A35" s="103"/>
      <c r="B35" s="107" t="s">
        <v>691</v>
      </c>
      <c r="C35" s="105" t="s">
        <v>8</v>
      </c>
      <c r="D35" s="361">
        <v>26</v>
      </c>
      <c r="E35" s="105"/>
      <c r="F35" s="361">
        <v>26</v>
      </c>
      <c r="G35" s="358" t="s">
        <v>3056</v>
      </c>
      <c r="H35" s="351"/>
      <c r="I35" s="372" t="s">
        <v>2596</v>
      </c>
      <c r="J35" s="363" t="s">
        <v>2328</v>
      </c>
      <c r="K35" s="311">
        <v>449043.84</v>
      </c>
      <c r="L35" s="311">
        <v>0</v>
      </c>
      <c r="M35" s="311">
        <v>86839.087500000009</v>
      </c>
      <c r="N35" s="311">
        <v>48139.275000000001</v>
      </c>
      <c r="O35" s="311">
        <v>33697.4925</v>
      </c>
      <c r="P35" s="68">
        <f t="shared" si="3"/>
        <v>617719.69500000007</v>
      </c>
      <c r="Q35" s="68">
        <f t="shared" si="4"/>
        <v>16060712.070000002</v>
      </c>
      <c r="R35" s="127">
        <f t="shared" si="5"/>
        <v>16060712.070000002</v>
      </c>
      <c r="S35" s="26"/>
    </row>
    <row r="36" spans="1:19" ht="30">
      <c r="A36" s="99">
        <v>5</v>
      </c>
      <c r="B36" s="106" t="s">
        <v>740</v>
      </c>
      <c r="C36" s="105" t="s">
        <v>117</v>
      </c>
      <c r="D36" s="361">
        <v>1724.4899999999998</v>
      </c>
      <c r="E36" s="105"/>
      <c r="F36" s="361">
        <v>1724.4899999999998</v>
      </c>
      <c r="G36" s="372" t="s">
        <v>3057</v>
      </c>
      <c r="H36" s="351"/>
      <c r="I36" s="372" t="s">
        <v>2596</v>
      </c>
      <c r="J36" s="363" t="s">
        <v>2328</v>
      </c>
      <c r="K36" s="311">
        <v>307281.74400000006</v>
      </c>
      <c r="L36" s="311">
        <v>0</v>
      </c>
      <c r="M36" s="311">
        <v>55645.763461538467</v>
      </c>
      <c r="N36" s="311">
        <v>32607.443846153848</v>
      </c>
      <c r="O36" s="311">
        <v>22825.210692307694</v>
      </c>
      <c r="P36" s="68">
        <f t="shared" si="3"/>
        <v>418360.16200000007</v>
      </c>
      <c r="Q36" s="68">
        <f t="shared" si="4"/>
        <v>721457915.76738</v>
      </c>
      <c r="R36" s="127">
        <f t="shared" si="5"/>
        <v>721457915.76738</v>
      </c>
      <c r="S36" s="26"/>
    </row>
    <row r="37" spans="1:19" ht="30">
      <c r="A37" s="103"/>
      <c r="B37" s="107" t="s">
        <v>741</v>
      </c>
      <c r="C37" s="105" t="s">
        <v>8</v>
      </c>
      <c r="D37" s="361">
        <v>20</v>
      </c>
      <c r="E37" s="105"/>
      <c r="F37" s="361">
        <v>20</v>
      </c>
      <c r="G37" s="358" t="s">
        <v>3058</v>
      </c>
      <c r="H37" s="351"/>
      <c r="I37" s="372" t="s">
        <v>2596</v>
      </c>
      <c r="J37" s="363" t="s">
        <v>2328</v>
      </c>
      <c r="K37" s="311">
        <v>336913.41600000003</v>
      </c>
      <c r="L37" s="311">
        <v>0</v>
      </c>
      <c r="M37" s="311">
        <v>77506.599107142873</v>
      </c>
      <c r="N37" s="311">
        <v>37211.55107142857</v>
      </c>
      <c r="O37" s="311">
        <v>26048.085750000002</v>
      </c>
      <c r="P37" s="68">
        <f t="shared" si="3"/>
        <v>477679.65192857152</v>
      </c>
      <c r="Q37" s="68">
        <f t="shared" si="4"/>
        <v>9553593.0385714304</v>
      </c>
      <c r="R37" s="127">
        <f t="shared" si="5"/>
        <v>9553593.0385714304</v>
      </c>
      <c r="S37" s="26"/>
    </row>
    <row r="38" spans="1:19" ht="45">
      <c r="A38" s="103"/>
      <c r="B38" s="107" t="s">
        <v>742</v>
      </c>
      <c r="C38" s="105" t="s">
        <v>8</v>
      </c>
      <c r="D38" s="361">
        <v>89</v>
      </c>
      <c r="E38" s="105"/>
      <c r="F38" s="361">
        <v>89</v>
      </c>
      <c r="G38" s="358" t="s">
        <v>3059</v>
      </c>
      <c r="H38" s="351"/>
      <c r="I38" s="372" t="s">
        <v>2596</v>
      </c>
      <c r="J38" s="363" t="s">
        <v>2328</v>
      </c>
      <c r="K38" s="311">
        <v>277780.60800000001</v>
      </c>
      <c r="L38" s="311">
        <v>0</v>
      </c>
      <c r="M38" s="311">
        <v>51671.066071428577</v>
      </c>
      <c r="N38" s="311">
        <v>29597.940714285716</v>
      </c>
      <c r="O38" s="311">
        <v>20718.558500000003</v>
      </c>
      <c r="P38" s="68">
        <f t="shared" si="3"/>
        <v>379768.17328571429</v>
      </c>
      <c r="Q38" s="68">
        <f t="shared" si="4"/>
        <v>33799367.422428571</v>
      </c>
      <c r="R38" s="127">
        <f t="shared" si="5"/>
        <v>33799367.422428571</v>
      </c>
      <c r="S38" s="26"/>
    </row>
    <row r="39" spans="1:19" ht="45">
      <c r="A39" s="103"/>
      <c r="B39" s="107" t="s">
        <v>1909</v>
      </c>
      <c r="C39" s="105" t="s">
        <v>8</v>
      </c>
      <c r="D39" s="361">
        <v>19</v>
      </c>
      <c r="E39" s="105"/>
      <c r="F39" s="361">
        <v>19</v>
      </c>
      <c r="G39" s="358" t="s">
        <v>3060</v>
      </c>
      <c r="H39" s="351"/>
      <c r="I39" s="372" t="s">
        <v>2596</v>
      </c>
      <c r="J39" s="363" t="s">
        <v>2328</v>
      </c>
      <c r="K39" s="311">
        <v>277780.60800000001</v>
      </c>
      <c r="L39" s="311">
        <v>0</v>
      </c>
      <c r="M39" s="311">
        <v>51671.066071428577</v>
      </c>
      <c r="N39" s="311">
        <v>29597.940714285716</v>
      </c>
      <c r="O39" s="311">
        <v>20718.558500000003</v>
      </c>
      <c r="P39" s="68">
        <f t="shared" si="3"/>
        <v>379768.17328571429</v>
      </c>
      <c r="Q39" s="68">
        <f t="shared" si="4"/>
        <v>7215595.2924285717</v>
      </c>
      <c r="R39" s="127">
        <f t="shared" si="5"/>
        <v>7215595.2924285717</v>
      </c>
      <c r="S39" s="26"/>
    </row>
    <row r="40" spans="1:19" ht="30">
      <c r="A40" s="103"/>
      <c r="B40" s="107" t="s">
        <v>1910</v>
      </c>
      <c r="C40" s="105" t="s">
        <v>117</v>
      </c>
      <c r="D40" s="361">
        <v>66</v>
      </c>
      <c r="E40" s="105"/>
      <c r="F40" s="361">
        <v>66</v>
      </c>
      <c r="G40" s="372" t="s">
        <v>3061</v>
      </c>
      <c r="H40" s="351"/>
      <c r="I40" s="372" t="s">
        <v>2596</v>
      </c>
      <c r="J40" s="363" t="s">
        <v>2328</v>
      </c>
      <c r="K40" s="311">
        <v>245407.68000000002</v>
      </c>
      <c r="L40" s="311">
        <v>0</v>
      </c>
      <c r="M40" s="311">
        <v>59240.250000000007</v>
      </c>
      <c r="N40" s="311">
        <v>27351.300000000003</v>
      </c>
      <c r="O40" s="311">
        <v>19145.910000000003</v>
      </c>
      <c r="P40" s="68">
        <f t="shared" si="3"/>
        <v>351145.14</v>
      </c>
      <c r="Q40" s="68">
        <f t="shared" si="4"/>
        <v>23175579.240000002</v>
      </c>
      <c r="R40" s="127">
        <f t="shared" si="5"/>
        <v>23175579.240000002</v>
      </c>
      <c r="S40" s="26"/>
    </row>
    <row r="41" spans="1:19" ht="45">
      <c r="A41" s="103"/>
      <c r="B41" s="107" t="s">
        <v>1911</v>
      </c>
      <c r="C41" s="105" t="s">
        <v>8</v>
      </c>
      <c r="D41" s="361">
        <v>4</v>
      </c>
      <c r="E41" s="105"/>
      <c r="F41" s="361">
        <v>4</v>
      </c>
      <c r="G41" s="358" t="s">
        <v>3062</v>
      </c>
      <c r="H41" s="351"/>
      <c r="I41" s="372" t="s">
        <v>2596</v>
      </c>
      <c r="J41" s="363" t="s">
        <v>2328</v>
      </c>
      <c r="K41" s="311">
        <v>418628.95200000005</v>
      </c>
      <c r="L41" s="311">
        <v>0</v>
      </c>
      <c r="M41" s="311">
        <v>55008.80357142858</v>
      </c>
      <c r="N41" s="311">
        <v>42582.355714285717</v>
      </c>
      <c r="O41" s="311">
        <v>29807.649000000005</v>
      </c>
      <c r="P41" s="68">
        <f t="shared" si="3"/>
        <v>546027.76028571429</v>
      </c>
      <c r="Q41" s="68">
        <f t="shared" si="4"/>
        <v>2184111.0411428572</v>
      </c>
      <c r="R41" s="127">
        <f t="shared" si="5"/>
        <v>2184111.0411428572</v>
      </c>
      <c r="S41" s="26"/>
    </row>
    <row r="42" spans="1:19" ht="45">
      <c r="A42" s="103"/>
      <c r="B42" s="107" t="s">
        <v>1912</v>
      </c>
      <c r="C42" s="105" t="s">
        <v>8</v>
      </c>
      <c r="D42" s="361">
        <v>1</v>
      </c>
      <c r="E42" s="105"/>
      <c r="F42" s="361">
        <v>1</v>
      </c>
      <c r="G42" s="358" t="s">
        <v>3063</v>
      </c>
      <c r="H42" s="351"/>
      <c r="I42" s="372" t="s">
        <v>2596</v>
      </c>
      <c r="J42" s="363" t="s">
        <v>2328</v>
      </c>
      <c r="K42" s="311">
        <v>418628.95200000005</v>
      </c>
      <c r="L42" s="311">
        <v>0</v>
      </c>
      <c r="M42" s="311">
        <v>55008.80357142858</v>
      </c>
      <c r="N42" s="311">
        <v>42582.355714285717</v>
      </c>
      <c r="O42" s="311">
        <v>29807.649000000005</v>
      </c>
      <c r="P42" s="68">
        <f t="shared" si="3"/>
        <v>546027.76028571429</v>
      </c>
      <c r="Q42" s="68">
        <f t="shared" si="4"/>
        <v>546027.76028571429</v>
      </c>
      <c r="R42" s="127">
        <f t="shared" si="5"/>
        <v>546027.76028571429</v>
      </c>
      <c r="S42" s="26"/>
    </row>
    <row r="43" spans="1:19" ht="30">
      <c r="A43" s="103"/>
      <c r="B43" s="107" t="s">
        <v>1913</v>
      </c>
      <c r="C43" s="105" t="s">
        <v>8</v>
      </c>
      <c r="D43" s="361">
        <v>3</v>
      </c>
      <c r="E43" s="105"/>
      <c r="F43" s="361">
        <v>3</v>
      </c>
      <c r="G43" s="358" t="s">
        <v>3064</v>
      </c>
      <c r="H43" s="351"/>
      <c r="I43" s="372" t="s">
        <v>2596</v>
      </c>
      <c r="J43" s="363" t="s">
        <v>2328</v>
      </c>
      <c r="K43" s="311">
        <v>430116.12000000005</v>
      </c>
      <c r="L43" s="311">
        <v>0</v>
      </c>
      <c r="M43" s="311">
        <v>82513.205357142884</v>
      </c>
      <c r="N43" s="311">
        <v>46051.253571428577</v>
      </c>
      <c r="O43" s="311">
        <v>32235.877500000006</v>
      </c>
      <c r="P43" s="68">
        <f t="shared" si="3"/>
        <v>590916.4564285716</v>
      </c>
      <c r="Q43" s="68">
        <f t="shared" si="4"/>
        <v>1772749.3692857148</v>
      </c>
      <c r="R43" s="127">
        <f t="shared" si="5"/>
        <v>1772749.3692857148</v>
      </c>
      <c r="S43" s="26"/>
    </row>
    <row r="44" spans="1:19">
      <c r="A44" s="103">
        <v>6</v>
      </c>
      <c r="B44" s="107" t="s">
        <v>693</v>
      </c>
      <c r="C44" s="105" t="s">
        <v>117</v>
      </c>
      <c r="D44" s="361">
        <v>578.6462499999999</v>
      </c>
      <c r="E44" s="105"/>
      <c r="F44" s="361">
        <v>578.6462499999999</v>
      </c>
      <c r="G44" s="373" t="s">
        <v>2490</v>
      </c>
      <c r="H44" s="358"/>
      <c r="I44" s="358"/>
      <c r="J44" s="358" t="s">
        <v>2328</v>
      </c>
      <c r="K44" s="311">
        <v>142308.00000000003</v>
      </c>
      <c r="L44" s="311">
        <v>0</v>
      </c>
      <c r="M44" s="311">
        <v>34644.800000000003</v>
      </c>
      <c r="N44" s="311">
        <v>14996</v>
      </c>
      <c r="O44" s="311">
        <v>10497.2</v>
      </c>
      <c r="P44" s="68">
        <f t="shared" si="3"/>
        <v>202446.00000000006</v>
      </c>
      <c r="Q44" s="68">
        <f t="shared" si="4"/>
        <v>117144618.72750001</v>
      </c>
      <c r="R44" s="127">
        <f t="shared" si="5"/>
        <v>117144618.72750001</v>
      </c>
      <c r="S44" s="26"/>
    </row>
    <row r="45" spans="1:19">
      <c r="A45" s="103">
        <v>7</v>
      </c>
      <c r="B45" s="107" t="s">
        <v>694</v>
      </c>
      <c r="C45" s="105" t="s">
        <v>117</v>
      </c>
      <c r="D45" s="361">
        <v>2614</v>
      </c>
      <c r="E45" s="105"/>
      <c r="F45" s="361">
        <v>2614</v>
      </c>
      <c r="G45" s="358" t="s">
        <v>2489</v>
      </c>
      <c r="H45" s="358"/>
      <c r="I45" s="358"/>
      <c r="J45" s="358" t="s">
        <v>2328</v>
      </c>
      <c r="K45" s="311">
        <v>17700.000000000004</v>
      </c>
      <c r="L45" s="311">
        <v>0</v>
      </c>
      <c r="M45" s="311">
        <v>6419.2000000000016</v>
      </c>
      <c r="N45" s="311">
        <v>2044</v>
      </c>
      <c r="O45" s="311">
        <v>1430.8000000000002</v>
      </c>
      <c r="P45" s="68">
        <f t="shared" si="3"/>
        <v>27594.000000000004</v>
      </c>
      <c r="Q45" s="68">
        <f t="shared" si="4"/>
        <v>72130716.000000015</v>
      </c>
      <c r="R45" s="127">
        <f t="shared" si="5"/>
        <v>72130716.000000015</v>
      </c>
      <c r="S45" s="26"/>
    </row>
    <row r="46" spans="1:19">
      <c r="A46" s="103">
        <v>8</v>
      </c>
      <c r="B46" s="107" t="s">
        <v>743</v>
      </c>
      <c r="C46" s="105" t="s">
        <v>78</v>
      </c>
      <c r="D46" s="361">
        <v>1</v>
      </c>
      <c r="E46" s="105"/>
      <c r="F46" s="361">
        <v>1</v>
      </c>
      <c r="G46" s="353"/>
      <c r="H46" s="353"/>
      <c r="I46" s="353"/>
      <c r="J46" s="353" t="s">
        <v>2381</v>
      </c>
      <c r="K46" s="311">
        <v>62229060.801546015</v>
      </c>
      <c r="L46" s="311">
        <v>0</v>
      </c>
      <c r="M46" s="311">
        <v>22990446.564631328</v>
      </c>
      <c r="N46" s="311">
        <v>7221992.1496760463</v>
      </c>
      <c r="O46" s="311">
        <v>5055394.5047732322</v>
      </c>
      <c r="P46" s="68">
        <f t="shared" si="3"/>
        <v>97496894.020626619</v>
      </c>
      <c r="Q46" s="68">
        <f t="shared" si="4"/>
        <v>97496894.020626619</v>
      </c>
      <c r="R46" s="127">
        <f t="shared" si="5"/>
        <v>97496894.020626619</v>
      </c>
      <c r="S46" s="26"/>
    </row>
    <row r="47" spans="1:19">
      <c r="A47" s="99" t="s">
        <v>483</v>
      </c>
      <c r="B47" s="106" t="s">
        <v>1854</v>
      </c>
      <c r="C47" s="101"/>
      <c r="D47" s="361"/>
      <c r="E47" s="101"/>
      <c r="F47" s="361"/>
      <c r="G47" s="327"/>
      <c r="H47" s="327"/>
      <c r="I47" s="327"/>
      <c r="J47" s="327"/>
      <c r="K47" s="66"/>
      <c r="L47" s="66"/>
      <c r="M47" s="66"/>
      <c r="N47" s="66"/>
      <c r="O47" s="66"/>
      <c r="P47" s="66"/>
      <c r="Q47" s="66"/>
      <c r="R47" s="66"/>
      <c r="S47" s="26"/>
    </row>
    <row r="48" spans="1:19" ht="30">
      <c r="A48" s="103">
        <v>1</v>
      </c>
      <c r="B48" s="108" t="s">
        <v>725</v>
      </c>
      <c r="C48" s="105" t="s">
        <v>744</v>
      </c>
      <c r="D48" s="361">
        <v>19</v>
      </c>
      <c r="E48" s="105"/>
      <c r="F48" s="361">
        <v>19</v>
      </c>
      <c r="G48" s="363" t="s">
        <v>2534</v>
      </c>
      <c r="H48" s="363" t="s">
        <v>2535</v>
      </c>
      <c r="I48" s="363" t="s">
        <v>2525</v>
      </c>
      <c r="J48" s="363" t="s">
        <v>2526</v>
      </c>
      <c r="K48" s="311">
        <v>2531200.0000000005</v>
      </c>
      <c r="L48" s="311">
        <v>0</v>
      </c>
      <c r="M48" s="311">
        <v>50850.000000000007</v>
      </c>
      <c r="N48" s="311">
        <v>228500</v>
      </c>
      <c r="O48" s="311">
        <v>159950.00000000003</v>
      </c>
      <c r="P48" s="68">
        <f t="shared" ref="P48:P49" si="6">SUM(K48:O48)</f>
        <v>2970500.0000000005</v>
      </c>
      <c r="Q48" s="68">
        <f>D48*P48</f>
        <v>56439500.000000007</v>
      </c>
      <c r="R48" s="127">
        <f>F48*P48</f>
        <v>56439500.000000007</v>
      </c>
      <c r="S48" s="26"/>
    </row>
    <row r="49" spans="1:19">
      <c r="A49" s="103">
        <v>2</v>
      </c>
      <c r="B49" s="108" t="s">
        <v>724</v>
      </c>
      <c r="C49" s="105" t="s">
        <v>117</v>
      </c>
      <c r="D49" s="362">
        <v>284</v>
      </c>
      <c r="E49" s="422"/>
      <c r="F49" s="362">
        <v>284</v>
      </c>
      <c r="G49" s="365" t="s">
        <v>2363</v>
      </c>
      <c r="H49" s="374"/>
      <c r="I49" s="365" t="s">
        <v>2330</v>
      </c>
      <c r="J49" s="365" t="s">
        <v>2328</v>
      </c>
      <c r="K49" s="311">
        <v>54275.98320000001</v>
      </c>
      <c r="L49" s="311">
        <v>0</v>
      </c>
      <c r="M49" s="311">
        <v>7437.1384615384613</v>
      </c>
      <c r="N49" s="311">
        <v>5637.601846153847</v>
      </c>
      <c r="O49" s="311">
        <v>3946.3212923076931</v>
      </c>
      <c r="P49" s="68">
        <f t="shared" si="6"/>
        <v>71297.044800000003</v>
      </c>
      <c r="Q49" s="68">
        <f>D49*P49</f>
        <v>20248360.723200001</v>
      </c>
      <c r="R49" s="127">
        <f>F49*P49</f>
        <v>20248360.723200001</v>
      </c>
      <c r="S49" s="26"/>
    </row>
    <row r="50" spans="1:19" s="424" customFormat="1" ht="14.25">
      <c r="A50" s="229" t="s">
        <v>1124</v>
      </c>
      <c r="B50" s="230" t="s">
        <v>1882</v>
      </c>
      <c r="C50" s="231"/>
      <c r="D50" s="288"/>
      <c r="E50" s="288"/>
      <c r="F50" s="288"/>
      <c r="G50" s="288"/>
      <c r="H50" s="288"/>
      <c r="I50" s="288"/>
      <c r="J50" s="288"/>
      <c r="K50" s="279"/>
      <c r="L50" s="279"/>
      <c r="M50" s="279"/>
      <c r="N50" s="279"/>
      <c r="O50" s="279"/>
      <c r="P50" s="279"/>
      <c r="Q50" s="279">
        <f>SUBTOTAL(9,Q51:Q54)</f>
        <v>0</v>
      </c>
      <c r="R50" s="279">
        <f>SUBTOTAL(9,R51:R54)</f>
        <v>0</v>
      </c>
      <c r="S50" s="423"/>
    </row>
    <row r="51" spans="1:19">
      <c r="A51" s="103"/>
      <c r="B51" s="107" t="s">
        <v>2293</v>
      </c>
      <c r="C51" s="105"/>
      <c r="D51" s="361"/>
      <c r="E51" s="105"/>
      <c r="F51" s="327"/>
      <c r="G51" s="327"/>
      <c r="H51" s="327"/>
      <c r="I51" s="327"/>
      <c r="J51" s="327"/>
      <c r="K51" s="311"/>
      <c r="L51" s="311"/>
      <c r="M51" s="311"/>
      <c r="N51" s="311"/>
      <c r="O51" s="311"/>
      <c r="P51" s="68"/>
      <c r="Q51" s="68"/>
      <c r="R51" s="127"/>
      <c r="S51" s="26"/>
    </row>
    <row r="52" spans="1:19">
      <c r="A52" s="103"/>
      <c r="B52" s="107" t="s">
        <v>2294</v>
      </c>
      <c r="C52" s="105"/>
      <c r="D52" s="361"/>
      <c r="E52" s="105"/>
      <c r="F52" s="327"/>
      <c r="G52" s="327"/>
      <c r="H52" s="327"/>
      <c r="I52" s="327"/>
      <c r="J52" s="327"/>
      <c r="K52" s="311"/>
      <c r="L52" s="311"/>
      <c r="M52" s="311"/>
      <c r="N52" s="311"/>
      <c r="O52" s="311"/>
      <c r="P52" s="68"/>
      <c r="Q52" s="68"/>
      <c r="R52" s="127"/>
      <c r="S52" s="26"/>
    </row>
    <row r="53" spans="1:19">
      <c r="A53" s="103"/>
      <c r="B53" s="107" t="s">
        <v>2295</v>
      </c>
      <c r="C53" s="105"/>
      <c r="D53" s="361"/>
      <c r="E53" s="105"/>
      <c r="F53" s="327"/>
      <c r="G53" s="327"/>
      <c r="H53" s="327"/>
      <c r="I53" s="327"/>
      <c r="J53" s="327"/>
      <c r="K53" s="311"/>
      <c r="L53" s="311"/>
      <c r="M53" s="311"/>
      <c r="N53" s="311"/>
      <c r="O53" s="311"/>
      <c r="P53" s="68"/>
      <c r="Q53" s="68"/>
      <c r="R53" s="127"/>
      <c r="S53" s="26"/>
    </row>
    <row r="54" spans="1:19">
      <c r="A54" s="103"/>
      <c r="B54" s="107" t="s">
        <v>2296</v>
      </c>
      <c r="C54" s="105"/>
      <c r="D54" s="361"/>
      <c r="E54" s="105"/>
      <c r="F54" s="327"/>
      <c r="G54" s="327"/>
      <c r="H54" s="327"/>
      <c r="I54" s="327"/>
      <c r="J54" s="327"/>
      <c r="K54" s="66"/>
      <c r="L54" s="66"/>
      <c r="M54" s="66"/>
      <c r="N54" s="66"/>
      <c r="O54" s="66"/>
      <c r="P54" s="66"/>
      <c r="Q54" s="66"/>
      <c r="R54" s="287"/>
      <c r="S54" s="377"/>
    </row>
    <row r="55" spans="1:19" s="424" customFormat="1" ht="14.25">
      <c r="A55" s="261" t="s">
        <v>2291</v>
      </c>
      <c r="B55" s="262" t="s">
        <v>2292</v>
      </c>
      <c r="C55" s="263"/>
      <c r="D55" s="389"/>
      <c r="E55" s="389"/>
      <c r="F55" s="389"/>
      <c r="G55" s="389"/>
      <c r="H55" s="389"/>
      <c r="I55" s="389"/>
      <c r="J55" s="389"/>
      <c r="K55" s="390"/>
      <c r="L55" s="390"/>
      <c r="M55" s="390"/>
      <c r="N55" s="390"/>
      <c r="O55" s="390"/>
      <c r="P55" s="390"/>
      <c r="Q55" s="390">
        <f>Q9+Q50</f>
        <v>2459021433.5238295</v>
      </c>
      <c r="R55" s="390">
        <f>R9+R50</f>
        <v>2459021433.5238295</v>
      </c>
      <c r="S55" s="425"/>
    </row>
  </sheetData>
  <sheetProtection selectLockedCells="1" selectUnlockedCells="1"/>
  <autoFilter ref="A8:S55" xr:uid="{0783C285-7D01-40B8-8FDE-477D32A057CF}"/>
  <mergeCells count="12">
    <mergeCell ref="F5:S5"/>
    <mergeCell ref="F6:F7"/>
    <mergeCell ref="G6:J6"/>
    <mergeCell ref="K6:P6"/>
    <mergeCell ref="Q6:R6"/>
    <mergeCell ref="S6:S7"/>
    <mergeCell ref="A5:E5"/>
    <mergeCell ref="A6:A7"/>
    <mergeCell ref="B6:B7"/>
    <mergeCell ref="C6:C7"/>
    <mergeCell ref="E6:E7"/>
    <mergeCell ref="D6:D7"/>
  </mergeCells>
  <printOptions horizontalCentered="1"/>
  <pageMargins left="0.39370078740157483" right="0.39370078740157483" top="0.59055118110236227" bottom="0.39370078740157483" header="0.19685039370078741" footer="0.19685039370078741"/>
  <pageSetup scale="37" fitToHeight="100" orientation="landscape" horizontalDpi="1200" verticalDpi="1200" r:id="rId1"/>
  <headerFooter alignWithMargins="0">
    <oddFooter>Page &amp;P&amp;R&amp;A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6A25-A6CE-4BED-8920-F2985020F3A3}">
  <sheetPr>
    <tabColor rgb="FF92D050"/>
    <outlinePr summaryBelow="0"/>
    <pageSetUpPr fitToPage="1"/>
  </sheetPr>
  <dimension ref="A1:S844"/>
  <sheetViews>
    <sheetView zoomScale="115" zoomScaleNormal="115" zoomScaleSheetLayoutView="55" workbookViewId="0">
      <pane xSplit="6" ySplit="8" topLeftCell="M833" activePane="bottomRight" state="frozen"/>
      <selection pane="topRight" activeCell="G1" sqref="G1"/>
      <selection pane="bottomLeft" activeCell="A9" sqref="A9"/>
      <selection pane="bottomRight" activeCell="S844" sqref="S844"/>
    </sheetView>
  </sheetViews>
  <sheetFormatPr defaultColWidth="9.140625" defaultRowHeight="15"/>
  <cols>
    <col min="1" max="1" width="5.7109375" style="114" customWidth="1"/>
    <col min="2" max="2" width="52.7109375" style="252" customWidth="1"/>
    <col min="3" max="3" width="9.140625" style="115" customWidth="1"/>
    <col min="4" max="4" width="9.7109375" style="348" customWidth="1"/>
    <col min="5" max="5" width="20.7109375" style="117" customWidth="1"/>
    <col min="6" max="6" width="9.28515625" style="343" customWidth="1"/>
    <col min="7" max="7" width="40.7109375" style="343" customWidth="1"/>
    <col min="8" max="16" width="15.7109375" style="343" customWidth="1"/>
    <col min="17" max="17" width="17.7109375" style="343" customWidth="1"/>
    <col min="18" max="18" width="17.42578125" style="343" customWidth="1"/>
    <col min="19" max="19" width="20.7109375" style="343" customWidth="1"/>
    <col min="20" max="16384" width="9.140625" style="114"/>
  </cols>
  <sheetData>
    <row r="1" spans="1:19" s="110" customFormat="1">
      <c r="A1" s="41" t="s">
        <v>0</v>
      </c>
      <c r="B1" s="249"/>
      <c r="C1" s="109"/>
      <c r="D1" s="348"/>
      <c r="E1" s="109"/>
      <c r="F1" s="343"/>
      <c r="G1" s="343"/>
      <c r="H1" s="343"/>
      <c r="I1" s="343"/>
      <c r="J1" s="343"/>
      <c r="K1" s="343"/>
      <c r="L1" s="343"/>
      <c r="M1" s="343"/>
      <c r="N1" s="343"/>
      <c r="O1" s="343"/>
      <c r="P1" s="343"/>
      <c r="Q1" s="343"/>
      <c r="R1" s="343"/>
      <c r="S1" s="343"/>
    </row>
    <row r="2" spans="1:19" s="112" customFormat="1">
      <c r="A2" s="41" t="s">
        <v>1</v>
      </c>
      <c r="B2" s="250"/>
      <c r="C2" s="111"/>
      <c r="D2" s="348"/>
      <c r="E2" s="111"/>
      <c r="F2" s="343"/>
      <c r="G2" s="343"/>
      <c r="H2" s="343"/>
      <c r="I2" s="343"/>
      <c r="J2" s="343"/>
      <c r="K2" s="343"/>
      <c r="L2" s="343"/>
      <c r="M2" s="343"/>
      <c r="N2" s="343"/>
      <c r="O2" s="343"/>
      <c r="P2" s="343"/>
      <c r="Q2" s="343"/>
      <c r="R2" s="343"/>
      <c r="S2" s="343"/>
    </row>
    <row r="3" spans="1:19" s="112" customFormat="1">
      <c r="A3" s="41" t="s">
        <v>751</v>
      </c>
      <c r="B3" s="251"/>
      <c r="C3" s="113"/>
      <c r="D3" s="348"/>
      <c r="E3" s="113"/>
      <c r="F3" s="343"/>
      <c r="G3" s="343"/>
      <c r="H3" s="343"/>
      <c r="I3" s="343"/>
      <c r="J3" s="343"/>
      <c r="K3" s="343"/>
      <c r="L3" s="343"/>
      <c r="M3" s="343"/>
      <c r="N3" s="343"/>
      <c r="O3" s="343"/>
      <c r="P3" s="343"/>
      <c r="Q3" s="343"/>
      <c r="R3" s="343"/>
      <c r="S3" s="343"/>
    </row>
    <row r="4" spans="1:19">
      <c r="F4" s="325"/>
      <c r="G4" s="325"/>
      <c r="H4" s="325"/>
      <c r="I4" s="325"/>
      <c r="J4" s="325"/>
      <c r="K4" s="325"/>
      <c r="L4" s="325"/>
      <c r="M4" s="325"/>
      <c r="N4" s="325"/>
      <c r="O4" s="325"/>
      <c r="P4" s="325"/>
      <c r="Q4" s="325"/>
      <c r="R4" s="325"/>
      <c r="S4" s="325"/>
    </row>
    <row r="5" spans="1:19">
      <c r="A5" s="699" t="s">
        <v>1864</v>
      </c>
      <c r="B5" s="699"/>
      <c r="C5" s="699"/>
      <c r="D5" s="699"/>
      <c r="E5" s="699"/>
      <c r="F5" s="690" t="s">
        <v>2325</v>
      </c>
      <c r="G5" s="690"/>
      <c r="H5" s="690"/>
      <c r="I5" s="690"/>
      <c r="J5" s="690"/>
      <c r="K5" s="690"/>
      <c r="L5" s="690"/>
      <c r="M5" s="690"/>
      <c r="N5" s="690"/>
      <c r="O5" s="690"/>
      <c r="P5" s="690"/>
      <c r="Q5" s="690"/>
      <c r="R5" s="690"/>
      <c r="S5" s="690"/>
    </row>
    <row r="6" spans="1:19" s="118" customFormat="1" ht="14.25">
      <c r="A6" s="699" t="s">
        <v>3</v>
      </c>
      <c r="B6" s="700" t="s">
        <v>1865</v>
      </c>
      <c r="C6" s="688" t="s">
        <v>4</v>
      </c>
      <c r="D6" s="677" t="s">
        <v>1866</v>
      </c>
      <c r="E6" s="688" t="s">
        <v>5</v>
      </c>
      <c r="F6" s="691" t="s">
        <v>1867</v>
      </c>
      <c r="G6" s="677" t="s">
        <v>1868</v>
      </c>
      <c r="H6" s="677"/>
      <c r="I6" s="677"/>
      <c r="J6" s="677"/>
      <c r="K6" s="677" t="s">
        <v>1869</v>
      </c>
      <c r="L6" s="677"/>
      <c r="M6" s="677"/>
      <c r="N6" s="677"/>
      <c r="O6" s="677"/>
      <c r="P6" s="677"/>
      <c r="Q6" s="692" t="s">
        <v>1870</v>
      </c>
      <c r="R6" s="693"/>
      <c r="S6" s="666" t="s">
        <v>5</v>
      </c>
    </row>
    <row r="7" spans="1:19" s="118" customFormat="1" ht="28.5">
      <c r="A7" s="699"/>
      <c r="B7" s="700"/>
      <c r="C7" s="688"/>
      <c r="D7" s="677"/>
      <c r="E7" s="688"/>
      <c r="F7" s="691"/>
      <c r="G7" s="258" t="s">
        <v>1871</v>
      </c>
      <c r="H7" s="258" t="s">
        <v>1847</v>
      </c>
      <c r="I7" s="258" t="s">
        <v>1848</v>
      </c>
      <c r="J7" s="258" t="s">
        <v>1849</v>
      </c>
      <c r="K7" s="259" t="s">
        <v>1850</v>
      </c>
      <c r="L7" s="259" t="s">
        <v>1859</v>
      </c>
      <c r="M7" s="259" t="s">
        <v>1872</v>
      </c>
      <c r="N7" s="259" t="s">
        <v>1873</v>
      </c>
      <c r="O7" s="259" t="s">
        <v>1851</v>
      </c>
      <c r="P7" s="259" t="s">
        <v>1874</v>
      </c>
      <c r="Q7" s="223" t="s">
        <v>1875</v>
      </c>
      <c r="R7" s="223" t="s">
        <v>1876</v>
      </c>
      <c r="S7" s="666"/>
    </row>
    <row r="8" spans="1:19" s="118" customFormat="1" ht="28.5">
      <c r="A8" s="265">
        <v>1</v>
      </c>
      <c r="B8" s="225">
        <v>2</v>
      </c>
      <c r="C8" s="237">
        <v>3</v>
      </c>
      <c r="D8" s="421">
        <v>4</v>
      </c>
      <c r="E8" s="237"/>
      <c r="F8" s="228">
        <v>6</v>
      </c>
      <c r="G8" s="557">
        <v>7</v>
      </c>
      <c r="H8" s="557">
        <v>8</v>
      </c>
      <c r="I8" s="557">
        <v>9</v>
      </c>
      <c r="J8" s="557">
        <v>10</v>
      </c>
      <c r="K8" s="228">
        <v>11</v>
      </c>
      <c r="L8" s="228">
        <v>12</v>
      </c>
      <c r="M8" s="228">
        <v>13</v>
      </c>
      <c r="N8" s="228">
        <v>14</v>
      </c>
      <c r="O8" s="228">
        <v>15</v>
      </c>
      <c r="P8" s="228" t="s">
        <v>1877</v>
      </c>
      <c r="Q8" s="228" t="s">
        <v>1878</v>
      </c>
      <c r="R8" s="228" t="s">
        <v>1879</v>
      </c>
      <c r="S8" s="228">
        <v>19</v>
      </c>
    </row>
    <row r="9" spans="1:19" s="71" customFormat="1" ht="14.25">
      <c r="A9" s="242" t="s">
        <v>111</v>
      </c>
      <c r="B9" s="240" t="s">
        <v>112</v>
      </c>
      <c r="C9" s="243"/>
      <c r="D9" s="383"/>
      <c r="E9" s="243"/>
      <c r="F9" s="382"/>
      <c r="G9" s="382"/>
      <c r="H9" s="382"/>
      <c r="I9" s="382"/>
      <c r="J9" s="382"/>
      <c r="K9" s="382"/>
      <c r="L9" s="382"/>
      <c r="M9" s="382"/>
      <c r="N9" s="382"/>
      <c r="O9" s="382"/>
      <c r="P9" s="382"/>
      <c r="Q9" s="384">
        <f>SUBTOTAL(9,Q10:Q813)</f>
        <v>28952307779.670803</v>
      </c>
      <c r="R9" s="384">
        <f>SUBTOTAL(9,R10:R813)</f>
        <v>28952307779.670803</v>
      </c>
      <c r="S9" s="382"/>
    </row>
    <row r="10" spans="1:19" s="122" customFormat="1">
      <c r="A10" s="205" t="s">
        <v>113</v>
      </c>
      <c r="B10" s="206" t="s">
        <v>1855</v>
      </c>
      <c r="C10" s="207"/>
      <c r="D10" s="510"/>
      <c r="E10" s="210"/>
      <c r="F10" s="342"/>
      <c r="G10" s="520"/>
      <c r="H10" s="342"/>
      <c r="I10" s="342"/>
      <c r="J10" s="342"/>
      <c r="K10" s="342"/>
      <c r="L10" s="342"/>
      <c r="M10" s="342"/>
      <c r="N10" s="342"/>
      <c r="O10" s="342"/>
      <c r="P10" s="342"/>
      <c r="Q10" s="208"/>
      <c r="R10" s="208"/>
      <c r="S10" s="342"/>
    </row>
    <row r="11" spans="1:19" ht="90">
      <c r="A11" s="123">
        <v>1</v>
      </c>
      <c r="B11" s="125" t="s">
        <v>753</v>
      </c>
      <c r="C11" s="42" t="s">
        <v>754</v>
      </c>
      <c r="D11" s="351">
        <v>3</v>
      </c>
      <c r="E11" s="124" t="s">
        <v>1973</v>
      </c>
      <c r="F11" s="351">
        <v>3</v>
      </c>
      <c r="G11" s="363" t="s">
        <v>2645</v>
      </c>
      <c r="H11" s="363" t="s">
        <v>2646</v>
      </c>
      <c r="I11" s="363" t="s">
        <v>2251</v>
      </c>
      <c r="J11" s="363" t="s">
        <v>2374</v>
      </c>
      <c r="K11" s="311">
        <v>48249320</v>
      </c>
      <c r="L11" s="311">
        <v>3604500.0000000005</v>
      </c>
      <c r="M11" s="311">
        <v>2825000.0000000005</v>
      </c>
      <c r="N11" s="311">
        <v>4934400</v>
      </c>
      <c r="O11" s="311">
        <v>3454080.0000000005</v>
      </c>
      <c r="P11" s="68">
        <f>SUM(K11:O11)</f>
        <v>63067300</v>
      </c>
      <c r="Q11" s="68">
        <f t="shared" ref="Q11:Q35" si="0">D11*P11</f>
        <v>189201900</v>
      </c>
      <c r="R11" s="127">
        <f t="shared" ref="R11:R35" si="1">F11*P11</f>
        <v>189201900</v>
      </c>
      <c r="S11" s="26"/>
    </row>
    <row r="12" spans="1:19" ht="90">
      <c r="A12" s="123">
        <v>2</v>
      </c>
      <c r="B12" s="125" t="s">
        <v>755</v>
      </c>
      <c r="C12" s="42" t="s">
        <v>754</v>
      </c>
      <c r="D12" s="351">
        <v>2</v>
      </c>
      <c r="E12" s="124" t="s">
        <v>1973</v>
      </c>
      <c r="F12" s="351">
        <v>2</v>
      </c>
      <c r="G12" s="363" t="s">
        <v>2647</v>
      </c>
      <c r="H12" s="363" t="s">
        <v>2646</v>
      </c>
      <c r="I12" s="363" t="s">
        <v>2251</v>
      </c>
      <c r="J12" s="363" t="s">
        <v>2374</v>
      </c>
      <c r="K12" s="311">
        <v>48249320</v>
      </c>
      <c r="L12" s="311">
        <v>3604500.0000000005</v>
      </c>
      <c r="M12" s="311">
        <v>2825000.0000000005</v>
      </c>
      <c r="N12" s="311">
        <v>4934400</v>
      </c>
      <c r="O12" s="311">
        <v>3454080.0000000005</v>
      </c>
      <c r="P12" s="68">
        <f t="shared" ref="P12:P18" si="2">SUM(K12:O12)</f>
        <v>63067300</v>
      </c>
      <c r="Q12" s="68">
        <f t="shared" si="0"/>
        <v>126134600</v>
      </c>
      <c r="R12" s="127">
        <f t="shared" si="1"/>
        <v>126134600</v>
      </c>
      <c r="S12" s="26"/>
    </row>
    <row r="13" spans="1:19" ht="75">
      <c r="A13" s="123">
        <v>3</v>
      </c>
      <c r="B13" s="125" t="s">
        <v>756</v>
      </c>
      <c r="C13" s="42" t="s">
        <v>754</v>
      </c>
      <c r="D13" s="351">
        <v>2</v>
      </c>
      <c r="E13" s="124" t="s">
        <v>1973</v>
      </c>
      <c r="F13" s="351">
        <v>2</v>
      </c>
      <c r="G13" s="363" t="s">
        <v>2648</v>
      </c>
      <c r="H13" s="351" t="s">
        <v>2649</v>
      </c>
      <c r="I13" s="363" t="s">
        <v>2251</v>
      </c>
      <c r="J13" s="363" t="s">
        <v>2374</v>
      </c>
      <c r="K13" s="311">
        <v>31493280</v>
      </c>
      <c r="L13" s="311">
        <v>3604500.0000000005</v>
      </c>
      <c r="M13" s="311">
        <v>2260000</v>
      </c>
      <c r="N13" s="311">
        <v>3257600</v>
      </c>
      <c r="O13" s="311">
        <v>2280320</v>
      </c>
      <c r="P13" s="68">
        <f t="shared" si="2"/>
        <v>42895700</v>
      </c>
      <c r="Q13" s="68">
        <f t="shared" si="0"/>
        <v>85791400</v>
      </c>
      <c r="R13" s="127">
        <f t="shared" si="1"/>
        <v>85791400</v>
      </c>
      <c r="S13" s="26"/>
    </row>
    <row r="14" spans="1:19" ht="60">
      <c r="A14" s="123">
        <v>4</v>
      </c>
      <c r="B14" s="125" t="s">
        <v>757</v>
      </c>
      <c r="C14" s="42" t="s">
        <v>754</v>
      </c>
      <c r="D14" s="351">
        <v>1</v>
      </c>
      <c r="E14" s="124" t="s">
        <v>1972</v>
      </c>
      <c r="F14" s="351">
        <v>1</v>
      </c>
      <c r="G14" s="351" t="s">
        <v>2650</v>
      </c>
      <c r="H14" s="351" t="s">
        <v>2651</v>
      </c>
      <c r="I14" s="363" t="s">
        <v>2251</v>
      </c>
      <c r="J14" s="363" t="s">
        <v>2374</v>
      </c>
      <c r="K14" s="311">
        <v>282632000</v>
      </c>
      <c r="L14" s="311">
        <v>0</v>
      </c>
      <c r="M14" s="311">
        <v>9887500.0000000019</v>
      </c>
      <c r="N14" s="311">
        <v>28315000</v>
      </c>
      <c r="O14" s="311">
        <v>19820500.000000004</v>
      </c>
      <c r="P14" s="68">
        <f t="shared" si="2"/>
        <v>340655000</v>
      </c>
      <c r="Q14" s="68">
        <f t="shared" si="0"/>
        <v>340655000</v>
      </c>
      <c r="R14" s="127">
        <f t="shared" si="1"/>
        <v>340655000</v>
      </c>
      <c r="S14" s="26"/>
    </row>
    <row r="15" spans="1:19" ht="60">
      <c r="A15" s="123">
        <v>5</v>
      </c>
      <c r="B15" s="125" t="s">
        <v>758</v>
      </c>
      <c r="C15" s="42" t="s">
        <v>754</v>
      </c>
      <c r="D15" s="351">
        <v>1</v>
      </c>
      <c r="E15" s="124" t="s">
        <v>1972</v>
      </c>
      <c r="F15" s="351">
        <v>1</v>
      </c>
      <c r="G15" s="351" t="s">
        <v>2652</v>
      </c>
      <c r="H15" s="351" t="s">
        <v>2653</v>
      </c>
      <c r="I15" s="363" t="s">
        <v>2251</v>
      </c>
      <c r="J15" s="363" t="s">
        <v>2374</v>
      </c>
      <c r="K15" s="311">
        <v>264462800</v>
      </c>
      <c r="L15" s="311">
        <v>0</v>
      </c>
      <c r="M15" s="311">
        <v>9887500.0000000019</v>
      </c>
      <c r="N15" s="311">
        <v>26551000</v>
      </c>
      <c r="O15" s="311">
        <v>18585700</v>
      </c>
      <c r="P15" s="68">
        <f t="shared" si="2"/>
        <v>319487000</v>
      </c>
      <c r="Q15" s="68">
        <f t="shared" si="0"/>
        <v>319487000</v>
      </c>
      <c r="R15" s="127">
        <f t="shared" si="1"/>
        <v>319487000</v>
      </c>
      <c r="S15" s="26"/>
    </row>
    <row r="16" spans="1:19" ht="105">
      <c r="A16" s="123">
        <v>6</v>
      </c>
      <c r="B16" s="125" t="s">
        <v>2634</v>
      </c>
      <c r="C16" s="42" t="s">
        <v>754</v>
      </c>
      <c r="D16" s="351">
        <v>1</v>
      </c>
      <c r="E16" s="124" t="s">
        <v>1972</v>
      </c>
      <c r="F16" s="351">
        <v>1</v>
      </c>
      <c r="G16" s="351" t="s">
        <v>3345</v>
      </c>
      <c r="H16" s="351" t="s">
        <v>2654</v>
      </c>
      <c r="I16" s="363" t="s">
        <v>2251</v>
      </c>
      <c r="J16" s="363" t="s">
        <v>2374</v>
      </c>
      <c r="K16" s="311">
        <v>328055000</v>
      </c>
      <c r="L16" s="311">
        <v>0</v>
      </c>
      <c r="M16" s="311">
        <v>6780000.0000000009</v>
      </c>
      <c r="N16" s="311">
        <v>32450000</v>
      </c>
      <c r="O16" s="311">
        <v>22715000.000000004</v>
      </c>
      <c r="P16" s="68">
        <f t="shared" si="2"/>
        <v>390000000</v>
      </c>
      <c r="Q16" s="68">
        <f t="shared" si="0"/>
        <v>390000000</v>
      </c>
      <c r="R16" s="127">
        <f t="shared" si="1"/>
        <v>390000000</v>
      </c>
      <c r="S16" s="26"/>
    </row>
    <row r="17" spans="1:19" ht="105">
      <c r="A17" s="123">
        <v>7</v>
      </c>
      <c r="B17" s="125" t="s">
        <v>2635</v>
      </c>
      <c r="C17" s="42" t="s">
        <v>754</v>
      </c>
      <c r="D17" s="351">
        <v>1</v>
      </c>
      <c r="E17" s="124" t="s">
        <v>1972</v>
      </c>
      <c r="F17" s="351">
        <v>1</v>
      </c>
      <c r="G17" s="351" t="s">
        <v>3346</v>
      </c>
      <c r="H17" s="351" t="s">
        <v>2655</v>
      </c>
      <c r="I17" s="363" t="s">
        <v>2251</v>
      </c>
      <c r="J17" s="363" t="s">
        <v>2374</v>
      </c>
      <c r="K17" s="311">
        <v>272538000</v>
      </c>
      <c r="L17" s="311">
        <v>0</v>
      </c>
      <c r="M17" s="311">
        <v>5650000.0000000009</v>
      </c>
      <c r="N17" s="311">
        <v>26960000</v>
      </c>
      <c r="O17" s="311">
        <v>18872000</v>
      </c>
      <c r="P17" s="68">
        <f t="shared" si="2"/>
        <v>324020000</v>
      </c>
      <c r="Q17" s="68">
        <f t="shared" si="0"/>
        <v>324020000</v>
      </c>
      <c r="R17" s="127">
        <f t="shared" si="1"/>
        <v>324020000</v>
      </c>
      <c r="S17" s="26"/>
    </row>
    <row r="18" spans="1:19" ht="105">
      <c r="A18" s="123">
        <v>8</v>
      </c>
      <c r="B18" s="125" t="s">
        <v>2644</v>
      </c>
      <c r="C18" s="42" t="s">
        <v>754</v>
      </c>
      <c r="D18" s="351">
        <v>1</v>
      </c>
      <c r="E18" s="124" t="s">
        <v>1972</v>
      </c>
      <c r="F18" s="351">
        <v>1</v>
      </c>
      <c r="G18" s="351" t="s">
        <v>3347</v>
      </c>
      <c r="H18" s="351" t="s">
        <v>2655</v>
      </c>
      <c r="I18" s="363" t="s">
        <v>2251</v>
      </c>
      <c r="J18" s="363" t="s">
        <v>2374</v>
      </c>
      <c r="K18" s="311">
        <v>272538000</v>
      </c>
      <c r="L18" s="311">
        <v>0</v>
      </c>
      <c r="M18" s="311">
        <v>5650000.0000000009</v>
      </c>
      <c r="N18" s="311">
        <v>26960000</v>
      </c>
      <c r="O18" s="311">
        <v>18872000</v>
      </c>
      <c r="P18" s="68">
        <f t="shared" si="2"/>
        <v>324020000</v>
      </c>
      <c r="Q18" s="68">
        <f t="shared" si="0"/>
        <v>324020000</v>
      </c>
      <c r="R18" s="127">
        <f t="shared" si="1"/>
        <v>324020000</v>
      </c>
      <c r="S18" s="26"/>
    </row>
    <row r="19" spans="1:19" s="131" customFormat="1" ht="30">
      <c r="A19" s="187">
        <v>9</v>
      </c>
      <c r="B19" s="188" t="s">
        <v>2636</v>
      </c>
      <c r="C19" s="126" t="s">
        <v>754</v>
      </c>
      <c r="D19" s="352">
        <v>3</v>
      </c>
      <c r="E19" s="130"/>
      <c r="F19" s="352">
        <v>3</v>
      </c>
      <c r="G19" s="26"/>
      <c r="H19" s="26"/>
      <c r="I19" s="26"/>
      <c r="J19" s="26"/>
      <c r="K19" s="311">
        <v>0</v>
      </c>
      <c r="L19" s="311">
        <v>0</v>
      </c>
      <c r="M19" s="311">
        <v>0</v>
      </c>
      <c r="N19" s="311">
        <v>0</v>
      </c>
      <c r="O19" s="311">
        <v>0</v>
      </c>
      <c r="P19" s="68">
        <f t="shared" ref="P19:P35" si="3">SUM(K19:O19)</f>
        <v>0</v>
      </c>
      <c r="Q19" s="68">
        <f t="shared" si="0"/>
        <v>0</v>
      </c>
      <c r="R19" s="127">
        <f t="shared" si="1"/>
        <v>0</v>
      </c>
      <c r="S19" s="30" t="s">
        <v>2656</v>
      </c>
    </row>
    <row r="20" spans="1:19" ht="45">
      <c r="A20" s="123">
        <v>10</v>
      </c>
      <c r="B20" s="125" t="s">
        <v>2637</v>
      </c>
      <c r="C20" s="42" t="s">
        <v>754</v>
      </c>
      <c r="D20" s="351">
        <v>1</v>
      </c>
      <c r="E20" s="124"/>
      <c r="F20" s="351">
        <v>1</v>
      </c>
      <c r="G20" s="351" t="s">
        <v>2674</v>
      </c>
      <c r="H20" s="351" t="s">
        <v>3137</v>
      </c>
      <c r="I20" s="351" t="s">
        <v>3135</v>
      </c>
      <c r="J20" s="351" t="s">
        <v>2374</v>
      </c>
      <c r="K20" s="311">
        <v>9741740</v>
      </c>
      <c r="L20" s="311">
        <v>0</v>
      </c>
      <c r="M20" s="311">
        <v>1016322.0000000001</v>
      </c>
      <c r="N20" s="311">
        <v>1035740</v>
      </c>
      <c r="O20" s="311">
        <v>725018.00000000012</v>
      </c>
      <c r="P20" s="68">
        <f t="shared" si="3"/>
        <v>12518820</v>
      </c>
      <c r="Q20" s="68">
        <f t="shared" si="0"/>
        <v>12518820</v>
      </c>
      <c r="R20" s="127">
        <f t="shared" si="1"/>
        <v>12518820</v>
      </c>
      <c r="S20" s="26" t="s">
        <v>761</v>
      </c>
    </row>
    <row r="21" spans="1:19" s="131" customFormat="1" ht="45">
      <c r="A21" s="126">
        <v>11</v>
      </c>
      <c r="B21" s="253" t="s">
        <v>1914</v>
      </c>
      <c r="C21" s="126" t="s">
        <v>754</v>
      </c>
      <c r="D21" s="511">
        <v>1</v>
      </c>
      <c r="E21" s="130"/>
      <c r="F21" s="511">
        <v>1</v>
      </c>
      <c r="G21" s="351" t="s">
        <v>3040</v>
      </c>
      <c r="H21" s="351" t="s">
        <v>3136</v>
      </c>
      <c r="I21" s="351" t="s">
        <v>3135</v>
      </c>
      <c r="J21" s="351" t="s">
        <v>2374</v>
      </c>
      <c r="K21" s="311">
        <v>9367850</v>
      </c>
      <c r="L21" s="311">
        <v>0</v>
      </c>
      <c r="M21" s="311">
        <v>965472.00000000012</v>
      </c>
      <c r="N21" s="311">
        <v>994940</v>
      </c>
      <c r="O21" s="311">
        <v>696458.00000000012</v>
      </c>
      <c r="P21" s="68">
        <f t="shared" si="3"/>
        <v>12024720</v>
      </c>
      <c r="Q21" s="68">
        <f t="shared" si="0"/>
        <v>12024720</v>
      </c>
      <c r="R21" s="127">
        <f t="shared" si="1"/>
        <v>12024720</v>
      </c>
      <c r="S21" s="26" t="s">
        <v>761</v>
      </c>
    </row>
    <row r="22" spans="1:19" ht="30">
      <c r="A22" s="123">
        <v>12</v>
      </c>
      <c r="B22" s="125" t="s">
        <v>2638</v>
      </c>
      <c r="C22" s="42" t="s">
        <v>754</v>
      </c>
      <c r="D22" s="351">
        <v>2</v>
      </c>
      <c r="E22" s="124"/>
      <c r="F22" s="351">
        <v>2</v>
      </c>
      <c r="G22" s="351" t="s">
        <v>2675</v>
      </c>
      <c r="H22" s="351" t="s">
        <v>3139</v>
      </c>
      <c r="I22" s="351" t="s">
        <v>3138</v>
      </c>
      <c r="J22" s="351" t="s">
        <v>2374</v>
      </c>
      <c r="K22" s="311">
        <v>5085110</v>
      </c>
      <c r="L22" s="311">
        <v>0</v>
      </c>
      <c r="M22" s="311">
        <v>316219.2</v>
      </c>
      <c r="N22" s="311">
        <v>521684</v>
      </c>
      <c r="O22" s="311">
        <v>365178.80000000005</v>
      </c>
      <c r="P22" s="68">
        <f t="shared" si="3"/>
        <v>6288192</v>
      </c>
      <c r="Q22" s="68">
        <f t="shared" si="0"/>
        <v>12576384</v>
      </c>
      <c r="R22" s="127">
        <f t="shared" si="1"/>
        <v>12576384</v>
      </c>
      <c r="S22" s="26" t="s">
        <v>761</v>
      </c>
    </row>
    <row r="23" spans="1:19" ht="30">
      <c r="A23" s="123">
        <v>13</v>
      </c>
      <c r="B23" s="125" t="s">
        <v>2639</v>
      </c>
      <c r="C23" s="42" t="s">
        <v>754</v>
      </c>
      <c r="D23" s="351">
        <v>5</v>
      </c>
      <c r="E23" s="124"/>
      <c r="F23" s="351">
        <v>5</v>
      </c>
      <c r="G23" s="351" t="s">
        <v>2675</v>
      </c>
      <c r="H23" s="351" t="s">
        <v>3139</v>
      </c>
      <c r="I23" s="351" t="s">
        <v>3138</v>
      </c>
      <c r="J23" s="351" t="s">
        <v>2374</v>
      </c>
      <c r="K23" s="311">
        <v>2787180</v>
      </c>
      <c r="L23" s="311">
        <v>0</v>
      </c>
      <c r="M23" s="311">
        <v>256012.80000000002</v>
      </c>
      <c r="N23" s="311">
        <v>293256</v>
      </c>
      <c r="O23" s="311">
        <v>205279.2</v>
      </c>
      <c r="P23" s="68">
        <f t="shared" si="3"/>
        <v>3541728</v>
      </c>
      <c r="Q23" s="68">
        <f t="shared" si="0"/>
        <v>17708640</v>
      </c>
      <c r="R23" s="127">
        <f t="shared" si="1"/>
        <v>17708640</v>
      </c>
      <c r="S23" s="26" t="s">
        <v>761</v>
      </c>
    </row>
    <row r="24" spans="1:19" ht="30">
      <c r="A24" s="123">
        <v>14</v>
      </c>
      <c r="B24" s="125" t="s">
        <v>2640</v>
      </c>
      <c r="C24" s="42" t="s">
        <v>754</v>
      </c>
      <c r="D24" s="351">
        <v>2</v>
      </c>
      <c r="E24" s="124"/>
      <c r="F24" s="351">
        <v>2</v>
      </c>
      <c r="G24" s="351" t="s">
        <v>2675</v>
      </c>
      <c r="H24" s="351" t="s">
        <v>3139</v>
      </c>
      <c r="I24" s="351" t="s">
        <v>3138</v>
      </c>
      <c r="J24" s="351" t="s">
        <v>2374</v>
      </c>
      <c r="K24" s="311">
        <v>1776750</v>
      </c>
      <c r="L24" s="311">
        <v>0</v>
      </c>
      <c r="M24" s="311">
        <v>210993.60000000003</v>
      </c>
      <c r="N24" s="311">
        <v>191172</v>
      </c>
      <c r="O24" s="311">
        <v>133820.40000000002</v>
      </c>
      <c r="P24" s="68">
        <f t="shared" si="3"/>
        <v>2312736</v>
      </c>
      <c r="Q24" s="68">
        <f t="shared" si="0"/>
        <v>4625472</v>
      </c>
      <c r="R24" s="127">
        <f t="shared" si="1"/>
        <v>4625472</v>
      </c>
      <c r="S24" s="26" t="s">
        <v>761</v>
      </c>
    </row>
    <row r="25" spans="1:19" ht="30">
      <c r="A25" s="123">
        <v>15</v>
      </c>
      <c r="B25" s="125" t="s">
        <v>2641</v>
      </c>
      <c r="C25" s="42" t="s">
        <v>754</v>
      </c>
      <c r="D25" s="351">
        <v>6</v>
      </c>
      <c r="E25" s="124"/>
      <c r="F25" s="351">
        <v>6</v>
      </c>
      <c r="G25" s="351" t="s">
        <v>2675</v>
      </c>
      <c r="H25" s="351" t="s">
        <v>3139</v>
      </c>
      <c r="I25" s="351" t="s">
        <v>3138</v>
      </c>
      <c r="J25" s="351" t="s">
        <v>2374</v>
      </c>
      <c r="K25" s="311">
        <v>1562510</v>
      </c>
      <c r="L25" s="311">
        <v>0</v>
      </c>
      <c r="M25" s="311">
        <v>150787.20000000001</v>
      </c>
      <c r="N25" s="311">
        <v>165044</v>
      </c>
      <c r="O25" s="311">
        <v>115530.80000000002</v>
      </c>
      <c r="P25" s="68">
        <f t="shared" si="3"/>
        <v>1993872</v>
      </c>
      <c r="Q25" s="68">
        <f t="shared" si="0"/>
        <v>11963232</v>
      </c>
      <c r="R25" s="127">
        <f t="shared" si="1"/>
        <v>11963232</v>
      </c>
      <c r="S25" s="26" t="s">
        <v>761</v>
      </c>
    </row>
    <row r="26" spans="1:19" ht="30">
      <c r="A26" s="123">
        <v>16</v>
      </c>
      <c r="B26" s="125" t="s">
        <v>2642</v>
      </c>
      <c r="C26" s="42" t="s">
        <v>754</v>
      </c>
      <c r="D26" s="351">
        <v>432</v>
      </c>
      <c r="E26" s="124"/>
      <c r="F26" s="351">
        <v>432</v>
      </c>
      <c r="G26" s="351" t="s">
        <v>2675</v>
      </c>
      <c r="H26" s="351" t="s">
        <v>3139</v>
      </c>
      <c r="I26" s="351" t="s">
        <v>3138</v>
      </c>
      <c r="J26" s="351" t="s">
        <v>2374</v>
      </c>
      <c r="K26" s="311">
        <v>1294710</v>
      </c>
      <c r="L26" s="311">
        <v>0</v>
      </c>
      <c r="M26" s="311">
        <v>135600</v>
      </c>
      <c r="N26" s="311">
        <v>137700</v>
      </c>
      <c r="O26" s="311">
        <v>96390.000000000015</v>
      </c>
      <c r="P26" s="68">
        <f t="shared" si="3"/>
        <v>1664400</v>
      </c>
      <c r="Q26" s="68">
        <f t="shared" si="0"/>
        <v>719020800</v>
      </c>
      <c r="R26" s="127">
        <f t="shared" si="1"/>
        <v>719020800</v>
      </c>
      <c r="S26" s="26" t="s">
        <v>761</v>
      </c>
    </row>
    <row r="27" spans="1:19" ht="30">
      <c r="A27" s="123">
        <v>17</v>
      </c>
      <c r="B27" s="125" t="s">
        <v>2643</v>
      </c>
      <c r="C27" s="42" t="s">
        <v>754</v>
      </c>
      <c r="D27" s="351">
        <v>84</v>
      </c>
      <c r="E27" s="124"/>
      <c r="F27" s="351">
        <v>84</v>
      </c>
      <c r="G27" s="351" t="s">
        <v>2675</v>
      </c>
      <c r="H27" s="351" t="s">
        <v>3139</v>
      </c>
      <c r="I27" s="351" t="s">
        <v>3138</v>
      </c>
      <c r="J27" s="351" t="s">
        <v>2374</v>
      </c>
      <c r="K27" s="311">
        <v>1063990</v>
      </c>
      <c r="L27" s="311">
        <v>0</v>
      </c>
      <c r="M27" s="311">
        <v>120412.80000000002</v>
      </c>
      <c r="N27" s="311">
        <v>113956</v>
      </c>
      <c r="O27" s="311">
        <v>79769.200000000012</v>
      </c>
      <c r="P27" s="68">
        <f t="shared" si="3"/>
        <v>1378128</v>
      </c>
      <c r="Q27" s="68">
        <f t="shared" si="0"/>
        <v>115762752</v>
      </c>
      <c r="R27" s="127">
        <f t="shared" si="1"/>
        <v>115762752</v>
      </c>
      <c r="S27" s="26" t="s">
        <v>761</v>
      </c>
    </row>
    <row r="28" spans="1:19">
      <c r="A28" s="123">
        <v>18</v>
      </c>
      <c r="B28" s="125" t="s">
        <v>759</v>
      </c>
      <c r="C28" s="42" t="s">
        <v>8</v>
      </c>
      <c r="D28" s="351">
        <v>6</v>
      </c>
      <c r="E28" s="124"/>
      <c r="F28" s="351">
        <v>6</v>
      </c>
      <c r="G28" s="351" t="s">
        <v>2657</v>
      </c>
      <c r="H28" s="351" t="s">
        <v>2658</v>
      </c>
      <c r="I28" s="351" t="s">
        <v>2659</v>
      </c>
      <c r="J28" s="351" t="s">
        <v>2660</v>
      </c>
      <c r="K28" s="311">
        <v>6553890</v>
      </c>
      <c r="L28" s="311">
        <v>0</v>
      </c>
      <c r="M28" s="311">
        <v>164528.00000000003</v>
      </c>
      <c r="N28" s="311">
        <v>650860</v>
      </c>
      <c r="O28" s="311">
        <v>455602.00000000006</v>
      </c>
      <c r="P28" s="68">
        <f t="shared" si="3"/>
        <v>7824880</v>
      </c>
      <c r="Q28" s="68">
        <f t="shared" si="0"/>
        <v>46949280</v>
      </c>
      <c r="R28" s="127">
        <f t="shared" si="1"/>
        <v>46949280</v>
      </c>
      <c r="S28" s="26"/>
    </row>
    <row r="29" spans="1:19">
      <c r="A29" s="123">
        <v>19</v>
      </c>
      <c r="B29" s="125" t="s">
        <v>760</v>
      </c>
      <c r="C29" s="42" t="s">
        <v>8</v>
      </c>
      <c r="D29" s="351">
        <v>2</v>
      </c>
      <c r="E29" s="124" t="s">
        <v>1883</v>
      </c>
      <c r="F29" s="351">
        <v>2</v>
      </c>
      <c r="G29" s="351" t="s">
        <v>2661</v>
      </c>
      <c r="H29" s="351" t="s">
        <v>3140</v>
      </c>
      <c r="I29" s="351" t="s">
        <v>2662</v>
      </c>
      <c r="J29" s="351" t="s">
        <v>2374</v>
      </c>
      <c r="K29" s="311">
        <v>9487330</v>
      </c>
      <c r="L29" s="311">
        <v>0</v>
      </c>
      <c r="M29" s="311">
        <v>289641.60000000003</v>
      </c>
      <c r="N29" s="311">
        <v>946732</v>
      </c>
      <c r="O29" s="311">
        <v>662712.4</v>
      </c>
      <c r="P29" s="68">
        <f t="shared" si="3"/>
        <v>11386416</v>
      </c>
      <c r="Q29" s="68">
        <f t="shared" si="0"/>
        <v>22772832</v>
      </c>
      <c r="R29" s="127">
        <f t="shared" si="1"/>
        <v>22772832</v>
      </c>
      <c r="S29" s="26" t="s">
        <v>3141</v>
      </c>
    </row>
    <row r="30" spans="1:19">
      <c r="A30" s="123">
        <v>20</v>
      </c>
      <c r="B30" s="125" t="s">
        <v>762</v>
      </c>
      <c r="C30" s="42" t="s">
        <v>8</v>
      </c>
      <c r="D30" s="351">
        <v>2</v>
      </c>
      <c r="E30" s="124" t="s">
        <v>1883</v>
      </c>
      <c r="F30" s="351">
        <v>2</v>
      </c>
      <c r="G30" s="351" t="s">
        <v>2663</v>
      </c>
      <c r="H30" s="351" t="s">
        <v>3041</v>
      </c>
      <c r="I30" s="351" t="s">
        <v>2662</v>
      </c>
      <c r="J30" s="351" t="s">
        <v>2374</v>
      </c>
      <c r="K30" s="311">
        <v>21508460</v>
      </c>
      <c r="L30" s="311">
        <v>0</v>
      </c>
      <c r="M30" s="311">
        <v>289641.60000000003</v>
      </c>
      <c r="N30" s="311">
        <v>2113832</v>
      </c>
      <c r="O30" s="311">
        <v>1479682.4000000001</v>
      </c>
      <c r="P30" s="68">
        <f t="shared" si="3"/>
        <v>25391616</v>
      </c>
      <c r="Q30" s="68">
        <f t="shared" si="0"/>
        <v>50783232</v>
      </c>
      <c r="R30" s="127">
        <f t="shared" si="1"/>
        <v>50783232</v>
      </c>
      <c r="S30" s="26" t="s">
        <v>1883</v>
      </c>
    </row>
    <row r="31" spans="1:19">
      <c r="A31" s="123">
        <v>21</v>
      </c>
      <c r="B31" s="125" t="s">
        <v>763</v>
      </c>
      <c r="C31" s="42" t="s">
        <v>8</v>
      </c>
      <c r="D31" s="351">
        <v>2</v>
      </c>
      <c r="E31" s="124" t="s">
        <v>761</v>
      </c>
      <c r="F31" s="351">
        <v>2</v>
      </c>
      <c r="G31" s="351" t="s">
        <v>2664</v>
      </c>
      <c r="H31" s="351" t="s">
        <v>2665</v>
      </c>
      <c r="I31" s="351" t="s">
        <v>2662</v>
      </c>
      <c r="J31" s="351" t="s">
        <v>2374</v>
      </c>
      <c r="K31" s="311">
        <v>10708910</v>
      </c>
      <c r="L31" s="311">
        <v>0</v>
      </c>
      <c r="M31" s="311">
        <v>203264.40000000002</v>
      </c>
      <c r="N31" s="311">
        <v>1057688</v>
      </c>
      <c r="O31" s="311">
        <v>740381.60000000009</v>
      </c>
      <c r="P31" s="68">
        <f t="shared" si="3"/>
        <v>12710244</v>
      </c>
      <c r="Q31" s="68">
        <f t="shared" si="0"/>
        <v>25420488</v>
      </c>
      <c r="R31" s="127">
        <f t="shared" si="1"/>
        <v>25420488</v>
      </c>
      <c r="S31" s="26" t="s">
        <v>761</v>
      </c>
    </row>
    <row r="32" spans="1:19">
      <c r="A32" s="123">
        <v>22</v>
      </c>
      <c r="B32" s="125" t="s">
        <v>764</v>
      </c>
      <c r="C32" s="42" t="s">
        <v>8</v>
      </c>
      <c r="D32" s="351">
        <v>9</v>
      </c>
      <c r="E32" s="124"/>
      <c r="F32" s="351">
        <v>9</v>
      </c>
      <c r="G32" s="351" t="s">
        <v>2666</v>
      </c>
      <c r="H32" s="351" t="s">
        <v>2667</v>
      </c>
      <c r="I32" s="351" t="s">
        <v>2662</v>
      </c>
      <c r="J32" s="351" t="s">
        <v>2374</v>
      </c>
      <c r="K32" s="311">
        <v>438780</v>
      </c>
      <c r="L32" s="311">
        <v>0</v>
      </c>
      <c r="M32" s="311">
        <v>56545.200000000004</v>
      </c>
      <c r="N32" s="311">
        <v>47604</v>
      </c>
      <c r="O32" s="311">
        <v>33322.800000000003</v>
      </c>
      <c r="P32" s="68">
        <f t="shared" si="3"/>
        <v>576252</v>
      </c>
      <c r="Q32" s="68">
        <f t="shared" si="0"/>
        <v>5186268</v>
      </c>
      <c r="R32" s="127">
        <f t="shared" si="1"/>
        <v>5186268</v>
      </c>
      <c r="S32" s="26" t="s">
        <v>761</v>
      </c>
    </row>
    <row r="33" spans="1:19" ht="45">
      <c r="A33" s="123">
        <v>23</v>
      </c>
      <c r="B33" s="125" t="s">
        <v>765</v>
      </c>
      <c r="C33" s="42" t="s">
        <v>754</v>
      </c>
      <c r="D33" s="351">
        <v>1</v>
      </c>
      <c r="E33" s="124" t="s">
        <v>761</v>
      </c>
      <c r="F33" s="351">
        <v>1</v>
      </c>
      <c r="G33" s="351" t="s">
        <v>3042</v>
      </c>
      <c r="H33" s="351" t="s">
        <v>3043</v>
      </c>
      <c r="I33" s="351" t="s">
        <v>2662</v>
      </c>
      <c r="J33" s="351" t="s">
        <v>2374</v>
      </c>
      <c r="K33" s="311">
        <v>32889960</v>
      </c>
      <c r="L33" s="311">
        <v>0</v>
      </c>
      <c r="M33" s="311">
        <v>1829379.6</v>
      </c>
      <c r="N33" s="311">
        <v>3355092</v>
      </c>
      <c r="O33" s="311">
        <v>2348564.4000000004</v>
      </c>
      <c r="P33" s="68">
        <f t="shared" si="3"/>
        <v>40422996</v>
      </c>
      <c r="Q33" s="68">
        <f t="shared" si="0"/>
        <v>40422996</v>
      </c>
      <c r="R33" s="127">
        <f t="shared" si="1"/>
        <v>40422996</v>
      </c>
      <c r="S33" s="26" t="s">
        <v>761</v>
      </c>
    </row>
    <row r="34" spans="1:19" ht="45">
      <c r="A34" s="123">
        <v>24</v>
      </c>
      <c r="B34" s="125" t="s">
        <v>766</v>
      </c>
      <c r="C34" s="42" t="s">
        <v>754</v>
      </c>
      <c r="D34" s="351">
        <v>5</v>
      </c>
      <c r="E34" s="124" t="s">
        <v>761</v>
      </c>
      <c r="F34" s="351">
        <v>5</v>
      </c>
      <c r="G34" s="351" t="s">
        <v>3042</v>
      </c>
      <c r="H34" s="351" t="s">
        <v>3043</v>
      </c>
      <c r="I34" s="351" t="s">
        <v>2662</v>
      </c>
      <c r="J34" s="351" t="s">
        <v>2374</v>
      </c>
      <c r="K34" s="311">
        <v>28912100</v>
      </c>
      <c r="L34" s="311">
        <v>0</v>
      </c>
      <c r="M34" s="311">
        <v>1737849.6</v>
      </c>
      <c r="N34" s="311">
        <v>2960792</v>
      </c>
      <c r="O34" s="311">
        <v>2072554.4000000001</v>
      </c>
      <c r="P34" s="68">
        <f t="shared" si="3"/>
        <v>35683296</v>
      </c>
      <c r="Q34" s="68">
        <f t="shared" si="0"/>
        <v>178416480</v>
      </c>
      <c r="R34" s="127">
        <f t="shared" si="1"/>
        <v>178416480</v>
      </c>
      <c r="S34" s="26" t="s">
        <v>761</v>
      </c>
    </row>
    <row r="35" spans="1:19" ht="30">
      <c r="A35" s="123">
        <v>25</v>
      </c>
      <c r="B35" s="125" t="s">
        <v>2288</v>
      </c>
      <c r="C35" s="42" t="s">
        <v>8</v>
      </c>
      <c r="D35" s="351">
        <v>2</v>
      </c>
      <c r="E35" s="124"/>
      <c r="F35" s="351">
        <v>2</v>
      </c>
      <c r="G35" s="351" t="s">
        <v>2668</v>
      </c>
      <c r="H35" s="351" t="s">
        <v>2669</v>
      </c>
      <c r="I35" s="351" t="s">
        <v>2670</v>
      </c>
      <c r="J35" s="351" t="s">
        <v>2671</v>
      </c>
      <c r="K35" s="311">
        <v>2656370</v>
      </c>
      <c r="L35" s="311">
        <v>0</v>
      </c>
      <c r="M35" s="311">
        <v>164528.00000000003</v>
      </c>
      <c r="N35" s="311">
        <v>272460</v>
      </c>
      <c r="O35" s="311">
        <v>190722.00000000003</v>
      </c>
      <c r="P35" s="68">
        <f t="shared" si="3"/>
        <v>3284080</v>
      </c>
      <c r="Q35" s="68">
        <f t="shared" si="0"/>
        <v>6568160</v>
      </c>
      <c r="R35" s="127">
        <f t="shared" si="1"/>
        <v>6568160</v>
      </c>
      <c r="S35" s="26"/>
    </row>
    <row r="36" spans="1:19" ht="30">
      <c r="A36" s="123">
        <v>26</v>
      </c>
      <c r="B36" s="125" t="s">
        <v>767</v>
      </c>
      <c r="C36" s="42" t="s">
        <v>8</v>
      </c>
      <c r="D36" s="351">
        <v>1</v>
      </c>
      <c r="E36" s="124"/>
      <c r="F36" s="351">
        <v>1</v>
      </c>
      <c r="G36" s="327"/>
      <c r="H36" s="327"/>
      <c r="I36" s="327"/>
      <c r="J36" s="327"/>
      <c r="K36" s="311"/>
      <c r="L36" s="311"/>
      <c r="M36" s="311"/>
      <c r="N36" s="311"/>
      <c r="O36" s="311"/>
      <c r="P36" s="68"/>
      <c r="Q36" s="68"/>
      <c r="R36" s="127"/>
      <c r="S36" s="26" t="s">
        <v>3199</v>
      </c>
    </row>
    <row r="37" spans="1:19" ht="30">
      <c r="A37" s="123">
        <v>27</v>
      </c>
      <c r="B37" s="125" t="s">
        <v>768</v>
      </c>
      <c r="C37" s="42" t="s">
        <v>8</v>
      </c>
      <c r="D37" s="351">
        <v>6</v>
      </c>
      <c r="E37" s="124"/>
      <c r="F37" s="351">
        <v>6</v>
      </c>
      <c r="G37" s="327"/>
      <c r="H37" s="327"/>
      <c r="I37" s="327"/>
      <c r="J37" s="327"/>
      <c r="K37" s="311"/>
      <c r="L37" s="311"/>
      <c r="M37" s="311"/>
      <c r="N37" s="311"/>
      <c r="O37" s="311"/>
      <c r="P37" s="68"/>
      <c r="Q37" s="68"/>
      <c r="R37" s="127"/>
      <c r="S37" s="26" t="s">
        <v>3199</v>
      </c>
    </row>
    <row r="38" spans="1:19" ht="30">
      <c r="A38" s="123">
        <v>28</v>
      </c>
      <c r="B38" s="125" t="s">
        <v>769</v>
      </c>
      <c r="C38" s="42" t="s">
        <v>117</v>
      </c>
      <c r="D38" s="351">
        <v>16</v>
      </c>
      <c r="E38" s="124"/>
      <c r="F38" s="351">
        <v>16</v>
      </c>
      <c r="G38" s="327"/>
      <c r="H38" s="327"/>
      <c r="I38" s="327"/>
      <c r="J38" s="327"/>
      <c r="K38" s="311"/>
      <c r="L38" s="311"/>
      <c r="M38" s="311"/>
      <c r="N38" s="311"/>
      <c r="O38" s="311"/>
      <c r="P38" s="68"/>
      <c r="Q38" s="68"/>
      <c r="R38" s="127"/>
      <c r="S38" s="26" t="s">
        <v>3199</v>
      </c>
    </row>
    <row r="39" spans="1:19" ht="300">
      <c r="A39" s="123">
        <v>29</v>
      </c>
      <c r="B39" s="125" t="s">
        <v>770</v>
      </c>
      <c r="C39" s="42" t="s">
        <v>8</v>
      </c>
      <c r="D39" s="351">
        <v>1</v>
      </c>
      <c r="E39" s="124"/>
      <c r="F39" s="351">
        <v>1</v>
      </c>
      <c r="G39" s="484" t="s">
        <v>2672</v>
      </c>
      <c r="H39" s="351"/>
      <c r="I39" s="351" t="s">
        <v>2252</v>
      </c>
      <c r="J39" s="351" t="s">
        <v>2328</v>
      </c>
      <c r="K39" s="311">
        <v>304880000</v>
      </c>
      <c r="L39" s="311">
        <v>0</v>
      </c>
      <c r="M39" s="311">
        <v>12430000.000000002</v>
      </c>
      <c r="N39" s="311">
        <v>30700000</v>
      </c>
      <c r="O39" s="311">
        <v>21490000.000000004</v>
      </c>
      <c r="P39" s="68">
        <f t="shared" ref="P39:P40" si="4">SUM(K39:O39)</f>
        <v>369500000</v>
      </c>
      <c r="Q39" s="68">
        <f>D39*P39</f>
        <v>369500000</v>
      </c>
      <c r="R39" s="127">
        <f>F39*P39</f>
        <v>369500000</v>
      </c>
      <c r="S39" s="26"/>
    </row>
    <row r="40" spans="1:19" ht="300">
      <c r="A40" s="123">
        <v>30</v>
      </c>
      <c r="B40" s="125" t="s">
        <v>771</v>
      </c>
      <c r="C40" s="42" t="s">
        <v>8</v>
      </c>
      <c r="D40" s="351">
        <v>1</v>
      </c>
      <c r="E40" s="124"/>
      <c r="F40" s="351">
        <v>1</v>
      </c>
      <c r="G40" s="484" t="s">
        <v>2673</v>
      </c>
      <c r="H40" s="351"/>
      <c r="I40" s="351" t="s">
        <v>2252</v>
      </c>
      <c r="J40" s="351" t="s">
        <v>2328</v>
      </c>
      <c r="K40" s="311">
        <v>323832000</v>
      </c>
      <c r="L40" s="311">
        <v>0</v>
      </c>
      <c r="M40" s="311">
        <v>13560000.000000002</v>
      </c>
      <c r="N40" s="311">
        <v>32640000</v>
      </c>
      <c r="O40" s="311">
        <v>22848000.000000004</v>
      </c>
      <c r="P40" s="68">
        <f t="shared" si="4"/>
        <v>392880000</v>
      </c>
      <c r="Q40" s="68">
        <f>D40*P40</f>
        <v>392880000</v>
      </c>
      <c r="R40" s="127">
        <f>F40*P40</f>
        <v>392880000</v>
      </c>
      <c r="S40" s="26"/>
    </row>
    <row r="41" spans="1:19" ht="30">
      <c r="A41" s="123">
        <v>31</v>
      </c>
      <c r="B41" s="125" t="s">
        <v>772</v>
      </c>
      <c r="C41" s="42" t="s">
        <v>8</v>
      </c>
      <c r="D41" s="351">
        <v>10</v>
      </c>
      <c r="E41" s="124"/>
      <c r="F41" s="351">
        <v>10</v>
      </c>
      <c r="G41" s="327"/>
      <c r="H41" s="327"/>
      <c r="I41" s="327"/>
      <c r="J41" s="327"/>
      <c r="K41" s="311"/>
      <c r="L41" s="311"/>
      <c r="M41" s="311"/>
      <c r="N41" s="311"/>
      <c r="O41" s="311"/>
      <c r="P41" s="68"/>
      <c r="Q41" s="68"/>
      <c r="R41" s="127"/>
      <c r="S41" s="26" t="s">
        <v>3199</v>
      </c>
    </row>
    <row r="42" spans="1:19" s="131" customFormat="1" ht="30">
      <c r="A42" s="187">
        <v>32</v>
      </c>
      <c r="B42" s="253" t="s">
        <v>1915</v>
      </c>
      <c r="C42" s="126" t="s">
        <v>8</v>
      </c>
      <c r="D42" s="352">
        <v>1</v>
      </c>
      <c r="E42" s="130"/>
      <c r="F42" s="352">
        <v>1</v>
      </c>
      <c r="G42" s="15"/>
      <c r="H42" s="15"/>
      <c r="I42" s="15"/>
      <c r="J42" s="15"/>
      <c r="K42" s="311"/>
      <c r="L42" s="311"/>
      <c r="M42" s="311"/>
      <c r="N42" s="311"/>
      <c r="O42" s="311"/>
      <c r="P42" s="68"/>
      <c r="Q42" s="68"/>
      <c r="R42" s="127"/>
      <c r="S42" s="26" t="s">
        <v>3199</v>
      </c>
    </row>
    <row r="43" spans="1:19" s="122" customFormat="1">
      <c r="A43" s="205" t="s">
        <v>114</v>
      </c>
      <c r="B43" s="206" t="s">
        <v>1856</v>
      </c>
      <c r="C43" s="207"/>
      <c r="D43" s="355"/>
      <c r="E43" s="210"/>
      <c r="F43" s="355"/>
      <c r="G43" s="521"/>
      <c r="H43" s="521"/>
      <c r="I43" s="521"/>
      <c r="J43" s="521"/>
      <c r="K43" s="209"/>
      <c r="L43" s="209"/>
      <c r="M43" s="209"/>
      <c r="N43" s="209"/>
      <c r="O43" s="209"/>
      <c r="P43" s="209"/>
      <c r="Q43" s="209"/>
      <c r="R43" s="209"/>
      <c r="S43" s="181"/>
    </row>
    <row r="44" spans="1:19">
      <c r="A44" s="123" t="s">
        <v>113</v>
      </c>
      <c r="B44" s="1" t="s">
        <v>775</v>
      </c>
      <c r="C44" s="42"/>
      <c r="D44" s="351"/>
      <c r="E44" s="124"/>
      <c r="F44" s="351"/>
      <c r="G44" s="328"/>
      <c r="H44" s="328"/>
      <c r="I44" s="328"/>
      <c r="J44" s="328"/>
      <c r="K44" s="65"/>
      <c r="L44" s="65"/>
      <c r="M44" s="65"/>
      <c r="N44" s="65"/>
      <c r="O44" s="65"/>
      <c r="P44" s="65"/>
      <c r="Q44" s="65"/>
      <c r="R44" s="65"/>
      <c r="S44" s="24"/>
    </row>
    <row r="45" spans="1:19">
      <c r="A45" s="123">
        <v>1</v>
      </c>
      <c r="B45" s="1" t="s">
        <v>776</v>
      </c>
      <c r="C45" s="42"/>
      <c r="D45" s="351"/>
      <c r="E45" s="124"/>
      <c r="F45" s="351"/>
      <c r="G45" s="327"/>
      <c r="H45" s="327"/>
      <c r="I45" s="327"/>
      <c r="J45" s="327"/>
      <c r="K45" s="66"/>
      <c r="L45" s="66"/>
      <c r="M45" s="66"/>
      <c r="N45" s="66"/>
      <c r="O45" s="66"/>
      <c r="P45" s="66"/>
      <c r="Q45" s="66"/>
      <c r="R45" s="66"/>
      <c r="S45" s="26"/>
    </row>
    <row r="46" spans="1:19" ht="30">
      <c r="A46" s="123"/>
      <c r="B46" s="254" t="s">
        <v>777</v>
      </c>
      <c r="C46" s="42" t="s">
        <v>117</v>
      </c>
      <c r="D46" s="351">
        <v>3</v>
      </c>
      <c r="E46" s="124"/>
      <c r="F46" s="351">
        <v>3</v>
      </c>
      <c r="G46" s="26" t="s">
        <v>2791</v>
      </c>
      <c r="H46" s="26"/>
      <c r="I46" s="26" t="s">
        <v>2252</v>
      </c>
      <c r="J46" s="26" t="s">
        <v>2328</v>
      </c>
      <c r="K46" s="311">
        <v>1789694.0000000002</v>
      </c>
      <c r="L46" s="311">
        <v>0</v>
      </c>
      <c r="M46" s="311">
        <v>234106.62000000002</v>
      </c>
      <c r="N46" s="311">
        <v>179097.40000000002</v>
      </c>
      <c r="O46" s="311">
        <v>125368.18000000001</v>
      </c>
      <c r="P46" s="68">
        <f t="shared" ref="P46:P50" si="5">SUM(K46:O46)</f>
        <v>2328266.2000000007</v>
      </c>
      <c r="Q46" s="68">
        <f>D46*P46</f>
        <v>6984798.6000000015</v>
      </c>
      <c r="R46" s="127">
        <f>F46*P46</f>
        <v>6984798.6000000015</v>
      </c>
      <c r="S46" s="26"/>
    </row>
    <row r="47" spans="1:19" ht="30">
      <c r="A47" s="123"/>
      <c r="B47" s="254" t="s">
        <v>778</v>
      </c>
      <c r="C47" s="42" t="s">
        <v>117</v>
      </c>
      <c r="D47" s="351">
        <v>20</v>
      </c>
      <c r="E47" s="124" t="s">
        <v>1884</v>
      </c>
      <c r="F47" s="351">
        <v>20</v>
      </c>
      <c r="G47" s="351" t="s">
        <v>2676</v>
      </c>
      <c r="H47" s="351"/>
      <c r="I47" s="351" t="s">
        <v>2252</v>
      </c>
      <c r="J47" s="351" t="s">
        <v>2328</v>
      </c>
      <c r="K47" s="311">
        <v>1286053.0000000002</v>
      </c>
      <c r="L47" s="311">
        <v>0</v>
      </c>
      <c r="M47" s="311">
        <v>185427.35</v>
      </c>
      <c r="N47" s="311">
        <v>130219.5</v>
      </c>
      <c r="O47" s="311">
        <v>91153.650000000009</v>
      </c>
      <c r="P47" s="68">
        <f t="shared" si="5"/>
        <v>1692853.5000000002</v>
      </c>
      <c r="Q47" s="68">
        <f>D47*P47</f>
        <v>33857070.000000007</v>
      </c>
      <c r="R47" s="127">
        <f>F47*P47</f>
        <v>33857070.000000007</v>
      </c>
      <c r="S47" s="26"/>
    </row>
    <row r="48" spans="1:19" ht="30">
      <c r="A48" s="123"/>
      <c r="B48" s="254" t="s">
        <v>779</v>
      </c>
      <c r="C48" s="42" t="s">
        <v>117</v>
      </c>
      <c r="D48" s="351">
        <v>8</v>
      </c>
      <c r="E48" s="124" t="s">
        <v>1884</v>
      </c>
      <c r="F48" s="351">
        <v>8</v>
      </c>
      <c r="G48" s="351" t="s">
        <v>2677</v>
      </c>
      <c r="H48" s="351"/>
      <c r="I48" s="351" t="s">
        <v>2252</v>
      </c>
      <c r="J48" s="351" t="s">
        <v>2328</v>
      </c>
      <c r="K48" s="311">
        <v>1077003</v>
      </c>
      <c r="L48" s="311">
        <v>0</v>
      </c>
      <c r="M48" s="311">
        <v>153383.94</v>
      </c>
      <c r="N48" s="311">
        <v>108883.8</v>
      </c>
      <c r="O48" s="311">
        <v>76218.66</v>
      </c>
      <c r="P48" s="68">
        <f t="shared" si="5"/>
        <v>1415489.4</v>
      </c>
      <c r="Q48" s="68">
        <f>D48*P48</f>
        <v>11323915.199999999</v>
      </c>
      <c r="R48" s="127">
        <f>F48*P48</f>
        <v>11323915.199999999</v>
      </c>
      <c r="S48" s="26"/>
    </row>
    <row r="49" spans="1:19" ht="30">
      <c r="A49" s="123"/>
      <c r="B49" s="254" t="s">
        <v>780</v>
      </c>
      <c r="C49" s="42" t="s">
        <v>117</v>
      </c>
      <c r="D49" s="351">
        <v>27</v>
      </c>
      <c r="E49" s="124" t="s">
        <v>1884</v>
      </c>
      <c r="F49" s="351">
        <v>27</v>
      </c>
      <c r="G49" s="351" t="s">
        <v>2678</v>
      </c>
      <c r="H49" s="351"/>
      <c r="I49" s="351" t="s">
        <v>2252</v>
      </c>
      <c r="J49" s="351" t="s">
        <v>2328</v>
      </c>
      <c r="K49" s="311">
        <v>767609.00000000012</v>
      </c>
      <c r="L49" s="311">
        <v>0</v>
      </c>
      <c r="M49" s="311">
        <v>131211.08000000002</v>
      </c>
      <c r="N49" s="311">
        <v>79541.600000000006</v>
      </c>
      <c r="O49" s="311">
        <v>55679.12</v>
      </c>
      <c r="P49" s="68">
        <f t="shared" si="5"/>
        <v>1034040.8</v>
      </c>
      <c r="Q49" s="68">
        <f>D49*P49</f>
        <v>27919101.600000001</v>
      </c>
      <c r="R49" s="127">
        <f>F49*P49</f>
        <v>27919101.600000001</v>
      </c>
      <c r="S49" s="26"/>
    </row>
    <row r="50" spans="1:19" ht="30">
      <c r="A50" s="123"/>
      <c r="B50" s="254" t="s">
        <v>781</v>
      </c>
      <c r="C50" s="42" t="s">
        <v>117</v>
      </c>
      <c r="D50" s="351">
        <v>510</v>
      </c>
      <c r="E50" s="124" t="s">
        <v>1884</v>
      </c>
      <c r="F50" s="351">
        <v>510</v>
      </c>
      <c r="G50" s="351" t="s">
        <v>2679</v>
      </c>
      <c r="H50" s="351"/>
      <c r="I50" s="351" t="s">
        <v>2252</v>
      </c>
      <c r="J50" s="351" t="s">
        <v>2328</v>
      </c>
      <c r="K50" s="311">
        <v>631557.00000000012</v>
      </c>
      <c r="L50" s="311">
        <v>0</v>
      </c>
      <c r="M50" s="311">
        <v>115980.94000000002</v>
      </c>
      <c r="N50" s="311">
        <v>66153.8</v>
      </c>
      <c r="O50" s="311">
        <v>46307.66</v>
      </c>
      <c r="P50" s="68">
        <f t="shared" si="5"/>
        <v>859999.40000000026</v>
      </c>
      <c r="Q50" s="68">
        <f>D50*P50</f>
        <v>438599694.00000012</v>
      </c>
      <c r="R50" s="127">
        <f>F50*P50</f>
        <v>438599694.00000012</v>
      </c>
      <c r="S50" s="26"/>
    </row>
    <row r="51" spans="1:19">
      <c r="A51" s="123">
        <v>2</v>
      </c>
      <c r="B51" s="1" t="s">
        <v>782</v>
      </c>
      <c r="C51" s="42"/>
      <c r="D51" s="351"/>
      <c r="E51" s="124"/>
      <c r="F51" s="351"/>
      <c r="G51" s="26"/>
      <c r="H51" s="26"/>
      <c r="I51" s="26"/>
      <c r="J51" s="26"/>
      <c r="K51" s="66"/>
      <c r="L51" s="66"/>
      <c r="M51" s="66"/>
      <c r="N51" s="66"/>
      <c r="O51" s="66"/>
      <c r="P51" s="66"/>
      <c r="Q51" s="66"/>
      <c r="R51" s="66"/>
      <c r="S51" s="26"/>
    </row>
    <row r="52" spans="1:19">
      <c r="A52" s="123"/>
      <c r="B52" s="254" t="s">
        <v>785</v>
      </c>
      <c r="C52" s="42" t="s">
        <v>117</v>
      </c>
      <c r="D52" s="351">
        <v>81.316000000000003</v>
      </c>
      <c r="E52" s="124" t="s">
        <v>784</v>
      </c>
      <c r="F52" s="351">
        <v>81.316000000000003</v>
      </c>
      <c r="G52" s="351" t="s">
        <v>2680</v>
      </c>
      <c r="H52" s="351"/>
      <c r="I52" s="351" t="s">
        <v>2681</v>
      </c>
      <c r="J52" s="351" t="s">
        <v>2328</v>
      </c>
      <c r="K52" s="311">
        <v>191715.8</v>
      </c>
      <c r="L52" s="311">
        <v>0</v>
      </c>
      <c r="M52" s="311">
        <v>59325.000000000007</v>
      </c>
      <c r="N52" s="311">
        <v>22216</v>
      </c>
      <c r="O52" s="311">
        <v>15551.199999999999</v>
      </c>
      <c r="P52" s="68">
        <f t="shared" ref="P52:P59" si="6">SUM(K52:O52)</f>
        <v>288808</v>
      </c>
      <c r="Q52" s="68">
        <f t="shared" ref="Q52:Q59" si="7">D52*P52</f>
        <v>23484711.328000002</v>
      </c>
      <c r="R52" s="127">
        <f t="shared" ref="R52:R59" si="8">F52*P52</f>
        <v>23484711.328000002</v>
      </c>
      <c r="S52" s="26"/>
    </row>
    <row r="53" spans="1:19">
      <c r="A53" s="123"/>
      <c r="B53" s="254" t="s">
        <v>786</v>
      </c>
      <c r="C53" s="42" t="s">
        <v>117</v>
      </c>
      <c r="D53" s="351">
        <v>36</v>
      </c>
      <c r="E53" s="124" t="s">
        <v>784</v>
      </c>
      <c r="F53" s="351">
        <v>36</v>
      </c>
      <c r="G53" s="351" t="s">
        <v>2682</v>
      </c>
      <c r="H53" s="351"/>
      <c r="I53" s="351" t="s">
        <v>2681</v>
      </c>
      <c r="J53" s="351" t="s">
        <v>2328</v>
      </c>
      <c r="K53" s="311">
        <v>119793.56</v>
      </c>
      <c r="L53" s="311">
        <v>0</v>
      </c>
      <c r="M53" s="311">
        <v>49073.640000000007</v>
      </c>
      <c r="N53" s="311">
        <v>14944</v>
      </c>
      <c r="O53" s="311">
        <v>10460.800000000001</v>
      </c>
      <c r="P53" s="68">
        <f t="shared" si="6"/>
        <v>194272</v>
      </c>
      <c r="Q53" s="68">
        <f t="shared" si="7"/>
        <v>6993792</v>
      </c>
      <c r="R53" s="127">
        <f t="shared" si="8"/>
        <v>6993792</v>
      </c>
      <c r="S53" s="26"/>
    </row>
    <row r="54" spans="1:19">
      <c r="A54" s="123"/>
      <c r="B54" s="254" t="s">
        <v>788</v>
      </c>
      <c r="C54" s="42" t="s">
        <v>117</v>
      </c>
      <c r="D54" s="351">
        <v>238</v>
      </c>
      <c r="E54" s="124" t="s">
        <v>784</v>
      </c>
      <c r="F54" s="351">
        <v>238</v>
      </c>
      <c r="G54" s="351" t="s">
        <v>2683</v>
      </c>
      <c r="H54" s="351"/>
      <c r="I54" s="351" t="s">
        <v>2681</v>
      </c>
      <c r="J54" s="351" t="s">
        <v>2328</v>
      </c>
      <c r="K54" s="311">
        <v>59013.119999999995</v>
      </c>
      <c r="L54" s="311">
        <v>0</v>
      </c>
      <c r="M54" s="311">
        <v>39907.08</v>
      </c>
      <c r="N54" s="311">
        <v>8754</v>
      </c>
      <c r="O54" s="311">
        <v>6127.8</v>
      </c>
      <c r="P54" s="68">
        <f t="shared" si="6"/>
        <v>113802</v>
      </c>
      <c r="Q54" s="68">
        <f t="shared" si="7"/>
        <v>27084876</v>
      </c>
      <c r="R54" s="127">
        <f t="shared" si="8"/>
        <v>27084876</v>
      </c>
      <c r="S54" s="26"/>
    </row>
    <row r="55" spans="1:19">
      <c r="A55" s="123"/>
      <c r="B55" s="254" t="s">
        <v>789</v>
      </c>
      <c r="C55" s="42" t="s">
        <v>117</v>
      </c>
      <c r="D55" s="351">
        <v>161</v>
      </c>
      <c r="E55" s="124" t="s">
        <v>784</v>
      </c>
      <c r="F55" s="351">
        <v>161</v>
      </c>
      <c r="G55" s="351" t="s">
        <v>2684</v>
      </c>
      <c r="H55" s="351"/>
      <c r="I55" s="351" t="s">
        <v>2681</v>
      </c>
      <c r="J55" s="351" t="s">
        <v>2328</v>
      </c>
      <c r="K55" s="311">
        <v>37113.72</v>
      </c>
      <c r="L55" s="311">
        <v>0</v>
      </c>
      <c r="M55" s="311">
        <v>34876.320000000007</v>
      </c>
      <c r="N55" s="311">
        <v>6370.8</v>
      </c>
      <c r="O55" s="311">
        <v>4459.5600000000004</v>
      </c>
      <c r="P55" s="68">
        <f t="shared" si="6"/>
        <v>82820.400000000009</v>
      </c>
      <c r="Q55" s="68">
        <f t="shared" si="7"/>
        <v>13334084.400000002</v>
      </c>
      <c r="R55" s="127">
        <f t="shared" si="8"/>
        <v>13334084.400000002</v>
      </c>
      <c r="S55" s="26"/>
    </row>
    <row r="56" spans="1:19">
      <c r="A56" s="123"/>
      <c r="B56" s="254" t="s">
        <v>790</v>
      </c>
      <c r="C56" s="42" t="s">
        <v>117</v>
      </c>
      <c r="D56" s="351">
        <v>228.82799999999997</v>
      </c>
      <c r="E56" s="124" t="s">
        <v>784</v>
      </c>
      <c r="F56" s="351">
        <v>228.82799999999997</v>
      </c>
      <c r="G56" s="351" t="s">
        <v>2685</v>
      </c>
      <c r="H56" s="351"/>
      <c r="I56" s="351" t="s">
        <v>2681</v>
      </c>
      <c r="J56" s="351" t="s">
        <v>2328</v>
      </c>
      <c r="K56" s="311">
        <v>25318.78</v>
      </c>
      <c r="L56" s="311">
        <v>0</v>
      </c>
      <c r="M56" s="311">
        <v>32991.480000000003</v>
      </c>
      <c r="N56" s="311">
        <v>5160.2000000000007</v>
      </c>
      <c r="O56" s="311">
        <v>3612.1400000000003</v>
      </c>
      <c r="P56" s="68">
        <f t="shared" si="6"/>
        <v>67082.600000000006</v>
      </c>
      <c r="Q56" s="68">
        <f t="shared" si="7"/>
        <v>15350377.1928</v>
      </c>
      <c r="R56" s="127">
        <f t="shared" si="8"/>
        <v>15350377.1928</v>
      </c>
      <c r="S56" s="26"/>
    </row>
    <row r="57" spans="1:19">
      <c r="A57" s="123"/>
      <c r="B57" s="254" t="s">
        <v>791</v>
      </c>
      <c r="C57" s="42" t="s">
        <v>117</v>
      </c>
      <c r="D57" s="351">
        <v>10702</v>
      </c>
      <c r="E57" s="124" t="s">
        <v>784</v>
      </c>
      <c r="F57" s="351">
        <v>10702</v>
      </c>
      <c r="G57" s="351" t="s">
        <v>2686</v>
      </c>
      <c r="H57" s="351"/>
      <c r="I57" s="351" t="s">
        <v>2681</v>
      </c>
      <c r="J57" s="351" t="s">
        <v>2328</v>
      </c>
      <c r="K57" s="311">
        <v>18864.22</v>
      </c>
      <c r="L57" s="311">
        <v>0</v>
      </c>
      <c r="M57" s="311">
        <v>29520.120000000003</v>
      </c>
      <c r="N57" s="311">
        <v>4281.8</v>
      </c>
      <c r="O57" s="311">
        <v>2997.26</v>
      </c>
      <c r="P57" s="68">
        <f t="shared" si="6"/>
        <v>55663.400000000009</v>
      </c>
      <c r="Q57" s="68">
        <f t="shared" si="7"/>
        <v>595709706.80000007</v>
      </c>
      <c r="R57" s="127">
        <f t="shared" si="8"/>
        <v>595709706.80000007</v>
      </c>
      <c r="S57" s="26"/>
    </row>
    <row r="58" spans="1:19">
      <c r="A58" s="123"/>
      <c r="B58" s="254" t="s">
        <v>792</v>
      </c>
      <c r="C58" s="42" t="s">
        <v>117</v>
      </c>
      <c r="D58" s="351">
        <v>3003</v>
      </c>
      <c r="E58" s="124" t="s">
        <v>784</v>
      </c>
      <c r="F58" s="351">
        <v>3003</v>
      </c>
      <c r="G58" s="351" t="s">
        <v>2687</v>
      </c>
      <c r="H58" s="351"/>
      <c r="I58" s="351" t="s">
        <v>2681</v>
      </c>
      <c r="J58" s="351" t="s">
        <v>2328</v>
      </c>
      <c r="K58" s="311">
        <v>14561.18</v>
      </c>
      <c r="L58" s="311">
        <v>0</v>
      </c>
      <c r="M58" s="311">
        <v>28109.880000000005</v>
      </c>
      <c r="N58" s="311">
        <v>3776.2000000000003</v>
      </c>
      <c r="O58" s="311">
        <v>2643.34</v>
      </c>
      <c r="P58" s="68">
        <f t="shared" si="6"/>
        <v>49090.600000000006</v>
      </c>
      <c r="Q58" s="68">
        <f t="shared" si="7"/>
        <v>147419071.80000001</v>
      </c>
      <c r="R58" s="127">
        <f t="shared" si="8"/>
        <v>147419071.80000001</v>
      </c>
      <c r="S58" s="26"/>
    </row>
    <row r="59" spans="1:19">
      <c r="A59" s="123"/>
      <c r="B59" s="254" t="s">
        <v>530</v>
      </c>
      <c r="C59" s="42" t="s">
        <v>117</v>
      </c>
      <c r="D59" s="351">
        <v>1139.8890000000001</v>
      </c>
      <c r="E59" s="124" t="s">
        <v>784</v>
      </c>
      <c r="F59" s="351">
        <v>1139.8890000000001</v>
      </c>
      <c r="G59" s="351" t="s">
        <v>2688</v>
      </c>
      <c r="H59" s="351"/>
      <c r="I59" s="351" t="s">
        <v>2681</v>
      </c>
      <c r="J59" s="351" t="s">
        <v>2328</v>
      </c>
      <c r="K59" s="311">
        <v>8145.04</v>
      </c>
      <c r="L59" s="311">
        <v>0</v>
      </c>
      <c r="M59" s="311">
        <v>25831.800000000003</v>
      </c>
      <c r="N59" s="311">
        <v>3006.8</v>
      </c>
      <c r="O59" s="311">
        <v>2104.7600000000002</v>
      </c>
      <c r="P59" s="68">
        <f t="shared" si="6"/>
        <v>39088.400000000009</v>
      </c>
      <c r="Q59" s="68">
        <f t="shared" si="7"/>
        <v>44556437.187600017</v>
      </c>
      <c r="R59" s="127">
        <f t="shared" si="8"/>
        <v>44556437.187600017</v>
      </c>
      <c r="S59" s="26"/>
    </row>
    <row r="60" spans="1:19">
      <c r="A60" s="123">
        <v>3</v>
      </c>
      <c r="B60" s="1" t="s">
        <v>793</v>
      </c>
      <c r="C60" s="42"/>
      <c r="D60" s="351"/>
      <c r="E60" s="124"/>
      <c r="F60" s="351"/>
      <c r="G60" s="26"/>
      <c r="H60" s="26"/>
      <c r="I60" s="26"/>
      <c r="J60" s="26"/>
      <c r="K60" s="66"/>
      <c r="L60" s="66"/>
      <c r="M60" s="66"/>
      <c r="N60" s="66"/>
      <c r="O60" s="66"/>
      <c r="P60" s="66"/>
      <c r="Q60" s="66"/>
      <c r="R60" s="66"/>
      <c r="S60" s="26"/>
    </row>
    <row r="61" spans="1:19">
      <c r="A61" s="123"/>
      <c r="B61" s="254" t="s">
        <v>783</v>
      </c>
      <c r="C61" s="42" t="s">
        <v>117</v>
      </c>
      <c r="D61" s="351">
        <v>32.839999999999996</v>
      </c>
      <c r="E61" s="124" t="s">
        <v>794</v>
      </c>
      <c r="F61" s="351">
        <v>32.839999999999996</v>
      </c>
      <c r="G61" s="351" t="s">
        <v>2689</v>
      </c>
      <c r="H61" s="351"/>
      <c r="I61" s="351" t="s">
        <v>2681</v>
      </c>
      <c r="J61" s="351" t="s">
        <v>2328</v>
      </c>
      <c r="K61" s="311">
        <v>352734.02</v>
      </c>
      <c r="L61" s="311">
        <v>0</v>
      </c>
      <c r="M61" s="311">
        <v>70261.140000000014</v>
      </c>
      <c r="N61" s="311">
        <v>37433.200000000004</v>
      </c>
      <c r="O61" s="311">
        <v>26203.24</v>
      </c>
      <c r="P61" s="68">
        <f t="shared" ref="P61:P64" si="9">SUM(K61:O61)</f>
        <v>486631.60000000003</v>
      </c>
      <c r="Q61" s="68">
        <f>D61*P61</f>
        <v>15980981.743999999</v>
      </c>
      <c r="R61" s="127">
        <f>F61*P61</f>
        <v>15980981.743999999</v>
      </c>
      <c r="S61" s="26"/>
    </row>
    <row r="62" spans="1:19">
      <c r="A62" s="123"/>
      <c r="B62" s="254" t="s">
        <v>785</v>
      </c>
      <c r="C62" s="42" t="s">
        <v>117</v>
      </c>
      <c r="D62" s="351">
        <v>189.39099999999999</v>
      </c>
      <c r="E62" s="124" t="s">
        <v>794</v>
      </c>
      <c r="F62" s="351">
        <v>189.39099999999999</v>
      </c>
      <c r="G62" s="351" t="s">
        <v>2690</v>
      </c>
      <c r="H62" s="351"/>
      <c r="I62" s="351" t="s">
        <v>2681</v>
      </c>
      <c r="J62" s="351" t="s">
        <v>2328</v>
      </c>
      <c r="K62" s="311">
        <v>223527.56</v>
      </c>
      <c r="L62" s="311">
        <v>0</v>
      </c>
      <c r="M62" s="311">
        <v>59325.000000000007</v>
      </c>
      <c r="N62" s="311">
        <v>25031.199999999997</v>
      </c>
      <c r="O62" s="311">
        <v>17521.84</v>
      </c>
      <c r="P62" s="68">
        <f t="shared" si="9"/>
        <v>325405.60000000003</v>
      </c>
      <c r="Q62" s="68">
        <f>D62*P62</f>
        <v>61628891.989600003</v>
      </c>
      <c r="R62" s="127">
        <f>F62*P62</f>
        <v>61628891.989600003</v>
      </c>
      <c r="S62" s="26"/>
    </row>
    <row r="63" spans="1:19">
      <c r="A63" s="123"/>
      <c r="B63" s="254" t="s">
        <v>786</v>
      </c>
      <c r="C63" s="42" t="s">
        <v>117</v>
      </c>
      <c r="D63" s="351">
        <v>173.15699999999998</v>
      </c>
      <c r="E63" s="124" t="s">
        <v>794</v>
      </c>
      <c r="F63" s="351">
        <v>173.15699999999998</v>
      </c>
      <c r="G63" s="351" t="s">
        <v>2691</v>
      </c>
      <c r="H63" s="351"/>
      <c r="I63" s="351" t="s">
        <v>2681</v>
      </c>
      <c r="J63" s="351" t="s">
        <v>2328</v>
      </c>
      <c r="K63" s="311">
        <v>146687.56</v>
      </c>
      <c r="L63" s="311">
        <v>0</v>
      </c>
      <c r="M63" s="311">
        <v>49073.640000000007</v>
      </c>
      <c r="N63" s="311">
        <v>17324</v>
      </c>
      <c r="O63" s="311">
        <v>12126.800000000001</v>
      </c>
      <c r="P63" s="68">
        <f t="shared" si="9"/>
        <v>225212</v>
      </c>
      <c r="Q63" s="68">
        <f>D63*P63</f>
        <v>38997034.283999994</v>
      </c>
      <c r="R63" s="127">
        <f>F63*P63</f>
        <v>38997034.283999994</v>
      </c>
      <c r="S63" s="26"/>
    </row>
    <row r="64" spans="1:19">
      <c r="A64" s="123"/>
      <c r="B64" s="254" t="s">
        <v>792</v>
      </c>
      <c r="C64" s="42" t="s">
        <v>117</v>
      </c>
      <c r="D64" s="351">
        <v>28</v>
      </c>
      <c r="E64" s="124" t="s">
        <v>794</v>
      </c>
      <c r="F64" s="351">
        <v>28</v>
      </c>
      <c r="G64" s="351" t="s">
        <v>2692</v>
      </c>
      <c r="H64" s="351"/>
      <c r="I64" s="351" t="s">
        <v>2681</v>
      </c>
      <c r="J64" s="351" t="s">
        <v>2328</v>
      </c>
      <c r="K64" s="311">
        <v>16751.12</v>
      </c>
      <c r="L64" s="311">
        <v>0</v>
      </c>
      <c r="M64" s="311">
        <v>28109.880000000005</v>
      </c>
      <c r="N64" s="311">
        <v>3970</v>
      </c>
      <c r="O64" s="311">
        <v>2779.0000000000005</v>
      </c>
      <c r="P64" s="68">
        <f t="shared" si="9"/>
        <v>51610</v>
      </c>
      <c r="Q64" s="68">
        <f>D64*P64</f>
        <v>1445080</v>
      </c>
      <c r="R64" s="127">
        <f>F64*P64</f>
        <v>1445080</v>
      </c>
      <c r="S64" s="26"/>
    </row>
    <row r="65" spans="1:19">
      <c r="A65" s="123">
        <v>4</v>
      </c>
      <c r="B65" s="1" t="s">
        <v>795</v>
      </c>
      <c r="C65" s="42"/>
      <c r="D65" s="351"/>
      <c r="E65" s="124"/>
      <c r="F65" s="351"/>
      <c r="G65" s="26"/>
      <c r="H65" s="26"/>
      <c r="I65" s="26"/>
      <c r="J65" s="26"/>
      <c r="K65" s="66"/>
      <c r="L65" s="66"/>
      <c r="M65" s="66"/>
      <c r="N65" s="66"/>
      <c r="O65" s="66"/>
      <c r="P65" s="66"/>
      <c r="Q65" s="66"/>
      <c r="R65" s="66"/>
      <c r="S65" s="26"/>
    </row>
    <row r="66" spans="1:19">
      <c r="A66" s="123"/>
      <c r="B66" s="254" t="s">
        <v>785</v>
      </c>
      <c r="C66" s="42" t="s">
        <v>117</v>
      </c>
      <c r="D66" s="351">
        <v>69.522000000000006</v>
      </c>
      <c r="E66" s="124" t="s">
        <v>796</v>
      </c>
      <c r="F66" s="351">
        <v>69.522000000000006</v>
      </c>
      <c r="G66" s="351" t="s">
        <v>2693</v>
      </c>
      <c r="H66" s="351"/>
      <c r="I66" s="351" t="s">
        <v>2681</v>
      </c>
      <c r="J66" s="351" t="s">
        <v>2328</v>
      </c>
      <c r="K66" s="311">
        <v>100145.12000000002</v>
      </c>
      <c r="L66" s="311">
        <v>0</v>
      </c>
      <c r="M66" s="311">
        <v>52233.120000000003</v>
      </c>
      <c r="N66" s="311">
        <v>13484.800000000001</v>
      </c>
      <c r="O66" s="311">
        <v>9439.36</v>
      </c>
      <c r="P66" s="68">
        <f>SUM(K66:O66)</f>
        <v>175302.40000000002</v>
      </c>
      <c r="Q66" s="68">
        <f>D66*P66</f>
        <v>12187373.452800002</v>
      </c>
      <c r="R66" s="127">
        <f>F66*P66</f>
        <v>12187373.452800002</v>
      </c>
      <c r="S66" s="26"/>
    </row>
    <row r="67" spans="1:19">
      <c r="A67" s="123">
        <v>5</v>
      </c>
      <c r="B67" s="1" t="s">
        <v>797</v>
      </c>
      <c r="C67" s="42"/>
      <c r="D67" s="351"/>
      <c r="E67" s="124"/>
      <c r="F67" s="351"/>
      <c r="G67" s="26"/>
      <c r="H67" s="26"/>
      <c r="I67" s="26"/>
      <c r="J67" s="26"/>
      <c r="K67" s="66"/>
      <c r="L67" s="66"/>
      <c r="M67" s="66"/>
      <c r="N67" s="66"/>
      <c r="O67" s="66"/>
      <c r="P67" s="66"/>
      <c r="Q67" s="66"/>
      <c r="R67" s="66"/>
      <c r="S67" s="26"/>
    </row>
    <row r="68" spans="1:19" ht="30">
      <c r="A68" s="123"/>
      <c r="B68" s="254" t="s">
        <v>798</v>
      </c>
      <c r="C68" s="42" t="s">
        <v>8</v>
      </c>
      <c r="D68" s="351">
        <v>1</v>
      </c>
      <c r="E68" s="124"/>
      <c r="F68" s="351">
        <v>1</v>
      </c>
      <c r="G68" s="351" t="s">
        <v>2694</v>
      </c>
      <c r="H68" s="351"/>
      <c r="I68" s="351" t="s">
        <v>2681</v>
      </c>
      <c r="J68" s="351" t="s">
        <v>2328</v>
      </c>
      <c r="K68" s="311">
        <v>366680.48</v>
      </c>
      <c r="L68" s="311">
        <v>0</v>
      </c>
      <c r="M68" s="311">
        <v>69467.88</v>
      </c>
      <c r="N68" s="311">
        <v>38597.199999999997</v>
      </c>
      <c r="O68" s="311">
        <v>27018.039999999997</v>
      </c>
      <c r="P68" s="68">
        <f t="shared" ref="P68:P95" si="10">SUM(K68:O68)</f>
        <v>501763.6</v>
      </c>
      <c r="Q68" s="68">
        <f t="shared" ref="Q68:Q95" si="11">D68*P68</f>
        <v>501763.6</v>
      </c>
      <c r="R68" s="127">
        <f t="shared" ref="R68:R95" si="12">F68*P68</f>
        <v>501763.6</v>
      </c>
      <c r="S68" s="26"/>
    </row>
    <row r="69" spans="1:19">
      <c r="A69" s="123"/>
      <c r="B69" s="254" t="s">
        <v>785</v>
      </c>
      <c r="C69" s="42" t="s">
        <v>8</v>
      </c>
      <c r="D69" s="351">
        <v>6</v>
      </c>
      <c r="E69" s="124"/>
      <c r="F69" s="351">
        <v>6</v>
      </c>
      <c r="G69" s="351" t="s">
        <v>2695</v>
      </c>
      <c r="H69" s="351"/>
      <c r="I69" s="351" t="s">
        <v>2681</v>
      </c>
      <c r="J69" s="351" t="s">
        <v>2328</v>
      </c>
      <c r="K69" s="311">
        <v>167626.46000000002</v>
      </c>
      <c r="L69" s="311">
        <v>0</v>
      </c>
      <c r="M69" s="311">
        <v>63623.520000000004</v>
      </c>
      <c r="N69" s="311">
        <v>20464.600000000002</v>
      </c>
      <c r="O69" s="311">
        <v>14325.220000000001</v>
      </c>
      <c r="P69" s="68">
        <f t="shared" si="10"/>
        <v>266039.80000000005</v>
      </c>
      <c r="Q69" s="68">
        <f t="shared" si="11"/>
        <v>1596238.8000000003</v>
      </c>
      <c r="R69" s="127">
        <f t="shared" si="12"/>
        <v>1596238.8000000003</v>
      </c>
      <c r="S69" s="26"/>
    </row>
    <row r="70" spans="1:19">
      <c r="A70" s="123"/>
      <c r="B70" s="254" t="s">
        <v>799</v>
      </c>
      <c r="C70" s="42" t="s">
        <v>8</v>
      </c>
      <c r="D70" s="351">
        <v>2</v>
      </c>
      <c r="E70" s="124"/>
      <c r="F70" s="351">
        <v>2</v>
      </c>
      <c r="G70" s="351" t="s">
        <v>2696</v>
      </c>
      <c r="H70" s="351"/>
      <c r="I70" s="351" t="s">
        <v>2681</v>
      </c>
      <c r="J70" s="351" t="s">
        <v>2328</v>
      </c>
      <c r="K70" s="311">
        <v>160634.02000000002</v>
      </c>
      <c r="L70" s="311">
        <v>0</v>
      </c>
      <c r="M70" s="311">
        <v>63623.520000000004</v>
      </c>
      <c r="N70" s="311">
        <v>19845.800000000003</v>
      </c>
      <c r="O70" s="311">
        <v>13892.060000000001</v>
      </c>
      <c r="P70" s="68">
        <f t="shared" si="10"/>
        <v>257995.40000000002</v>
      </c>
      <c r="Q70" s="68">
        <f t="shared" si="11"/>
        <v>515990.80000000005</v>
      </c>
      <c r="R70" s="127">
        <f t="shared" si="12"/>
        <v>515990.80000000005</v>
      </c>
      <c r="S70" s="26"/>
    </row>
    <row r="71" spans="1:19">
      <c r="A71" s="123"/>
      <c r="B71" s="254" t="s">
        <v>801</v>
      </c>
      <c r="C71" s="42" t="s">
        <v>8</v>
      </c>
      <c r="D71" s="351">
        <v>6</v>
      </c>
      <c r="E71" s="124"/>
      <c r="F71" s="351">
        <v>6</v>
      </c>
      <c r="G71" s="351" t="s">
        <v>2697</v>
      </c>
      <c r="H71" s="351"/>
      <c r="I71" s="351" t="s">
        <v>2681</v>
      </c>
      <c r="J71" s="351" t="s">
        <v>2328</v>
      </c>
      <c r="K71" s="311">
        <v>160634.02000000002</v>
      </c>
      <c r="L71" s="311">
        <v>0</v>
      </c>
      <c r="M71" s="311">
        <v>63623.520000000004</v>
      </c>
      <c r="N71" s="311">
        <v>19845.800000000003</v>
      </c>
      <c r="O71" s="311">
        <v>13892.060000000001</v>
      </c>
      <c r="P71" s="68">
        <f t="shared" si="10"/>
        <v>257995.40000000002</v>
      </c>
      <c r="Q71" s="68">
        <f t="shared" si="11"/>
        <v>1547972.4000000001</v>
      </c>
      <c r="R71" s="127">
        <f t="shared" si="12"/>
        <v>1547972.4000000001</v>
      </c>
      <c r="S71" s="329"/>
    </row>
    <row r="72" spans="1:19" s="194" customFormat="1" ht="30">
      <c r="A72" s="189"/>
      <c r="B72" s="190" t="s">
        <v>1863</v>
      </c>
      <c r="C72" s="191" t="s">
        <v>8</v>
      </c>
      <c r="D72" s="512">
        <v>1</v>
      </c>
      <c r="E72" s="192"/>
      <c r="F72" s="512">
        <v>1</v>
      </c>
      <c r="G72" s="351" t="s">
        <v>3151</v>
      </c>
      <c r="H72" s="351"/>
      <c r="I72" s="351" t="s">
        <v>2681</v>
      </c>
      <c r="J72" s="351" t="s">
        <v>2328</v>
      </c>
      <c r="K72" s="311">
        <v>173389.46000000002</v>
      </c>
      <c r="L72" s="311">
        <v>0</v>
      </c>
      <c r="M72" s="311">
        <v>63623.520000000004</v>
      </c>
      <c r="N72" s="311">
        <v>20974.600000000002</v>
      </c>
      <c r="O72" s="311">
        <v>14682.220000000001</v>
      </c>
      <c r="P72" s="68">
        <f t="shared" si="10"/>
        <v>272669.80000000005</v>
      </c>
      <c r="Q72" s="68">
        <f t="shared" si="11"/>
        <v>272669.80000000005</v>
      </c>
      <c r="R72" s="127">
        <f t="shared" si="12"/>
        <v>272669.80000000005</v>
      </c>
      <c r="S72" s="193"/>
    </row>
    <row r="73" spans="1:19" s="194" customFormat="1" ht="30">
      <c r="A73" s="189"/>
      <c r="B73" s="190" t="s">
        <v>1862</v>
      </c>
      <c r="C73" s="191" t="s">
        <v>8</v>
      </c>
      <c r="D73" s="513">
        <v>1</v>
      </c>
      <c r="E73" s="192"/>
      <c r="F73" s="513">
        <v>1</v>
      </c>
      <c r="G73" s="351" t="s">
        <v>3152</v>
      </c>
      <c r="H73" s="351"/>
      <c r="I73" s="351" t="s">
        <v>2681</v>
      </c>
      <c r="J73" s="351" t="s">
        <v>2328</v>
      </c>
      <c r="K73" s="311">
        <v>173389.46000000002</v>
      </c>
      <c r="L73" s="311">
        <v>0</v>
      </c>
      <c r="M73" s="311">
        <v>63623.520000000004</v>
      </c>
      <c r="N73" s="311">
        <v>20974.600000000002</v>
      </c>
      <c r="O73" s="311">
        <v>14682.220000000001</v>
      </c>
      <c r="P73" s="68">
        <f t="shared" si="10"/>
        <v>272669.80000000005</v>
      </c>
      <c r="Q73" s="68">
        <f t="shared" si="11"/>
        <v>272669.80000000005</v>
      </c>
      <c r="R73" s="127">
        <f t="shared" si="12"/>
        <v>272669.80000000005</v>
      </c>
      <c r="S73" s="195"/>
    </row>
    <row r="74" spans="1:19">
      <c r="A74" s="123"/>
      <c r="B74" s="254" t="s">
        <v>786</v>
      </c>
      <c r="C74" s="42" t="s">
        <v>8</v>
      </c>
      <c r="D74" s="351">
        <v>12</v>
      </c>
      <c r="E74" s="124"/>
      <c r="F74" s="351">
        <v>12</v>
      </c>
      <c r="G74" s="351" t="s">
        <v>2719</v>
      </c>
      <c r="H74" s="351"/>
      <c r="I74" s="351" t="s">
        <v>2681</v>
      </c>
      <c r="J74" s="351" t="s">
        <v>2328</v>
      </c>
      <c r="K74" s="311">
        <v>108267.56</v>
      </c>
      <c r="L74" s="311">
        <v>0</v>
      </c>
      <c r="M74" s="311">
        <v>42849.600000000006</v>
      </c>
      <c r="N74" s="311">
        <v>13373.2</v>
      </c>
      <c r="O74" s="311">
        <v>9361.2400000000016</v>
      </c>
      <c r="P74" s="68">
        <f t="shared" si="10"/>
        <v>173851.6</v>
      </c>
      <c r="Q74" s="68">
        <f t="shared" si="11"/>
        <v>2086219.2000000002</v>
      </c>
      <c r="R74" s="127">
        <f t="shared" si="12"/>
        <v>2086219.2000000002</v>
      </c>
      <c r="S74" s="330"/>
    </row>
    <row r="75" spans="1:19">
      <c r="A75" s="123"/>
      <c r="B75" s="254" t="s">
        <v>803</v>
      </c>
      <c r="C75" s="42" t="s">
        <v>8</v>
      </c>
      <c r="D75" s="351">
        <v>37</v>
      </c>
      <c r="E75" s="124"/>
      <c r="F75" s="351">
        <v>37</v>
      </c>
      <c r="G75" s="351" t="s">
        <v>2698</v>
      </c>
      <c r="H75" s="351"/>
      <c r="I75" s="351" t="s">
        <v>2681</v>
      </c>
      <c r="J75" s="351" t="s">
        <v>2328</v>
      </c>
      <c r="K75" s="311">
        <v>101275.12</v>
      </c>
      <c r="L75" s="311">
        <v>0</v>
      </c>
      <c r="M75" s="311">
        <v>42849.600000000006</v>
      </c>
      <c r="N75" s="311">
        <v>12754.4</v>
      </c>
      <c r="O75" s="311">
        <v>8928.08</v>
      </c>
      <c r="P75" s="68">
        <f t="shared" si="10"/>
        <v>165807.19999999998</v>
      </c>
      <c r="Q75" s="68">
        <f t="shared" si="11"/>
        <v>6134866.3999999994</v>
      </c>
      <c r="R75" s="127">
        <f t="shared" si="12"/>
        <v>6134866.3999999994</v>
      </c>
      <c r="S75" s="333"/>
    </row>
    <row r="76" spans="1:19">
      <c r="A76" s="123"/>
      <c r="B76" s="254" t="s">
        <v>788</v>
      </c>
      <c r="C76" s="42" t="s">
        <v>8</v>
      </c>
      <c r="D76" s="351">
        <v>3</v>
      </c>
      <c r="E76" s="124"/>
      <c r="F76" s="351">
        <v>3</v>
      </c>
      <c r="G76" s="351" t="s">
        <v>2699</v>
      </c>
      <c r="H76" s="351"/>
      <c r="I76" s="351" t="s">
        <v>2681</v>
      </c>
      <c r="J76" s="351" t="s">
        <v>2328</v>
      </c>
      <c r="K76" s="311">
        <v>46449.78</v>
      </c>
      <c r="L76" s="311">
        <v>0</v>
      </c>
      <c r="M76" s="311">
        <v>33832.200000000004</v>
      </c>
      <c r="N76" s="311">
        <v>7104.6</v>
      </c>
      <c r="O76" s="311">
        <v>4973.22</v>
      </c>
      <c r="P76" s="68">
        <f t="shared" si="10"/>
        <v>92359.800000000017</v>
      </c>
      <c r="Q76" s="68">
        <f t="shared" si="11"/>
        <v>277079.40000000002</v>
      </c>
      <c r="R76" s="127">
        <f t="shared" si="12"/>
        <v>277079.40000000002</v>
      </c>
      <c r="S76" s="335"/>
    </row>
    <row r="77" spans="1:19">
      <c r="A77" s="123"/>
      <c r="B77" s="254" t="s">
        <v>807</v>
      </c>
      <c r="C77" s="42" t="s">
        <v>8</v>
      </c>
      <c r="D77" s="351">
        <v>5</v>
      </c>
      <c r="E77" s="124"/>
      <c r="F77" s="351">
        <v>5</v>
      </c>
      <c r="G77" s="351" t="s">
        <v>2700</v>
      </c>
      <c r="H77" s="351"/>
      <c r="I77" s="351" t="s">
        <v>2681</v>
      </c>
      <c r="J77" s="351" t="s">
        <v>2328</v>
      </c>
      <c r="K77" s="311">
        <v>43875.640000000007</v>
      </c>
      <c r="L77" s="311">
        <v>0</v>
      </c>
      <c r="M77" s="311">
        <v>33832.200000000004</v>
      </c>
      <c r="N77" s="311">
        <v>6876.8</v>
      </c>
      <c r="O77" s="311">
        <v>4813.76</v>
      </c>
      <c r="P77" s="68">
        <f t="shared" si="10"/>
        <v>89398.400000000009</v>
      </c>
      <c r="Q77" s="68">
        <f t="shared" si="11"/>
        <v>446992.00000000006</v>
      </c>
      <c r="R77" s="127">
        <f t="shared" si="12"/>
        <v>446992.00000000006</v>
      </c>
      <c r="S77" s="14"/>
    </row>
    <row r="78" spans="1:19">
      <c r="A78" s="123"/>
      <c r="B78" s="254" t="s">
        <v>808</v>
      </c>
      <c r="C78" s="42" t="s">
        <v>8</v>
      </c>
      <c r="D78" s="351">
        <v>9</v>
      </c>
      <c r="E78" s="124"/>
      <c r="F78" s="351">
        <v>9</v>
      </c>
      <c r="G78" s="351" t="s">
        <v>2701</v>
      </c>
      <c r="H78" s="351"/>
      <c r="I78" s="351" t="s">
        <v>2681</v>
      </c>
      <c r="J78" s="351" t="s">
        <v>2328</v>
      </c>
      <c r="K78" s="311">
        <v>43875.640000000007</v>
      </c>
      <c r="L78" s="311">
        <v>0</v>
      </c>
      <c r="M78" s="311">
        <v>33832.200000000004</v>
      </c>
      <c r="N78" s="311">
        <v>6876.8</v>
      </c>
      <c r="O78" s="311">
        <v>4813.76</v>
      </c>
      <c r="P78" s="68">
        <f t="shared" si="10"/>
        <v>89398.400000000009</v>
      </c>
      <c r="Q78" s="68">
        <f t="shared" si="11"/>
        <v>804585.60000000009</v>
      </c>
      <c r="R78" s="127">
        <f t="shared" si="12"/>
        <v>804585.60000000009</v>
      </c>
      <c r="S78" s="335"/>
    </row>
    <row r="79" spans="1:19">
      <c r="A79" s="123"/>
      <c r="B79" s="254" t="s">
        <v>809</v>
      </c>
      <c r="C79" s="42" t="s">
        <v>8</v>
      </c>
      <c r="D79" s="351">
        <v>414</v>
      </c>
      <c r="E79" s="124"/>
      <c r="F79" s="351">
        <v>414</v>
      </c>
      <c r="G79" s="351" t="s">
        <v>2702</v>
      </c>
      <c r="H79" s="351"/>
      <c r="I79" s="351" t="s">
        <v>2681</v>
      </c>
      <c r="J79" s="351" t="s">
        <v>2328</v>
      </c>
      <c r="K79" s="311">
        <v>43875.640000000007</v>
      </c>
      <c r="L79" s="311">
        <v>0</v>
      </c>
      <c r="M79" s="311">
        <v>33832.200000000004</v>
      </c>
      <c r="N79" s="311">
        <v>6876.8</v>
      </c>
      <c r="O79" s="311">
        <v>4813.76</v>
      </c>
      <c r="P79" s="68">
        <f t="shared" si="10"/>
        <v>89398.400000000009</v>
      </c>
      <c r="Q79" s="68">
        <f t="shared" si="11"/>
        <v>37010937.600000001</v>
      </c>
      <c r="R79" s="127">
        <f t="shared" si="12"/>
        <v>37010937.600000001</v>
      </c>
      <c r="S79" s="335"/>
    </row>
    <row r="80" spans="1:19">
      <c r="A80" s="123"/>
      <c r="B80" s="254" t="s">
        <v>810</v>
      </c>
      <c r="C80" s="42" t="s">
        <v>8</v>
      </c>
      <c r="D80" s="351">
        <v>114</v>
      </c>
      <c r="E80" s="124"/>
      <c r="F80" s="351">
        <v>114</v>
      </c>
      <c r="G80" s="351" t="s">
        <v>2703</v>
      </c>
      <c r="H80" s="351"/>
      <c r="I80" s="351" t="s">
        <v>2681</v>
      </c>
      <c r="J80" s="351" t="s">
        <v>2328</v>
      </c>
      <c r="K80" s="311">
        <v>43875.640000000007</v>
      </c>
      <c r="L80" s="311">
        <v>0</v>
      </c>
      <c r="M80" s="311">
        <v>33832.200000000004</v>
      </c>
      <c r="N80" s="311">
        <v>6876.8</v>
      </c>
      <c r="O80" s="311">
        <v>4813.76</v>
      </c>
      <c r="P80" s="68">
        <f t="shared" si="10"/>
        <v>89398.400000000009</v>
      </c>
      <c r="Q80" s="68">
        <f t="shared" si="11"/>
        <v>10191417.600000001</v>
      </c>
      <c r="R80" s="127">
        <f t="shared" si="12"/>
        <v>10191417.600000001</v>
      </c>
      <c r="S80" s="330"/>
    </row>
    <row r="81" spans="1:19">
      <c r="A81" s="123"/>
      <c r="B81" s="254" t="s">
        <v>811</v>
      </c>
      <c r="C81" s="42" t="s">
        <v>8</v>
      </c>
      <c r="D81" s="351">
        <v>58</v>
      </c>
      <c r="E81" s="124"/>
      <c r="F81" s="351">
        <v>58</v>
      </c>
      <c r="G81" s="351" t="s">
        <v>2704</v>
      </c>
      <c r="H81" s="351"/>
      <c r="I81" s="351" t="s">
        <v>2681</v>
      </c>
      <c r="J81" s="351" t="s">
        <v>2328</v>
      </c>
      <c r="K81" s="311">
        <v>43875.640000000007</v>
      </c>
      <c r="L81" s="311">
        <v>0</v>
      </c>
      <c r="M81" s="311">
        <v>33832.200000000004</v>
      </c>
      <c r="N81" s="311">
        <v>6876.8</v>
      </c>
      <c r="O81" s="311">
        <v>4813.76</v>
      </c>
      <c r="P81" s="68">
        <f t="shared" si="10"/>
        <v>89398.400000000009</v>
      </c>
      <c r="Q81" s="68">
        <f t="shared" si="11"/>
        <v>5185107.2</v>
      </c>
      <c r="R81" s="127">
        <f t="shared" si="12"/>
        <v>5185107.2</v>
      </c>
      <c r="S81" s="330"/>
    </row>
    <row r="82" spans="1:19">
      <c r="A82" s="123"/>
      <c r="B82" s="254" t="s">
        <v>789</v>
      </c>
      <c r="C82" s="42" t="s">
        <v>8</v>
      </c>
      <c r="D82" s="351">
        <v>3</v>
      </c>
      <c r="E82" s="124"/>
      <c r="F82" s="351">
        <v>3</v>
      </c>
      <c r="G82" s="351" t="s">
        <v>2705</v>
      </c>
      <c r="H82" s="351"/>
      <c r="I82" s="351" t="s">
        <v>2681</v>
      </c>
      <c r="J82" s="351" t="s">
        <v>2328</v>
      </c>
      <c r="K82" s="311">
        <v>18480.02</v>
      </c>
      <c r="L82" s="311">
        <v>0</v>
      </c>
      <c r="M82" s="311">
        <v>30306.600000000002</v>
      </c>
      <c r="N82" s="311">
        <v>4317.4000000000005</v>
      </c>
      <c r="O82" s="311">
        <v>3022.1800000000003</v>
      </c>
      <c r="P82" s="68">
        <f t="shared" si="10"/>
        <v>56126.200000000004</v>
      </c>
      <c r="Q82" s="68">
        <f t="shared" si="11"/>
        <v>168378.6</v>
      </c>
      <c r="R82" s="127">
        <f t="shared" si="12"/>
        <v>168378.6</v>
      </c>
      <c r="S82" s="330"/>
    </row>
    <row r="83" spans="1:19">
      <c r="A83" s="123"/>
      <c r="B83" s="254" t="s">
        <v>812</v>
      </c>
      <c r="C83" s="42" t="s">
        <v>8</v>
      </c>
      <c r="D83" s="351">
        <v>6</v>
      </c>
      <c r="E83" s="124"/>
      <c r="F83" s="351">
        <v>6</v>
      </c>
      <c r="G83" s="351" t="s">
        <v>2706</v>
      </c>
      <c r="H83" s="351"/>
      <c r="I83" s="351" t="s">
        <v>2681</v>
      </c>
      <c r="J83" s="351" t="s">
        <v>2328</v>
      </c>
      <c r="K83" s="311">
        <v>24973</v>
      </c>
      <c r="L83" s="311">
        <v>0</v>
      </c>
      <c r="M83" s="311">
        <v>30306.600000000002</v>
      </c>
      <c r="N83" s="311">
        <v>4892</v>
      </c>
      <c r="O83" s="311">
        <v>3424.4000000000005</v>
      </c>
      <c r="P83" s="68">
        <f t="shared" si="10"/>
        <v>63596.000000000007</v>
      </c>
      <c r="Q83" s="68">
        <f t="shared" si="11"/>
        <v>381576.00000000006</v>
      </c>
      <c r="R83" s="127">
        <f t="shared" si="12"/>
        <v>381576.00000000006</v>
      </c>
      <c r="S83" s="12"/>
    </row>
    <row r="84" spans="1:19">
      <c r="A84" s="123"/>
      <c r="B84" s="254" t="s">
        <v>813</v>
      </c>
      <c r="C84" s="42" t="s">
        <v>8</v>
      </c>
      <c r="D84" s="351">
        <v>3</v>
      </c>
      <c r="E84" s="124"/>
      <c r="F84" s="351">
        <v>3</v>
      </c>
      <c r="G84" s="351" t="s">
        <v>2707</v>
      </c>
      <c r="H84" s="351"/>
      <c r="I84" s="351" t="s">
        <v>2681</v>
      </c>
      <c r="J84" s="351" t="s">
        <v>2328</v>
      </c>
      <c r="K84" s="311">
        <v>24973</v>
      </c>
      <c r="L84" s="311">
        <v>0</v>
      </c>
      <c r="M84" s="311">
        <v>30306.600000000002</v>
      </c>
      <c r="N84" s="311">
        <v>4892</v>
      </c>
      <c r="O84" s="311">
        <v>3424.4000000000005</v>
      </c>
      <c r="P84" s="68">
        <f t="shared" si="10"/>
        <v>63596.000000000007</v>
      </c>
      <c r="Q84" s="68">
        <f t="shared" si="11"/>
        <v>190788.00000000003</v>
      </c>
      <c r="R84" s="127">
        <f t="shared" si="12"/>
        <v>190788.00000000003</v>
      </c>
      <c r="S84" s="12"/>
    </row>
    <row r="85" spans="1:19">
      <c r="A85" s="123"/>
      <c r="B85" s="254" t="s">
        <v>814</v>
      </c>
      <c r="C85" s="42" t="s">
        <v>8</v>
      </c>
      <c r="D85" s="351">
        <v>2</v>
      </c>
      <c r="E85" s="124"/>
      <c r="F85" s="351">
        <v>2</v>
      </c>
      <c r="G85" s="351" t="s">
        <v>2708</v>
      </c>
      <c r="H85" s="351"/>
      <c r="I85" s="351" t="s">
        <v>2681</v>
      </c>
      <c r="J85" s="351" t="s">
        <v>2328</v>
      </c>
      <c r="K85" s="311">
        <v>24973</v>
      </c>
      <c r="L85" s="311">
        <v>0</v>
      </c>
      <c r="M85" s="311">
        <v>30306.600000000002</v>
      </c>
      <c r="N85" s="311">
        <v>4892</v>
      </c>
      <c r="O85" s="311">
        <v>3424.4000000000005</v>
      </c>
      <c r="P85" s="68">
        <f t="shared" si="10"/>
        <v>63596.000000000007</v>
      </c>
      <c r="Q85" s="68">
        <f t="shared" si="11"/>
        <v>127192.00000000001</v>
      </c>
      <c r="R85" s="127">
        <f t="shared" si="12"/>
        <v>127192.00000000001</v>
      </c>
      <c r="S85" s="12"/>
    </row>
    <row r="86" spans="1:19">
      <c r="A86" s="123"/>
      <c r="B86" s="254" t="s">
        <v>815</v>
      </c>
      <c r="C86" s="42" t="s">
        <v>8</v>
      </c>
      <c r="D86" s="351">
        <v>3</v>
      </c>
      <c r="E86" s="124"/>
      <c r="F86" s="351">
        <v>3</v>
      </c>
      <c r="G86" s="351" t="s">
        <v>2717</v>
      </c>
      <c r="H86" s="351"/>
      <c r="I86" s="351" t="s">
        <v>2681</v>
      </c>
      <c r="J86" s="351" t="s">
        <v>2328</v>
      </c>
      <c r="K86" s="311">
        <v>24973</v>
      </c>
      <c r="L86" s="311">
        <v>0</v>
      </c>
      <c r="M86" s="311">
        <v>30306.600000000002</v>
      </c>
      <c r="N86" s="311">
        <v>4892</v>
      </c>
      <c r="O86" s="311">
        <v>3424.4000000000005</v>
      </c>
      <c r="P86" s="68">
        <f t="shared" si="10"/>
        <v>63596.000000000007</v>
      </c>
      <c r="Q86" s="68">
        <f t="shared" si="11"/>
        <v>190788.00000000003</v>
      </c>
      <c r="R86" s="127">
        <f t="shared" si="12"/>
        <v>190788.00000000003</v>
      </c>
      <c r="S86" s="336"/>
    </row>
    <row r="87" spans="1:19">
      <c r="A87" s="123"/>
      <c r="B87" s="254" t="s">
        <v>790</v>
      </c>
      <c r="C87" s="42" t="s">
        <v>8</v>
      </c>
      <c r="D87" s="351">
        <v>4</v>
      </c>
      <c r="E87" s="124"/>
      <c r="F87" s="351">
        <v>4</v>
      </c>
      <c r="G87" s="351" t="s">
        <v>2718</v>
      </c>
      <c r="H87" s="351"/>
      <c r="I87" s="351" t="s">
        <v>2681</v>
      </c>
      <c r="J87" s="351" t="s">
        <v>2328</v>
      </c>
      <c r="K87" s="311">
        <v>9412.9000000000015</v>
      </c>
      <c r="L87" s="311">
        <v>0</v>
      </c>
      <c r="M87" s="311">
        <v>24909.72</v>
      </c>
      <c r="N87" s="311">
        <v>3037.4</v>
      </c>
      <c r="O87" s="311">
        <v>2126.1800000000003</v>
      </c>
      <c r="P87" s="68">
        <f t="shared" si="10"/>
        <v>39486.200000000004</v>
      </c>
      <c r="Q87" s="68">
        <f t="shared" si="11"/>
        <v>157944.80000000002</v>
      </c>
      <c r="R87" s="127">
        <f t="shared" si="12"/>
        <v>157944.80000000002</v>
      </c>
      <c r="S87" s="335"/>
    </row>
    <row r="88" spans="1:19">
      <c r="A88" s="123"/>
      <c r="B88" s="254" t="s">
        <v>816</v>
      </c>
      <c r="C88" s="42" t="s">
        <v>8</v>
      </c>
      <c r="D88" s="351">
        <v>4</v>
      </c>
      <c r="E88" s="124"/>
      <c r="F88" s="351">
        <v>4</v>
      </c>
      <c r="G88" s="351" t="s">
        <v>2709</v>
      </c>
      <c r="H88" s="351"/>
      <c r="I88" s="351" t="s">
        <v>2681</v>
      </c>
      <c r="J88" s="351" t="s">
        <v>2328</v>
      </c>
      <c r="K88" s="311">
        <v>14215.4</v>
      </c>
      <c r="L88" s="311">
        <v>0</v>
      </c>
      <c r="M88" s="311">
        <v>24909.72</v>
      </c>
      <c r="N88" s="311">
        <v>3462.4</v>
      </c>
      <c r="O88" s="311">
        <v>2423.6800000000003</v>
      </c>
      <c r="P88" s="68">
        <f t="shared" si="10"/>
        <v>45011.200000000004</v>
      </c>
      <c r="Q88" s="68">
        <f t="shared" si="11"/>
        <v>180044.80000000002</v>
      </c>
      <c r="R88" s="127">
        <f t="shared" si="12"/>
        <v>180044.80000000002</v>
      </c>
      <c r="S88" s="333"/>
    </row>
    <row r="89" spans="1:19">
      <c r="A89" s="123"/>
      <c r="B89" s="254" t="s">
        <v>817</v>
      </c>
      <c r="C89" s="42" t="s">
        <v>8</v>
      </c>
      <c r="D89" s="351">
        <v>1</v>
      </c>
      <c r="E89" s="124"/>
      <c r="F89" s="351">
        <v>1</v>
      </c>
      <c r="G89" s="351" t="s">
        <v>2710</v>
      </c>
      <c r="H89" s="351"/>
      <c r="I89" s="351" t="s">
        <v>2681</v>
      </c>
      <c r="J89" s="351" t="s">
        <v>2328</v>
      </c>
      <c r="K89" s="311">
        <v>14215.4</v>
      </c>
      <c r="L89" s="311">
        <v>0</v>
      </c>
      <c r="M89" s="311">
        <v>24909.72</v>
      </c>
      <c r="N89" s="311">
        <v>3462.4</v>
      </c>
      <c r="O89" s="311">
        <v>2423.6800000000003</v>
      </c>
      <c r="P89" s="68">
        <f t="shared" si="10"/>
        <v>45011.200000000004</v>
      </c>
      <c r="Q89" s="68">
        <f t="shared" si="11"/>
        <v>45011.200000000004</v>
      </c>
      <c r="R89" s="127">
        <f t="shared" si="12"/>
        <v>45011.200000000004</v>
      </c>
      <c r="S89" s="331"/>
    </row>
    <row r="90" spans="1:19">
      <c r="A90" s="123"/>
      <c r="B90" s="254" t="s">
        <v>818</v>
      </c>
      <c r="C90" s="42" t="s">
        <v>8</v>
      </c>
      <c r="D90" s="351">
        <v>2</v>
      </c>
      <c r="E90" s="124"/>
      <c r="F90" s="351">
        <v>2</v>
      </c>
      <c r="G90" s="351" t="s">
        <v>2711</v>
      </c>
      <c r="H90" s="351"/>
      <c r="I90" s="351" t="s">
        <v>2681</v>
      </c>
      <c r="J90" s="351" t="s">
        <v>2328</v>
      </c>
      <c r="K90" s="311">
        <v>14215.4</v>
      </c>
      <c r="L90" s="311">
        <v>0</v>
      </c>
      <c r="M90" s="311">
        <v>24909.72</v>
      </c>
      <c r="N90" s="311">
        <v>3462.4</v>
      </c>
      <c r="O90" s="311">
        <v>2423.6800000000003</v>
      </c>
      <c r="P90" s="68">
        <f t="shared" si="10"/>
        <v>45011.200000000004</v>
      </c>
      <c r="Q90" s="68">
        <f t="shared" si="11"/>
        <v>90022.400000000009</v>
      </c>
      <c r="R90" s="127">
        <f t="shared" si="12"/>
        <v>90022.400000000009</v>
      </c>
      <c r="S90" s="333"/>
    </row>
    <row r="91" spans="1:19">
      <c r="A91" s="123"/>
      <c r="B91" s="254" t="s">
        <v>791</v>
      </c>
      <c r="C91" s="42" t="s">
        <v>8</v>
      </c>
      <c r="D91" s="351">
        <v>5</v>
      </c>
      <c r="E91" s="124"/>
      <c r="F91" s="351">
        <v>5</v>
      </c>
      <c r="G91" s="351" t="s">
        <v>2712</v>
      </c>
      <c r="H91" s="351"/>
      <c r="I91" s="351" t="s">
        <v>2681</v>
      </c>
      <c r="J91" s="351" t="s">
        <v>2328</v>
      </c>
      <c r="K91" s="311">
        <v>6031.94</v>
      </c>
      <c r="L91" s="311">
        <v>0</v>
      </c>
      <c r="M91" s="311">
        <v>22035.000000000004</v>
      </c>
      <c r="N91" s="311">
        <v>2483.8000000000002</v>
      </c>
      <c r="O91" s="311">
        <v>1738.66</v>
      </c>
      <c r="P91" s="68">
        <f t="shared" si="10"/>
        <v>32289.4</v>
      </c>
      <c r="Q91" s="68">
        <f t="shared" si="11"/>
        <v>161447</v>
      </c>
      <c r="R91" s="127">
        <f t="shared" si="12"/>
        <v>161447</v>
      </c>
      <c r="S91" s="333"/>
    </row>
    <row r="92" spans="1:19">
      <c r="A92" s="123"/>
      <c r="B92" s="254" t="s">
        <v>819</v>
      </c>
      <c r="C92" s="42" t="s">
        <v>8</v>
      </c>
      <c r="D92" s="351">
        <v>3</v>
      </c>
      <c r="E92" s="124"/>
      <c r="F92" s="351">
        <v>3</v>
      </c>
      <c r="G92" s="351" t="s">
        <v>2713</v>
      </c>
      <c r="H92" s="351"/>
      <c r="I92" s="351" t="s">
        <v>2681</v>
      </c>
      <c r="J92" s="351" t="s">
        <v>2328</v>
      </c>
      <c r="K92" s="311">
        <v>6454.5599999999995</v>
      </c>
      <c r="L92" s="311">
        <v>0</v>
      </c>
      <c r="M92" s="311">
        <v>22035.000000000004</v>
      </c>
      <c r="N92" s="311">
        <v>2521.2000000000003</v>
      </c>
      <c r="O92" s="311">
        <v>1764.8400000000001</v>
      </c>
      <c r="P92" s="68">
        <f t="shared" si="10"/>
        <v>32775.600000000006</v>
      </c>
      <c r="Q92" s="68">
        <f t="shared" si="11"/>
        <v>98326.800000000017</v>
      </c>
      <c r="R92" s="127">
        <f t="shared" si="12"/>
        <v>98326.800000000017</v>
      </c>
      <c r="S92" s="333"/>
    </row>
    <row r="93" spans="1:19">
      <c r="A93" s="123"/>
      <c r="B93" s="254" t="s">
        <v>820</v>
      </c>
      <c r="C93" s="42" t="s">
        <v>8</v>
      </c>
      <c r="D93" s="351">
        <v>2</v>
      </c>
      <c r="E93" s="124"/>
      <c r="F93" s="351">
        <v>2</v>
      </c>
      <c r="G93" s="351" t="s">
        <v>2714</v>
      </c>
      <c r="H93" s="351"/>
      <c r="I93" s="351" t="s">
        <v>2681</v>
      </c>
      <c r="J93" s="351" t="s">
        <v>2328</v>
      </c>
      <c r="K93" s="311">
        <v>6454.5599999999995</v>
      </c>
      <c r="L93" s="311">
        <v>0</v>
      </c>
      <c r="M93" s="311">
        <v>22035.000000000004</v>
      </c>
      <c r="N93" s="311">
        <v>2521.2000000000003</v>
      </c>
      <c r="O93" s="311">
        <v>1764.8400000000001</v>
      </c>
      <c r="P93" s="68">
        <f t="shared" si="10"/>
        <v>32775.600000000006</v>
      </c>
      <c r="Q93" s="68">
        <f t="shared" si="11"/>
        <v>65551.200000000012</v>
      </c>
      <c r="R93" s="127">
        <f t="shared" si="12"/>
        <v>65551.200000000012</v>
      </c>
      <c r="S93" s="333"/>
    </row>
    <row r="94" spans="1:19">
      <c r="A94" s="123"/>
      <c r="B94" s="254" t="s">
        <v>792</v>
      </c>
      <c r="C94" s="42" t="s">
        <v>8</v>
      </c>
      <c r="D94" s="351">
        <v>4</v>
      </c>
      <c r="E94" s="124"/>
      <c r="F94" s="351">
        <v>4</v>
      </c>
      <c r="G94" s="351" t="s">
        <v>2715</v>
      </c>
      <c r="H94" s="351"/>
      <c r="I94" s="351" t="s">
        <v>2681</v>
      </c>
      <c r="J94" s="351" t="s">
        <v>2328</v>
      </c>
      <c r="K94" s="311">
        <v>3649.8999999999996</v>
      </c>
      <c r="L94" s="311">
        <v>0</v>
      </c>
      <c r="M94" s="311">
        <v>18183.960000000003</v>
      </c>
      <c r="N94" s="311">
        <v>1932.2</v>
      </c>
      <c r="O94" s="311">
        <v>1352.5400000000002</v>
      </c>
      <c r="P94" s="68">
        <f t="shared" si="10"/>
        <v>25118.600000000002</v>
      </c>
      <c r="Q94" s="68">
        <f t="shared" si="11"/>
        <v>100474.40000000001</v>
      </c>
      <c r="R94" s="127">
        <f t="shared" si="12"/>
        <v>100474.40000000001</v>
      </c>
      <c r="S94" s="333"/>
    </row>
    <row r="95" spans="1:19">
      <c r="A95" s="123"/>
      <c r="B95" s="254" t="s">
        <v>821</v>
      </c>
      <c r="C95" s="42" t="s">
        <v>8</v>
      </c>
      <c r="D95" s="351">
        <v>11</v>
      </c>
      <c r="E95" s="124"/>
      <c r="F95" s="351">
        <v>11</v>
      </c>
      <c r="G95" s="351" t="s">
        <v>2716</v>
      </c>
      <c r="H95" s="351"/>
      <c r="I95" s="351" t="s">
        <v>2681</v>
      </c>
      <c r="J95" s="351" t="s">
        <v>2328</v>
      </c>
      <c r="K95" s="311">
        <v>3649.8999999999996</v>
      </c>
      <c r="L95" s="311">
        <v>0</v>
      </c>
      <c r="M95" s="311">
        <v>18183.960000000003</v>
      </c>
      <c r="N95" s="311">
        <v>1932.2</v>
      </c>
      <c r="O95" s="311">
        <v>1352.5400000000002</v>
      </c>
      <c r="P95" s="68">
        <f t="shared" si="10"/>
        <v>25118.600000000002</v>
      </c>
      <c r="Q95" s="68">
        <f t="shared" si="11"/>
        <v>276304.60000000003</v>
      </c>
      <c r="R95" s="127">
        <f t="shared" si="12"/>
        <v>276304.60000000003</v>
      </c>
      <c r="S95" s="333"/>
    </row>
    <row r="96" spans="1:19">
      <c r="A96" s="123">
        <v>6</v>
      </c>
      <c r="B96" s="1" t="s">
        <v>822</v>
      </c>
      <c r="C96" s="42"/>
      <c r="D96" s="351"/>
      <c r="E96" s="124"/>
      <c r="F96" s="351"/>
      <c r="G96" s="333"/>
      <c r="H96" s="333"/>
      <c r="I96" s="333"/>
      <c r="J96" s="333"/>
      <c r="K96" s="66"/>
      <c r="L96" s="66"/>
      <c r="M96" s="66"/>
      <c r="N96" s="66"/>
      <c r="O96" s="66"/>
      <c r="P96" s="66"/>
      <c r="Q96" s="66"/>
      <c r="R96" s="66"/>
      <c r="S96" s="333"/>
    </row>
    <row r="97" spans="1:19">
      <c r="A97" s="123"/>
      <c r="B97" s="254" t="s">
        <v>783</v>
      </c>
      <c r="C97" s="42" t="s">
        <v>8</v>
      </c>
      <c r="D97" s="351">
        <v>2</v>
      </c>
      <c r="E97" s="124"/>
      <c r="F97" s="351">
        <v>2</v>
      </c>
      <c r="G97" s="351" t="s">
        <v>2720</v>
      </c>
      <c r="H97" s="351"/>
      <c r="I97" s="351" t="s">
        <v>2681</v>
      </c>
      <c r="J97" s="351" t="s">
        <v>2328</v>
      </c>
      <c r="K97" s="311">
        <v>308128.40000000002</v>
      </c>
      <c r="L97" s="311">
        <v>0</v>
      </c>
      <c r="M97" s="311">
        <v>46311.920000000006</v>
      </c>
      <c r="N97" s="311">
        <v>31366.400000000001</v>
      </c>
      <c r="O97" s="311">
        <v>21956.480000000003</v>
      </c>
      <c r="P97" s="68">
        <f t="shared" ref="P97:P105" si="13">SUM(K97:O97)</f>
        <v>407763.20000000001</v>
      </c>
      <c r="Q97" s="68">
        <f t="shared" ref="Q97:Q105" si="14">D97*P97</f>
        <v>815526.40000000002</v>
      </c>
      <c r="R97" s="127">
        <f t="shared" ref="R97:R105" si="15">F97*P97</f>
        <v>815526.40000000002</v>
      </c>
      <c r="S97" s="333"/>
    </row>
    <row r="98" spans="1:19">
      <c r="A98" s="123"/>
      <c r="B98" s="254" t="s">
        <v>785</v>
      </c>
      <c r="C98" s="42" t="s">
        <v>8</v>
      </c>
      <c r="D98" s="351">
        <v>29</v>
      </c>
      <c r="E98" s="124"/>
      <c r="F98" s="351">
        <v>29</v>
      </c>
      <c r="G98" s="351" t="s">
        <v>2721</v>
      </c>
      <c r="H98" s="351"/>
      <c r="I98" s="351" t="s">
        <v>2681</v>
      </c>
      <c r="J98" s="351" t="s">
        <v>2328</v>
      </c>
      <c r="K98" s="311">
        <v>169393.78000000003</v>
      </c>
      <c r="L98" s="311">
        <v>0</v>
      </c>
      <c r="M98" s="311">
        <v>42415.680000000008</v>
      </c>
      <c r="N98" s="311">
        <v>18744.2</v>
      </c>
      <c r="O98" s="311">
        <v>13120.94</v>
      </c>
      <c r="P98" s="68">
        <f t="shared" si="13"/>
        <v>243674.60000000003</v>
      </c>
      <c r="Q98" s="68">
        <f t="shared" si="14"/>
        <v>7066563.4000000013</v>
      </c>
      <c r="R98" s="127">
        <f t="shared" si="15"/>
        <v>7066563.4000000013</v>
      </c>
      <c r="S98" s="333"/>
    </row>
    <row r="99" spans="1:19">
      <c r="A99" s="123"/>
      <c r="B99" s="254" t="s">
        <v>786</v>
      </c>
      <c r="C99" s="42" t="s">
        <v>8</v>
      </c>
      <c r="D99" s="351">
        <v>15</v>
      </c>
      <c r="E99" s="124"/>
      <c r="F99" s="351">
        <v>15</v>
      </c>
      <c r="G99" s="351" t="s">
        <v>2722</v>
      </c>
      <c r="H99" s="351"/>
      <c r="I99" s="351" t="s">
        <v>2681</v>
      </c>
      <c r="J99" s="351" t="s">
        <v>2328</v>
      </c>
      <c r="K99" s="311">
        <v>83102.460000000006</v>
      </c>
      <c r="L99" s="311">
        <v>0</v>
      </c>
      <c r="M99" s="311">
        <v>28566.400000000001</v>
      </c>
      <c r="N99" s="311">
        <v>9882.2000000000007</v>
      </c>
      <c r="O99" s="311">
        <v>6917.5400000000009</v>
      </c>
      <c r="P99" s="68">
        <f t="shared" si="13"/>
        <v>128468.6</v>
      </c>
      <c r="Q99" s="68">
        <f t="shared" si="14"/>
        <v>1927029</v>
      </c>
      <c r="R99" s="127">
        <f t="shared" si="15"/>
        <v>1927029</v>
      </c>
      <c r="S99" s="333"/>
    </row>
    <row r="100" spans="1:19">
      <c r="A100" s="123"/>
      <c r="B100" s="254" t="s">
        <v>788</v>
      </c>
      <c r="C100" s="42" t="s">
        <v>8</v>
      </c>
      <c r="D100" s="351">
        <v>148</v>
      </c>
      <c r="E100" s="124"/>
      <c r="F100" s="351">
        <v>148</v>
      </c>
      <c r="G100" s="351" t="s">
        <v>2728</v>
      </c>
      <c r="H100" s="351"/>
      <c r="I100" s="351" t="s">
        <v>2681</v>
      </c>
      <c r="J100" s="351" t="s">
        <v>2328</v>
      </c>
      <c r="K100" s="311">
        <v>41263.08</v>
      </c>
      <c r="L100" s="311">
        <v>0</v>
      </c>
      <c r="M100" s="311">
        <v>22554.800000000003</v>
      </c>
      <c r="N100" s="311">
        <v>5647.6</v>
      </c>
      <c r="O100" s="311">
        <v>3953.32</v>
      </c>
      <c r="P100" s="68">
        <f t="shared" si="13"/>
        <v>73418.800000000017</v>
      </c>
      <c r="Q100" s="68">
        <f t="shared" si="14"/>
        <v>10865982.400000002</v>
      </c>
      <c r="R100" s="127">
        <f t="shared" si="15"/>
        <v>10865982.400000002</v>
      </c>
      <c r="S100" s="331"/>
    </row>
    <row r="101" spans="1:19">
      <c r="A101" s="123"/>
      <c r="B101" s="254" t="s">
        <v>789</v>
      </c>
      <c r="C101" s="42" t="s">
        <v>8</v>
      </c>
      <c r="D101" s="351">
        <v>26</v>
      </c>
      <c r="E101" s="124"/>
      <c r="F101" s="351">
        <v>26</v>
      </c>
      <c r="G101" s="351" t="s">
        <v>2723</v>
      </c>
      <c r="H101" s="351"/>
      <c r="I101" s="351" t="s">
        <v>2681</v>
      </c>
      <c r="J101" s="351" t="s">
        <v>2328</v>
      </c>
      <c r="K101" s="311">
        <v>13447</v>
      </c>
      <c r="L101" s="311">
        <v>0</v>
      </c>
      <c r="M101" s="311">
        <v>20204.400000000001</v>
      </c>
      <c r="N101" s="311">
        <v>2978</v>
      </c>
      <c r="O101" s="311">
        <v>2084.6000000000004</v>
      </c>
      <c r="P101" s="68">
        <f t="shared" si="13"/>
        <v>38714</v>
      </c>
      <c r="Q101" s="68">
        <f t="shared" si="14"/>
        <v>1006564</v>
      </c>
      <c r="R101" s="127">
        <f t="shared" si="15"/>
        <v>1006564</v>
      </c>
      <c r="S101" s="334"/>
    </row>
    <row r="102" spans="1:19">
      <c r="A102" s="123"/>
      <c r="B102" s="254" t="s">
        <v>790</v>
      </c>
      <c r="C102" s="42" t="s">
        <v>8</v>
      </c>
      <c r="D102" s="351">
        <v>42</v>
      </c>
      <c r="E102" s="124"/>
      <c r="F102" s="351">
        <v>42</v>
      </c>
      <c r="G102" s="351" t="s">
        <v>2724</v>
      </c>
      <c r="H102" s="351"/>
      <c r="I102" s="351" t="s">
        <v>2681</v>
      </c>
      <c r="J102" s="351" t="s">
        <v>2328</v>
      </c>
      <c r="K102" s="311">
        <v>7684</v>
      </c>
      <c r="L102" s="311">
        <v>0</v>
      </c>
      <c r="M102" s="311">
        <v>16606.480000000003</v>
      </c>
      <c r="N102" s="311">
        <v>2149.6</v>
      </c>
      <c r="O102" s="311">
        <v>1504.7200000000003</v>
      </c>
      <c r="P102" s="68">
        <f t="shared" si="13"/>
        <v>27944.800000000003</v>
      </c>
      <c r="Q102" s="68">
        <f t="shared" si="14"/>
        <v>1173681.6000000001</v>
      </c>
      <c r="R102" s="127">
        <f t="shared" si="15"/>
        <v>1173681.6000000001</v>
      </c>
      <c r="S102" s="335"/>
    </row>
    <row r="103" spans="1:19">
      <c r="A103" s="123"/>
      <c r="B103" s="254" t="s">
        <v>791</v>
      </c>
      <c r="C103" s="42" t="s">
        <v>8</v>
      </c>
      <c r="D103" s="351">
        <v>2533</v>
      </c>
      <c r="E103" s="124"/>
      <c r="F103" s="351">
        <v>2533</v>
      </c>
      <c r="G103" s="351" t="s">
        <v>2725</v>
      </c>
      <c r="H103" s="351"/>
      <c r="I103" s="351" t="s">
        <v>2681</v>
      </c>
      <c r="J103" s="351" t="s">
        <v>2328</v>
      </c>
      <c r="K103" s="311">
        <v>4687.2400000000007</v>
      </c>
      <c r="L103" s="311">
        <v>0</v>
      </c>
      <c r="M103" s="311">
        <v>14690.000000000002</v>
      </c>
      <c r="N103" s="311">
        <v>1714.8000000000002</v>
      </c>
      <c r="O103" s="311">
        <v>1200.3600000000001</v>
      </c>
      <c r="P103" s="68">
        <f t="shared" si="13"/>
        <v>22292.400000000001</v>
      </c>
      <c r="Q103" s="68">
        <f t="shared" si="14"/>
        <v>56466649.200000003</v>
      </c>
      <c r="R103" s="127">
        <f t="shared" si="15"/>
        <v>56466649.200000003</v>
      </c>
      <c r="S103" s="15"/>
    </row>
    <row r="104" spans="1:19">
      <c r="A104" s="123"/>
      <c r="B104" s="254" t="s">
        <v>792</v>
      </c>
      <c r="C104" s="42" t="s">
        <v>8</v>
      </c>
      <c r="D104" s="351">
        <v>732</v>
      </c>
      <c r="E104" s="124"/>
      <c r="F104" s="351">
        <v>732</v>
      </c>
      <c r="G104" s="351" t="s">
        <v>2726</v>
      </c>
      <c r="H104" s="351"/>
      <c r="I104" s="351" t="s">
        <v>2681</v>
      </c>
      <c r="J104" s="351" t="s">
        <v>2328</v>
      </c>
      <c r="K104" s="311">
        <v>2689.4</v>
      </c>
      <c r="L104" s="311">
        <v>0</v>
      </c>
      <c r="M104" s="311">
        <v>12122.640000000001</v>
      </c>
      <c r="N104" s="311">
        <v>1310.8000000000002</v>
      </c>
      <c r="O104" s="311">
        <v>917.56000000000006</v>
      </c>
      <c r="P104" s="68">
        <f t="shared" si="13"/>
        <v>17040.400000000001</v>
      </c>
      <c r="Q104" s="68">
        <f t="shared" si="14"/>
        <v>12473572.800000001</v>
      </c>
      <c r="R104" s="127">
        <f t="shared" si="15"/>
        <v>12473572.800000001</v>
      </c>
      <c r="S104" s="335"/>
    </row>
    <row r="105" spans="1:19">
      <c r="A105" s="123"/>
      <c r="B105" s="254" t="s">
        <v>530</v>
      </c>
      <c r="C105" s="42" t="s">
        <v>8</v>
      </c>
      <c r="D105" s="351">
        <v>294</v>
      </c>
      <c r="E105" s="124"/>
      <c r="F105" s="351">
        <v>294</v>
      </c>
      <c r="G105" s="351" t="s">
        <v>2727</v>
      </c>
      <c r="H105" s="351"/>
      <c r="I105" s="351" t="s">
        <v>2681</v>
      </c>
      <c r="J105" s="351" t="s">
        <v>2328</v>
      </c>
      <c r="K105" s="311">
        <v>1997.84</v>
      </c>
      <c r="L105" s="311">
        <v>0</v>
      </c>
      <c r="M105" s="311">
        <v>10432.160000000002</v>
      </c>
      <c r="N105" s="311">
        <v>1100</v>
      </c>
      <c r="O105" s="311">
        <v>770.00000000000011</v>
      </c>
      <c r="P105" s="68">
        <f t="shared" si="13"/>
        <v>14300.000000000002</v>
      </c>
      <c r="Q105" s="68">
        <f t="shared" si="14"/>
        <v>4204200.0000000009</v>
      </c>
      <c r="R105" s="127">
        <f t="shared" si="15"/>
        <v>4204200.0000000009</v>
      </c>
      <c r="S105" s="334"/>
    </row>
    <row r="106" spans="1:19">
      <c r="A106" s="123">
        <v>7</v>
      </c>
      <c r="B106" s="1" t="s">
        <v>823</v>
      </c>
      <c r="C106" s="42"/>
      <c r="D106" s="351"/>
      <c r="E106" s="124"/>
      <c r="F106" s="351"/>
      <c r="G106" s="17"/>
      <c r="H106" s="17"/>
      <c r="I106" s="17"/>
      <c r="J106" s="17"/>
      <c r="K106" s="66"/>
      <c r="L106" s="66"/>
      <c r="M106" s="66"/>
      <c r="N106" s="66"/>
      <c r="O106" s="66"/>
      <c r="P106" s="66"/>
      <c r="Q106" s="66"/>
      <c r="R106" s="66"/>
      <c r="S106" s="17"/>
    </row>
    <row r="107" spans="1:19" ht="30">
      <c r="A107" s="123"/>
      <c r="B107" s="254" t="s">
        <v>798</v>
      </c>
      <c r="C107" s="42" t="s">
        <v>8</v>
      </c>
      <c r="D107" s="351">
        <v>1</v>
      </c>
      <c r="E107" s="124"/>
      <c r="F107" s="351">
        <v>1</v>
      </c>
      <c r="G107" s="351" t="s">
        <v>2729</v>
      </c>
      <c r="H107" s="351"/>
      <c r="I107" s="351" t="s">
        <v>2681</v>
      </c>
      <c r="J107" s="351" t="s">
        <v>2328</v>
      </c>
      <c r="K107" s="311">
        <v>210118.97999999998</v>
      </c>
      <c r="L107" s="311">
        <v>0</v>
      </c>
      <c r="M107" s="311">
        <v>46311.920000000006</v>
      </c>
      <c r="N107" s="311">
        <v>22693</v>
      </c>
      <c r="O107" s="311">
        <v>15885.1</v>
      </c>
      <c r="P107" s="68">
        <f t="shared" ref="P107:P125" si="16">SUM(K107:O107)</f>
        <v>295009</v>
      </c>
      <c r="Q107" s="68">
        <f t="shared" ref="Q107:Q125" si="17">D107*P107</f>
        <v>295009</v>
      </c>
      <c r="R107" s="127">
        <f t="shared" ref="R107:R125" si="18">F107*P107</f>
        <v>295009</v>
      </c>
      <c r="S107" s="335"/>
    </row>
    <row r="108" spans="1:19">
      <c r="A108" s="123"/>
      <c r="B108" s="254" t="s">
        <v>799</v>
      </c>
      <c r="C108" s="42" t="s">
        <v>8</v>
      </c>
      <c r="D108" s="351">
        <v>2</v>
      </c>
      <c r="E108" s="124"/>
      <c r="F108" s="351">
        <v>2</v>
      </c>
      <c r="G108" s="351" t="s">
        <v>2730</v>
      </c>
      <c r="H108" s="351"/>
      <c r="I108" s="351" t="s">
        <v>2681</v>
      </c>
      <c r="J108" s="351" t="s">
        <v>2328</v>
      </c>
      <c r="K108" s="311">
        <v>64122.979999999996</v>
      </c>
      <c r="L108" s="311">
        <v>0</v>
      </c>
      <c r="M108" s="311">
        <v>42415.680000000008</v>
      </c>
      <c r="N108" s="311">
        <v>9428.2000000000007</v>
      </c>
      <c r="O108" s="311">
        <v>6599.7400000000007</v>
      </c>
      <c r="P108" s="68">
        <f t="shared" si="16"/>
        <v>122566.6</v>
      </c>
      <c r="Q108" s="68">
        <f t="shared" si="17"/>
        <v>245133.2</v>
      </c>
      <c r="R108" s="127">
        <f t="shared" si="18"/>
        <v>245133.2</v>
      </c>
      <c r="S108" s="334"/>
    </row>
    <row r="109" spans="1:19">
      <c r="A109" s="123"/>
      <c r="B109" s="254" t="s">
        <v>800</v>
      </c>
      <c r="C109" s="42" t="s">
        <v>8</v>
      </c>
      <c r="D109" s="351">
        <v>1</v>
      </c>
      <c r="E109" s="124"/>
      <c r="F109" s="351">
        <v>1</v>
      </c>
      <c r="G109" s="351" t="s">
        <v>2731</v>
      </c>
      <c r="H109" s="351"/>
      <c r="I109" s="351" t="s">
        <v>2681</v>
      </c>
      <c r="J109" s="351" t="s">
        <v>2328</v>
      </c>
      <c r="K109" s="311">
        <v>64122.979999999996</v>
      </c>
      <c r="L109" s="311">
        <v>0</v>
      </c>
      <c r="M109" s="311">
        <v>42415.680000000008</v>
      </c>
      <c r="N109" s="311">
        <v>9428.2000000000007</v>
      </c>
      <c r="O109" s="311">
        <v>6599.7400000000007</v>
      </c>
      <c r="P109" s="68">
        <f t="shared" si="16"/>
        <v>122566.6</v>
      </c>
      <c r="Q109" s="68">
        <f t="shared" si="17"/>
        <v>122566.6</v>
      </c>
      <c r="R109" s="127">
        <f t="shared" si="18"/>
        <v>122566.6</v>
      </c>
      <c r="S109" s="331"/>
    </row>
    <row r="110" spans="1:19">
      <c r="A110" s="123"/>
      <c r="B110" s="254" t="s">
        <v>804</v>
      </c>
      <c r="C110" s="42" t="s">
        <v>8</v>
      </c>
      <c r="D110" s="351">
        <v>12</v>
      </c>
      <c r="E110" s="124"/>
      <c r="F110" s="351">
        <v>12</v>
      </c>
      <c r="G110" s="351" t="s">
        <v>2745</v>
      </c>
      <c r="H110" s="351"/>
      <c r="I110" s="351" t="s">
        <v>2681</v>
      </c>
      <c r="J110" s="351" t="s">
        <v>2328</v>
      </c>
      <c r="K110" s="311">
        <v>36191.64</v>
      </c>
      <c r="L110" s="311">
        <v>0</v>
      </c>
      <c r="M110" s="311">
        <v>28566.400000000001</v>
      </c>
      <c r="N110" s="311">
        <v>5730.8</v>
      </c>
      <c r="O110" s="311">
        <v>4011.5600000000004</v>
      </c>
      <c r="P110" s="68">
        <f t="shared" si="16"/>
        <v>74500.399999999994</v>
      </c>
      <c r="Q110" s="68">
        <f t="shared" si="17"/>
        <v>894004.79999999993</v>
      </c>
      <c r="R110" s="127">
        <f t="shared" si="18"/>
        <v>894004.79999999993</v>
      </c>
      <c r="S110" s="335"/>
    </row>
    <row r="111" spans="1:19">
      <c r="A111" s="123"/>
      <c r="B111" s="254" t="s">
        <v>805</v>
      </c>
      <c r="C111" s="42" t="s">
        <v>8</v>
      </c>
      <c r="D111" s="351">
        <v>9</v>
      </c>
      <c r="E111" s="124"/>
      <c r="F111" s="351">
        <v>9</v>
      </c>
      <c r="G111" s="351" t="s">
        <v>2746</v>
      </c>
      <c r="H111" s="351"/>
      <c r="I111" s="351" t="s">
        <v>2681</v>
      </c>
      <c r="J111" s="351" t="s">
        <v>2328</v>
      </c>
      <c r="K111" s="311">
        <v>36191.64</v>
      </c>
      <c r="L111" s="311">
        <v>0</v>
      </c>
      <c r="M111" s="311">
        <v>28566.400000000001</v>
      </c>
      <c r="N111" s="311">
        <v>5730.8</v>
      </c>
      <c r="O111" s="311">
        <v>4011.5600000000004</v>
      </c>
      <c r="P111" s="68">
        <f t="shared" si="16"/>
        <v>74500.399999999994</v>
      </c>
      <c r="Q111" s="68">
        <f t="shared" si="17"/>
        <v>670503.6</v>
      </c>
      <c r="R111" s="127">
        <f t="shared" si="18"/>
        <v>670503.6</v>
      </c>
      <c r="S111" s="335"/>
    </row>
    <row r="112" spans="1:19">
      <c r="A112" s="123"/>
      <c r="B112" s="254" t="s">
        <v>806</v>
      </c>
      <c r="C112" s="42" t="s">
        <v>8</v>
      </c>
      <c r="D112" s="351">
        <v>1</v>
      </c>
      <c r="E112" s="124"/>
      <c r="F112" s="351">
        <v>1</v>
      </c>
      <c r="G112" s="351" t="s">
        <v>2747</v>
      </c>
      <c r="H112" s="351"/>
      <c r="I112" s="351" t="s">
        <v>2681</v>
      </c>
      <c r="J112" s="351" t="s">
        <v>2328</v>
      </c>
      <c r="K112" s="311">
        <v>22283.600000000002</v>
      </c>
      <c r="L112" s="311">
        <v>0</v>
      </c>
      <c r="M112" s="311">
        <v>25999.040000000001</v>
      </c>
      <c r="N112" s="311">
        <v>4272.8</v>
      </c>
      <c r="O112" s="311">
        <v>2990.9600000000005</v>
      </c>
      <c r="P112" s="68">
        <f t="shared" si="16"/>
        <v>55546.400000000001</v>
      </c>
      <c r="Q112" s="68">
        <f t="shared" si="17"/>
        <v>55546.400000000001</v>
      </c>
      <c r="R112" s="127">
        <f t="shared" si="18"/>
        <v>55546.400000000001</v>
      </c>
      <c r="S112" s="330"/>
    </row>
    <row r="113" spans="1:19">
      <c r="A113" s="123"/>
      <c r="B113" s="254" t="s">
        <v>807</v>
      </c>
      <c r="C113" s="42" t="s">
        <v>8</v>
      </c>
      <c r="D113" s="351">
        <v>2</v>
      </c>
      <c r="E113" s="124"/>
      <c r="F113" s="351">
        <v>2</v>
      </c>
      <c r="G113" s="351" t="s">
        <v>2744</v>
      </c>
      <c r="H113" s="351"/>
      <c r="I113" s="351" t="s">
        <v>2681</v>
      </c>
      <c r="J113" s="351" t="s">
        <v>2328</v>
      </c>
      <c r="K113" s="311">
        <v>12755.439999999999</v>
      </c>
      <c r="L113" s="311">
        <v>0</v>
      </c>
      <c r="M113" s="311">
        <v>22554.800000000003</v>
      </c>
      <c r="N113" s="311">
        <v>3124.8</v>
      </c>
      <c r="O113" s="311">
        <v>2187.36</v>
      </c>
      <c r="P113" s="68">
        <f t="shared" si="16"/>
        <v>40622.400000000009</v>
      </c>
      <c r="Q113" s="68">
        <f t="shared" si="17"/>
        <v>81244.800000000017</v>
      </c>
      <c r="R113" s="127">
        <f t="shared" si="18"/>
        <v>81244.800000000017</v>
      </c>
      <c r="S113" s="330"/>
    </row>
    <row r="114" spans="1:19">
      <c r="A114" s="123"/>
      <c r="B114" s="254" t="s">
        <v>808</v>
      </c>
      <c r="C114" s="42" t="s">
        <v>8</v>
      </c>
      <c r="D114" s="351">
        <v>1</v>
      </c>
      <c r="E114" s="124"/>
      <c r="F114" s="351">
        <v>1</v>
      </c>
      <c r="G114" s="351" t="s">
        <v>2741</v>
      </c>
      <c r="H114" s="351"/>
      <c r="I114" s="351" t="s">
        <v>2681</v>
      </c>
      <c r="J114" s="351" t="s">
        <v>2328</v>
      </c>
      <c r="K114" s="311">
        <v>12755.439999999999</v>
      </c>
      <c r="L114" s="311">
        <v>0</v>
      </c>
      <c r="M114" s="311">
        <v>22554.800000000003</v>
      </c>
      <c r="N114" s="311">
        <v>3124.8</v>
      </c>
      <c r="O114" s="311">
        <v>2187.36</v>
      </c>
      <c r="P114" s="68">
        <f t="shared" si="16"/>
        <v>40622.400000000009</v>
      </c>
      <c r="Q114" s="68">
        <f t="shared" si="17"/>
        <v>40622.400000000009</v>
      </c>
      <c r="R114" s="127">
        <f t="shared" si="18"/>
        <v>40622.400000000009</v>
      </c>
      <c r="S114" s="330"/>
    </row>
    <row r="115" spans="1:19">
      <c r="A115" s="123"/>
      <c r="B115" s="254" t="s">
        <v>809</v>
      </c>
      <c r="C115" s="42" t="s">
        <v>8</v>
      </c>
      <c r="D115" s="351">
        <v>1</v>
      </c>
      <c r="E115" s="124"/>
      <c r="F115" s="351">
        <v>1</v>
      </c>
      <c r="G115" s="351" t="s">
        <v>2743</v>
      </c>
      <c r="H115" s="351"/>
      <c r="I115" s="351" t="s">
        <v>2681</v>
      </c>
      <c r="J115" s="351" t="s">
        <v>2328</v>
      </c>
      <c r="K115" s="311">
        <v>12755.439999999999</v>
      </c>
      <c r="L115" s="311">
        <v>0</v>
      </c>
      <c r="M115" s="311">
        <v>22554.800000000003</v>
      </c>
      <c r="N115" s="311">
        <v>3124.8</v>
      </c>
      <c r="O115" s="311">
        <v>2187.36</v>
      </c>
      <c r="P115" s="68">
        <f t="shared" si="16"/>
        <v>40622.400000000009</v>
      </c>
      <c r="Q115" s="68">
        <f t="shared" si="17"/>
        <v>40622.400000000009</v>
      </c>
      <c r="R115" s="127">
        <f t="shared" si="18"/>
        <v>40622.400000000009</v>
      </c>
      <c r="S115" s="330"/>
    </row>
    <row r="116" spans="1:19">
      <c r="A116" s="123"/>
      <c r="B116" s="254" t="s">
        <v>810</v>
      </c>
      <c r="C116" s="42" t="s">
        <v>8</v>
      </c>
      <c r="D116" s="351">
        <v>41</v>
      </c>
      <c r="E116" s="124"/>
      <c r="F116" s="351">
        <v>41</v>
      </c>
      <c r="G116" s="351" t="s">
        <v>2742</v>
      </c>
      <c r="H116" s="351"/>
      <c r="I116" s="351" t="s">
        <v>2681</v>
      </c>
      <c r="J116" s="351" t="s">
        <v>2328</v>
      </c>
      <c r="K116" s="311">
        <v>12755.439999999999</v>
      </c>
      <c r="L116" s="311">
        <v>0</v>
      </c>
      <c r="M116" s="311">
        <v>22554.800000000003</v>
      </c>
      <c r="N116" s="311">
        <v>3124.8</v>
      </c>
      <c r="O116" s="311">
        <v>2187.36</v>
      </c>
      <c r="P116" s="68">
        <f t="shared" si="16"/>
        <v>40622.400000000009</v>
      </c>
      <c r="Q116" s="68">
        <f t="shared" si="17"/>
        <v>1665518.4000000004</v>
      </c>
      <c r="R116" s="127">
        <f t="shared" si="18"/>
        <v>1665518.4000000004</v>
      </c>
      <c r="S116" s="335"/>
    </row>
    <row r="117" spans="1:19">
      <c r="A117" s="123"/>
      <c r="B117" s="254" t="s">
        <v>812</v>
      </c>
      <c r="C117" s="42" t="s">
        <v>8</v>
      </c>
      <c r="D117" s="351">
        <v>2</v>
      </c>
      <c r="E117" s="124"/>
      <c r="F117" s="351">
        <v>2</v>
      </c>
      <c r="G117" s="351" t="s">
        <v>2738</v>
      </c>
      <c r="H117" s="351"/>
      <c r="I117" s="351" t="s">
        <v>2681</v>
      </c>
      <c r="J117" s="351" t="s">
        <v>2328</v>
      </c>
      <c r="K117" s="311">
        <v>6569.82</v>
      </c>
      <c r="L117" s="311">
        <v>0</v>
      </c>
      <c r="M117" s="311">
        <v>20204.400000000001</v>
      </c>
      <c r="N117" s="311">
        <v>2369.4</v>
      </c>
      <c r="O117" s="311">
        <v>1658.5800000000002</v>
      </c>
      <c r="P117" s="68">
        <f t="shared" si="16"/>
        <v>30802.200000000004</v>
      </c>
      <c r="Q117" s="68">
        <f t="shared" si="17"/>
        <v>61604.400000000009</v>
      </c>
      <c r="R117" s="127">
        <f t="shared" si="18"/>
        <v>61604.400000000009</v>
      </c>
      <c r="S117" s="335"/>
    </row>
    <row r="118" spans="1:19">
      <c r="A118" s="123"/>
      <c r="B118" s="254" t="s">
        <v>813</v>
      </c>
      <c r="C118" s="42" t="s">
        <v>8</v>
      </c>
      <c r="D118" s="351">
        <v>1</v>
      </c>
      <c r="E118" s="124"/>
      <c r="F118" s="351">
        <v>1</v>
      </c>
      <c r="G118" s="351" t="s">
        <v>2739</v>
      </c>
      <c r="H118" s="351"/>
      <c r="I118" s="351" t="s">
        <v>2681</v>
      </c>
      <c r="J118" s="351" t="s">
        <v>2328</v>
      </c>
      <c r="K118" s="311">
        <v>6569.82</v>
      </c>
      <c r="L118" s="311">
        <v>0</v>
      </c>
      <c r="M118" s="311">
        <v>20204.400000000001</v>
      </c>
      <c r="N118" s="311">
        <v>2369.4</v>
      </c>
      <c r="O118" s="311">
        <v>1658.5800000000002</v>
      </c>
      <c r="P118" s="68">
        <f t="shared" si="16"/>
        <v>30802.200000000004</v>
      </c>
      <c r="Q118" s="68">
        <f t="shared" si="17"/>
        <v>30802.200000000004</v>
      </c>
      <c r="R118" s="127">
        <f t="shared" si="18"/>
        <v>30802.200000000004</v>
      </c>
      <c r="S118" s="331"/>
    </row>
    <row r="119" spans="1:19">
      <c r="A119" s="123"/>
      <c r="B119" s="254" t="s">
        <v>814</v>
      </c>
      <c r="C119" s="42" t="s">
        <v>8</v>
      </c>
      <c r="D119" s="351">
        <v>20</v>
      </c>
      <c r="E119" s="124"/>
      <c r="F119" s="351">
        <v>20</v>
      </c>
      <c r="G119" s="351" t="s">
        <v>2740</v>
      </c>
      <c r="H119" s="351"/>
      <c r="I119" s="351" t="s">
        <v>2681</v>
      </c>
      <c r="J119" s="351" t="s">
        <v>2328</v>
      </c>
      <c r="K119" s="311">
        <v>6569.82</v>
      </c>
      <c r="L119" s="311">
        <v>0</v>
      </c>
      <c r="M119" s="311">
        <v>20204.400000000001</v>
      </c>
      <c r="N119" s="311">
        <v>2369.4</v>
      </c>
      <c r="O119" s="311">
        <v>1658.5800000000002</v>
      </c>
      <c r="P119" s="68">
        <f t="shared" si="16"/>
        <v>30802.200000000004</v>
      </c>
      <c r="Q119" s="68">
        <f t="shared" si="17"/>
        <v>616044.00000000012</v>
      </c>
      <c r="R119" s="127">
        <f t="shared" si="18"/>
        <v>616044.00000000012</v>
      </c>
      <c r="S119" s="334"/>
    </row>
    <row r="120" spans="1:19">
      <c r="A120" s="123"/>
      <c r="B120" s="254" t="s">
        <v>816</v>
      </c>
      <c r="C120" s="42" t="s">
        <v>8</v>
      </c>
      <c r="D120" s="351">
        <v>2</v>
      </c>
      <c r="E120" s="124"/>
      <c r="F120" s="351">
        <v>2</v>
      </c>
      <c r="G120" s="351" t="s">
        <v>2732</v>
      </c>
      <c r="H120" s="351"/>
      <c r="I120" s="351" t="s">
        <v>2681</v>
      </c>
      <c r="J120" s="351" t="s">
        <v>2328</v>
      </c>
      <c r="K120" s="311">
        <v>3649.8999999999996</v>
      </c>
      <c r="L120" s="311">
        <v>0</v>
      </c>
      <c r="M120" s="311">
        <v>16606.480000000003</v>
      </c>
      <c r="N120" s="311">
        <v>1792.6000000000001</v>
      </c>
      <c r="O120" s="311">
        <v>1254.8200000000002</v>
      </c>
      <c r="P120" s="68">
        <f t="shared" si="16"/>
        <v>23303.800000000003</v>
      </c>
      <c r="Q120" s="68">
        <f t="shared" si="17"/>
        <v>46607.600000000006</v>
      </c>
      <c r="R120" s="127">
        <f t="shared" si="18"/>
        <v>46607.600000000006</v>
      </c>
      <c r="S120" s="15"/>
    </row>
    <row r="121" spans="1:19">
      <c r="A121" s="123"/>
      <c r="B121" s="254" t="s">
        <v>817</v>
      </c>
      <c r="C121" s="42" t="s">
        <v>8</v>
      </c>
      <c r="D121" s="351">
        <v>3</v>
      </c>
      <c r="E121" s="124"/>
      <c r="F121" s="351">
        <v>3</v>
      </c>
      <c r="G121" s="351" t="s">
        <v>2733</v>
      </c>
      <c r="H121" s="351"/>
      <c r="I121" s="351" t="s">
        <v>2681</v>
      </c>
      <c r="J121" s="351" t="s">
        <v>2328</v>
      </c>
      <c r="K121" s="311">
        <v>3649.8999999999996</v>
      </c>
      <c r="L121" s="311">
        <v>0</v>
      </c>
      <c r="M121" s="311">
        <v>16606.480000000003</v>
      </c>
      <c r="N121" s="311">
        <v>1792.6000000000001</v>
      </c>
      <c r="O121" s="311">
        <v>1254.8200000000002</v>
      </c>
      <c r="P121" s="68">
        <f t="shared" si="16"/>
        <v>23303.800000000003</v>
      </c>
      <c r="Q121" s="68">
        <f t="shared" si="17"/>
        <v>69911.400000000009</v>
      </c>
      <c r="R121" s="127">
        <f t="shared" si="18"/>
        <v>69911.400000000009</v>
      </c>
      <c r="S121" s="335"/>
    </row>
    <row r="122" spans="1:19">
      <c r="A122" s="123"/>
      <c r="B122" s="254" t="s">
        <v>818</v>
      </c>
      <c r="C122" s="42" t="s">
        <v>8</v>
      </c>
      <c r="D122" s="351">
        <v>2</v>
      </c>
      <c r="E122" s="124"/>
      <c r="F122" s="351">
        <v>2</v>
      </c>
      <c r="G122" s="351" t="s">
        <v>2737</v>
      </c>
      <c r="H122" s="351"/>
      <c r="I122" s="351" t="s">
        <v>2681</v>
      </c>
      <c r="J122" s="351" t="s">
        <v>2328</v>
      </c>
      <c r="K122" s="311">
        <v>3649.8999999999996</v>
      </c>
      <c r="L122" s="311">
        <v>0</v>
      </c>
      <c r="M122" s="311">
        <v>16606.480000000003</v>
      </c>
      <c r="N122" s="311">
        <v>1792.6000000000001</v>
      </c>
      <c r="O122" s="311">
        <v>1254.8200000000002</v>
      </c>
      <c r="P122" s="68">
        <f t="shared" si="16"/>
        <v>23303.800000000003</v>
      </c>
      <c r="Q122" s="68">
        <f t="shared" si="17"/>
        <v>46607.600000000006</v>
      </c>
      <c r="R122" s="127">
        <f t="shared" si="18"/>
        <v>46607.600000000006</v>
      </c>
      <c r="S122" s="330"/>
    </row>
    <row r="123" spans="1:19">
      <c r="A123" s="123"/>
      <c r="B123" s="254" t="s">
        <v>819</v>
      </c>
      <c r="C123" s="42" t="s">
        <v>8</v>
      </c>
      <c r="D123" s="351">
        <v>17</v>
      </c>
      <c r="E123" s="124"/>
      <c r="F123" s="351">
        <v>17</v>
      </c>
      <c r="G123" s="351" t="s">
        <v>2734</v>
      </c>
      <c r="H123" s="351"/>
      <c r="I123" s="351" t="s">
        <v>2681</v>
      </c>
      <c r="J123" s="351" t="s">
        <v>2328</v>
      </c>
      <c r="K123" s="311">
        <v>2343.6200000000003</v>
      </c>
      <c r="L123" s="311">
        <v>0</v>
      </c>
      <c r="M123" s="311">
        <v>14690.000000000002</v>
      </c>
      <c r="N123" s="311">
        <v>1507.4</v>
      </c>
      <c r="O123" s="311">
        <v>1055.18</v>
      </c>
      <c r="P123" s="68">
        <f t="shared" si="16"/>
        <v>19596.200000000004</v>
      </c>
      <c r="Q123" s="68">
        <f t="shared" si="17"/>
        <v>333135.40000000008</v>
      </c>
      <c r="R123" s="127">
        <f t="shared" si="18"/>
        <v>333135.40000000008</v>
      </c>
      <c r="S123" s="337"/>
    </row>
    <row r="124" spans="1:19">
      <c r="A124" s="123"/>
      <c r="B124" s="254" t="s">
        <v>820</v>
      </c>
      <c r="C124" s="42" t="s">
        <v>8</v>
      </c>
      <c r="D124" s="351">
        <v>3</v>
      </c>
      <c r="E124" s="124"/>
      <c r="F124" s="351">
        <v>3</v>
      </c>
      <c r="G124" s="351" t="s">
        <v>2735</v>
      </c>
      <c r="H124" s="351"/>
      <c r="I124" s="351" t="s">
        <v>2681</v>
      </c>
      <c r="J124" s="351" t="s">
        <v>2328</v>
      </c>
      <c r="K124" s="311">
        <v>2343.6200000000003</v>
      </c>
      <c r="L124" s="311">
        <v>0</v>
      </c>
      <c r="M124" s="311">
        <v>14690.000000000002</v>
      </c>
      <c r="N124" s="311">
        <v>1507.4</v>
      </c>
      <c r="O124" s="311">
        <v>1055.18</v>
      </c>
      <c r="P124" s="68">
        <f t="shared" si="16"/>
        <v>19596.200000000004</v>
      </c>
      <c r="Q124" s="68">
        <f t="shared" si="17"/>
        <v>58788.600000000013</v>
      </c>
      <c r="R124" s="127">
        <f t="shared" si="18"/>
        <v>58788.600000000013</v>
      </c>
      <c r="S124" s="15"/>
    </row>
    <row r="125" spans="1:19">
      <c r="A125" s="123"/>
      <c r="B125" s="254" t="s">
        <v>821</v>
      </c>
      <c r="C125" s="42" t="s">
        <v>8</v>
      </c>
      <c r="D125" s="351">
        <v>13</v>
      </c>
      <c r="E125" s="124"/>
      <c r="F125" s="351">
        <v>13</v>
      </c>
      <c r="G125" s="351" t="s">
        <v>2736</v>
      </c>
      <c r="H125" s="351"/>
      <c r="I125" s="351" t="s">
        <v>2681</v>
      </c>
      <c r="J125" s="351" t="s">
        <v>2328</v>
      </c>
      <c r="K125" s="311">
        <v>1652.06</v>
      </c>
      <c r="L125" s="311">
        <v>0</v>
      </c>
      <c r="M125" s="311">
        <v>12122.640000000001</v>
      </c>
      <c r="N125" s="311">
        <v>1219</v>
      </c>
      <c r="O125" s="311">
        <v>853.30000000000007</v>
      </c>
      <c r="P125" s="68">
        <f t="shared" si="16"/>
        <v>15847</v>
      </c>
      <c r="Q125" s="68">
        <f t="shared" si="17"/>
        <v>206011</v>
      </c>
      <c r="R125" s="127">
        <f t="shared" si="18"/>
        <v>206011</v>
      </c>
      <c r="S125" s="330"/>
    </row>
    <row r="126" spans="1:19">
      <c r="A126" s="123">
        <v>8</v>
      </c>
      <c r="B126" s="1" t="s">
        <v>824</v>
      </c>
      <c r="C126" s="42"/>
      <c r="D126" s="351"/>
      <c r="E126" s="124"/>
      <c r="F126" s="351"/>
      <c r="G126" s="337"/>
      <c r="H126" s="337"/>
      <c r="I126" s="337"/>
      <c r="J126" s="337"/>
      <c r="K126" s="66"/>
      <c r="L126" s="66"/>
      <c r="M126" s="66"/>
      <c r="N126" s="66"/>
      <c r="O126" s="66"/>
      <c r="P126" s="66"/>
      <c r="Q126" s="66"/>
      <c r="R126" s="66"/>
      <c r="S126" s="337"/>
    </row>
    <row r="127" spans="1:19">
      <c r="A127" s="123"/>
      <c r="B127" s="254" t="s">
        <v>825</v>
      </c>
      <c r="C127" s="42" t="s">
        <v>8</v>
      </c>
      <c r="D127" s="351">
        <v>82</v>
      </c>
      <c r="E127" s="124"/>
      <c r="F127" s="351">
        <v>82</v>
      </c>
      <c r="G127" s="351" t="s">
        <v>2748</v>
      </c>
      <c r="H127" s="351"/>
      <c r="I127" s="351" t="s">
        <v>2681</v>
      </c>
      <c r="J127" s="351" t="s">
        <v>2328</v>
      </c>
      <c r="K127" s="311">
        <v>196441.46</v>
      </c>
      <c r="L127" s="311">
        <v>0</v>
      </c>
      <c r="M127" s="311">
        <v>22554.800000000003</v>
      </c>
      <c r="N127" s="311">
        <v>19380.199999999997</v>
      </c>
      <c r="O127" s="311">
        <v>13566.14</v>
      </c>
      <c r="P127" s="68">
        <f t="shared" ref="P127:P132" si="19">SUM(K127:O127)</f>
        <v>251942.60000000003</v>
      </c>
      <c r="Q127" s="68">
        <f t="shared" ref="Q127:Q132" si="20">D127*P127</f>
        <v>20659293.200000003</v>
      </c>
      <c r="R127" s="127">
        <f t="shared" ref="R127:R132" si="21">F127*P127</f>
        <v>20659293.200000003</v>
      </c>
      <c r="S127" s="333"/>
    </row>
    <row r="128" spans="1:19">
      <c r="A128" s="123"/>
      <c r="B128" s="254" t="s">
        <v>789</v>
      </c>
      <c r="C128" s="42" t="s">
        <v>8</v>
      </c>
      <c r="D128" s="351">
        <v>6</v>
      </c>
      <c r="E128" s="124"/>
      <c r="F128" s="351">
        <v>6</v>
      </c>
      <c r="G128" s="351" t="s">
        <v>2749</v>
      </c>
      <c r="H128" s="351"/>
      <c r="I128" s="351" t="s">
        <v>2681</v>
      </c>
      <c r="J128" s="351" t="s">
        <v>2328</v>
      </c>
      <c r="K128" s="311">
        <v>97087.34</v>
      </c>
      <c r="L128" s="311">
        <v>0</v>
      </c>
      <c r="M128" s="311">
        <v>20204.400000000001</v>
      </c>
      <c r="N128" s="311">
        <v>10379.799999999999</v>
      </c>
      <c r="O128" s="311">
        <v>7265.86</v>
      </c>
      <c r="P128" s="68">
        <f t="shared" si="19"/>
        <v>134937.4</v>
      </c>
      <c r="Q128" s="68">
        <f t="shared" si="20"/>
        <v>809624.39999999991</v>
      </c>
      <c r="R128" s="127">
        <f t="shared" si="21"/>
        <v>809624.39999999991</v>
      </c>
      <c r="S128" s="336"/>
    </row>
    <row r="129" spans="1:19">
      <c r="A129" s="123"/>
      <c r="B129" s="254" t="s">
        <v>790</v>
      </c>
      <c r="C129" s="42" t="s">
        <v>8</v>
      </c>
      <c r="D129" s="351">
        <v>10</v>
      </c>
      <c r="E129" s="124"/>
      <c r="F129" s="351">
        <v>10</v>
      </c>
      <c r="G129" s="351" t="s">
        <v>2750</v>
      </c>
      <c r="H129" s="351"/>
      <c r="I129" s="351" t="s">
        <v>2681</v>
      </c>
      <c r="J129" s="351" t="s">
        <v>2328</v>
      </c>
      <c r="K129" s="311">
        <v>73151.679999999993</v>
      </c>
      <c r="L129" s="311">
        <v>0</v>
      </c>
      <c r="M129" s="311">
        <v>16606.480000000003</v>
      </c>
      <c r="N129" s="311">
        <v>7943.2000000000007</v>
      </c>
      <c r="O129" s="311">
        <v>5560.2400000000007</v>
      </c>
      <c r="P129" s="68">
        <f t="shared" si="19"/>
        <v>103261.6</v>
      </c>
      <c r="Q129" s="68">
        <f t="shared" si="20"/>
        <v>1032616</v>
      </c>
      <c r="R129" s="127">
        <f t="shared" si="21"/>
        <v>1032616</v>
      </c>
      <c r="S129" s="335"/>
    </row>
    <row r="130" spans="1:19">
      <c r="A130" s="123"/>
      <c r="B130" s="254" t="s">
        <v>791</v>
      </c>
      <c r="C130" s="42" t="s">
        <v>8</v>
      </c>
      <c r="D130" s="351">
        <v>12</v>
      </c>
      <c r="E130" s="124"/>
      <c r="F130" s="351">
        <v>12</v>
      </c>
      <c r="G130" s="351" t="s">
        <v>2751</v>
      </c>
      <c r="H130" s="351"/>
      <c r="I130" s="351" t="s">
        <v>2681</v>
      </c>
      <c r="J130" s="351" t="s">
        <v>2328</v>
      </c>
      <c r="K130" s="311">
        <v>29506.559999999998</v>
      </c>
      <c r="L130" s="311">
        <v>0</v>
      </c>
      <c r="M130" s="311">
        <v>14690.000000000002</v>
      </c>
      <c r="N130" s="311">
        <v>3911.2000000000003</v>
      </c>
      <c r="O130" s="311">
        <v>2737.84</v>
      </c>
      <c r="P130" s="68">
        <f t="shared" si="19"/>
        <v>50845.599999999991</v>
      </c>
      <c r="Q130" s="68">
        <f t="shared" si="20"/>
        <v>610147.19999999995</v>
      </c>
      <c r="R130" s="127">
        <f t="shared" si="21"/>
        <v>610147.19999999995</v>
      </c>
      <c r="S130" s="331"/>
    </row>
    <row r="131" spans="1:19">
      <c r="A131" s="123"/>
      <c r="B131" s="254" t="s">
        <v>792</v>
      </c>
      <c r="C131" s="42" t="s">
        <v>8</v>
      </c>
      <c r="D131" s="351">
        <v>864</v>
      </c>
      <c r="E131" s="124"/>
      <c r="F131" s="351">
        <v>864</v>
      </c>
      <c r="G131" s="351" t="s">
        <v>2752</v>
      </c>
      <c r="H131" s="351"/>
      <c r="I131" s="351" t="s">
        <v>2681</v>
      </c>
      <c r="J131" s="351" t="s">
        <v>2328</v>
      </c>
      <c r="K131" s="311">
        <v>18095.82</v>
      </c>
      <c r="L131" s="311">
        <v>0</v>
      </c>
      <c r="M131" s="311">
        <v>12122.640000000001</v>
      </c>
      <c r="N131" s="311">
        <v>2674.2000000000003</v>
      </c>
      <c r="O131" s="311">
        <v>1871.9400000000003</v>
      </c>
      <c r="P131" s="68">
        <f t="shared" si="19"/>
        <v>34764.6</v>
      </c>
      <c r="Q131" s="68">
        <f t="shared" si="20"/>
        <v>30036614.399999999</v>
      </c>
      <c r="R131" s="127">
        <f t="shared" si="21"/>
        <v>30036614.399999999</v>
      </c>
      <c r="S131" s="334"/>
    </row>
    <row r="132" spans="1:19">
      <c r="A132" s="123"/>
      <c r="B132" s="254" t="s">
        <v>530</v>
      </c>
      <c r="C132" s="42" t="s">
        <v>8</v>
      </c>
      <c r="D132" s="351">
        <v>168</v>
      </c>
      <c r="E132" s="124"/>
      <c r="F132" s="351">
        <v>168</v>
      </c>
      <c r="G132" s="351" t="s">
        <v>2753</v>
      </c>
      <c r="H132" s="351"/>
      <c r="I132" s="351" t="s">
        <v>2681</v>
      </c>
      <c r="J132" s="351" t="s">
        <v>2328</v>
      </c>
      <c r="K132" s="311">
        <v>13254.9</v>
      </c>
      <c r="L132" s="311">
        <v>0</v>
      </c>
      <c r="M132" s="311">
        <v>10432.160000000002</v>
      </c>
      <c r="N132" s="311">
        <v>2096.2000000000003</v>
      </c>
      <c r="O132" s="311">
        <v>1467.3400000000001</v>
      </c>
      <c r="P132" s="68">
        <f t="shared" si="19"/>
        <v>27250.600000000002</v>
      </c>
      <c r="Q132" s="68">
        <f t="shared" si="20"/>
        <v>4578100.8000000007</v>
      </c>
      <c r="R132" s="127">
        <f t="shared" si="21"/>
        <v>4578100.8000000007</v>
      </c>
      <c r="S132" s="330"/>
    </row>
    <row r="133" spans="1:19">
      <c r="A133" s="123">
        <v>9</v>
      </c>
      <c r="B133" s="1" t="s">
        <v>826</v>
      </c>
      <c r="C133" s="42"/>
      <c r="D133" s="351"/>
      <c r="E133" s="124"/>
      <c r="F133" s="351"/>
      <c r="G133" s="335"/>
      <c r="H133" s="335"/>
      <c r="I133" s="335"/>
      <c r="J133" s="335"/>
      <c r="K133" s="66"/>
      <c r="L133" s="66"/>
      <c r="M133" s="66"/>
      <c r="N133" s="66"/>
      <c r="O133" s="66"/>
      <c r="P133" s="66"/>
      <c r="Q133" s="66"/>
      <c r="R133" s="66"/>
      <c r="S133" s="335"/>
    </row>
    <row r="134" spans="1:19">
      <c r="A134" s="123"/>
      <c r="B134" s="254" t="s">
        <v>783</v>
      </c>
      <c r="C134" s="42" t="s">
        <v>8</v>
      </c>
      <c r="D134" s="351">
        <v>7</v>
      </c>
      <c r="E134" s="124"/>
      <c r="F134" s="351">
        <v>7</v>
      </c>
      <c r="G134" s="351" t="s">
        <v>2754</v>
      </c>
      <c r="H134" s="351"/>
      <c r="I134" s="351" t="s">
        <v>2681</v>
      </c>
      <c r="J134" s="351" t="s">
        <v>2328</v>
      </c>
      <c r="K134" s="311">
        <v>202857.59999999998</v>
      </c>
      <c r="L134" s="311">
        <v>0</v>
      </c>
      <c r="M134" s="311">
        <v>46311.920000000006</v>
      </c>
      <c r="N134" s="311">
        <v>22050.399999999998</v>
      </c>
      <c r="O134" s="311">
        <v>15435.279999999999</v>
      </c>
      <c r="P134" s="68">
        <f t="shared" ref="P134:P142" si="22">SUM(K134:O134)</f>
        <v>286655.19999999995</v>
      </c>
      <c r="Q134" s="68">
        <f t="shared" ref="Q134:Q142" si="23">D134*P134</f>
        <v>2006586.3999999997</v>
      </c>
      <c r="R134" s="127">
        <f t="shared" ref="R134:R142" si="24">F134*P134</f>
        <v>2006586.3999999997</v>
      </c>
      <c r="S134" s="330"/>
    </row>
    <row r="135" spans="1:19">
      <c r="A135" s="123"/>
      <c r="B135" s="254" t="s">
        <v>785</v>
      </c>
      <c r="C135" s="42" t="s">
        <v>8</v>
      </c>
      <c r="D135" s="351">
        <v>43</v>
      </c>
      <c r="E135" s="124"/>
      <c r="F135" s="351">
        <v>43</v>
      </c>
      <c r="G135" s="351" t="s">
        <v>2755</v>
      </c>
      <c r="H135" s="351"/>
      <c r="I135" s="351" t="s">
        <v>2681</v>
      </c>
      <c r="J135" s="351" t="s">
        <v>2328</v>
      </c>
      <c r="K135" s="311">
        <v>73881.66</v>
      </c>
      <c r="L135" s="311">
        <v>0</v>
      </c>
      <c r="M135" s="311">
        <v>42415.680000000008</v>
      </c>
      <c r="N135" s="311">
        <v>10291.800000000001</v>
      </c>
      <c r="O135" s="311">
        <v>7204.2600000000011</v>
      </c>
      <c r="P135" s="68">
        <f t="shared" si="22"/>
        <v>133793.40000000002</v>
      </c>
      <c r="Q135" s="68">
        <f t="shared" si="23"/>
        <v>5753116.2000000011</v>
      </c>
      <c r="R135" s="127">
        <f t="shared" si="24"/>
        <v>5753116.2000000011</v>
      </c>
      <c r="S135" s="337"/>
    </row>
    <row r="136" spans="1:19">
      <c r="A136" s="123"/>
      <c r="B136" s="254" t="s">
        <v>786</v>
      </c>
      <c r="C136" s="42" t="s">
        <v>8</v>
      </c>
      <c r="D136" s="351">
        <v>11</v>
      </c>
      <c r="E136" s="124"/>
      <c r="F136" s="351">
        <v>11</v>
      </c>
      <c r="G136" s="351" t="s">
        <v>2756</v>
      </c>
      <c r="H136" s="351"/>
      <c r="I136" s="351" t="s">
        <v>2681</v>
      </c>
      <c r="J136" s="351" t="s">
        <v>2328</v>
      </c>
      <c r="K136" s="311">
        <v>45566.119999999995</v>
      </c>
      <c r="L136" s="311">
        <v>0</v>
      </c>
      <c r="M136" s="311">
        <v>28566.400000000001</v>
      </c>
      <c r="N136" s="311">
        <v>6560.4000000000005</v>
      </c>
      <c r="O136" s="311">
        <v>4592.2800000000007</v>
      </c>
      <c r="P136" s="68">
        <f t="shared" si="22"/>
        <v>85285.199999999983</v>
      </c>
      <c r="Q136" s="68">
        <f t="shared" si="23"/>
        <v>938137.19999999984</v>
      </c>
      <c r="R136" s="127">
        <f t="shared" si="24"/>
        <v>938137.19999999984</v>
      </c>
      <c r="S136" s="335"/>
    </row>
    <row r="137" spans="1:19">
      <c r="A137" s="123"/>
      <c r="B137" s="254" t="s">
        <v>825</v>
      </c>
      <c r="C137" s="42" t="s">
        <v>8</v>
      </c>
      <c r="D137" s="351">
        <v>60</v>
      </c>
      <c r="E137" s="124"/>
      <c r="F137" s="351">
        <v>60</v>
      </c>
      <c r="G137" s="351" t="s">
        <v>2757</v>
      </c>
      <c r="H137" s="351"/>
      <c r="I137" s="351" t="s">
        <v>2681</v>
      </c>
      <c r="J137" s="351" t="s">
        <v>2328</v>
      </c>
      <c r="K137" s="311">
        <v>16059.56</v>
      </c>
      <c r="L137" s="311">
        <v>0</v>
      </c>
      <c r="M137" s="311">
        <v>22554.800000000003</v>
      </c>
      <c r="N137" s="311">
        <v>3417.2000000000003</v>
      </c>
      <c r="O137" s="311">
        <v>2392.0400000000004</v>
      </c>
      <c r="P137" s="68">
        <f t="shared" si="22"/>
        <v>44423.6</v>
      </c>
      <c r="Q137" s="68">
        <f t="shared" si="23"/>
        <v>2665416</v>
      </c>
      <c r="R137" s="127">
        <f t="shared" si="24"/>
        <v>2665416</v>
      </c>
      <c r="S137" s="335"/>
    </row>
    <row r="138" spans="1:19">
      <c r="A138" s="123"/>
      <c r="B138" s="254" t="s">
        <v>789</v>
      </c>
      <c r="C138" s="42" t="s">
        <v>8</v>
      </c>
      <c r="D138" s="351">
        <v>29</v>
      </c>
      <c r="E138" s="124"/>
      <c r="F138" s="351">
        <v>29</v>
      </c>
      <c r="G138" s="351" t="s">
        <v>2758</v>
      </c>
      <c r="H138" s="351"/>
      <c r="I138" s="351" t="s">
        <v>2681</v>
      </c>
      <c r="J138" s="351" t="s">
        <v>2328</v>
      </c>
      <c r="K138" s="311">
        <v>8029.78</v>
      </c>
      <c r="L138" s="311">
        <v>0</v>
      </c>
      <c r="M138" s="311">
        <v>20204.400000000001</v>
      </c>
      <c r="N138" s="311">
        <v>2498.6000000000004</v>
      </c>
      <c r="O138" s="311">
        <v>1749.0200000000002</v>
      </c>
      <c r="P138" s="68">
        <f t="shared" si="22"/>
        <v>32481.8</v>
      </c>
      <c r="Q138" s="68">
        <f t="shared" si="23"/>
        <v>941972.2</v>
      </c>
      <c r="R138" s="127">
        <f t="shared" si="24"/>
        <v>941972.2</v>
      </c>
      <c r="S138" s="338"/>
    </row>
    <row r="139" spans="1:19">
      <c r="A139" s="123"/>
      <c r="B139" s="254" t="s">
        <v>790</v>
      </c>
      <c r="C139" s="42" t="s">
        <v>8</v>
      </c>
      <c r="D139" s="351">
        <v>36</v>
      </c>
      <c r="E139" s="124"/>
      <c r="F139" s="351">
        <v>36</v>
      </c>
      <c r="G139" s="351" t="s">
        <v>2759</v>
      </c>
      <c r="H139" s="351"/>
      <c r="I139" s="351" t="s">
        <v>2681</v>
      </c>
      <c r="J139" s="351" t="s">
        <v>2328</v>
      </c>
      <c r="K139" s="311">
        <v>4456.72</v>
      </c>
      <c r="L139" s="311">
        <v>0</v>
      </c>
      <c r="M139" s="311">
        <v>16606.480000000003</v>
      </c>
      <c r="N139" s="311">
        <v>1864</v>
      </c>
      <c r="O139" s="311">
        <v>1304.8000000000002</v>
      </c>
      <c r="P139" s="68">
        <f t="shared" si="22"/>
        <v>24232.000000000004</v>
      </c>
      <c r="Q139" s="68">
        <f t="shared" si="23"/>
        <v>872352.00000000012</v>
      </c>
      <c r="R139" s="127">
        <f t="shared" si="24"/>
        <v>872352.00000000012</v>
      </c>
      <c r="S139" s="338"/>
    </row>
    <row r="140" spans="1:19">
      <c r="A140" s="123"/>
      <c r="B140" s="254" t="s">
        <v>791</v>
      </c>
      <c r="C140" s="42" t="s">
        <v>8</v>
      </c>
      <c r="D140" s="351">
        <v>1609</v>
      </c>
      <c r="E140" s="124"/>
      <c r="F140" s="351">
        <v>1609</v>
      </c>
      <c r="G140" s="351" t="s">
        <v>2760</v>
      </c>
      <c r="H140" s="351"/>
      <c r="I140" s="351" t="s">
        <v>2681</v>
      </c>
      <c r="J140" s="351" t="s">
        <v>2328</v>
      </c>
      <c r="K140" s="311">
        <v>2766.2400000000002</v>
      </c>
      <c r="L140" s="311">
        <v>0</v>
      </c>
      <c r="M140" s="311">
        <v>14690.000000000002</v>
      </c>
      <c r="N140" s="311">
        <v>1544.8000000000002</v>
      </c>
      <c r="O140" s="311">
        <v>1081.3600000000001</v>
      </c>
      <c r="P140" s="68">
        <f t="shared" si="22"/>
        <v>20082.400000000001</v>
      </c>
      <c r="Q140" s="68">
        <f t="shared" si="23"/>
        <v>32312581.600000001</v>
      </c>
      <c r="R140" s="127">
        <f t="shared" si="24"/>
        <v>32312581.600000001</v>
      </c>
      <c r="S140" s="335"/>
    </row>
    <row r="141" spans="1:19">
      <c r="A141" s="123"/>
      <c r="B141" s="254" t="s">
        <v>792</v>
      </c>
      <c r="C141" s="42" t="s">
        <v>8</v>
      </c>
      <c r="D141" s="351">
        <v>449</v>
      </c>
      <c r="E141" s="124"/>
      <c r="F141" s="351">
        <v>449</v>
      </c>
      <c r="G141" s="351" t="s">
        <v>2761</v>
      </c>
      <c r="H141" s="351"/>
      <c r="I141" s="351" t="s">
        <v>2681</v>
      </c>
      <c r="J141" s="351" t="s">
        <v>2328</v>
      </c>
      <c r="K141" s="311">
        <v>1805.74</v>
      </c>
      <c r="L141" s="311">
        <v>0</v>
      </c>
      <c r="M141" s="311">
        <v>12122.640000000001</v>
      </c>
      <c r="N141" s="311">
        <v>1232.6000000000001</v>
      </c>
      <c r="O141" s="311">
        <v>862.82</v>
      </c>
      <c r="P141" s="68">
        <f t="shared" si="22"/>
        <v>16023.800000000001</v>
      </c>
      <c r="Q141" s="68">
        <f t="shared" si="23"/>
        <v>7194686.2000000002</v>
      </c>
      <c r="R141" s="127">
        <f t="shared" si="24"/>
        <v>7194686.2000000002</v>
      </c>
      <c r="S141" s="333"/>
    </row>
    <row r="142" spans="1:19">
      <c r="A142" s="123"/>
      <c r="B142" s="254" t="s">
        <v>530</v>
      </c>
      <c r="C142" s="42" t="s">
        <v>8</v>
      </c>
      <c r="D142" s="351">
        <v>104</v>
      </c>
      <c r="E142" s="124"/>
      <c r="F142" s="351">
        <v>104</v>
      </c>
      <c r="G142" s="351" t="s">
        <v>2762</v>
      </c>
      <c r="H142" s="351"/>
      <c r="I142" s="351" t="s">
        <v>2681</v>
      </c>
      <c r="J142" s="351" t="s">
        <v>2328</v>
      </c>
      <c r="K142" s="311">
        <v>1075.76</v>
      </c>
      <c r="L142" s="311">
        <v>0</v>
      </c>
      <c r="M142" s="311">
        <v>10432.160000000002</v>
      </c>
      <c r="N142" s="311">
        <v>1018.4000000000001</v>
      </c>
      <c r="O142" s="311">
        <v>712.88000000000011</v>
      </c>
      <c r="P142" s="68">
        <f t="shared" si="22"/>
        <v>13239.2</v>
      </c>
      <c r="Q142" s="68">
        <f t="shared" si="23"/>
        <v>1376876.8</v>
      </c>
      <c r="R142" s="127">
        <f t="shared" si="24"/>
        <v>1376876.8</v>
      </c>
      <c r="S142" s="336"/>
    </row>
    <row r="143" spans="1:19">
      <c r="A143" s="123">
        <v>10</v>
      </c>
      <c r="B143" s="128" t="s">
        <v>1974</v>
      </c>
      <c r="C143" s="42"/>
      <c r="D143" s="351"/>
      <c r="E143" s="124"/>
      <c r="F143" s="351"/>
      <c r="G143" s="336"/>
      <c r="H143" s="336"/>
      <c r="I143" s="336"/>
      <c r="J143" s="336"/>
      <c r="K143" s="66"/>
      <c r="L143" s="66"/>
      <c r="M143" s="66"/>
      <c r="N143" s="66"/>
      <c r="O143" s="66"/>
      <c r="P143" s="66"/>
      <c r="Q143" s="66"/>
      <c r="R143" s="66"/>
      <c r="S143" s="336"/>
    </row>
    <row r="144" spans="1:19" s="131" customFormat="1" ht="30">
      <c r="A144" s="126"/>
      <c r="B144" s="253" t="s">
        <v>1916</v>
      </c>
      <c r="C144" s="126" t="s">
        <v>8</v>
      </c>
      <c r="D144" s="352">
        <v>1</v>
      </c>
      <c r="E144" s="130"/>
      <c r="F144" s="352">
        <v>1</v>
      </c>
      <c r="G144" s="351" t="s">
        <v>2766</v>
      </c>
      <c r="H144" s="351"/>
      <c r="I144" s="351" t="s">
        <v>2681</v>
      </c>
      <c r="J144" s="351" t="s">
        <v>2328</v>
      </c>
      <c r="K144" s="311">
        <v>658338.00000000012</v>
      </c>
      <c r="L144" s="311">
        <v>0</v>
      </c>
      <c r="M144" s="311">
        <v>180397.30909090911</v>
      </c>
      <c r="N144" s="311">
        <v>74224.363636363632</v>
      </c>
      <c r="O144" s="311">
        <v>51957.05454545455</v>
      </c>
      <c r="P144" s="68">
        <f t="shared" ref="P144:P146" si="25">SUM(K144:O144)</f>
        <v>964916.72727272741</v>
      </c>
      <c r="Q144" s="68">
        <f>D144*P144</f>
        <v>964916.72727272741</v>
      </c>
      <c r="R144" s="127">
        <f>F144*P144</f>
        <v>964916.72727272741</v>
      </c>
      <c r="S144" s="30"/>
    </row>
    <row r="145" spans="1:19" s="131" customFormat="1" ht="30">
      <c r="A145" s="126"/>
      <c r="B145" s="253" t="s">
        <v>1917</v>
      </c>
      <c r="C145" s="126" t="s">
        <v>8</v>
      </c>
      <c r="D145" s="352">
        <v>23</v>
      </c>
      <c r="E145" s="130"/>
      <c r="F145" s="352">
        <v>23</v>
      </c>
      <c r="G145" s="351" t="s">
        <v>2767</v>
      </c>
      <c r="H145" s="351"/>
      <c r="I145" s="351" t="s">
        <v>2681</v>
      </c>
      <c r="J145" s="351" t="s">
        <v>2328</v>
      </c>
      <c r="K145" s="311">
        <v>457937.02</v>
      </c>
      <c r="L145" s="311">
        <v>0</v>
      </c>
      <c r="M145" s="311">
        <v>141885.88181818184</v>
      </c>
      <c r="N145" s="311">
        <v>53081.672727272729</v>
      </c>
      <c r="O145" s="311">
        <v>37157.170909090913</v>
      </c>
      <c r="P145" s="68">
        <f t="shared" si="25"/>
        <v>690061.74545454548</v>
      </c>
      <c r="Q145" s="68">
        <f>D145*P145</f>
        <v>15871420.145454546</v>
      </c>
      <c r="R145" s="127">
        <f>F145*P145</f>
        <v>15871420.145454546</v>
      </c>
      <c r="S145" s="30"/>
    </row>
    <row r="146" spans="1:19" s="131" customFormat="1" ht="30">
      <c r="A146" s="126"/>
      <c r="B146" s="253" t="s">
        <v>1918</v>
      </c>
      <c r="C146" s="126" t="s">
        <v>8</v>
      </c>
      <c r="D146" s="352">
        <v>73</v>
      </c>
      <c r="E146" s="130"/>
      <c r="F146" s="352">
        <v>73</v>
      </c>
      <c r="G146" s="351" t="s">
        <v>2768</v>
      </c>
      <c r="H146" s="351"/>
      <c r="I146" s="351" t="s">
        <v>2681</v>
      </c>
      <c r="J146" s="351" t="s">
        <v>2328</v>
      </c>
      <c r="K146" s="311">
        <v>346381.16000000003</v>
      </c>
      <c r="L146" s="311">
        <v>0</v>
      </c>
      <c r="M146" s="311">
        <v>87888.318181818177</v>
      </c>
      <c r="N146" s="311">
        <v>38430.927272727269</v>
      </c>
      <c r="O146" s="311">
        <v>26901.649090909094</v>
      </c>
      <c r="P146" s="68">
        <f t="shared" si="25"/>
        <v>499602.05454545456</v>
      </c>
      <c r="Q146" s="68">
        <f>D146*P146</f>
        <v>36470949.981818184</v>
      </c>
      <c r="R146" s="127">
        <f>F146*P146</f>
        <v>36470949.981818184</v>
      </c>
      <c r="S146" s="30"/>
    </row>
    <row r="147" spans="1:19">
      <c r="A147" s="123">
        <v>11</v>
      </c>
      <c r="B147" s="1" t="s">
        <v>827</v>
      </c>
      <c r="C147" s="42"/>
      <c r="D147" s="351"/>
      <c r="E147" s="124"/>
      <c r="F147" s="351"/>
      <c r="G147" s="329"/>
      <c r="H147" s="329"/>
      <c r="I147" s="329"/>
      <c r="J147" s="329"/>
      <c r="K147" s="65"/>
      <c r="L147" s="65"/>
      <c r="M147" s="65"/>
      <c r="N147" s="65"/>
      <c r="O147" s="65"/>
      <c r="P147" s="65"/>
      <c r="Q147" s="65"/>
      <c r="R147" s="65"/>
      <c r="S147" s="329"/>
    </row>
    <row r="148" spans="1:19">
      <c r="A148" s="123"/>
      <c r="B148" s="254" t="s">
        <v>828</v>
      </c>
      <c r="C148" s="42" t="s">
        <v>8</v>
      </c>
      <c r="D148" s="351">
        <v>16</v>
      </c>
      <c r="E148" s="124"/>
      <c r="F148" s="351">
        <v>16</v>
      </c>
      <c r="G148" s="351" t="s">
        <v>2763</v>
      </c>
      <c r="H148" s="351"/>
      <c r="I148" s="351" t="s">
        <v>2681</v>
      </c>
      <c r="J148" s="351" t="s">
        <v>2328</v>
      </c>
      <c r="K148" s="311">
        <v>75940.52</v>
      </c>
      <c r="L148" s="311">
        <v>0</v>
      </c>
      <c r="M148" s="311">
        <v>57839.563636363644</v>
      </c>
      <c r="N148" s="311">
        <v>11838.945454545456</v>
      </c>
      <c r="O148" s="311">
        <v>8287.2618181818198</v>
      </c>
      <c r="P148" s="68">
        <f t="shared" ref="P148:P150" si="26">SUM(K148:O148)</f>
        <v>153906.29090909092</v>
      </c>
      <c r="Q148" s="68">
        <f>D148*P148</f>
        <v>2462500.6545454548</v>
      </c>
      <c r="R148" s="127">
        <f>F148*P148</f>
        <v>2462500.6545454548</v>
      </c>
      <c r="S148" s="26"/>
    </row>
    <row r="149" spans="1:19">
      <c r="A149" s="123"/>
      <c r="B149" s="254" t="s">
        <v>829</v>
      </c>
      <c r="C149" s="42" t="s">
        <v>8</v>
      </c>
      <c r="D149" s="351">
        <v>1</v>
      </c>
      <c r="E149" s="124"/>
      <c r="F149" s="351">
        <v>1</v>
      </c>
      <c r="G149" s="351" t="s">
        <v>2765</v>
      </c>
      <c r="H149" s="351"/>
      <c r="I149" s="351" t="s">
        <v>2681</v>
      </c>
      <c r="J149" s="351" t="s">
        <v>2328</v>
      </c>
      <c r="K149" s="311">
        <v>94386.640000000014</v>
      </c>
      <c r="L149" s="311">
        <v>0</v>
      </c>
      <c r="M149" s="311">
        <v>86759.345454545459</v>
      </c>
      <c r="N149" s="311">
        <v>16030.618181818183</v>
      </c>
      <c r="O149" s="311">
        <v>11221.43272727273</v>
      </c>
      <c r="P149" s="68">
        <f t="shared" si="26"/>
        <v>208398.03636363641</v>
      </c>
      <c r="Q149" s="68">
        <f>D149*P149</f>
        <v>208398.03636363641</v>
      </c>
      <c r="R149" s="127">
        <f>F149*P149</f>
        <v>208398.03636363641</v>
      </c>
      <c r="S149" s="26"/>
    </row>
    <row r="150" spans="1:19" ht="30">
      <c r="A150" s="123"/>
      <c r="B150" s="254" t="s">
        <v>830</v>
      </c>
      <c r="C150" s="42" t="s">
        <v>8</v>
      </c>
      <c r="D150" s="351">
        <v>8</v>
      </c>
      <c r="E150" s="124"/>
      <c r="F150" s="351">
        <v>8</v>
      </c>
      <c r="G150" s="351" t="s">
        <v>2764</v>
      </c>
      <c r="H150" s="351"/>
      <c r="I150" s="351" t="s">
        <v>2681</v>
      </c>
      <c r="J150" s="351" t="s">
        <v>2328</v>
      </c>
      <c r="K150" s="311">
        <v>448183.99000000005</v>
      </c>
      <c r="L150" s="311">
        <v>0</v>
      </c>
      <c r="M150" s="311">
        <v>141885.88181818184</v>
      </c>
      <c r="N150" s="311">
        <v>52218.572727272731</v>
      </c>
      <c r="O150" s="311">
        <v>36553.000909090915</v>
      </c>
      <c r="P150" s="68">
        <f t="shared" si="26"/>
        <v>678841.44545454555</v>
      </c>
      <c r="Q150" s="68">
        <f>D150*P150</f>
        <v>5430731.5636363644</v>
      </c>
      <c r="R150" s="127">
        <f>F150*P150</f>
        <v>5430731.5636363644</v>
      </c>
      <c r="S150" s="338"/>
    </row>
    <row r="151" spans="1:19">
      <c r="A151" s="123">
        <v>12</v>
      </c>
      <c r="B151" s="1" t="s">
        <v>831</v>
      </c>
      <c r="C151" s="42"/>
      <c r="D151" s="351"/>
      <c r="E151" s="124"/>
      <c r="F151" s="351"/>
      <c r="G151" s="335"/>
      <c r="H151" s="335"/>
      <c r="I151" s="335"/>
      <c r="J151" s="335"/>
      <c r="K151" s="127"/>
      <c r="L151" s="127"/>
      <c r="M151" s="127"/>
      <c r="N151" s="127"/>
      <c r="O151" s="127"/>
      <c r="P151" s="127"/>
      <c r="Q151" s="127"/>
      <c r="R151" s="127"/>
      <c r="S151" s="338"/>
    </row>
    <row r="152" spans="1:19">
      <c r="A152" s="123"/>
      <c r="B152" s="254" t="s">
        <v>832</v>
      </c>
      <c r="C152" s="42" t="s">
        <v>8</v>
      </c>
      <c r="D152" s="351">
        <v>4</v>
      </c>
      <c r="E152" s="124" t="s">
        <v>1884</v>
      </c>
      <c r="F152" s="351">
        <v>4</v>
      </c>
      <c r="G152" s="351" t="s">
        <v>2769</v>
      </c>
      <c r="H152" s="351"/>
      <c r="I152" s="351"/>
      <c r="J152" s="351" t="s">
        <v>2374</v>
      </c>
      <c r="K152" s="311">
        <v>535620</v>
      </c>
      <c r="L152" s="311">
        <v>0</v>
      </c>
      <c r="M152" s="311">
        <v>142791.93636363637</v>
      </c>
      <c r="N152" s="311">
        <v>60036.454545454544</v>
      </c>
      <c r="O152" s="311">
        <v>42025.518181818181</v>
      </c>
      <c r="P152" s="68">
        <f t="shared" ref="P152:P158" si="27">SUM(K152:O152)</f>
        <v>780473.90909090918</v>
      </c>
      <c r="Q152" s="68">
        <f t="shared" ref="Q152:Q158" si="28">D152*P152</f>
        <v>3121895.6363636367</v>
      </c>
      <c r="R152" s="127">
        <f t="shared" ref="R152:R158" si="29">F152*P152</f>
        <v>3121895.6363636367</v>
      </c>
      <c r="S152" s="26"/>
    </row>
    <row r="153" spans="1:19">
      <c r="A153" s="123"/>
      <c r="B153" s="254" t="s">
        <v>833</v>
      </c>
      <c r="C153" s="42" t="s">
        <v>8</v>
      </c>
      <c r="D153" s="351">
        <v>4</v>
      </c>
      <c r="E153" s="124" t="s">
        <v>1884</v>
      </c>
      <c r="F153" s="351">
        <v>4</v>
      </c>
      <c r="G153" s="351" t="s">
        <v>2769</v>
      </c>
      <c r="H153" s="351"/>
      <c r="I153" s="351"/>
      <c r="J153" s="351" t="s">
        <v>2374</v>
      </c>
      <c r="K153" s="311">
        <v>226000.00000000003</v>
      </c>
      <c r="L153" s="311">
        <v>0</v>
      </c>
      <c r="M153" s="311">
        <v>84046.318181818177</v>
      </c>
      <c r="N153" s="311">
        <v>27437.727272727272</v>
      </c>
      <c r="O153" s="311">
        <v>19206.409090909092</v>
      </c>
      <c r="P153" s="68">
        <f t="shared" si="27"/>
        <v>356690.45454545465</v>
      </c>
      <c r="Q153" s="68">
        <f t="shared" si="28"/>
        <v>1426761.8181818186</v>
      </c>
      <c r="R153" s="127">
        <f t="shared" si="29"/>
        <v>1426761.8181818186</v>
      </c>
      <c r="S153" s="26"/>
    </row>
    <row r="154" spans="1:19">
      <c r="A154" s="123"/>
      <c r="B154" s="254" t="s">
        <v>834</v>
      </c>
      <c r="C154" s="42" t="s">
        <v>8</v>
      </c>
      <c r="D154" s="351">
        <v>83</v>
      </c>
      <c r="E154" s="124" t="s">
        <v>1884</v>
      </c>
      <c r="F154" s="351">
        <v>83</v>
      </c>
      <c r="G154" s="351" t="s">
        <v>2769</v>
      </c>
      <c r="H154" s="351"/>
      <c r="I154" s="351"/>
      <c r="J154" s="351" t="s">
        <v>2374</v>
      </c>
      <c r="K154" s="311">
        <v>122040.00000000001</v>
      </c>
      <c r="L154" s="311">
        <v>0</v>
      </c>
      <c r="M154" s="311">
        <v>48934.13636363636</v>
      </c>
      <c r="N154" s="311">
        <v>15130.454545454544</v>
      </c>
      <c r="O154" s="311">
        <v>10591.318181818182</v>
      </c>
      <c r="P154" s="68">
        <f t="shared" si="27"/>
        <v>196695.90909090912</v>
      </c>
      <c r="Q154" s="68">
        <f t="shared" si="28"/>
        <v>16325760.454545457</v>
      </c>
      <c r="R154" s="127">
        <f t="shared" si="29"/>
        <v>16325760.454545457</v>
      </c>
      <c r="S154" s="26"/>
    </row>
    <row r="155" spans="1:19">
      <c r="A155" s="123"/>
      <c r="B155" s="254" t="s">
        <v>835</v>
      </c>
      <c r="C155" s="42" t="s">
        <v>8</v>
      </c>
      <c r="D155" s="351">
        <v>2</v>
      </c>
      <c r="E155" s="124" t="s">
        <v>1884</v>
      </c>
      <c r="F155" s="351">
        <v>2</v>
      </c>
      <c r="G155" s="351" t="s">
        <v>2770</v>
      </c>
      <c r="H155" s="351"/>
      <c r="I155" s="351"/>
      <c r="J155" s="351" t="s">
        <v>2374</v>
      </c>
      <c r="K155" s="311">
        <v>705120.00000000012</v>
      </c>
      <c r="L155" s="311">
        <v>0</v>
      </c>
      <c r="M155" s="311">
        <v>214187.90454545457</v>
      </c>
      <c r="N155" s="311">
        <v>81354.681818181823</v>
      </c>
      <c r="O155" s="311">
        <v>56948.277272727275</v>
      </c>
      <c r="P155" s="68">
        <f t="shared" si="27"/>
        <v>1057610.8636363638</v>
      </c>
      <c r="Q155" s="68">
        <f t="shared" si="28"/>
        <v>2115221.7272727275</v>
      </c>
      <c r="R155" s="127">
        <f t="shared" si="29"/>
        <v>2115221.7272727275</v>
      </c>
      <c r="S155" s="26"/>
    </row>
    <row r="156" spans="1:19">
      <c r="A156" s="123"/>
      <c r="B156" s="254" t="s">
        <v>836</v>
      </c>
      <c r="C156" s="42" t="s">
        <v>8</v>
      </c>
      <c r="D156" s="351">
        <v>3</v>
      </c>
      <c r="E156" s="124" t="s">
        <v>1884</v>
      </c>
      <c r="F156" s="351">
        <v>3</v>
      </c>
      <c r="G156" s="351" t="s">
        <v>2770</v>
      </c>
      <c r="H156" s="351"/>
      <c r="I156" s="351"/>
      <c r="J156" s="351" t="s">
        <v>2374</v>
      </c>
      <c r="K156" s="311">
        <v>705120.00000000012</v>
      </c>
      <c r="L156" s="311">
        <v>0</v>
      </c>
      <c r="M156" s="311">
        <v>214187.90454545457</v>
      </c>
      <c r="N156" s="311">
        <v>81354.681818181823</v>
      </c>
      <c r="O156" s="311">
        <v>56948.277272727275</v>
      </c>
      <c r="P156" s="68">
        <f t="shared" si="27"/>
        <v>1057610.8636363638</v>
      </c>
      <c r="Q156" s="68">
        <f t="shared" si="28"/>
        <v>3172832.5909090913</v>
      </c>
      <c r="R156" s="127">
        <f t="shared" si="29"/>
        <v>3172832.5909090913</v>
      </c>
      <c r="S156" s="26"/>
    </row>
    <row r="157" spans="1:19">
      <c r="A157" s="123"/>
      <c r="B157" s="254" t="s">
        <v>837</v>
      </c>
      <c r="C157" s="42" t="s">
        <v>8</v>
      </c>
      <c r="D157" s="351">
        <v>1</v>
      </c>
      <c r="E157" s="124" t="s">
        <v>1884</v>
      </c>
      <c r="F157" s="351">
        <v>1</v>
      </c>
      <c r="G157" s="351" t="s">
        <v>2770</v>
      </c>
      <c r="H157" s="351"/>
      <c r="I157" s="351"/>
      <c r="J157" s="351" t="s">
        <v>2374</v>
      </c>
      <c r="K157" s="311">
        <v>705120.00000000012</v>
      </c>
      <c r="L157" s="311">
        <v>0</v>
      </c>
      <c r="M157" s="311">
        <v>214187.90454545457</v>
      </c>
      <c r="N157" s="311">
        <v>81354.681818181823</v>
      </c>
      <c r="O157" s="311">
        <v>56948.277272727275</v>
      </c>
      <c r="P157" s="68">
        <f t="shared" si="27"/>
        <v>1057610.8636363638</v>
      </c>
      <c r="Q157" s="68">
        <f t="shared" si="28"/>
        <v>1057610.8636363638</v>
      </c>
      <c r="R157" s="127">
        <f t="shared" si="29"/>
        <v>1057610.8636363638</v>
      </c>
      <c r="S157" s="26"/>
    </row>
    <row r="158" spans="1:19">
      <c r="A158" s="123"/>
      <c r="B158" s="254" t="s">
        <v>839</v>
      </c>
      <c r="C158" s="42" t="s">
        <v>8</v>
      </c>
      <c r="D158" s="351">
        <v>8</v>
      </c>
      <c r="E158" s="124" t="s">
        <v>1884</v>
      </c>
      <c r="F158" s="351">
        <v>8</v>
      </c>
      <c r="G158" s="351" t="s">
        <v>2770</v>
      </c>
      <c r="H158" s="351"/>
      <c r="I158" s="351"/>
      <c r="J158" s="351" t="s">
        <v>2374</v>
      </c>
      <c r="K158" s="311">
        <v>244080.00000000003</v>
      </c>
      <c r="L158" s="311">
        <v>0</v>
      </c>
      <c r="M158" s="311">
        <v>73401.204545454544</v>
      </c>
      <c r="N158" s="311">
        <v>28095.68181818182</v>
      </c>
      <c r="O158" s="311">
        <v>19666.977272727276</v>
      </c>
      <c r="P158" s="68">
        <f t="shared" si="27"/>
        <v>365243.86363636371</v>
      </c>
      <c r="Q158" s="68">
        <f t="shared" si="28"/>
        <v>2921950.9090909096</v>
      </c>
      <c r="R158" s="127">
        <f t="shared" si="29"/>
        <v>2921950.9090909096</v>
      </c>
      <c r="S158" s="26"/>
    </row>
    <row r="159" spans="1:19">
      <c r="A159" s="123">
        <v>13</v>
      </c>
      <c r="B159" s="1" t="s">
        <v>840</v>
      </c>
      <c r="C159" s="42"/>
      <c r="D159" s="351"/>
      <c r="E159" s="124"/>
      <c r="F159" s="351"/>
      <c r="G159" s="335"/>
      <c r="H159" s="335"/>
      <c r="I159" s="335"/>
      <c r="J159" s="335"/>
      <c r="K159" s="127"/>
      <c r="L159" s="127"/>
      <c r="M159" s="127"/>
      <c r="N159" s="127"/>
      <c r="O159" s="127"/>
      <c r="P159" s="127"/>
      <c r="Q159" s="127"/>
      <c r="R159" s="127"/>
      <c r="S159" s="338"/>
    </row>
    <row r="160" spans="1:19">
      <c r="A160" s="123"/>
      <c r="B160" s="254" t="s">
        <v>778</v>
      </c>
      <c r="C160" s="42" t="s">
        <v>8</v>
      </c>
      <c r="D160" s="351">
        <v>6</v>
      </c>
      <c r="E160" s="124"/>
      <c r="F160" s="351">
        <v>6</v>
      </c>
      <c r="G160" s="351" t="s">
        <v>2771</v>
      </c>
      <c r="H160" s="351" t="s">
        <v>2793</v>
      </c>
      <c r="I160" s="351" t="s">
        <v>2662</v>
      </c>
      <c r="J160" s="351" t="s">
        <v>2374</v>
      </c>
      <c r="K160" s="311">
        <v>6238298.0000000009</v>
      </c>
      <c r="L160" s="311">
        <v>0</v>
      </c>
      <c r="M160" s="311">
        <v>257504.40000000002</v>
      </c>
      <c r="N160" s="311">
        <v>628448.00000000012</v>
      </c>
      <c r="O160" s="311">
        <v>439913.60000000009</v>
      </c>
      <c r="P160" s="68">
        <f t="shared" ref="P160:P168" si="30">SUM(K160:O160)</f>
        <v>7564164.0000000019</v>
      </c>
      <c r="Q160" s="68">
        <f t="shared" ref="Q160:Q168" si="31">D160*P160</f>
        <v>45384984.000000015</v>
      </c>
      <c r="R160" s="127">
        <f t="shared" ref="R160:R168" si="32">F160*P160</f>
        <v>45384984.000000015</v>
      </c>
      <c r="S160" s="26" t="s">
        <v>1883</v>
      </c>
    </row>
    <row r="161" spans="1:19">
      <c r="A161" s="123"/>
      <c r="B161" s="254" t="s">
        <v>779</v>
      </c>
      <c r="C161" s="42" t="s">
        <v>8</v>
      </c>
      <c r="D161" s="351">
        <v>1</v>
      </c>
      <c r="E161" s="124"/>
      <c r="F161" s="351">
        <v>1</v>
      </c>
      <c r="G161" s="351" t="s">
        <v>2771</v>
      </c>
      <c r="H161" s="351" t="s">
        <v>2793</v>
      </c>
      <c r="I161" s="351" t="s">
        <v>2662</v>
      </c>
      <c r="J161" s="351" t="s">
        <v>2374</v>
      </c>
      <c r="K161" s="311">
        <v>5071308</v>
      </c>
      <c r="L161" s="311">
        <v>0</v>
      </c>
      <c r="M161" s="311">
        <v>244622.40000000002</v>
      </c>
      <c r="N161" s="311">
        <v>514008</v>
      </c>
      <c r="O161" s="311">
        <v>359805.60000000003</v>
      </c>
      <c r="P161" s="68">
        <f t="shared" si="30"/>
        <v>6189744</v>
      </c>
      <c r="Q161" s="68">
        <f t="shared" si="31"/>
        <v>6189744</v>
      </c>
      <c r="R161" s="127">
        <f t="shared" si="32"/>
        <v>6189744</v>
      </c>
      <c r="S161" s="26" t="s">
        <v>1883</v>
      </c>
    </row>
    <row r="162" spans="1:19">
      <c r="A162" s="123"/>
      <c r="B162" s="254" t="s">
        <v>780</v>
      </c>
      <c r="C162" s="42" t="s">
        <v>8</v>
      </c>
      <c r="D162" s="351">
        <v>5</v>
      </c>
      <c r="E162" s="124"/>
      <c r="F162" s="351">
        <v>5</v>
      </c>
      <c r="G162" s="351" t="s">
        <v>2771</v>
      </c>
      <c r="H162" s="351" t="s">
        <v>2793</v>
      </c>
      <c r="I162" s="351" t="s">
        <v>2662</v>
      </c>
      <c r="J162" s="351" t="s">
        <v>2374</v>
      </c>
      <c r="K162" s="311">
        <v>3751363.0000000005</v>
      </c>
      <c r="L162" s="311">
        <v>0</v>
      </c>
      <c r="M162" s="311">
        <v>203264.40000000002</v>
      </c>
      <c r="N162" s="311">
        <v>382198.00000000006</v>
      </c>
      <c r="O162" s="311">
        <v>267538.60000000003</v>
      </c>
      <c r="P162" s="68">
        <f t="shared" si="30"/>
        <v>4604364</v>
      </c>
      <c r="Q162" s="68">
        <f t="shared" si="31"/>
        <v>23021820</v>
      </c>
      <c r="R162" s="127">
        <f t="shared" si="32"/>
        <v>23021820</v>
      </c>
      <c r="S162" s="26" t="s">
        <v>1883</v>
      </c>
    </row>
    <row r="163" spans="1:19">
      <c r="A163" s="123"/>
      <c r="B163" s="254" t="s">
        <v>781</v>
      </c>
      <c r="C163" s="42" t="s">
        <v>8</v>
      </c>
      <c r="D163" s="351">
        <v>9</v>
      </c>
      <c r="E163" s="124"/>
      <c r="F163" s="351">
        <v>9</v>
      </c>
      <c r="G163" s="351" t="s">
        <v>2771</v>
      </c>
      <c r="H163" s="351" t="s">
        <v>2793</v>
      </c>
      <c r="I163" s="351" t="s">
        <v>2662</v>
      </c>
      <c r="J163" s="351" t="s">
        <v>2374</v>
      </c>
      <c r="K163" s="311">
        <v>2592304</v>
      </c>
      <c r="L163" s="311">
        <v>0</v>
      </c>
      <c r="M163" s="311">
        <v>193094.40000000002</v>
      </c>
      <c r="N163" s="311">
        <v>268768</v>
      </c>
      <c r="O163" s="311">
        <v>188137.60000000001</v>
      </c>
      <c r="P163" s="68">
        <f t="shared" si="30"/>
        <v>3242304</v>
      </c>
      <c r="Q163" s="68">
        <f t="shared" si="31"/>
        <v>29180736</v>
      </c>
      <c r="R163" s="127">
        <f t="shared" si="32"/>
        <v>29180736</v>
      </c>
      <c r="S163" s="26" t="s">
        <v>1883</v>
      </c>
    </row>
    <row r="164" spans="1:19">
      <c r="A164" s="123"/>
      <c r="B164" s="254" t="s">
        <v>842</v>
      </c>
      <c r="C164" s="42" t="s">
        <v>8</v>
      </c>
      <c r="D164" s="351">
        <v>41</v>
      </c>
      <c r="E164" s="124"/>
      <c r="F164" s="351">
        <v>41</v>
      </c>
      <c r="G164" s="351" t="s">
        <v>2773</v>
      </c>
      <c r="H164" s="351" t="s">
        <v>2774</v>
      </c>
      <c r="I164" s="351" t="s">
        <v>2662</v>
      </c>
      <c r="J164" s="351" t="s">
        <v>2374</v>
      </c>
      <c r="K164" s="311">
        <v>768380</v>
      </c>
      <c r="L164" s="311">
        <v>0</v>
      </c>
      <c r="M164" s="311">
        <v>79054.8</v>
      </c>
      <c r="N164" s="311">
        <v>81596</v>
      </c>
      <c r="O164" s="311">
        <v>57117.200000000004</v>
      </c>
      <c r="P164" s="68">
        <f t="shared" si="30"/>
        <v>986148</v>
      </c>
      <c r="Q164" s="68">
        <f t="shared" si="31"/>
        <v>40432068</v>
      </c>
      <c r="R164" s="127">
        <f t="shared" si="32"/>
        <v>40432068</v>
      </c>
      <c r="S164" s="37" t="s">
        <v>761</v>
      </c>
    </row>
    <row r="165" spans="1:19">
      <c r="A165" s="123"/>
      <c r="B165" s="254" t="s">
        <v>844</v>
      </c>
      <c r="C165" s="42" t="s">
        <v>8</v>
      </c>
      <c r="D165" s="351">
        <v>1</v>
      </c>
      <c r="E165" s="124"/>
      <c r="F165" s="351">
        <v>1</v>
      </c>
      <c r="G165" s="351" t="s">
        <v>2773</v>
      </c>
      <c r="H165" s="351" t="s">
        <v>2774</v>
      </c>
      <c r="I165" s="351" t="s">
        <v>2662</v>
      </c>
      <c r="J165" s="351" t="s">
        <v>2374</v>
      </c>
      <c r="K165" s="311">
        <v>373890</v>
      </c>
      <c r="L165" s="311">
        <v>0</v>
      </c>
      <c r="M165" s="311">
        <v>52748.400000000009</v>
      </c>
      <c r="N165" s="311">
        <v>40968</v>
      </c>
      <c r="O165" s="311">
        <v>28677.600000000002</v>
      </c>
      <c r="P165" s="68">
        <f t="shared" si="30"/>
        <v>496284</v>
      </c>
      <c r="Q165" s="68">
        <f t="shared" si="31"/>
        <v>496284</v>
      </c>
      <c r="R165" s="127">
        <f t="shared" si="32"/>
        <v>496284</v>
      </c>
      <c r="S165" s="37" t="s">
        <v>761</v>
      </c>
    </row>
    <row r="166" spans="1:19">
      <c r="A166" s="123"/>
      <c r="B166" s="254" t="s">
        <v>845</v>
      </c>
      <c r="C166" s="42" t="s">
        <v>8</v>
      </c>
      <c r="D166" s="351">
        <v>2</v>
      </c>
      <c r="E166" s="124"/>
      <c r="F166" s="351">
        <v>2</v>
      </c>
      <c r="G166" s="351" t="s">
        <v>2773</v>
      </c>
      <c r="H166" s="351" t="s">
        <v>2774</v>
      </c>
      <c r="I166" s="351" t="s">
        <v>2662</v>
      </c>
      <c r="J166" s="351" t="s">
        <v>2374</v>
      </c>
      <c r="K166" s="311">
        <v>306940</v>
      </c>
      <c r="L166" s="311">
        <v>0</v>
      </c>
      <c r="M166" s="311">
        <v>37696.800000000003</v>
      </c>
      <c r="N166" s="311">
        <v>33136</v>
      </c>
      <c r="O166" s="311">
        <v>23195.200000000001</v>
      </c>
      <c r="P166" s="68">
        <f t="shared" si="30"/>
        <v>400968</v>
      </c>
      <c r="Q166" s="68">
        <f t="shared" si="31"/>
        <v>801936</v>
      </c>
      <c r="R166" s="127">
        <f t="shared" si="32"/>
        <v>801936</v>
      </c>
      <c r="S166" s="37" t="s">
        <v>761</v>
      </c>
    </row>
    <row r="167" spans="1:19">
      <c r="A167" s="123"/>
      <c r="B167" s="254" t="s">
        <v>846</v>
      </c>
      <c r="C167" s="42" t="s">
        <v>8</v>
      </c>
      <c r="D167" s="351">
        <v>122</v>
      </c>
      <c r="E167" s="124"/>
      <c r="F167" s="351">
        <v>122</v>
      </c>
      <c r="G167" s="351" t="s">
        <v>2773</v>
      </c>
      <c r="H167" s="351" t="s">
        <v>2774</v>
      </c>
      <c r="I167" s="351" t="s">
        <v>2662</v>
      </c>
      <c r="J167" s="351" t="s">
        <v>2374</v>
      </c>
      <c r="K167" s="311">
        <v>189520</v>
      </c>
      <c r="L167" s="311">
        <v>0</v>
      </c>
      <c r="M167" s="311">
        <v>33900</v>
      </c>
      <c r="N167" s="311">
        <v>21400</v>
      </c>
      <c r="O167" s="311">
        <v>14980.000000000002</v>
      </c>
      <c r="P167" s="68">
        <f t="shared" si="30"/>
        <v>259800</v>
      </c>
      <c r="Q167" s="68">
        <f t="shared" si="31"/>
        <v>31695600</v>
      </c>
      <c r="R167" s="127">
        <f t="shared" si="32"/>
        <v>31695600</v>
      </c>
      <c r="S167" s="37" t="s">
        <v>761</v>
      </c>
    </row>
    <row r="168" spans="1:19">
      <c r="A168" s="123"/>
      <c r="B168" s="254" t="s">
        <v>847</v>
      </c>
      <c r="C168" s="42" t="s">
        <v>8</v>
      </c>
      <c r="D168" s="351">
        <v>49</v>
      </c>
      <c r="E168" s="124"/>
      <c r="F168" s="351">
        <v>49</v>
      </c>
      <c r="G168" s="351" t="s">
        <v>2773</v>
      </c>
      <c r="H168" s="351" t="s">
        <v>2774</v>
      </c>
      <c r="I168" s="351" t="s">
        <v>2662</v>
      </c>
      <c r="J168" s="351" t="s">
        <v>2374</v>
      </c>
      <c r="K168" s="311">
        <v>143170</v>
      </c>
      <c r="L168" s="311">
        <v>0</v>
      </c>
      <c r="M168" s="311">
        <v>30103.200000000004</v>
      </c>
      <c r="N168" s="311">
        <v>16564</v>
      </c>
      <c r="O168" s="311">
        <v>11594.800000000001</v>
      </c>
      <c r="P168" s="68">
        <f t="shared" si="30"/>
        <v>201432</v>
      </c>
      <c r="Q168" s="68">
        <f t="shared" si="31"/>
        <v>9870168</v>
      </c>
      <c r="R168" s="127">
        <f t="shared" si="32"/>
        <v>9870168</v>
      </c>
      <c r="S168" s="37" t="s">
        <v>761</v>
      </c>
    </row>
    <row r="169" spans="1:19">
      <c r="A169" s="123">
        <v>14</v>
      </c>
      <c r="B169" s="1" t="s">
        <v>848</v>
      </c>
      <c r="C169" s="42"/>
      <c r="D169" s="351"/>
      <c r="E169" s="124"/>
      <c r="F169" s="351"/>
      <c r="G169" s="26"/>
      <c r="H169" s="26"/>
      <c r="I169" s="26"/>
      <c r="J169" s="26"/>
      <c r="K169" s="66"/>
      <c r="L169" s="66"/>
      <c r="M169" s="66"/>
      <c r="N169" s="66"/>
      <c r="O169" s="66"/>
      <c r="P169" s="66"/>
      <c r="Q169" s="66"/>
      <c r="R169" s="66"/>
      <c r="S169" s="26"/>
    </row>
    <row r="170" spans="1:19">
      <c r="A170" s="123"/>
      <c r="B170" s="254" t="s">
        <v>843</v>
      </c>
      <c r="C170" s="42" t="s">
        <v>8</v>
      </c>
      <c r="D170" s="351">
        <v>3</v>
      </c>
      <c r="E170" s="124"/>
      <c r="F170" s="351">
        <v>3</v>
      </c>
      <c r="G170" s="351" t="s">
        <v>2775</v>
      </c>
      <c r="H170" s="351" t="s">
        <v>2776</v>
      </c>
      <c r="I170" s="351" t="s">
        <v>2662</v>
      </c>
      <c r="J170" s="351" t="s">
        <v>2374</v>
      </c>
      <c r="K170" s="311">
        <v>2341190</v>
      </c>
      <c r="L170" s="311">
        <v>0</v>
      </c>
      <c r="M170" s="311">
        <v>96004.800000000003</v>
      </c>
      <c r="N170" s="311">
        <v>235796</v>
      </c>
      <c r="O170" s="311">
        <v>165057.20000000001</v>
      </c>
      <c r="P170" s="68">
        <f t="shared" ref="P170:P173" si="33">SUM(K170:O170)</f>
        <v>2838048</v>
      </c>
      <c r="Q170" s="68">
        <f>D170*P170</f>
        <v>8514144</v>
      </c>
      <c r="R170" s="127">
        <f>F170*P170</f>
        <v>8514144</v>
      </c>
      <c r="S170" s="37" t="s">
        <v>761</v>
      </c>
    </row>
    <row r="171" spans="1:19">
      <c r="A171" s="123"/>
      <c r="B171" s="254" t="s">
        <v>844</v>
      </c>
      <c r="C171" s="42" t="s">
        <v>8</v>
      </c>
      <c r="D171" s="351">
        <v>2</v>
      </c>
      <c r="E171" s="124"/>
      <c r="F171" s="351">
        <v>2</v>
      </c>
      <c r="G171" s="351" t="s">
        <v>2775</v>
      </c>
      <c r="H171" s="351" t="s">
        <v>2776</v>
      </c>
      <c r="I171" s="351" t="s">
        <v>2662</v>
      </c>
      <c r="J171" s="351" t="s">
        <v>2374</v>
      </c>
      <c r="K171" s="311">
        <v>1185530</v>
      </c>
      <c r="L171" s="311">
        <v>0</v>
      </c>
      <c r="M171" s="311">
        <v>79122.600000000006</v>
      </c>
      <c r="N171" s="311">
        <v>122102</v>
      </c>
      <c r="O171" s="311">
        <v>85471.400000000009</v>
      </c>
      <c r="P171" s="68">
        <f t="shared" si="33"/>
        <v>1472226</v>
      </c>
      <c r="Q171" s="68">
        <f>D171*P171</f>
        <v>2944452</v>
      </c>
      <c r="R171" s="127">
        <f>F171*P171</f>
        <v>2944452</v>
      </c>
      <c r="S171" s="37" t="s">
        <v>761</v>
      </c>
    </row>
    <row r="172" spans="1:19">
      <c r="A172" s="123"/>
      <c r="B172" s="254" t="s">
        <v>845</v>
      </c>
      <c r="C172" s="42" t="s">
        <v>8</v>
      </c>
      <c r="D172" s="351">
        <v>1</v>
      </c>
      <c r="E172" s="124"/>
      <c r="F172" s="351">
        <v>1</v>
      </c>
      <c r="G172" s="351" t="s">
        <v>2775</v>
      </c>
      <c r="H172" s="351" t="s">
        <v>2776</v>
      </c>
      <c r="I172" s="351" t="s">
        <v>2662</v>
      </c>
      <c r="J172" s="351" t="s">
        <v>2374</v>
      </c>
      <c r="K172" s="311">
        <v>1054720</v>
      </c>
      <c r="L172" s="311">
        <v>0</v>
      </c>
      <c r="M172" s="311">
        <v>56545.200000000004</v>
      </c>
      <c r="N172" s="311">
        <v>107404</v>
      </c>
      <c r="O172" s="311">
        <v>75182.8</v>
      </c>
      <c r="P172" s="68">
        <f t="shared" si="33"/>
        <v>1293852</v>
      </c>
      <c r="Q172" s="68">
        <f>D172*P172</f>
        <v>1293852</v>
      </c>
      <c r="R172" s="127">
        <f>F172*P172</f>
        <v>1293852</v>
      </c>
      <c r="S172" s="37" t="s">
        <v>761</v>
      </c>
    </row>
    <row r="173" spans="1:19">
      <c r="A173" s="123"/>
      <c r="B173" s="254" t="s">
        <v>846</v>
      </c>
      <c r="C173" s="42" t="s">
        <v>8</v>
      </c>
      <c r="D173" s="351">
        <v>18</v>
      </c>
      <c r="E173" s="124"/>
      <c r="F173" s="351">
        <v>18</v>
      </c>
      <c r="G173" s="351" t="s">
        <v>2775</v>
      </c>
      <c r="H173" s="351" t="s">
        <v>2776</v>
      </c>
      <c r="I173" s="351" t="s">
        <v>2662</v>
      </c>
      <c r="J173" s="351" t="s">
        <v>2374</v>
      </c>
      <c r="K173" s="311">
        <v>712760</v>
      </c>
      <c r="L173" s="311">
        <v>0</v>
      </c>
      <c r="M173" s="311">
        <v>50850.000000000007</v>
      </c>
      <c r="N173" s="311">
        <v>73700</v>
      </c>
      <c r="O173" s="311">
        <v>51590.000000000007</v>
      </c>
      <c r="P173" s="68">
        <f t="shared" si="33"/>
        <v>888900</v>
      </c>
      <c r="Q173" s="68">
        <f>D173*P173</f>
        <v>16000200</v>
      </c>
      <c r="R173" s="127">
        <f>F173*P173</f>
        <v>16000200</v>
      </c>
      <c r="S173" s="37" t="s">
        <v>761</v>
      </c>
    </row>
    <row r="174" spans="1:19">
      <c r="A174" s="123">
        <v>15</v>
      </c>
      <c r="B174" s="1" t="s">
        <v>849</v>
      </c>
      <c r="C174" s="42"/>
      <c r="D174" s="351"/>
      <c r="E174" s="124"/>
      <c r="F174" s="351"/>
      <c r="G174" s="26"/>
      <c r="H174" s="26"/>
      <c r="I174" s="26"/>
      <c r="J174" s="26"/>
      <c r="K174" s="66"/>
      <c r="L174" s="66"/>
      <c r="M174" s="66"/>
      <c r="N174" s="66"/>
      <c r="O174" s="66"/>
      <c r="P174" s="66"/>
      <c r="Q174" s="66"/>
      <c r="R174" s="66"/>
      <c r="S174" s="26"/>
    </row>
    <row r="175" spans="1:19">
      <c r="A175" s="123"/>
      <c r="B175" s="254" t="s">
        <v>780</v>
      </c>
      <c r="C175" s="42" t="s">
        <v>8</v>
      </c>
      <c r="D175" s="351">
        <v>1</v>
      </c>
      <c r="E175" s="124"/>
      <c r="F175" s="351">
        <v>1</v>
      </c>
      <c r="G175" s="351" t="s">
        <v>2777</v>
      </c>
      <c r="H175" s="351" t="s">
        <v>2797</v>
      </c>
      <c r="I175" s="351" t="s">
        <v>2662</v>
      </c>
      <c r="J175" s="351" t="s">
        <v>2374</v>
      </c>
      <c r="K175" s="311">
        <v>3323810</v>
      </c>
      <c r="L175" s="311">
        <v>0</v>
      </c>
      <c r="M175" s="311">
        <v>203264.40000000002</v>
      </c>
      <c r="N175" s="311">
        <v>340688</v>
      </c>
      <c r="O175" s="311">
        <v>238481.60000000003</v>
      </c>
      <c r="P175" s="68">
        <f>SUM(K175:O175)</f>
        <v>4106244</v>
      </c>
      <c r="Q175" s="68">
        <f>D175*P175</f>
        <v>4106244</v>
      </c>
      <c r="R175" s="127">
        <f>F175*P175</f>
        <v>4106244</v>
      </c>
      <c r="S175" s="26" t="s">
        <v>1883</v>
      </c>
    </row>
    <row r="176" spans="1:19">
      <c r="A176" s="123">
        <v>16</v>
      </c>
      <c r="B176" s="1" t="s">
        <v>850</v>
      </c>
      <c r="C176" s="42"/>
      <c r="D176" s="351"/>
      <c r="E176" s="124"/>
      <c r="F176" s="351"/>
      <c r="G176" s="26"/>
      <c r="H176" s="26"/>
      <c r="I176" s="26"/>
      <c r="J176" s="26"/>
      <c r="K176" s="66"/>
      <c r="L176" s="66"/>
      <c r="M176" s="66"/>
      <c r="N176" s="66"/>
      <c r="O176" s="66"/>
      <c r="P176" s="66"/>
      <c r="Q176" s="66"/>
      <c r="R176" s="66"/>
      <c r="S176" s="26"/>
    </row>
    <row r="177" spans="1:19" ht="30">
      <c r="A177" s="123"/>
      <c r="B177" s="254" t="s">
        <v>851</v>
      </c>
      <c r="C177" s="42" t="s">
        <v>8</v>
      </c>
      <c r="D177" s="351">
        <v>59</v>
      </c>
      <c r="E177" s="124"/>
      <c r="F177" s="351">
        <v>59</v>
      </c>
      <c r="G177" s="351" t="s">
        <v>2779</v>
      </c>
      <c r="H177" s="351" t="s">
        <v>2780</v>
      </c>
      <c r="I177" s="351" t="s">
        <v>2781</v>
      </c>
      <c r="J177" s="351" t="s">
        <v>2328</v>
      </c>
      <c r="K177" s="311">
        <v>159650</v>
      </c>
      <c r="L177" s="311">
        <v>0</v>
      </c>
      <c r="M177" s="311">
        <v>37629.000000000007</v>
      </c>
      <c r="N177" s="311">
        <v>18830</v>
      </c>
      <c r="O177" s="311">
        <v>13181.000000000002</v>
      </c>
      <c r="P177" s="68">
        <f>SUM(K177:O177)</f>
        <v>229290</v>
      </c>
      <c r="Q177" s="68">
        <f>D177*P177</f>
        <v>13528110</v>
      </c>
      <c r="R177" s="127">
        <f>F177*P177</f>
        <v>13528110</v>
      </c>
      <c r="S177" s="26"/>
    </row>
    <row r="178" spans="1:19" s="131" customFormat="1">
      <c r="A178" s="126">
        <v>17</v>
      </c>
      <c r="B178" s="1" t="s">
        <v>1919</v>
      </c>
      <c r="C178" s="126"/>
      <c r="D178" s="351"/>
      <c r="E178" s="130"/>
      <c r="F178" s="351"/>
      <c r="G178" s="39"/>
      <c r="H178" s="39"/>
      <c r="I178" s="39"/>
      <c r="J178" s="39"/>
      <c r="K178" s="65"/>
      <c r="L178" s="65"/>
      <c r="M178" s="65"/>
      <c r="N178" s="65"/>
      <c r="O178" s="65"/>
      <c r="P178" s="65"/>
      <c r="Q178" s="65"/>
      <c r="R178" s="65"/>
      <c r="S178" s="39"/>
    </row>
    <row r="179" spans="1:19" s="131" customFormat="1">
      <c r="A179" s="126"/>
      <c r="B179" s="253" t="s">
        <v>783</v>
      </c>
      <c r="C179" s="126" t="s">
        <v>8</v>
      </c>
      <c r="D179" s="352">
        <v>1</v>
      </c>
      <c r="E179" s="130" t="s">
        <v>1920</v>
      </c>
      <c r="F179" s="352">
        <v>1</v>
      </c>
      <c r="G179" s="335" t="s">
        <v>2798</v>
      </c>
      <c r="H179" s="335" t="s">
        <v>2799</v>
      </c>
      <c r="I179" s="335" t="s">
        <v>2662</v>
      </c>
      <c r="J179" s="335" t="s">
        <v>2374</v>
      </c>
      <c r="K179" s="311">
        <v>4885290</v>
      </c>
      <c r="L179" s="311">
        <v>0</v>
      </c>
      <c r="M179" s="311">
        <v>244622.40000000002</v>
      </c>
      <c r="N179" s="311">
        <v>495948</v>
      </c>
      <c r="O179" s="311">
        <v>347163.60000000003</v>
      </c>
      <c r="P179" s="68">
        <f t="shared" ref="P179:P183" si="34">SUM(K179:O179)</f>
        <v>5973024</v>
      </c>
      <c r="Q179" s="68">
        <f>D179*P179</f>
        <v>5973024</v>
      </c>
      <c r="R179" s="127">
        <f>F179*P179</f>
        <v>5973024</v>
      </c>
      <c r="S179" s="335" t="s">
        <v>1883</v>
      </c>
    </row>
    <row r="180" spans="1:19" s="131" customFormat="1">
      <c r="A180" s="126"/>
      <c r="B180" s="253" t="s">
        <v>785</v>
      </c>
      <c r="C180" s="126" t="s">
        <v>8</v>
      </c>
      <c r="D180" s="352">
        <v>3</v>
      </c>
      <c r="E180" s="130" t="s">
        <v>1920</v>
      </c>
      <c r="F180" s="352">
        <v>3</v>
      </c>
      <c r="G180" s="335" t="s">
        <v>2798</v>
      </c>
      <c r="H180" s="335" t="s">
        <v>2799</v>
      </c>
      <c r="I180" s="335" t="s">
        <v>2662</v>
      </c>
      <c r="J180" s="335" t="s">
        <v>2374</v>
      </c>
      <c r="K180" s="311">
        <v>3858380</v>
      </c>
      <c r="L180" s="311">
        <v>0</v>
      </c>
      <c r="M180" s="311">
        <v>203264.40000000002</v>
      </c>
      <c r="N180" s="311">
        <v>392588</v>
      </c>
      <c r="O180" s="311">
        <v>274811.60000000003</v>
      </c>
      <c r="P180" s="68">
        <f t="shared" si="34"/>
        <v>4729044</v>
      </c>
      <c r="Q180" s="68">
        <f>D180*P180</f>
        <v>14187132</v>
      </c>
      <c r="R180" s="127">
        <f>F180*P180</f>
        <v>14187132</v>
      </c>
      <c r="S180" s="335" t="s">
        <v>1883</v>
      </c>
    </row>
    <row r="181" spans="1:19" s="131" customFormat="1">
      <c r="A181" s="126"/>
      <c r="B181" s="253" t="s">
        <v>786</v>
      </c>
      <c r="C181" s="126" t="s">
        <v>8</v>
      </c>
      <c r="D181" s="352">
        <v>3</v>
      </c>
      <c r="E181" s="130" t="s">
        <v>1920</v>
      </c>
      <c r="F181" s="352">
        <v>3</v>
      </c>
      <c r="G181" s="335" t="s">
        <v>2798</v>
      </c>
      <c r="H181" s="335" t="s">
        <v>2799</v>
      </c>
      <c r="I181" s="335" t="s">
        <v>2662</v>
      </c>
      <c r="J181" s="335" t="s">
        <v>2374</v>
      </c>
      <c r="K181" s="311">
        <v>3321750</v>
      </c>
      <c r="L181" s="311">
        <v>0</v>
      </c>
      <c r="M181" s="311">
        <v>193094.40000000002</v>
      </c>
      <c r="N181" s="311">
        <v>339588</v>
      </c>
      <c r="O181" s="311">
        <v>237711.60000000003</v>
      </c>
      <c r="P181" s="68">
        <f t="shared" si="34"/>
        <v>4092144</v>
      </c>
      <c r="Q181" s="68">
        <f>D181*P181</f>
        <v>12276432</v>
      </c>
      <c r="R181" s="127">
        <f>F181*P181</f>
        <v>12276432</v>
      </c>
      <c r="S181" s="335" t="s">
        <v>1883</v>
      </c>
    </row>
    <row r="182" spans="1:19" s="131" customFormat="1">
      <c r="A182" s="126"/>
      <c r="B182" s="253" t="s">
        <v>1921</v>
      </c>
      <c r="C182" s="126" t="s">
        <v>8</v>
      </c>
      <c r="D182" s="352">
        <v>3</v>
      </c>
      <c r="E182" s="130"/>
      <c r="F182" s="352">
        <v>3</v>
      </c>
      <c r="G182" s="351" t="s">
        <v>3160</v>
      </c>
      <c r="H182" s="351"/>
      <c r="I182" s="351"/>
      <c r="J182" s="351" t="s">
        <v>2374</v>
      </c>
      <c r="K182" s="311">
        <v>508500.00000000006</v>
      </c>
      <c r="L182" s="311">
        <v>0</v>
      </c>
      <c r="M182" s="311">
        <v>117244.69090909092</v>
      </c>
      <c r="N182" s="311">
        <v>55375.636363636368</v>
      </c>
      <c r="O182" s="311">
        <v>38762.945454545457</v>
      </c>
      <c r="P182" s="68">
        <f t="shared" si="34"/>
        <v>719883.27272727271</v>
      </c>
      <c r="Q182" s="68">
        <f>D182*P182</f>
        <v>2159649.8181818184</v>
      </c>
      <c r="R182" s="127">
        <f>F182*P182</f>
        <v>2159649.8181818184</v>
      </c>
      <c r="S182" s="26"/>
    </row>
    <row r="183" spans="1:19">
      <c r="A183" s="123">
        <v>18</v>
      </c>
      <c r="B183" s="254" t="s">
        <v>852</v>
      </c>
      <c r="C183" s="42" t="s">
        <v>78</v>
      </c>
      <c r="D183" s="351">
        <v>1</v>
      </c>
      <c r="E183" s="124"/>
      <c r="F183" s="351">
        <v>1</v>
      </c>
      <c r="G183" s="26"/>
      <c r="H183" s="26"/>
      <c r="I183" s="26"/>
      <c r="J183" s="26" t="s">
        <v>2381</v>
      </c>
      <c r="K183" s="311">
        <v>196996674.75814399</v>
      </c>
      <c r="L183" s="311">
        <v>0</v>
      </c>
      <c r="M183" s="311">
        <v>147355369.64611927</v>
      </c>
      <c r="N183" s="311">
        <v>29182376.644429088</v>
      </c>
      <c r="O183" s="311">
        <v>20427663.651100364</v>
      </c>
      <c r="P183" s="68">
        <f t="shared" si="34"/>
        <v>393962084.69979268</v>
      </c>
      <c r="Q183" s="68">
        <f>D183*P183</f>
        <v>393962084.69979268</v>
      </c>
      <c r="R183" s="127">
        <f>F183*P183</f>
        <v>393962084.69979268</v>
      </c>
      <c r="S183" s="26"/>
    </row>
    <row r="184" spans="1:19" s="122" customFormat="1">
      <c r="A184" s="205" t="s">
        <v>144</v>
      </c>
      <c r="B184" s="206" t="s">
        <v>853</v>
      </c>
      <c r="C184" s="207"/>
      <c r="D184" s="355"/>
      <c r="E184" s="210"/>
      <c r="F184" s="355"/>
      <c r="G184" s="181"/>
      <c r="H184" s="181"/>
      <c r="I184" s="181"/>
      <c r="J184" s="181"/>
      <c r="K184" s="209"/>
      <c r="L184" s="209"/>
      <c r="M184" s="209"/>
      <c r="N184" s="209"/>
      <c r="O184" s="209"/>
      <c r="P184" s="209"/>
      <c r="Q184" s="209"/>
      <c r="R184" s="209"/>
      <c r="S184" s="181"/>
    </row>
    <row r="185" spans="1:19">
      <c r="A185" s="123">
        <v>1</v>
      </c>
      <c r="B185" s="254" t="s">
        <v>776</v>
      </c>
      <c r="C185" s="42"/>
      <c r="D185" s="351"/>
      <c r="E185" s="124"/>
      <c r="F185" s="351"/>
      <c r="G185" s="26"/>
      <c r="H185" s="26"/>
      <c r="I185" s="26"/>
      <c r="J185" s="26"/>
      <c r="K185" s="66"/>
      <c r="L185" s="66"/>
      <c r="M185" s="66"/>
      <c r="N185" s="66"/>
      <c r="O185" s="66"/>
      <c r="P185" s="66"/>
      <c r="Q185" s="66"/>
      <c r="R185" s="66"/>
      <c r="S185" s="26"/>
    </row>
    <row r="186" spans="1:19" ht="30">
      <c r="A186" s="123"/>
      <c r="B186" s="254" t="s">
        <v>777</v>
      </c>
      <c r="C186" s="42" t="s">
        <v>117</v>
      </c>
      <c r="D186" s="351">
        <v>27.6</v>
      </c>
      <c r="E186" s="124" t="s">
        <v>1884</v>
      </c>
      <c r="F186" s="351">
        <v>27.6</v>
      </c>
      <c r="G186" s="26" t="s">
        <v>2791</v>
      </c>
      <c r="H186" s="26"/>
      <c r="I186" s="26" t="s">
        <v>2252</v>
      </c>
      <c r="J186" s="26" t="s">
        <v>2328</v>
      </c>
      <c r="K186" s="311">
        <v>1789694.0000000002</v>
      </c>
      <c r="L186" s="311">
        <v>0</v>
      </c>
      <c r="M186" s="311">
        <v>234106.62000000002</v>
      </c>
      <c r="N186" s="311">
        <v>179097.40000000002</v>
      </c>
      <c r="O186" s="311">
        <v>125368.18000000001</v>
      </c>
      <c r="P186" s="68">
        <f t="shared" ref="P186:P189" si="35">SUM(K186:O186)</f>
        <v>2328266.2000000007</v>
      </c>
      <c r="Q186" s="68">
        <f>D186*P186</f>
        <v>64260147.12000002</v>
      </c>
      <c r="R186" s="127">
        <f>F186*P186</f>
        <v>64260147.12000002</v>
      </c>
      <c r="S186" s="26"/>
    </row>
    <row r="187" spans="1:19" ht="30">
      <c r="A187" s="123"/>
      <c r="B187" s="254" t="s">
        <v>780</v>
      </c>
      <c r="C187" s="42" t="s">
        <v>117</v>
      </c>
      <c r="D187" s="351">
        <v>29.016999999999999</v>
      </c>
      <c r="E187" s="124" t="s">
        <v>1884</v>
      </c>
      <c r="F187" s="351">
        <v>29.016999999999999</v>
      </c>
      <c r="G187" s="26" t="s">
        <v>2678</v>
      </c>
      <c r="H187" s="26"/>
      <c r="I187" s="26" t="s">
        <v>2252</v>
      </c>
      <c r="J187" s="26" t="s">
        <v>2328</v>
      </c>
      <c r="K187" s="311">
        <v>767609.00000000012</v>
      </c>
      <c r="L187" s="311">
        <v>0</v>
      </c>
      <c r="M187" s="311">
        <v>131211.08000000002</v>
      </c>
      <c r="N187" s="311">
        <v>79541.600000000006</v>
      </c>
      <c r="O187" s="311">
        <v>55679.12</v>
      </c>
      <c r="P187" s="68">
        <f t="shared" si="35"/>
        <v>1034040.8</v>
      </c>
      <c r="Q187" s="68">
        <f>D187*P187</f>
        <v>30004761.893600002</v>
      </c>
      <c r="R187" s="127">
        <f>F187*P187</f>
        <v>30004761.893600002</v>
      </c>
      <c r="S187" s="26"/>
    </row>
    <row r="188" spans="1:19" ht="30">
      <c r="A188" s="123"/>
      <c r="B188" s="254" t="s">
        <v>781</v>
      </c>
      <c r="C188" s="42" t="s">
        <v>117</v>
      </c>
      <c r="D188" s="351">
        <v>144.12900000000002</v>
      </c>
      <c r="E188" s="124" t="s">
        <v>1884</v>
      </c>
      <c r="F188" s="351">
        <v>144.12900000000002</v>
      </c>
      <c r="G188" s="26" t="s">
        <v>2679</v>
      </c>
      <c r="H188" s="26"/>
      <c r="I188" s="26" t="s">
        <v>2252</v>
      </c>
      <c r="J188" s="26" t="s">
        <v>2328</v>
      </c>
      <c r="K188" s="311">
        <v>631557.00000000012</v>
      </c>
      <c r="L188" s="311">
        <v>0</v>
      </c>
      <c r="M188" s="311">
        <v>115980.94000000002</v>
      </c>
      <c r="N188" s="311">
        <v>66153.8</v>
      </c>
      <c r="O188" s="311">
        <v>46307.66</v>
      </c>
      <c r="P188" s="68">
        <f t="shared" si="35"/>
        <v>859999.40000000026</v>
      </c>
      <c r="Q188" s="68">
        <f>D188*P188</f>
        <v>123950853.52260005</v>
      </c>
      <c r="R188" s="127">
        <f>F188*P188</f>
        <v>123950853.52260005</v>
      </c>
      <c r="S188" s="26"/>
    </row>
    <row r="189" spans="1:19" ht="30">
      <c r="A189" s="123"/>
      <c r="B189" s="254" t="s">
        <v>844</v>
      </c>
      <c r="C189" s="42" t="s">
        <v>117</v>
      </c>
      <c r="D189" s="351">
        <v>6.7030000000000012</v>
      </c>
      <c r="E189" s="124" t="s">
        <v>1884</v>
      </c>
      <c r="F189" s="351">
        <v>6.7030000000000012</v>
      </c>
      <c r="G189" s="26" t="s">
        <v>2792</v>
      </c>
      <c r="H189" s="26"/>
      <c r="I189" s="26" t="s">
        <v>2252</v>
      </c>
      <c r="J189" s="26" t="s">
        <v>2328</v>
      </c>
      <c r="K189" s="311">
        <v>229277.00000000003</v>
      </c>
      <c r="L189" s="311">
        <v>0</v>
      </c>
      <c r="M189" s="311">
        <v>49010.360000000008</v>
      </c>
      <c r="N189" s="311">
        <v>24627.200000000001</v>
      </c>
      <c r="O189" s="311">
        <v>17239.04</v>
      </c>
      <c r="P189" s="68">
        <f t="shared" si="35"/>
        <v>320153.60000000003</v>
      </c>
      <c r="Q189" s="68">
        <f>D189*P189</f>
        <v>2145989.5808000006</v>
      </c>
      <c r="R189" s="127">
        <f>F189*P189</f>
        <v>2145989.5808000006</v>
      </c>
      <c r="S189" s="26"/>
    </row>
    <row r="190" spans="1:19">
      <c r="A190" s="123">
        <v>2</v>
      </c>
      <c r="B190" s="254" t="s">
        <v>854</v>
      </c>
      <c r="C190" s="42"/>
      <c r="D190" s="351"/>
      <c r="E190" s="124"/>
      <c r="F190" s="351"/>
      <c r="G190" s="329"/>
      <c r="H190" s="329"/>
      <c r="I190" s="329"/>
      <c r="J190" s="329"/>
      <c r="K190" s="65"/>
      <c r="L190" s="65"/>
      <c r="M190" s="65"/>
      <c r="N190" s="65"/>
      <c r="O190" s="65"/>
      <c r="P190" s="65"/>
      <c r="Q190" s="65"/>
      <c r="R190" s="65"/>
      <c r="S190" s="329"/>
    </row>
    <row r="191" spans="1:19">
      <c r="A191" s="123"/>
      <c r="B191" s="254" t="s">
        <v>855</v>
      </c>
      <c r="C191" s="42" t="s">
        <v>8</v>
      </c>
      <c r="D191" s="351">
        <v>8</v>
      </c>
      <c r="E191" s="124" t="s">
        <v>1884</v>
      </c>
      <c r="F191" s="351">
        <v>8</v>
      </c>
      <c r="G191" s="351" t="s">
        <v>2769</v>
      </c>
      <c r="H191" s="351"/>
      <c r="I191" s="351"/>
      <c r="J191" s="351" t="s">
        <v>2374</v>
      </c>
      <c r="K191" s="311">
        <v>1017000.0000000001</v>
      </c>
      <c r="L191" s="311">
        <v>0</v>
      </c>
      <c r="M191" s="311">
        <v>207604.62727272729</v>
      </c>
      <c r="N191" s="311">
        <v>108372.09090909093</v>
      </c>
      <c r="O191" s="311">
        <v>75860.463636363653</v>
      </c>
      <c r="P191" s="68">
        <f t="shared" ref="P191:P194" si="36">SUM(K191:O191)</f>
        <v>1408837.1818181819</v>
      </c>
      <c r="Q191" s="68">
        <f>D191*P191</f>
        <v>11270697.454545455</v>
      </c>
      <c r="R191" s="127">
        <f>F191*P191</f>
        <v>11270697.454545455</v>
      </c>
      <c r="S191" s="36"/>
    </row>
    <row r="192" spans="1:19">
      <c r="A192" s="123"/>
      <c r="B192" s="254" t="s">
        <v>833</v>
      </c>
      <c r="C192" s="42" t="s">
        <v>8</v>
      </c>
      <c r="D192" s="351">
        <v>6</v>
      </c>
      <c r="E192" s="124" t="s">
        <v>1884</v>
      </c>
      <c r="F192" s="351">
        <v>6</v>
      </c>
      <c r="G192" s="351" t="s">
        <v>2769</v>
      </c>
      <c r="H192" s="351"/>
      <c r="I192" s="351"/>
      <c r="J192" s="351" t="s">
        <v>2374</v>
      </c>
      <c r="K192" s="311">
        <v>226000.00000000003</v>
      </c>
      <c r="L192" s="311">
        <v>0</v>
      </c>
      <c r="M192" s="311">
        <v>84046.318181818177</v>
      </c>
      <c r="N192" s="311">
        <v>27437.727272727272</v>
      </c>
      <c r="O192" s="311">
        <v>19206.409090909092</v>
      </c>
      <c r="P192" s="68">
        <f t="shared" si="36"/>
        <v>356690.45454545465</v>
      </c>
      <c r="Q192" s="68">
        <f>D192*P192</f>
        <v>2140142.727272728</v>
      </c>
      <c r="R192" s="127">
        <f>F192*P192</f>
        <v>2140142.727272728</v>
      </c>
      <c r="S192" s="15"/>
    </row>
    <row r="193" spans="1:19">
      <c r="A193" s="123"/>
      <c r="B193" s="254" t="s">
        <v>834</v>
      </c>
      <c r="C193" s="42" t="s">
        <v>8</v>
      </c>
      <c r="D193" s="351">
        <v>69</v>
      </c>
      <c r="E193" s="124" t="s">
        <v>1884</v>
      </c>
      <c r="F193" s="351">
        <v>69</v>
      </c>
      <c r="G193" s="351" t="s">
        <v>2769</v>
      </c>
      <c r="H193" s="351"/>
      <c r="I193" s="351"/>
      <c r="J193" s="351" t="s">
        <v>2374</v>
      </c>
      <c r="K193" s="311">
        <v>122040.00000000001</v>
      </c>
      <c r="L193" s="311">
        <v>0</v>
      </c>
      <c r="M193" s="311">
        <v>48934.13636363636</v>
      </c>
      <c r="N193" s="311">
        <v>15130.454545454544</v>
      </c>
      <c r="O193" s="311">
        <v>10591.318181818182</v>
      </c>
      <c r="P193" s="68">
        <f t="shared" si="36"/>
        <v>196695.90909090912</v>
      </c>
      <c r="Q193" s="68">
        <f>D193*P193</f>
        <v>13572017.727272728</v>
      </c>
      <c r="R193" s="127">
        <f>F193*P193</f>
        <v>13572017.727272728</v>
      </c>
      <c r="S193" s="18"/>
    </row>
    <row r="194" spans="1:19">
      <c r="A194" s="123"/>
      <c r="B194" s="254" t="s">
        <v>856</v>
      </c>
      <c r="C194" s="42" t="s">
        <v>8</v>
      </c>
      <c r="D194" s="351">
        <v>8</v>
      </c>
      <c r="E194" s="124" t="s">
        <v>1884</v>
      </c>
      <c r="F194" s="351">
        <v>8</v>
      </c>
      <c r="G194" s="351" t="s">
        <v>2769</v>
      </c>
      <c r="H194" s="351"/>
      <c r="I194" s="351"/>
      <c r="J194" s="351" t="s">
        <v>2374</v>
      </c>
      <c r="K194" s="311">
        <v>44070.000000000007</v>
      </c>
      <c r="L194" s="311">
        <v>0</v>
      </c>
      <c r="M194" s="311">
        <v>26349.545454545456</v>
      </c>
      <c r="N194" s="311">
        <v>6231.818181818182</v>
      </c>
      <c r="O194" s="311">
        <v>4362.2727272727279</v>
      </c>
      <c r="P194" s="68">
        <f t="shared" si="36"/>
        <v>81013.636363636382</v>
      </c>
      <c r="Q194" s="68">
        <f>D194*P194</f>
        <v>648109.09090909106</v>
      </c>
      <c r="R194" s="127">
        <f>F194*P194</f>
        <v>648109.09090909106</v>
      </c>
      <c r="S194" s="15"/>
    </row>
    <row r="195" spans="1:19">
      <c r="A195" s="123">
        <v>3</v>
      </c>
      <c r="B195" s="254" t="s">
        <v>857</v>
      </c>
      <c r="C195" s="42"/>
      <c r="D195" s="351"/>
      <c r="E195" s="124"/>
      <c r="F195" s="351"/>
      <c r="G195" s="15"/>
      <c r="H195" s="15"/>
      <c r="I195" s="15"/>
      <c r="J195" s="15"/>
      <c r="K195" s="66"/>
      <c r="L195" s="66"/>
      <c r="M195" s="66"/>
      <c r="N195" s="66"/>
      <c r="O195" s="66"/>
      <c r="P195" s="66"/>
      <c r="Q195" s="66"/>
      <c r="R195" s="66"/>
      <c r="S195" s="15"/>
    </row>
    <row r="196" spans="1:19">
      <c r="A196" s="123"/>
      <c r="B196" s="254" t="s">
        <v>858</v>
      </c>
      <c r="C196" s="42" t="s">
        <v>8</v>
      </c>
      <c r="D196" s="351">
        <v>2</v>
      </c>
      <c r="E196" s="124" t="s">
        <v>1884</v>
      </c>
      <c r="F196" s="351">
        <v>2</v>
      </c>
      <c r="G196" s="351" t="s">
        <v>2770</v>
      </c>
      <c r="H196" s="351"/>
      <c r="I196" s="351"/>
      <c r="J196" s="351" t="s">
        <v>2374</v>
      </c>
      <c r="K196" s="311">
        <v>1423800.0000000002</v>
      </c>
      <c r="L196" s="311">
        <v>0</v>
      </c>
      <c r="M196" s="311">
        <v>311406.94090909086</v>
      </c>
      <c r="N196" s="311">
        <v>153558.13636363635</v>
      </c>
      <c r="O196" s="311">
        <v>107490.69545454546</v>
      </c>
      <c r="P196" s="68">
        <f t="shared" ref="P196:P201" si="37">SUM(K196:O196)</f>
        <v>1996255.7727272732</v>
      </c>
      <c r="Q196" s="68">
        <f t="shared" ref="Q196:Q201" si="38">D196*P196</f>
        <v>3992511.5454545463</v>
      </c>
      <c r="R196" s="127">
        <f t="shared" ref="R196:R201" si="39">F196*P196</f>
        <v>3992511.5454545463</v>
      </c>
      <c r="S196" s="15"/>
    </row>
    <row r="197" spans="1:19">
      <c r="A197" s="123"/>
      <c r="B197" s="254" t="s">
        <v>859</v>
      </c>
      <c r="C197" s="42" t="s">
        <v>8</v>
      </c>
      <c r="D197" s="351">
        <v>4</v>
      </c>
      <c r="E197" s="124" t="s">
        <v>1884</v>
      </c>
      <c r="F197" s="351">
        <v>4</v>
      </c>
      <c r="G197" s="351" t="s">
        <v>2770</v>
      </c>
      <c r="H197" s="351"/>
      <c r="I197" s="351"/>
      <c r="J197" s="351" t="s">
        <v>2374</v>
      </c>
      <c r="K197" s="311">
        <v>1423800.0000000002</v>
      </c>
      <c r="L197" s="311">
        <v>0</v>
      </c>
      <c r="M197" s="311">
        <v>311406.94090909086</v>
      </c>
      <c r="N197" s="311">
        <v>153558.13636363635</v>
      </c>
      <c r="O197" s="311">
        <v>107490.69545454546</v>
      </c>
      <c r="P197" s="68">
        <f t="shared" si="37"/>
        <v>1996255.7727272732</v>
      </c>
      <c r="Q197" s="68">
        <f t="shared" si="38"/>
        <v>7985023.0909090927</v>
      </c>
      <c r="R197" s="127">
        <f t="shared" si="39"/>
        <v>7985023.0909090927</v>
      </c>
      <c r="S197" s="15"/>
    </row>
    <row r="198" spans="1:19">
      <c r="A198" s="123"/>
      <c r="B198" s="254" t="s">
        <v>838</v>
      </c>
      <c r="C198" s="42" t="s">
        <v>8</v>
      </c>
      <c r="D198" s="351">
        <v>2</v>
      </c>
      <c r="E198" s="124" t="s">
        <v>1884</v>
      </c>
      <c r="F198" s="351">
        <v>2</v>
      </c>
      <c r="G198" s="351" t="s">
        <v>2770</v>
      </c>
      <c r="H198" s="351"/>
      <c r="I198" s="351"/>
      <c r="J198" s="351" t="s">
        <v>2374</v>
      </c>
      <c r="K198" s="311">
        <v>361600.00000000006</v>
      </c>
      <c r="L198" s="311">
        <v>0</v>
      </c>
      <c r="M198" s="311">
        <v>126069.47727272728</v>
      </c>
      <c r="N198" s="311">
        <v>43156.590909090912</v>
      </c>
      <c r="O198" s="311">
        <v>30209.613636363636</v>
      </c>
      <c r="P198" s="68">
        <f t="shared" si="37"/>
        <v>561035.68181818188</v>
      </c>
      <c r="Q198" s="68">
        <f t="shared" si="38"/>
        <v>1122071.3636363638</v>
      </c>
      <c r="R198" s="127">
        <f t="shared" si="39"/>
        <v>1122071.3636363638</v>
      </c>
      <c r="S198" s="37"/>
    </row>
    <row r="199" spans="1:19">
      <c r="A199" s="123"/>
      <c r="B199" s="254" t="s">
        <v>839</v>
      </c>
      <c r="C199" s="42" t="s">
        <v>8</v>
      </c>
      <c r="D199" s="351">
        <v>26</v>
      </c>
      <c r="E199" s="124" t="s">
        <v>1884</v>
      </c>
      <c r="F199" s="351">
        <v>26</v>
      </c>
      <c r="G199" s="351" t="s">
        <v>2770</v>
      </c>
      <c r="H199" s="351"/>
      <c r="I199" s="351"/>
      <c r="J199" s="351" t="s">
        <v>2374</v>
      </c>
      <c r="K199" s="311">
        <v>244080.00000000003</v>
      </c>
      <c r="L199" s="311">
        <v>0</v>
      </c>
      <c r="M199" s="311">
        <v>73401.204545454544</v>
      </c>
      <c r="N199" s="311">
        <v>28095.68181818182</v>
      </c>
      <c r="O199" s="311">
        <v>19666.977272727276</v>
      </c>
      <c r="P199" s="68">
        <f t="shared" si="37"/>
        <v>365243.86363636371</v>
      </c>
      <c r="Q199" s="68">
        <f t="shared" si="38"/>
        <v>9496340.4545454569</v>
      </c>
      <c r="R199" s="127">
        <f t="shared" si="39"/>
        <v>9496340.4545454569</v>
      </c>
      <c r="S199" s="37"/>
    </row>
    <row r="200" spans="1:19" s="131" customFormat="1">
      <c r="A200" s="126"/>
      <c r="B200" s="253" t="s">
        <v>1922</v>
      </c>
      <c r="C200" s="126" t="s">
        <v>8</v>
      </c>
      <c r="D200" s="352">
        <v>1</v>
      </c>
      <c r="E200" s="124" t="s">
        <v>1884</v>
      </c>
      <c r="F200" s="352">
        <v>1</v>
      </c>
      <c r="G200" s="351" t="s">
        <v>2770</v>
      </c>
      <c r="H200" s="351"/>
      <c r="I200" s="351"/>
      <c r="J200" s="351" t="s">
        <v>2374</v>
      </c>
      <c r="K200" s="311">
        <v>691560.00000000012</v>
      </c>
      <c r="L200" s="311">
        <v>0</v>
      </c>
      <c r="M200" s="311">
        <v>214187.59636363634</v>
      </c>
      <c r="N200" s="311">
        <v>80154.654545454541</v>
      </c>
      <c r="O200" s="311">
        <v>56108.258181818186</v>
      </c>
      <c r="P200" s="68">
        <f t="shared" si="37"/>
        <v>1042010.5090909092</v>
      </c>
      <c r="Q200" s="68">
        <f t="shared" si="38"/>
        <v>1042010.5090909092</v>
      </c>
      <c r="R200" s="127">
        <f t="shared" si="39"/>
        <v>1042010.5090909092</v>
      </c>
      <c r="S200" s="30"/>
    </row>
    <row r="201" spans="1:19" s="131" customFormat="1">
      <c r="A201" s="126"/>
      <c r="B201" s="253" t="s">
        <v>1923</v>
      </c>
      <c r="C201" s="126" t="s">
        <v>8</v>
      </c>
      <c r="D201" s="352">
        <v>3</v>
      </c>
      <c r="E201" s="124" t="s">
        <v>1884</v>
      </c>
      <c r="F201" s="352">
        <v>3</v>
      </c>
      <c r="G201" s="351" t="s">
        <v>2770</v>
      </c>
      <c r="H201" s="351"/>
      <c r="I201" s="351"/>
      <c r="J201" s="351" t="s">
        <v>2374</v>
      </c>
      <c r="K201" s="311">
        <v>244080.00000000003</v>
      </c>
      <c r="L201" s="311">
        <v>0</v>
      </c>
      <c r="M201" s="311">
        <v>73401.204545454544</v>
      </c>
      <c r="N201" s="311">
        <v>28095.68181818182</v>
      </c>
      <c r="O201" s="311">
        <v>19666.977272727276</v>
      </c>
      <c r="P201" s="68">
        <f t="shared" si="37"/>
        <v>365243.86363636371</v>
      </c>
      <c r="Q201" s="68">
        <f t="shared" si="38"/>
        <v>1095731.5909090911</v>
      </c>
      <c r="R201" s="127">
        <f t="shared" si="39"/>
        <v>1095731.5909090911</v>
      </c>
      <c r="S201" s="509"/>
    </row>
    <row r="202" spans="1:19">
      <c r="A202" s="123">
        <v>4</v>
      </c>
      <c r="B202" s="254" t="s">
        <v>840</v>
      </c>
      <c r="C202" s="42"/>
      <c r="D202" s="351"/>
      <c r="E202" s="124"/>
      <c r="F202" s="351"/>
      <c r="G202" s="37"/>
      <c r="H202" s="37"/>
      <c r="I202" s="37"/>
      <c r="J202" s="37"/>
      <c r="K202" s="66"/>
      <c r="L202" s="66"/>
      <c r="M202" s="66"/>
      <c r="N202" s="66"/>
      <c r="O202" s="66"/>
      <c r="P202" s="66"/>
      <c r="Q202" s="66"/>
      <c r="R202" s="66"/>
      <c r="S202" s="37"/>
    </row>
    <row r="203" spans="1:19">
      <c r="A203" s="123"/>
      <c r="B203" s="254" t="s">
        <v>777</v>
      </c>
      <c r="C203" s="42" t="s">
        <v>8</v>
      </c>
      <c r="D203" s="351">
        <v>3</v>
      </c>
      <c r="E203" s="124"/>
      <c r="F203" s="351">
        <v>3</v>
      </c>
      <c r="G203" s="351" t="s">
        <v>2771</v>
      </c>
      <c r="H203" s="351" t="s">
        <v>2793</v>
      </c>
      <c r="I203" s="351" t="s">
        <v>2662</v>
      </c>
      <c r="J203" s="351" t="s">
        <v>2374</v>
      </c>
      <c r="K203" s="311">
        <v>9721140</v>
      </c>
      <c r="L203" s="311">
        <v>0</v>
      </c>
      <c r="M203" s="311">
        <v>325168.80000000005</v>
      </c>
      <c r="N203" s="311">
        <v>972576</v>
      </c>
      <c r="O203" s="311">
        <v>680803.20000000007</v>
      </c>
      <c r="P203" s="68">
        <f t="shared" ref="P203:P207" si="40">SUM(K203:O203)</f>
        <v>11699688</v>
      </c>
      <c r="Q203" s="68">
        <f>D203*P203</f>
        <v>35099064</v>
      </c>
      <c r="R203" s="127">
        <f>F203*P203</f>
        <v>35099064</v>
      </c>
      <c r="S203" s="333" t="s">
        <v>1883</v>
      </c>
    </row>
    <row r="204" spans="1:19">
      <c r="A204" s="123"/>
      <c r="B204" s="254" t="s">
        <v>780</v>
      </c>
      <c r="C204" s="42" t="s">
        <v>8</v>
      </c>
      <c r="D204" s="351">
        <v>8</v>
      </c>
      <c r="E204" s="124"/>
      <c r="F204" s="351">
        <v>8</v>
      </c>
      <c r="G204" s="351" t="s">
        <v>2771</v>
      </c>
      <c r="H204" s="351" t="s">
        <v>2793</v>
      </c>
      <c r="I204" s="351" t="s">
        <v>2662</v>
      </c>
      <c r="J204" s="351" t="s">
        <v>2374</v>
      </c>
      <c r="K204" s="311">
        <v>3751363.0000000005</v>
      </c>
      <c r="L204" s="311">
        <v>0</v>
      </c>
      <c r="M204" s="311">
        <v>203264.40000000002</v>
      </c>
      <c r="N204" s="311">
        <v>382198.00000000006</v>
      </c>
      <c r="O204" s="311">
        <v>267538.60000000003</v>
      </c>
      <c r="P204" s="68">
        <f t="shared" si="40"/>
        <v>4604364</v>
      </c>
      <c r="Q204" s="68">
        <f>D204*P204</f>
        <v>36834912</v>
      </c>
      <c r="R204" s="127">
        <f>F204*P204</f>
        <v>36834912</v>
      </c>
      <c r="S204" s="333" t="s">
        <v>1883</v>
      </c>
    </row>
    <row r="205" spans="1:19">
      <c r="A205" s="123"/>
      <c r="B205" s="254" t="s">
        <v>781</v>
      </c>
      <c r="C205" s="42" t="s">
        <v>8</v>
      </c>
      <c r="D205" s="351">
        <v>20</v>
      </c>
      <c r="E205" s="124"/>
      <c r="F205" s="351">
        <v>20</v>
      </c>
      <c r="G205" s="351" t="s">
        <v>2771</v>
      </c>
      <c r="H205" s="351" t="s">
        <v>2793</v>
      </c>
      <c r="I205" s="351" t="s">
        <v>2662</v>
      </c>
      <c r="J205" s="351" t="s">
        <v>2374</v>
      </c>
      <c r="K205" s="311">
        <v>2592304</v>
      </c>
      <c r="L205" s="311">
        <v>0</v>
      </c>
      <c r="M205" s="311">
        <v>193094.40000000002</v>
      </c>
      <c r="N205" s="311">
        <v>268768</v>
      </c>
      <c r="O205" s="311">
        <v>188137.60000000001</v>
      </c>
      <c r="P205" s="68">
        <f t="shared" si="40"/>
        <v>3242304</v>
      </c>
      <c r="Q205" s="68">
        <f>D205*P205</f>
        <v>64846080</v>
      </c>
      <c r="R205" s="127">
        <f>F205*P205</f>
        <v>64846080</v>
      </c>
      <c r="S205" s="333" t="s">
        <v>1883</v>
      </c>
    </row>
    <row r="206" spans="1:19">
      <c r="A206" s="123"/>
      <c r="B206" s="254" t="s">
        <v>844</v>
      </c>
      <c r="C206" s="42" t="s">
        <v>8</v>
      </c>
      <c r="D206" s="351">
        <v>3</v>
      </c>
      <c r="E206" s="124"/>
      <c r="F206" s="351">
        <v>3</v>
      </c>
      <c r="G206" s="351" t="s">
        <v>2773</v>
      </c>
      <c r="H206" s="351" t="s">
        <v>2774</v>
      </c>
      <c r="I206" s="351" t="s">
        <v>2662</v>
      </c>
      <c r="J206" s="351" t="s">
        <v>2374</v>
      </c>
      <c r="K206" s="311">
        <v>373890</v>
      </c>
      <c r="L206" s="311">
        <v>0</v>
      </c>
      <c r="M206" s="311">
        <v>52748.400000000009</v>
      </c>
      <c r="N206" s="311">
        <v>40968</v>
      </c>
      <c r="O206" s="311">
        <v>28677.600000000002</v>
      </c>
      <c r="P206" s="68">
        <f t="shared" si="40"/>
        <v>496284</v>
      </c>
      <c r="Q206" s="68">
        <f>D206*P206</f>
        <v>1488852</v>
      </c>
      <c r="R206" s="127">
        <f>F206*P206</f>
        <v>1488852</v>
      </c>
      <c r="S206" s="37" t="s">
        <v>761</v>
      </c>
    </row>
    <row r="207" spans="1:19" s="131" customFormat="1">
      <c r="A207" s="126"/>
      <c r="B207" s="253" t="s">
        <v>847</v>
      </c>
      <c r="C207" s="126" t="s">
        <v>8</v>
      </c>
      <c r="D207" s="352">
        <v>10</v>
      </c>
      <c r="E207" s="130"/>
      <c r="F207" s="352">
        <v>10</v>
      </c>
      <c r="G207" s="351" t="s">
        <v>2773</v>
      </c>
      <c r="H207" s="351" t="s">
        <v>2774</v>
      </c>
      <c r="I207" s="351" t="s">
        <v>2662</v>
      </c>
      <c r="J207" s="351" t="s">
        <v>2374</v>
      </c>
      <c r="K207" s="311">
        <v>143170</v>
      </c>
      <c r="L207" s="311">
        <v>0</v>
      </c>
      <c r="M207" s="311">
        <v>30103.200000000004</v>
      </c>
      <c r="N207" s="311">
        <v>16564</v>
      </c>
      <c r="O207" s="311">
        <v>11594.800000000001</v>
      </c>
      <c r="P207" s="68">
        <f t="shared" si="40"/>
        <v>201432</v>
      </c>
      <c r="Q207" s="68">
        <f>D207*P207</f>
        <v>2014320</v>
      </c>
      <c r="R207" s="127">
        <f>F207*P207</f>
        <v>2014320</v>
      </c>
      <c r="S207" s="37" t="s">
        <v>761</v>
      </c>
    </row>
    <row r="208" spans="1:19">
      <c r="A208" s="123">
        <v>5</v>
      </c>
      <c r="B208" s="254" t="s">
        <v>860</v>
      </c>
      <c r="C208" s="42"/>
      <c r="D208" s="351"/>
      <c r="E208" s="124"/>
      <c r="F208" s="351"/>
      <c r="G208" s="37"/>
      <c r="H208" s="37"/>
      <c r="I208" s="37"/>
      <c r="J208" s="37"/>
      <c r="K208" s="66"/>
      <c r="L208" s="66"/>
      <c r="M208" s="66"/>
      <c r="N208" s="66"/>
      <c r="O208" s="66"/>
      <c r="P208" s="66"/>
      <c r="Q208" s="66"/>
      <c r="R208" s="66"/>
      <c r="S208" s="37"/>
    </row>
    <row r="209" spans="1:19">
      <c r="A209" s="123"/>
      <c r="B209" s="254" t="s">
        <v>780</v>
      </c>
      <c r="C209" s="42" t="s">
        <v>8</v>
      </c>
      <c r="D209" s="351">
        <v>6</v>
      </c>
      <c r="E209" s="124"/>
      <c r="F209" s="351">
        <v>6</v>
      </c>
      <c r="G209" s="351" t="s">
        <v>2794</v>
      </c>
      <c r="H209" s="351" t="s">
        <v>2795</v>
      </c>
      <c r="I209" s="351" t="s">
        <v>2662</v>
      </c>
      <c r="J209" s="351" t="s">
        <v>2374</v>
      </c>
      <c r="K209" s="311">
        <v>3129140</v>
      </c>
      <c r="L209" s="311">
        <v>0</v>
      </c>
      <c r="M209" s="311">
        <v>203264.40000000002</v>
      </c>
      <c r="N209" s="311">
        <v>321788</v>
      </c>
      <c r="O209" s="311">
        <v>225251.60000000003</v>
      </c>
      <c r="P209" s="68">
        <f t="shared" ref="P209:P210" si="41">SUM(K209:O209)</f>
        <v>3879444</v>
      </c>
      <c r="Q209" s="68">
        <f>D209*P209</f>
        <v>23276664</v>
      </c>
      <c r="R209" s="127">
        <f>F209*P209</f>
        <v>23276664</v>
      </c>
      <c r="S209" s="37" t="s">
        <v>1883</v>
      </c>
    </row>
    <row r="210" spans="1:19">
      <c r="A210" s="123"/>
      <c r="B210" s="254" t="s">
        <v>781</v>
      </c>
      <c r="C210" s="42" t="s">
        <v>8</v>
      </c>
      <c r="D210" s="351">
        <v>4</v>
      </c>
      <c r="E210" s="124"/>
      <c r="F210" s="351">
        <v>4</v>
      </c>
      <c r="G210" s="351" t="s">
        <v>2794</v>
      </c>
      <c r="H210" s="351" t="s">
        <v>2795</v>
      </c>
      <c r="I210" s="351" t="s">
        <v>2662</v>
      </c>
      <c r="J210" s="351" t="s">
        <v>2374</v>
      </c>
      <c r="K210" s="311">
        <v>1999230</v>
      </c>
      <c r="L210" s="311">
        <v>0</v>
      </c>
      <c r="M210" s="311">
        <v>325168.80000000005</v>
      </c>
      <c r="N210" s="311">
        <v>222876</v>
      </c>
      <c r="O210" s="311">
        <v>156013.20000000001</v>
      </c>
      <c r="P210" s="68">
        <f t="shared" si="41"/>
        <v>2703288</v>
      </c>
      <c r="Q210" s="68">
        <f>D210*P210</f>
        <v>10813152</v>
      </c>
      <c r="R210" s="127">
        <f>F210*P210</f>
        <v>10813152</v>
      </c>
      <c r="S210" s="37" t="s">
        <v>1883</v>
      </c>
    </row>
    <row r="211" spans="1:19">
      <c r="A211" s="123">
        <v>6</v>
      </c>
      <c r="B211" s="254" t="s">
        <v>849</v>
      </c>
      <c r="C211" s="42"/>
      <c r="D211" s="351"/>
      <c r="E211" s="124"/>
      <c r="F211" s="351"/>
      <c r="G211" s="38"/>
      <c r="H211" s="38"/>
      <c r="I211" s="38"/>
      <c r="J211" s="38"/>
      <c r="K211" s="65"/>
      <c r="L211" s="65"/>
      <c r="M211" s="65"/>
      <c r="N211" s="65"/>
      <c r="O211" s="65"/>
      <c r="P211" s="65"/>
      <c r="Q211" s="65"/>
      <c r="R211" s="65"/>
      <c r="S211" s="38"/>
    </row>
    <row r="212" spans="1:19" ht="30">
      <c r="A212" s="123"/>
      <c r="B212" s="254" t="s">
        <v>781</v>
      </c>
      <c r="C212" s="42" t="s">
        <v>8</v>
      </c>
      <c r="D212" s="351">
        <v>12</v>
      </c>
      <c r="E212" s="124" t="s">
        <v>1924</v>
      </c>
      <c r="F212" s="351">
        <v>12</v>
      </c>
      <c r="G212" s="351" t="s">
        <v>2796</v>
      </c>
      <c r="H212" s="351" t="s">
        <v>2797</v>
      </c>
      <c r="I212" s="351" t="s">
        <v>2662</v>
      </c>
      <c r="J212" s="351" t="s">
        <v>2374</v>
      </c>
      <c r="K212" s="311">
        <v>2557181</v>
      </c>
      <c r="L212" s="311">
        <v>0</v>
      </c>
      <c r="M212" s="311">
        <v>193094.40000000002</v>
      </c>
      <c r="N212" s="311">
        <v>265358</v>
      </c>
      <c r="O212" s="311">
        <v>185750.6</v>
      </c>
      <c r="P212" s="68">
        <f>SUM(K212:O212)</f>
        <v>3201384</v>
      </c>
      <c r="Q212" s="68">
        <f>D212*P212</f>
        <v>38416608</v>
      </c>
      <c r="R212" s="127">
        <f>F212*P212</f>
        <v>38416608</v>
      </c>
      <c r="S212" s="37" t="s">
        <v>1883</v>
      </c>
    </row>
    <row r="213" spans="1:19">
      <c r="A213" s="123">
        <v>7</v>
      </c>
      <c r="B213" s="254" t="s">
        <v>861</v>
      </c>
      <c r="C213" s="42"/>
      <c r="D213" s="351"/>
      <c r="E213" s="124"/>
      <c r="F213" s="351"/>
      <c r="G213" s="15"/>
      <c r="H213" s="15"/>
      <c r="I213" s="15"/>
      <c r="J213" s="15"/>
      <c r="K213" s="66"/>
      <c r="L213" s="66"/>
      <c r="M213" s="66"/>
      <c r="N213" s="66"/>
      <c r="O213" s="66"/>
      <c r="P213" s="66"/>
      <c r="Q213" s="66"/>
      <c r="R213" s="66"/>
      <c r="S213" s="15"/>
    </row>
    <row r="214" spans="1:19">
      <c r="A214" s="123"/>
      <c r="B214" s="254" t="s">
        <v>780</v>
      </c>
      <c r="C214" s="42" t="s">
        <v>8</v>
      </c>
      <c r="D214" s="351">
        <v>8</v>
      </c>
      <c r="E214" s="124" t="s">
        <v>1920</v>
      </c>
      <c r="F214" s="351">
        <v>8</v>
      </c>
      <c r="G214" s="351" t="s">
        <v>2798</v>
      </c>
      <c r="H214" s="351" t="s">
        <v>2799</v>
      </c>
      <c r="I214" s="351" t="s">
        <v>2662</v>
      </c>
      <c r="J214" s="351" t="s">
        <v>2374</v>
      </c>
      <c r="K214" s="311">
        <v>3858380</v>
      </c>
      <c r="L214" s="311">
        <v>0</v>
      </c>
      <c r="M214" s="311">
        <v>203264.40000000002</v>
      </c>
      <c r="N214" s="311">
        <v>392588</v>
      </c>
      <c r="O214" s="311">
        <v>274811.60000000003</v>
      </c>
      <c r="P214" s="68">
        <f t="shared" ref="P214:P215" si="42">SUM(K214:O214)</f>
        <v>4729044</v>
      </c>
      <c r="Q214" s="68">
        <f>D214*P214</f>
        <v>37832352</v>
      </c>
      <c r="R214" s="127">
        <f>F214*P214</f>
        <v>37832352</v>
      </c>
      <c r="S214" s="37" t="s">
        <v>1883</v>
      </c>
    </row>
    <row r="215" spans="1:19">
      <c r="A215" s="123"/>
      <c r="B215" s="254" t="s">
        <v>781</v>
      </c>
      <c r="C215" s="42" t="s">
        <v>8</v>
      </c>
      <c r="D215" s="351">
        <v>14</v>
      </c>
      <c r="E215" s="124" t="s">
        <v>1920</v>
      </c>
      <c r="F215" s="351">
        <v>14</v>
      </c>
      <c r="G215" s="351" t="s">
        <v>2798</v>
      </c>
      <c r="H215" s="351" t="s">
        <v>2799</v>
      </c>
      <c r="I215" s="351" t="s">
        <v>2662</v>
      </c>
      <c r="J215" s="351" t="s">
        <v>2374</v>
      </c>
      <c r="K215" s="311">
        <v>3321750</v>
      </c>
      <c r="L215" s="311">
        <v>0</v>
      </c>
      <c r="M215" s="311">
        <v>193094.40000000002</v>
      </c>
      <c r="N215" s="311">
        <v>339588</v>
      </c>
      <c r="O215" s="311">
        <v>237711.60000000003</v>
      </c>
      <c r="P215" s="68">
        <f t="shared" si="42"/>
        <v>4092144</v>
      </c>
      <c r="Q215" s="68">
        <f>D215*P215</f>
        <v>57290016</v>
      </c>
      <c r="R215" s="127">
        <f>F215*P215</f>
        <v>57290016</v>
      </c>
      <c r="S215" s="15" t="s">
        <v>1883</v>
      </c>
    </row>
    <row r="216" spans="1:19">
      <c r="A216" s="123">
        <v>8</v>
      </c>
      <c r="B216" s="254" t="s">
        <v>862</v>
      </c>
      <c r="C216" s="42"/>
      <c r="D216" s="351"/>
      <c r="E216" s="124"/>
      <c r="F216" s="351"/>
      <c r="G216" s="15"/>
      <c r="H216" s="15"/>
      <c r="I216" s="15"/>
      <c r="J216" s="15"/>
      <c r="K216" s="66"/>
      <c r="L216" s="66"/>
      <c r="M216" s="66"/>
      <c r="N216" s="66"/>
      <c r="O216" s="66"/>
      <c r="P216" s="66"/>
      <c r="Q216" s="66"/>
      <c r="R216" s="66"/>
      <c r="S216" s="15"/>
    </row>
    <row r="217" spans="1:19">
      <c r="A217" s="123"/>
      <c r="B217" s="254" t="s">
        <v>777</v>
      </c>
      <c r="C217" s="42" t="s">
        <v>8</v>
      </c>
      <c r="D217" s="351">
        <v>2</v>
      </c>
      <c r="E217" s="124"/>
      <c r="F217" s="351">
        <v>2</v>
      </c>
      <c r="G217" s="351" t="s">
        <v>2800</v>
      </c>
      <c r="H217" s="351"/>
      <c r="I217" s="351"/>
      <c r="J217" s="351" t="s">
        <v>2374</v>
      </c>
      <c r="K217" s="311">
        <v>1469000.0000000002</v>
      </c>
      <c r="L217" s="311">
        <v>0</v>
      </c>
      <c r="M217" s="311">
        <v>207604.62727272729</v>
      </c>
      <c r="N217" s="311">
        <v>148372.09090909091</v>
      </c>
      <c r="O217" s="311">
        <v>103860.46363636365</v>
      </c>
      <c r="P217" s="68">
        <f t="shared" ref="P217:P219" si="43">SUM(K217:O217)</f>
        <v>1928837.1818181819</v>
      </c>
      <c r="Q217" s="68">
        <f>D217*P217</f>
        <v>3857674.3636363638</v>
      </c>
      <c r="R217" s="127">
        <f>F217*P217</f>
        <v>3857674.3636363638</v>
      </c>
      <c r="S217" s="15"/>
    </row>
    <row r="218" spans="1:19" s="198" customFormat="1">
      <c r="A218" s="196"/>
      <c r="B218" s="255" t="s">
        <v>1925</v>
      </c>
      <c r="C218" s="196" t="s">
        <v>8</v>
      </c>
      <c r="D218" s="514">
        <v>2</v>
      </c>
      <c r="E218" s="197"/>
      <c r="F218" s="514">
        <v>2</v>
      </c>
      <c r="G218" s="351" t="s">
        <v>2800</v>
      </c>
      <c r="H218" s="351"/>
      <c r="I218" s="351"/>
      <c r="J218" s="351" t="s">
        <v>2374</v>
      </c>
      <c r="K218" s="311">
        <v>1084800</v>
      </c>
      <c r="L218" s="311">
        <v>0</v>
      </c>
      <c r="M218" s="311">
        <v>142791.7309090909</v>
      </c>
      <c r="N218" s="311">
        <v>108636.43636363636</v>
      </c>
      <c r="O218" s="311">
        <v>76045.505454545448</v>
      </c>
      <c r="P218" s="68">
        <f t="shared" si="43"/>
        <v>1412273.6727272726</v>
      </c>
      <c r="Q218" s="68">
        <f>D218*P218</f>
        <v>2824547.3454545452</v>
      </c>
      <c r="R218" s="127">
        <f>F218*P218</f>
        <v>2824547.3454545452</v>
      </c>
      <c r="S218" s="523"/>
    </row>
    <row r="219" spans="1:19">
      <c r="A219" s="123"/>
      <c r="B219" s="254" t="s">
        <v>781</v>
      </c>
      <c r="C219" s="42" t="s">
        <v>8</v>
      </c>
      <c r="D219" s="351">
        <v>4</v>
      </c>
      <c r="E219" s="124"/>
      <c r="F219" s="351">
        <v>4</v>
      </c>
      <c r="G219" s="351" t="s">
        <v>2800</v>
      </c>
      <c r="H219" s="351"/>
      <c r="I219" s="351"/>
      <c r="J219" s="351" t="s">
        <v>2374</v>
      </c>
      <c r="K219" s="311">
        <v>474600.00000000006</v>
      </c>
      <c r="L219" s="311">
        <v>0</v>
      </c>
      <c r="M219" s="311">
        <v>48934.13636363636</v>
      </c>
      <c r="N219" s="311">
        <v>46330.454545454551</v>
      </c>
      <c r="O219" s="311">
        <v>32431.318181818187</v>
      </c>
      <c r="P219" s="68">
        <f t="shared" si="43"/>
        <v>602295.90909090918</v>
      </c>
      <c r="Q219" s="68">
        <f>D219*P219</f>
        <v>2409183.6363636367</v>
      </c>
      <c r="R219" s="127">
        <f>F219*P219</f>
        <v>2409183.6363636367</v>
      </c>
      <c r="S219" s="37"/>
    </row>
    <row r="220" spans="1:19">
      <c r="A220" s="123">
        <v>9</v>
      </c>
      <c r="B220" s="254" t="s">
        <v>863</v>
      </c>
      <c r="C220" s="42"/>
      <c r="D220" s="351"/>
      <c r="E220" s="124"/>
      <c r="F220" s="351"/>
      <c r="G220" s="37"/>
      <c r="H220" s="37"/>
      <c r="I220" s="37"/>
      <c r="J220" s="37"/>
      <c r="K220" s="66"/>
      <c r="L220" s="66"/>
      <c r="M220" s="66"/>
      <c r="N220" s="66"/>
      <c r="O220" s="66"/>
      <c r="P220" s="66"/>
      <c r="Q220" s="66"/>
      <c r="R220" s="66"/>
      <c r="S220" s="37"/>
    </row>
    <row r="221" spans="1:19">
      <c r="A221" s="123"/>
      <c r="B221" s="254" t="s">
        <v>777</v>
      </c>
      <c r="C221" s="42" t="s">
        <v>8</v>
      </c>
      <c r="D221" s="351">
        <v>14</v>
      </c>
      <c r="E221" s="124"/>
      <c r="F221" s="351">
        <v>14</v>
      </c>
      <c r="G221" s="351" t="s">
        <v>2801</v>
      </c>
      <c r="H221" s="351"/>
      <c r="I221" s="351"/>
      <c r="J221" s="351" t="s">
        <v>2374</v>
      </c>
      <c r="K221" s="311">
        <v>881400.00000000012</v>
      </c>
      <c r="L221" s="311">
        <v>0</v>
      </c>
      <c r="M221" s="311">
        <v>207604.62727272729</v>
      </c>
      <c r="N221" s="311">
        <v>96372.090909090912</v>
      </c>
      <c r="O221" s="311">
        <v>67460.463636363638</v>
      </c>
      <c r="P221" s="68">
        <f t="shared" ref="P221:P224" si="44">SUM(K221:O221)</f>
        <v>1252837.1818181819</v>
      </c>
      <c r="Q221" s="68">
        <f>D221*P221</f>
        <v>17539720.545454547</v>
      </c>
      <c r="R221" s="127">
        <f>F221*P221</f>
        <v>17539720.545454547</v>
      </c>
      <c r="S221" s="37"/>
    </row>
    <row r="222" spans="1:19" s="131" customFormat="1">
      <c r="A222" s="126"/>
      <c r="B222" s="253" t="s">
        <v>1926</v>
      </c>
      <c r="C222" s="126" t="s">
        <v>8</v>
      </c>
      <c r="D222" s="352">
        <v>12</v>
      </c>
      <c r="E222" s="130"/>
      <c r="F222" s="352">
        <v>12</v>
      </c>
      <c r="G222" s="351" t="s">
        <v>2801</v>
      </c>
      <c r="H222" s="351"/>
      <c r="I222" s="351"/>
      <c r="J222" s="351" t="s">
        <v>2374</v>
      </c>
      <c r="K222" s="311">
        <v>678000.00000000012</v>
      </c>
      <c r="L222" s="311">
        <v>0</v>
      </c>
      <c r="M222" s="311">
        <v>142791.7309090909</v>
      </c>
      <c r="N222" s="311">
        <v>72636.436363636371</v>
      </c>
      <c r="O222" s="311">
        <v>50845.505454545462</v>
      </c>
      <c r="P222" s="68">
        <f t="shared" si="44"/>
        <v>944273.67272727285</v>
      </c>
      <c r="Q222" s="68">
        <f>D222*P222</f>
        <v>11331284.072727274</v>
      </c>
      <c r="R222" s="127">
        <f>F222*P222</f>
        <v>11331284.072727274</v>
      </c>
      <c r="S222" s="30"/>
    </row>
    <row r="223" spans="1:19">
      <c r="A223" s="123"/>
      <c r="B223" s="254" t="s">
        <v>780</v>
      </c>
      <c r="C223" s="42" t="s">
        <v>8</v>
      </c>
      <c r="D223" s="351">
        <v>59</v>
      </c>
      <c r="E223" s="124"/>
      <c r="F223" s="351">
        <v>59</v>
      </c>
      <c r="G223" s="351" t="s">
        <v>2801</v>
      </c>
      <c r="H223" s="351"/>
      <c r="I223" s="351"/>
      <c r="J223" s="351" t="s">
        <v>2374</v>
      </c>
      <c r="K223" s="311">
        <v>406800.00000000006</v>
      </c>
      <c r="L223" s="311">
        <v>0</v>
      </c>
      <c r="M223" s="311">
        <v>84046.318181818177</v>
      </c>
      <c r="N223" s="311">
        <v>43437.727272727272</v>
      </c>
      <c r="O223" s="311">
        <v>30406.409090909092</v>
      </c>
      <c r="P223" s="68">
        <f t="shared" si="44"/>
        <v>564690.45454545459</v>
      </c>
      <c r="Q223" s="68">
        <f>D223*P223</f>
        <v>33316736.81818182</v>
      </c>
      <c r="R223" s="127">
        <f>F223*P223</f>
        <v>33316736.81818182</v>
      </c>
      <c r="S223" s="37"/>
    </row>
    <row r="224" spans="1:19">
      <c r="A224" s="123"/>
      <c r="B224" s="254" t="s">
        <v>781</v>
      </c>
      <c r="C224" s="42" t="s">
        <v>8</v>
      </c>
      <c r="D224" s="351">
        <v>138</v>
      </c>
      <c r="E224" s="124"/>
      <c r="F224" s="351">
        <v>138</v>
      </c>
      <c r="G224" s="351" t="s">
        <v>2801</v>
      </c>
      <c r="H224" s="351"/>
      <c r="I224" s="351"/>
      <c r="J224" s="351" t="s">
        <v>2374</v>
      </c>
      <c r="K224" s="311">
        <v>311880.00000000006</v>
      </c>
      <c r="L224" s="311">
        <v>0</v>
      </c>
      <c r="M224" s="311">
        <v>48934.13636363636</v>
      </c>
      <c r="N224" s="311">
        <v>31930.454545454548</v>
      </c>
      <c r="O224" s="311">
        <v>22351.318181818184</v>
      </c>
      <c r="P224" s="68">
        <f t="shared" si="44"/>
        <v>415095.90909090912</v>
      </c>
      <c r="Q224" s="68">
        <f>D224*P224</f>
        <v>57283235.454545461</v>
      </c>
      <c r="R224" s="127">
        <f>F224*P224</f>
        <v>57283235.454545461</v>
      </c>
      <c r="S224" s="37"/>
    </row>
    <row r="225" spans="1:19">
      <c r="A225" s="123">
        <v>10</v>
      </c>
      <c r="B225" s="254" t="s">
        <v>864</v>
      </c>
      <c r="C225" s="42"/>
      <c r="D225" s="351"/>
      <c r="E225" s="124"/>
      <c r="F225" s="351"/>
      <c r="G225" s="36"/>
      <c r="H225" s="36"/>
      <c r="I225" s="36"/>
      <c r="J225" s="36"/>
      <c r="K225" s="65"/>
      <c r="L225" s="65"/>
      <c r="M225" s="65"/>
      <c r="N225" s="65"/>
      <c r="O225" s="65"/>
      <c r="P225" s="65"/>
      <c r="Q225" s="65"/>
      <c r="R225" s="65"/>
      <c r="S225" s="36"/>
    </row>
    <row r="226" spans="1:19" ht="30">
      <c r="A226" s="123"/>
      <c r="B226" s="254" t="s">
        <v>847</v>
      </c>
      <c r="C226" s="42" t="s">
        <v>8</v>
      </c>
      <c r="D226" s="351">
        <v>6</v>
      </c>
      <c r="E226" s="124"/>
      <c r="F226" s="351">
        <v>6</v>
      </c>
      <c r="G226" s="351" t="s">
        <v>2802</v>
      </c>
      <c r="H226" s="351" t="s">
        <v>2803</v>
      </c>
      <c r="I226" s="351" t="s">
        <v>2662</v>
      </c>
      <c r="J226" s="351" t="s">
        <v>2374</v>
      </c>
      <c r="K226" s="311">
        <v>975410</v>
      </c>
      <c r="L226" s="311">
        <v>0</v>
      </c>
      <c r="M226" s="311">
        <v>60206.400000000009</v>
      </c>
      <c r="N226" s="311">
        <v>100028</v>
      </c>
      <c r="O226" s="311">
        <v>70019.600000000006</v>
      </c>
      <c r="P226" s="68">
        <f>SUM(K226:O226)</f>
        <v>1205664</v>
      </c>
      <c r="Q226" s="68">
        <f>D226*P226</f>
        <v>7233984</v>
      </c>
      <c r="R226" s="127">
        <f>F226*P226</f>
        <v>7233984</v>
      </c>
      <c r="S226" s="37"/>
    </row>
    <row r="227" spans="1:19">
      <c r="A227" s="123">
        <v>11</v>
      </c>
      <c r="B227" s="254" t="s">
        <v>865</v>
      </c>
      <c r="C227" s="42"/>
      <c r="D227" s="351"/>
      <c r="E227" s="124"/>
      <c r="F227" s="351"/>
      <c r="G227" s="37"/>
      <c r="H227" s="37"/>
      <c r="I227" s="37"/>
      <c r="J227" s="37"/>
      <c r="K227" s="66"/>
      <c r="L227" s="66"/>
      <c r="M227" s="66"/>
      <c r="N227" s="66"/>
      <c r="O227" s="66"/>
      <c r="P227" s="66"/>
      <c r="Q227" s="66"/>
      <c r="R227" s="66"/>
      <c r="S227" s="37"/>
    </row>
    <row r="228" spans="1:19">
      <c r="A228" s="123"/>
      <c r="B228" s="254" t="s">
        <v>777</v>
      </c>
      <c r="C228" s="42" t="s">
        <v>8</v>
      </c>
      <c r="D228" s="351">
        <v>2</v>
      </c>
      <c r="E228" s="124"/>
      <c r="F228" s="351">
        <v>2</v>
      </c>
      <c r="G228" s="351" t="s">
        <v>2804</v>
      </c>
      <c r="H228" s="351" t="s">
        <v>3142</v>
      </c>
      <c r="I228" s="351" t="s">
        <v>2662</v>
      </c>
      <c r="J228" s="351" t="s">
        <v>2374</v>
      </c>
      <c r="K228" s="311">
        <v>10131286</v>
      </c>
      <c r="L228" s="311">
        <v>0</v>
      </c>
      <c r="M228" s="311">
        <v>487753.20000000007</v>
      </c>
      <c r="N228" s="311">
        <v>1026784</v>
      </c>
      <c r="O228" s="311">
        <v>718748.8</v>
      </c>
      <c r="P228" s="68">
        <f t="shared" ref="P228:P229" si="45">SUM(K228:O228)</f>
        <v>12364572</v>
      </c>
      <c r="Q228" s="68">
        <f>D228*P228</f>
        <v>24729144</v>
      </c>
      <c r="R228" s="127">
        <f>F228*P228</f>
        <v>24729144</v>
      </c>
      <c r="S228" s="315" t="s">
        <v>1883</v>
      </c>
    </row>
    <row r="229" spans="1:19" s="131" customFormat="1">
      <c r="A229" s="126"/>
      <c r="B229" s="253" t="s">
        <v>780</v>
      </c>
      <c r="C229" s="126" t="s">
        <v>8</v>
      </c>
      <c r="D229" s="352">
        <v>2</v>
      </c>
      <c r="E229" s="130"/>
      <c r="F229" s="352">
        <v>2</v>
      </c>
      <c r="G229" s="351" t="s">
        <v>2804</v>
      </c>
      <c r="H229" s="351" t="s">
        <v>3142</v>
      </c>
      <c r="I229" s="351" t="s">
        <v>2662</v>
      </c>
      <c r="J229" s="351" t="s">
        <v>2374</v>
      </c>
      <c r="K229" s="311">
        <v>2963928</v>
      </c>
      <c r="L229" s="311">
        <v>0</v>
      </c>
      <c r="M229" s="311">
        <v>304896.60000000003</v>
      </c>
      <c r="N229" s="311">
        <v>314742</v>
      </c>
      <c r="O229" s="311">
        <v>220319.40000000002</v>
      </c>
      <c r="P229" s="68">
        <f t="shared" si="45"/>
        <v>3803886</v>
      </c>
      <c r="Q229" s="68">
        <f>D229*P229</f>
        <v>7607772</v>
      </c>
      <c r="R229" s="127">
        <f>F229*P229</f>
        <v>7607772</v>
      </c>
      <c r="S229" s="315" t="s">
        <v>1883</v>
      </c>
    </row>
    <row r="230" spans="1:19" s="131" customFormat="1">
      <c r="A230" s="126">
        <v>12</v>
      </c>
      <c r="B230" s="253" t="s">
        <v>1927</v>
      </c>
      <c r="C230" s="126">
        <v>0</v>
      </c>
      <c r="D230" s="352"/>
      <c r="E230" s="130"/>
      <c r="F230" s="352"/>
      <c r="G230" s="329"/>
      <c r="H230" s="329"/>
      <c r="I230" s="329"/>
      <c r="J230" s="329"/>
      <c r="K230" s="80"/>
      <c r="L230" s="80"/>
      <c r="M230" s="80"/>
      <c r="N230" s="80"/>
      <c r="O230" s="80"/>
      <c r="P230" s="80"/>
      <c r="Q230" s="80"/>
      <c r="R230" s="80"/>
      <c r="S230" s="522"/>
    </row>
    <row r="231" spans="1:19" s="131" customFormat="1">
      <c r="A231" s="126"/>
      <c r="B231" s="253" t="s">
        <v>781</v>
      </c>
      <c r="C231" s="126" t="s">
        <v>8</v>
      </c>
      <c r="D231" s="352">
        <v>2</v>
      </c>
      <c r="E231" s="130"/>
      <c r="F231" s="352">
        <v>2</v>
      </c>
      <c r="G231" s="315" t="s">
        <v>3044</v>
      </c>
      <c r="H231" s="315" t="s">
        <v>3143</v>
      </c>
      <c r="I231" s="351" t="s">
        <v>2662</v>
      </c>
      <c r="J231" s="351" t="s">
        <v>2374</v>
      </c>
      <c r="K231" s="311">
        <v>16090660</v>
      </c>
      <c r="L231" s="311">
        <v>0</v>
      </c>
      <c r="M231" s="311">
        <v>193094.40000000002</v>
      </c>
      <c r="N231" s="311">
        <v>1579288</v>
      </c>
      <c r="O231" s="311">
        <v>1105501.6000000001</v>
      </c>
      <c r="P231" s="68">
        <f>SUM(K231:O231)</f>
        <v>18968544</v>
      </c>
      <c r="Q231" s="68">
        <f>D231*P231</f>
        <v>37937088</v>
      </c>
      <c r="R231" s="127">
        <f>F231*P231</f>
        <v>37937088</v>
      </c>
      <c r="S231" s="315" t="s">
        <v>1883</v>
      </c>
    </row>
    <row r="232" spans="1:19" s="131" customFormat="1">
      <c r="A232" s="126">
        <v>13</v>
      </c>
      <c r="B232" s="253" t="s">
        <v>1928</v>
      </c>
      <c r="C232" s="126"/>
      <c r="D232" s="352"/>
      <c r="E232" s="130"/>
      <c r="F232" s="352"/>
      <c r="G232" s="26"/>
      <c r="H232" s="26"/>
      <c r="I232" s="26"/>
      <c r="J232" s="26"/>
      <c r="K232" s="127"/>
      <c r="L232" s="127"/>
      <c r="M232" s="127"/>
      <c r="N232" s="127"/>
      <c r="O232" s="127"/>
      <c r="P232" s="127"/>
      <c r="Q232" s="127"/>
      <c r="R232" s="127"/>
      <c r="S232" s="30"/>
    </row>
    <row r="233" spans="1:19" s="131" customFormat="1">
      <c r="A233" s="126"/>
      <c r="B233" s="253" t="s">
        <v>1929</v>
      </c>
      <c r="C233" s="126" t="s">
        <v>8</v>
      </c>
      <c r="D233" s="352">
        <v>12</v>
      </c>
      <c r="E233" s="130"/>
      <c r="F233" s="352">
        <v>12</v>
      </c>
      <c r="G233" s="26"/>
      <c r="H233" s="26"/>
      <c r="I233" s="26"/>
      <c r="J233" s="37" t="s">
        <v>2381</v>
      </c>
      <c r="K233" s="311">
        <v>894847.00000000012</v>
      </c>
      <c r="L233" s="311">
        <v>0</v>
      </c>
      <c r="M233" s="311">
        <v>195327.5385092308</v>
      </c>
      <c r="N233" s="311">
        <v>96475.62287692308</v>
      </c>
      <c r="O233" s="311">
        <v>67532.936013846163</v>
      </c>
      <c r="P233" s="68">
        <f t="shared" ref="P233:P238" si="46">SUM(K233:O233)</f>
        <v>1254183.0974000001</v>
      </c>
      <c r="Q233" s="68">
        <f t="shared" ref="Q233:Q238" si="47">D233*P233</f>
        <v>15050197.1688</v>
      </c>
      <c r="R233" s="127">
        <f t="shared" ref="R233:R238" si="48">F233*P233</f>
        <v>15050197.1688</v>
      </c>
      <c r="S233" s="30"/>
    </row>
    <row r="234" spans="1:19" s="131" customFormat="1">
      <c r="A234" s="126"/>
      <c r="B234" s="253" t="s">
        <v>1930</v>
      </c>
      <c r="C234" s="126" t="s">
        <v>8</v>
      </c>
      <c r="D234" s="352">
        <v>10</v>
      </c>
      <c r="E234" s="130"/>
      <c r="F234" s="352">
        <v>10</v>
      </c>
      <c r="G234" s="26"/>
      <c r="H234" s="26"/>
      <c r="I234" s="26"/>
      <c r="J234" s="37" t="s">
        <v>2381</v>
      </c>
      <c r="K234" s="311">
        <v>383804.50000000006</v>
      </c>
      <c r="L234" s="311">
        <v>0</v>
      </c>
      <c r="M234" s="311">
        <v>87836.237360215397</v>
      </c>
      <c r="N234" s="311">
        <v>41738.11835046154</v>
      </c>
      <c r="O234" s="311">
        <v>29216.682845323081</v>
      </c>
      <c r="P234" s="68">
        <f t="shared" si="46"/>
        <v>542595.5385560001</v>
      </c>
      <c r="Q234" s="68">
        <f t="shared" si="47"/>
        <v>5425955.3855600012</v>
      </c>
      <c r="R234" s="127">
        <f t="shared" si="48"/>
        <v>5425955.3855600012</v>
      </c>
      <c r="S234" s="30"/>
    </row>
    <row r="235" spans="1:19" s="131" customFormat="1">
      <c r="A235" s="126"/>
      <c r="B235" s="253" t="s">
        <v>1931</v>
      </c>
      <c r="C235" s="126" t="s">
        <v>8</v>
      </c>
      <c r="D235" s="352">
        <v>6</v>
      </c>
      <c r="E235" s="130"/>
      <c r="F235" s="352">
        <v>6</v>
      </c>
      <c r="G235" s="26"/>
      <c r="H235" s="26"/>
      <c r="I235" s="26"/>
      <c r="J235" s="37" t="s">
        <v>2381</v>
      </c>
      <c r="K235" s="311">
        <v>315778.50000000006</v>
      </c>
      <c r="L235" s="311">
        <v>0</v>
      </c>
      <c r="M235" s="311">
        <v>87836.237360215397</v>
      </c>
      <c r="N235" s="311">
        <v>35718.11835046154</v>
      </c>
      <c r="O235" s="311">
        <v>25002.682845323081</v>
      </c>
      <c r="P235" s="68">
        <f t="shared" si="46"/>
        <v>464335.53855600004</v>
      </c>
      <c r="Q235" s="68">
        <f t="shared" si="47"/>
        <v>2786013.2313360004</v>
      </c>
      <c r="R235" s="127">
        <f t="shared" si="48"/>
        <v>2786013.2313360004</v>
      </c>
      <c r="S235" s="30"/>
    </row>
    <row r="236" spans="1:19" s="131" customFormat="1">
      <c r="A236" s="126"/>
      <c r="B236" s="253" t="s">
        <v>1932</v>
      </c>
      <c r="C236" s="126" t="s">
        <v>8</v>
      </c>
      <c r="D236" s="352">
        <v>6</v>
      </c>
      <c r="E236" s="130"/>
      <c r="F236" s="352">
        <v>6</v>
      </c>
      <c r="G236" s="351" t="s">
        <v>2805</v>
      </c>
      <c r="H236" s="351"/>
      <c r="I236" s="351"/>
      <c r="J236" s="351" t="s">
        <v>2374</v>
      </c>
      <c r="K236" s="311">
        <v>384200.00000000006</v>
      </c>
      <c r="L236" s="311">
        <v>0</v>
      </c>
      <c r="M236" s="311">
        <v>84046.318181818177</v>
      </c>
      <c r="N236" s="311">
        <v>41437.727272727272</v>
      </c>
      <c r="O236" s="311">
        <v>29006.409090909092</v>
      </c>
      <c r="P236" s="68">
        <f t="shared" si="46"/>
        <v>538690.45454545459</v>
      </c>
      <c r="Q236" s="68">
        <f t="shared" si="47"/>
        <v>3232142.7272727275</v>
      </c>
      <c r="R236" s="127">
        <f t="shared" si="48"/>
        <v>3232142.7272727275</v>
      </c>
      <c r="S236" s="509"/>
    </row>
    <row r="237" spans="1:19" s="131" customFormat="1">
      <c r="A237" s="126"/>
      <c r="B237" s="253" t="s">
        <v>1933</v>
      </c>
      <c r="C237" s="126" t="s">
        <v>8</v>
      </c>
      <c r="D237" s="352">
        <v>4</v>
      </c>
      <c r="E237" s="130"/>
      <c r="F237" s="352">
        <v>4</v>
      </c>
      <c r="G237" s="351" t="s">
        <v>2805</v>
      </c>
      <c r="H237" s="351"/>
      <c r="I237" s="351"/>
      <c r="J237" s="351" t="s">
        <v>2374</v>
      </c>
      <c r="K237" s="311">
        <v>355950.00000000006</v>
      </c>
      <c r="L237" s="311">
        <v>0</v>
      </c>
      <c r="M237" s="311">
        <v>48934.13636363636</v>
      </c>
      <c r="N237" s="311">
        <v>35830.454545454551</v>
      </c>
      <c r="O237" s="311">
        <v>25081.318181818184</v>
      </c>
      <c r="P237" s="68">
        <f t="shared" si="46"/>
        <v>465795.90909090912</v>
      </c>
      <c r="Q237" s="68">
        <f t="shared" si="47"/>
        <v>1863183.6363636365</v>
      </c>
      <c r="R237" s="127">
        <f t="shared" si="48"/>
        <v>1863183.6363636365</v>
      </c>
      <c r="S237" s="509"/>
    </row>
    <row r="238" spans="1:19">
      <c r="A238" s="123">
        <v>14</v>
      </c>
      <c r="B238" s="254" t="s">
        <v>852</v>
      </c>
      <c r="C238" s="42" t="s">
        <v>78</v>
      </c>
      <c r="D238" s="351">
        <v>1</v>
      </c>
      <c r="E238" s="124"/>
      <c r="F238" s="351">
        <v>1</v>
      </c>
      <c r="G238" s="37"/>
      <c r="H238" s="37"/>
      <c r="I238" s="37"/>
      <c r="J238" s="37" t="s">
        <v>2381</v>
      </c>
      <c r="K238" s="311">
        <v>65632040.116400003</v>
      </c>
      <c r="L238" s="311">
        <v>0</v>
      </c>
      <c r="M238" s="311">
        <v>12365284.933991527</v>
      </c>
      <c r="N238" s="311">
        <v>6609942.800880638</v>
      </c>
      <c r="O238" s="311">
        <v>4626959.960616447</v>
      </c>
      <c r="P238" s="68">
        <f t="shared" si="46"/>
        <v>89234227.811888605</v>
      </c>
      <c r="Q238" s="68">
        <f t="shared" si="47"/>
        <v>89234227.811888605</v>
      </c>
      <c r="R238" s="127">
        <f t="shared" si="48"/>
        <v>89234227.811888605</v>
      </c>
      <c r="S238" s="37"/>
    </row>
    <row r="239" spans="1:19" s="122" customFormat="1" ht="42.75">
      <c r="A239" s="244" t="s">
        <v>483</v>
      </c>
      <c r="B239" s="245" t="s">
        <v>866</v>
      </c>
      <c r="C239" s="246"/>
      <c r="D239" s="515"/>
      <c r="E239" s="248"/>
      <c r="F239" s="515"/>
      <c r="G239" s="256"/>
      <c r="H239" s="256"/>
      <c r="I239" s="256"/>
      <c r="J239" s="256"/>
      <c r="K239" s="528"/>
      <c r="L239" s="528"/>
      <c r="M239" s="528"/>
      <c r="N239" s="528"/>
      <c r="O239" s="528"/>
      <c r="P239" s="528"/>
      <c r="Q239" s="528"/>
      <c r="R239" s="528"/>
      <c r="S239" s="256"/>
    </row>
    <row r="240" spans="1:19">
      <c r="A240" s="123">
        <v>1</v>
      </c>
      <c r="B240" s="254" t="s">
        <v>867</v>
      </c>
      <c r="C240" s="42"/>
      <c r="D240" s="351"/>
      <c r="E240" s="124"/>
      <c r="F240" s="351"/>
      <c r="G240" s="37"/>
      <c r="H240" s="37"/>
      <c r="I240" s="37"/>
      <c r="J240" s="37"/>
      <c r="K240" s="66"/>
      <c r="L240" s="66"/>
      <c r="M240" s="66"/>
      <c r="N240" s="66"/>
      <c r="O240" s="66"/>
      <c r="P240" s="66"/>
      <c r="Q240" s="66"/>
      <c r="R240" s="66"/>
      <c r="S240" s="37"/>
    </row>
    <row r="241" spans="1:19">
      <c r="A241" s="123"/>
      <c r="B241" s="254" t="s">
        <v>868</v>
      </c>
      <c r="C241" s="42" t="s">
        <v>117</v>
      </c>
      <c r="D241" s="351">
        <v>67.460999999999999</v>
      </c>
      <c r="E241" s="124" t="s">
        <v>869</v>
      </c>
      <c r="F241" s="351">
        <v>67.460999999999999</v>
      </c>
      <c r="G241" s="351" t="s">
        <v>2806</v>
      </c>
      <c r="H241" s="351"/>
      <c r="I241" s="351" t="s">
        <v>2681</v>
      </c>
      <c r="J241" s="351" t="s">
        <v>2328</v>
      </c>
      <c r="K241" s="311">
        <v>735657.12</v>
      </c>
      <c r="L241" s="311">
        <v>0</v>
      </c>
      <c r="M241" s="311">
        <v>90926.580000000016</v>
      </c>
      <c r="N241" s="311">
        <v>73148.999999999985</v>
      </c>
      <c r="O241" s="311">
        <v>51204.299999999996</v>
      </c>
      <c r="P241" s="68">
        <f t="shared" ref="P241:P252" si="49">SUM(K241:O241)</f>
        <v>950937</v>
      </c>
      <c r="Q241" s="68">
        <f t="shared" ref="Q241:Q252" si="50">D241*P241</f>
        <v>64151160.957000002</v>
      </c>
      <c r="R241" s="127">
        <f t="shared" ref="R241:R252" si="51">F241*P241</f>
        <v>64151160.957000002</v>
      </c>
      <c r="S241" s="37"/>
    </row>
    <row r="242" spans="1:19">
      <c r="A242" s="123"/>
      <c r="B242" s="254" t="s">
        <v>870</v>
      </c>
      <c r="C242" s="42" t="s">
        <v>117</v>
      </c>
      <c r="D242" s="351">
        <v>55.771000000000001</v>
      </c>
      <c r="E242" s="124" t="s">
        <v>869</v>
      </c>
      <c r="F242" s="351">
        <v>55.771000000000001</v>
      </c>
      <c r="G242" s="351" t="s">
        <v>2807</v>
      </c>
      <c r="H242" s="351"/>
      <c r="I242" s="351" t="s">
        <v>2681</v>
      </c>
      <c r="J242" s="351" t="s">
        <v>2328</v>
      </c>
      <c r="K242" s="311">
        <v>568225.02</v>
      </c>
      <c r="L242" s="311">
        <v>0</v>
      </c>
      <c r="M242" s="311">
        <v>90926.580000000016</v>
      </c>
      <c r="N242" s="311">
        <v>58332</v>
      </c>
      <c r="O242" s="311">
        <v>40832.400000000001</v>
      </c>
      <c r="P242" s="68">
        <f t="shared" si="49"/>
        <v>758316.00000000012</v>
      </c>
      <c r="Q242" s="68">
        <f t="shared" si="50"/>
        <v>42292041.636000007</v>
      </c>
      <c r="R242" s="127">
        <f t="shared" si="51"/>
        <v>42292041.636000007</v>
      </c>
      <c r="S242" s="37"/>
    </row>
    <row r="243" spans="1:19">
      <c r="A243" s="123"/>
      <c r="B243" s="254" t="s">
        <v>871</v>
      </c>
      <c r="C243" s="42" t="s">
        <v>117</v>
      </c>
      <c r="D243" s="351">
        <v>129.63800000000001</v>
      </c>
      <c r="E243" s="124" t="s">
        <v>869</v>
      </c>
      <c r="F243" s="351">
        <v>129.63800000000001</v>
      </c>
      <c r="G243" s="351" t="s">
        <v>2808</v>
      </c>
      <c r="H243" s="351"/>
      <c r="I243" s="351" t="s">
        <v>2681</v>
      </c>
      <c r="J243" s="351" t="s">
        <v>2328</v>
      </c>
      <c r="K243" s="311">
        <v>353434.62</v>
      </c>
      <c r="L243" s="311">
        <v>0</v>
      </c>
      <c r="M243" s="311">
        <v>66186.36</v>
      </c>
      <c r="N243" s="311">
        <v>37134.6</v>
      </c>
      <c r="O243" s="311">
        <v>25994.219999999998</v>
      </c>
      <c r="P243" s="68">
        <f t="shared" si="49"/>
        <v>482749.79999999993</v>
      </c>
      <c r="Q243" s="68">
        <f t="shared" si="50"/>
        <v>62582718.572399996</v>
      </c>
      <c r="R243" s="127">
        <f t="shared" si="51"/>
        <v>62582718.572399996</v>
      </c>
      <c r="S243" s="37"/>
    </row>
    <row r="244" spans="1:19">
      <c r="A244" s="123"/>
      <c r="B244" s="254" t="s">
        <v>872</v>
      </c>
      <c r="C244" s="42" t="s">
        <v>117</v>
      </c>
      <c r="D244" s="351">
        <v>134.87199999999999</v>
      </c>
      <c r="E244" s="124" t="s">
        <v>869</v>
      </c>
      <c r="F244" s="351">
        <v>134.87199999999999</v>
      </c>
      <c r="G244" s="351" t="s">
        <v>2809</v>
      </c>
      <c r="H244" s="351"/>
      <c r="I244" s="351" t="s">
        <v>2681</v>
      </c>
      <c r="J244" s="351" t="s">
        <v>2328</v>
      </c>
      <c r="K244" s="311">
        <v>284522.7</v>
      </c>
      <c r="L244" s="311">
        <v>0</v>
      </c>
      <c r="M244" s="311">
        <v>50666.94</v>
      </c>
      <c r="N244" s="311">
        <v>29662.800000000003</v>
      </c>
      <c r="O244" s="311">
        <v>20763.960000000003</v>
      </c>
      <c r="P244" s="68">
        <f t="shared" si="49"/>
        <v>385616.4</v>
      </c>
      <c r="Q244" s="68">
        <f t="shared" si="50"/>
        <v>52008855.1008</v>
      </c>
      <c r="R244" s="127">
        <f t="shared" si="51"/>
        <v>52008855.1008</v>
      </c>
      <c r="S244" s="37"/>
    </row>
    <row r="245" spans="1:19">
      <c r="A245" s="123"/>
      <c r="B245" s="254" t="s">
        <v>873</v>
      </c>
      <c r="C245" s="42" t="s">
        <v>117</v>
      </c>
      <c r="D245" s="351">
        <v>117.238</v>
      </c>
      <c r="E245" s="124" t="s">
        <v>869</v>
      </c>
      <c r="F245" s="351">
        <v>117.238</v>
      </c>
      <c r="G245" s="351" t="s">
        <v>2810</v>
      </c>
      <c r="H245" s="351"/>
      <c r="I245" s="351" t="s">
        <v>2681</v>
      </c>
      <c r="J245" s="351" t="s">
        <v>2328</v>
      </c>
      <c r="K245" s="311">
        <v>226051.97999999998</v>
      </c>
      <c r="L245" s="311">
        <v>0</v>
      </c>
      <c r="M245" s="311">
        <v>50666.94</v>
      </c>
      <c r="N245" s="311">
        <v>24488.399999999998</v>
      </c>
      <c r="O245" s="311">
        <v>17141.88</v>
      </c>
      <c r="P245" s="68">
        <f t="shared" si="49"/>
        <v>318349.2</v>
      </c>
      <c r="Q245" s="68">
        <f t="shared" si="50"/>
        <v>37322623.509599999</v>
      </c>
      <c r="R245" s="127">
        <f t="shared" si="51"/>
        <v>37322623.509599999</v>
      </c>
      <c r="S245" s="37"/>
    </row>
    <row r="246" spans="1:19">
      <c r="A246" s="123"/>
      <c r="B246" s="254" t="s">
        <v>874</v>
      </c>
      <c r="C246" s="42" t="s">
        <v>117</v>
      </c>
      <c r="D246" s="351">
        <v>178.69200000000001</v>
      </c>
      <c r="E246" s="124" t="s">
        <v>869</v>
      </c>
      <c r="F246" s="351">
        <v>178.69200000000001</v>
      </c>
      <c r="G246" s="351" t="s">
        <v>2811</v>
      </c>
      <c r="H246" s="351"/>
      <c r="I246" s="351" t="s">
        <v>2681</v>
      </c>
      <c r="J246" s="351" t="s">
        <v>2328</v>
      </c>
      <c r="K246" s="311">
        <v>174144.3</v>
      </c>
      <c r="L246" s="311">
        <v>0</v>
      </c>
      <c r="M246" s="311">
        <v>45819.240000000005</v>
      </c>
      <c r="N246" s="311">
        <v>19465.8</v>
      </c>
      <c r="O246" s="311">
        <v>13626.06</v>
      </c>
      <c r="P246" s="68">
        <f t="shared" si="49"/>
        <v>253055.39999999997</v>
      </c>
      <c r="Q246" s="68">
        <f t="shared" si="50"/>
        <v>45218975.536799997</v>
      </c>
      <c r="R246" s="127">
        <f t="shared" si="51"/>
        <v>45218975.536799997</v>
      </c>
      <c r="S246" s="38"/>
    </row>
    <row r="247" spans="1:19">
      <c r="A247" s="123"/>
      <c r="B247" s="254" t="s">
        <v>875</v>
      </c>
      <c r="C247" s="42" t="s">
        <v>117</v>
      </c>
      <c r="D247" s="351">
        <v>1311.0500000000002</v>
      </c>
      <c r="E247" s="124" t="s">
        <v>869</v>
      </c>
      <c r="F247" s="351">
        <v>1311.0500000000002</v>
      </c>
      <c r="G247" s="351" t="s">
        <v>2812</v>
      </c>
      <c r="H247" s="351"/>
      <c r="I247" s="351" t="s">
        <v>2681</v>
      </c>
      <c r="J247" s="351" t="s">
        <v>2328</v>
      </c>
      <c r="K247" s="311">
        <v>136705.13999999998</v>
      </c>
      <c r="L247" s="311">
        <v>0</v>
      </c>
      <c r="M247" s="311">
        <v>45819.240000000005</v>
      </c>
      <c r="N247" s="311">
        <v>16152.6</v>
      </c>
      <c r="O247" s="311">
        <v>11306.820000000002</v>
      </c>
      <c r="P247" s="68">
        <f t="shared" si="49"/>
        <v>209983.80000000002</v>
      </c>
      <c r="Q247" s="68">
        <f t="shared" si="50"/>
        <v>275299260.99000007</v>
      </c>
      <c r="R247" s="127">
        <f t="shared" si="51"/>
        <v>275299260.99000007</v>
      </c>
      <c r="S247" s="36"/>
    </row>
    <row r="248" spans="1:19">
      <c r="A248" s="123"/>
      <c r="B248" s="254" t="s">
        <v>875</v>
      </c>
      <c r="C248" s="42" t="s">
        <v>117</v>
      </c>
      <c r="D248" s="351">
        <v>176</v>
      </c>
      <c r="E248" s="124" t="s">
        <v>876</v>
      </c>
      <c r="F248" s="351">
        <v>176</v>
      </c>
      <c r="G248" s="351" t="s">
        <v>2813</v>
      </c>
      <c r="H248" s="351"/>
      <c r="I248" s="351" t="s">
        <v>2681</v>
      </c>
      <c r="J248" s="351" t="s">
        <v>2328</v>
      </c>
      <c r="K248" s="311">
        <v>108513.9</v>
      </c>
      <c r="L248" s="311">
        <v>0</v>
      </c>
      <c r="M248" s="311">
        <v>45819.240000000005</v>
      </c>
      <c r="N248" s="311">
        <v>13657.800000000001</v>
      </c>
      <c r="O248" s="311">
        <v>9560.4600000000009</v>
      </c>
      <c r="P248" s="68">
        <f t="shared" si="49"/>
        <v>177551.4</v>
      </c>
      <c r="Q248" s="68">
        <f t="shared" si="50"/>
        <v>31249046.399999999</v>
      </c>
      <c r="R248" s="127">
        <f t="shared" si="51"/>
        <v>31249046.399999999</v>
      </c>
      <c r="S248" s="15"/>
    </row>
    <row r="249" spans="1:19">
      <c r="A249" s="123"/>
      <c r="B249" s="254" t="s">
        <v>877</v>
      </c>
      <c r="C249" s="42" t="s">
        <v>117</v>
      </c>
      <c r="D249" s="351">
        <v>3163.2510000000002</v>
      </c>
      <c r="E249" s="124" t="s">
        <v>869</v>
      </c>
      <c r="F249" s="351">
        <v>3163.2510000000002</v>
      </c>
      <c r="G249" s="351" t="s">
        <v>2814</v>
      </c>
      <c r="H249" s="351"/>
      <c r="I249" s="351" t="s">
        <v>2681</v>
      </c>
      <c r="J249" s="351" t="s">
        <v>2328</v>
      </c>
      <c r="K249" s="311">
        <v>102981.42000000001</v>
      </c>
      <c r="L249" s="311">
        <v>0</v>
      </c>
      <c r="M249" s="311">
        <v>36178.080000000002</v>
      </c>
      <c r="N249" s="311">
        <v>12315</v>
      </c>
      <c r="O249" s="311">
        <v>8620.5</v>
      </c>
      <c r="P249" s="68">
        <f t="shared" si="49"/>
        <v>160095</v>
      </c>
      <c r="Q249" s="68">
        <f t="shared" si="50"/>
        <v>506420668.84500003</v>
      </c>
      <c r="R249" s="127">
        <f t="shared" si="51"/>
        <v>506420668.84500003</v>
      </c>
      <c r="S249" s="18"/>
    </row>
    <row r="250" spans="1:19">
      <c r="A250" s="123"/>
      <c r="B250" s="254" t="s">
        <v>877</v>
      </c>
      <c r="C250" s="42" t="s">
        <v>117</v>
      </c>
      <c r="D250" s="351">
        <v>6.6419999999999995</v>
      </c>
      <c r="E250" s="124" t="s">
        <v>876</v>
      </c>
      <c r="F250" s="351">
        <v>6.6419999999999995</v>
      </c>
      <c r="G250" s="351" t="s">
        <v>2815</v>
      </c>
      <c r="H250" s="351"/>
      <c r="I250" s="351" t="s">
        <v>2681</v>
      </c>
      <c r="J250" s="351" t="s">
        <v>2328</v>
      </c>
      <c r="K250" s="311">
        <v>86024.640000000014</v>
      </c>
      <c r="L250" s="311">
        <v>0</v>
      </c>
      <c r="M250" s="311">
        <v>36178.080000000002</v>
      </c>
      <c r="N250" s="311">
        <v>10814.400000000001</v>
      </c>
      <c r="O250" s="311">
        <v>7570.0800000000008</v>
      </c>
      <c r="P250" s="68">
        <f t="shared" si="49"/>
        <v>140587.20000000001</v>
      </c>
      <c r="Q250" s="68">
        <f t="shared" si="50"/>
        <v>933780.18240000005</v>
      </c>
      <c r="R250" s="127">
        <f t="shared" si="51"/>
        <v>933780.18240000005</v>
      </c>
      <c r="S250" s="15"/>
    </row>
    <row r="251" spans="1:19">
      <c r="A251" s="123"/>
      <c r="B251" s="254" t="s">
        <v>878</v>
      </c>
      <c r="C251" s="42" t="s">
        <v>117</v>
      </c>
      <c r="D251" s="352">
        <v>223</v>
      </c>
      <c r="E251" s="130" t="s">
        <v>869</v>
      </c>
      <c r="F251" s="352">
        <v>223</v>
      </c>
      <c r="G251" s="351" t="s">
        <v>2821</v>
      </c>
      <c r="H251" s="351"/>
      <c r="I251" s="351" t="s">
        <v>2681</v>
      </c>
      <c r="J251" s="351" t="s">
        <v>2328</v>
      </c>
      <c r="K251" s="311">
        <v>68240.7</v>
      </c>
      <c r="L251" s="311">
        <v>0</v>
      </c>
      <c r="M251" s="311">
        <v>29737.08</v>
      </c>
      <c r="N251" s="311">
        <v>8670.6</v>
      </c>
      <c r="O251" s="311">
        <v>6069.420000000001</v>
      </c>
      <c r="P251" s="68">
        <f t="shared" si="49"/>
        <v>112717.8</v>
      </c>
      <c r="Q251" s="68">
        <f t="shared" si="50"/>
        <v>25136069.400000002</v>
      </c>
      <c r="R251" s="127">
        <f t="shared" si="51"/>
        <v>25136069.400000002</v>
      </c>
      <c r="S251" s="15"/>
    </row>
    <row r="252" spans="1:19">
      <c r="A252" s="123"/>
      <c r="B252" s="254" t="s">
        <v>878</v>
      </c>
      <c r="C252" s="42" t="s">
        <v>117</v>
      </c>
      <c r="D252" s="351">
        <v>182</v>
      </c>
      <c r="E252" s="124" t="s">
        <v>876</v>
      </c>
      <c r="F252" s="351">
        <v>182</v>
      </c>
      <c r="G252" s="351" t="s">
        <v>2816</v>
      </c>
      <c r="H252" s="351"/>
      <c r="I252" s="351" t="s">
        <v>2681</v>
      </c>
      <c r="J252" s="351" t="s">
        <v>2328</v>
      </c>
      <c r="K252" s="311">
        <v>54937.210000000006</v>
      </c>
      <c r="L252" s="311">
        <v>0</v>
      </c>
      <c r="M252" s="311">
        <v>29737.08</v>
      </c>
      <c r="N252" s="311">
        <v>7493.3</v>
      </c>
      <c r="O252" s="311">
        <v>5245.31</v>
      </c>
      <c r="P252" s="68">
        <f t="shared" si="49"/>
        <v>97412.900000000009</v>
      </c>
      <c r="Q252" s="68">
        <f t="shared" si="50"/>
        <v>17729147.800000001</v>
      </c>
      <c r="R252" s="127">
        <f t="shared" si="51"/>
        <v>17729147.800000001</v>
      </c>
      <c r="S252" s="15"/>
    </row>
    <row r="253" spans="1:19">
      <c r="A253" s="123">
        <v>2</v>
      </c>
      <c r="B253" s="254" t="s">
        <v>881</v>
      </c>
      <c r="C253" s="42"/>
      <c r="D253" s="351"/>
      <c r="E253" s="124"/>
      <c r="F253" s="351"/>
      <c r="G253" s="38"/>
      <c r="H253" s="38"/>
      <c r="I253" s="38"/>
      <c r="J253" s="38"/>
      <c r="K253" s="65"/>
      <c r="L253" s="65"/>
      <c r="M253" s="65"/>
      <c r="N253" s="65"/>
      <c r="O253" s="65"/>
      <c r="P253" s="65"/>
      <c r="Q253" s="65"/>
      <c r="R253" s="65"/>
      <c r="S253" s="38"/>
    </row>
    <row r="254" spans="1:19">
      <c r="A254" s="123"/>
      <c r="B254" s="254" t="s">
        <v>870</v>
      </c>
      <c r="C254" s="42" t="s">
        <v>117</v>
      </c>
      <c r="D254" s="351">
        <v>133.46600000000001</v>
      </c>
      <c r="E254" s="124" t="s">
        <v>882</v>
      </c>
      <c r="F254" s="351">
        <v>133.46600000000001</v>
      </c>
      <c r="G254" s="351" t="s">
        <v>2817</v>
      </c>
      <c r="H254" s="351"/>
      <c r="I254" s="351" t="s">
        <v>2681</v>
      </c>
      <c r="J254" s="351" t="s">
        <v>2328</v>
      </c>
      <c r="K254" s="311">
        <v>347766.54</v>
      </c>
      <c r="L254" s="311">
        <v>0</v>
      </c>
      <c r="M254" s="311">
        <v>90926.580000000016</v>
      </c>
      <c r="N254" s="311">
        <v>38822.399999999994</v>
      </c>
      <c r="O254" s="311">
        <v>27175.68</v>
      </c>
      <c r="P254" s="68">
        <f t="shared" ref="P254:P259" si="52">SUM(K254:O254)</f>
        <v>504691.20000000001</v>
      </c>
      <c r="Q254" s="68">
        <f t="shared" ref="Q254:Q259" si="53">D254*P254</f>
        <v>67359115.699200004</v>
      </c>
      <c r="R254" s="127">
        <f t="shared" ref="R254:R259" si="54">F254*P254</f>
        <v>67359115.699200004</v>
      </c>
      <c r="S254" s="36"/>
    </row>
    <row r="255" spans="1:19">
      <c r="A255" s="123"/>
      <c r="B255" s="254" t="s">
        <v>874</v>
      </c>
      <c r="C255" s="42" t="s">
        <v>117</v>
      </c>
      <c r="D255" s="351">
        <v>432.88099999999997</v>
      </c>
      <c r="E255" s="124" t="s">
        <v>882</v>
      </c>
      <c r="F255" s="351">
        <v>432.88099999999997</v>
      </c>
      <c r="G255" s="351" t="s">
        <v>2818</v>
      </c>
      <c r="H255" s="351"/>
      <c r="I255" s="351" t="s">
        <v>2681</v>
      </c>
      <c r="J255" s="351" t="s">
        <v>2328</v>
      </c>
      <c r="K255" s="311">
        <v>106351.07999999999</v>
      </c>
      <c r="L255" s="311">
        <v>0</v>
      </c>
      <c r="M255" s="311">
        <v>45819.240000000005</v>
      </c>
      <c r="N255" s="311">
        <v>13466.400000000001</v>
      </c>
      <c r="O255" s="311">
        <v>9426.4800000000014</v>
      </c>
      <c r="P255" s="68">
        <f t="shared" si="52"/>
        <v>175063.2</v>
      </c>
      <c r="Q255" s="68">
        <f t="shared" si="53"/>
        <v>75781533.0792</v>
      </c>
      <c r="R255" s="127">
        <f t="shared" si="54"/>
        <v>75781533.0792</v>
      </c>
      <c r="S255" s="15"/>
    </row>
    <row r="256" spans="1:19">
      <c r="A256" s="123"/>
      <c r="B256" s="254" t="s">
        <v>877</v>
      </c>
      <c r="C256" s="42" t="s">
        <v>117</v>
      </c>
      <c r="D256" s="351">
        <v>258.096</v>
      </c>
      <c r="E256" s="124" t="s">
        <v>882</v>
      </c>
      <c r="F256" s="351">
        <v>258.096</v>
      </c>
      <c r="G256" s="351" t="s">
        <v>2819</v>
      </c>
      <c r="H256" s="351"/>
      <c r="I256" s="351" t="s">
        <v>2681</v>
      </c>
      <c r="J256" s="351" t="s">
        <v>2328</v>
      </c>
      <c r="K256" s="311">
        <v>61416.630000000005</v>
      </c>
      <c r="L256" s="311">
        <v>0</v>
      </c>
      <c r="M256" s="311">
        <v>36178.080000000002</v>
      </c>
      <c r="N256" s="311">
        <v>8636.7000000000007</v>
      </c>
      <c r="O256" s="311">
        <v>6045.6900000000005</v>
      </c>
      <c r="P256" s="68">
        <f t="shared" si="52"/>
        <v>112277.1</v>
      </c>
      <c r="Q256" s="68">
        <f t="shared" si="53"/>
        <v>28978270.401600003</v>
      </c>
      <c r="R256" s="127">
        <f t="shared" si="54"/>
        <v>28978270.401600003</v>
      </c>
      <c r="S256" s="37"/>
    </row>
    <row r="257" spans="1:19">
      <c r="A257" s="123"/>
      <c r="B257" s="254" t="s">
        <v>878</v>
      </c>
      <c r="C257" s="42" t="s">
        <v>117</v>
      </c>
      <c r="D257" s="351">
        <v>3093.6290000000004</v>
      </c>
      <c r="E257" s="124" t="s">
        <v>882</v>
      </c>
      <c r="F257" s="351">
        <v>3093.6290000000004</v>
      </c>
      <c r="G257" s="351" t="s">
        <v>2820</v>
      </c>
      <c r="H257" s="351"/>
      <c r="I257" s="351" t="s">
        <v>2681</v>
      </c>
      <c r="J257" s="351" t="s">
        <v>2328</v>
      </c>
      <c r="K257" s="311">
        <v>41909.440000000002</v>
      </c>
      <c r="L257" s="311">
        <v>0</v>
      </c>
      <c r="M257" s="311">
        <v>29737.08</v>
      </c>
      <c r="N257" s="311">
        <v>6340.4000000000005</v>
      </c>
      <c r="O257" s="311">
        <v>4438.2800000000007</v>
      </c>
      <c r="P257" s="68">
        <f t="shared" si="52"/>
        <v>82425.2</v>
      </c>
      <c r="Q257" s="68">
        <f t="shared" si="53"/>
        <v>254992989.05080003</v>
      </c>
      <c r="R257" s="127">
        <f t="shared" si="54"/>
        <v>254992989.05080003</v>
      </c>
      <c r="S257" s="37"/>
    </row>
    <row r="258" spans="1:19">
      <c r="A258" s="123"/>
      <c r="B258" s="254" t="s">
        <v>879</v>
      </c>
      <c r="C258" s="42" t="s">
        <v>117</v>
      </c>
      <c r="D258" s="351">
        <v>12</v>
      </c>
      <c r="E258" s="124" t="s">
        <v>882</v>
      </c>
      <c r="F258" s="351">
        <v>12</v>
      </c>
      <c r="G258" s="351" t="s">
        <v>2822</v>
      </c>
      <c r="H258" s="351"/>
      <c r="I258" s="351" t="s">
        <v>2681</v>
      </c>
      <c r="J258" s="351" t="s">
        <v>2328</v>
      </c>
      <c r="K258" s="311">
        <v>29364.180000000004</v>
      </c>
      <c r="L258" s="311">
        <v>0</v>
      </c>
      <c r="M258" s="311">
        <v>25465.680000000004</v>
      </c>
      <c r="N258" s="311">
        <v>4852.2</v>
      </c>
      <c r="O258" s="311">
        <v>3396.5400000000004</v>
      </c>
      <c r="P258" s="68">
        <f t="shared" si="52"/>
        <v>63078.600000000006</v>
      </c>
      <c r="Q258" s="68">
        <f t="shared" si="53"/>
        <v>756943.20000000007</v>
      </c>
      <c r="R258" s="127">
        <f t="shared" si="54"/>
        <v>756943.20000000007</v>
      </c>
      <c r="S258" s="37"/>
    </row>
    <row r="259" spans="1:19">
      <c r="A259" s="123"/>
      <c r="B259" s="254" t="s">
        <v>883</v>
      </c>
      <c r="C259" s="42" t="s">
        <v>117</v>
      </c>
      <c r="D259" s="351">
        <v>106</v>
      </c>
      <c r="E259" s="124" t="s">
        <v>882</v>
      </c>
      <c r="F259" s="351">
        <v>106</v>
      </c>
      <c r="G259" s="351" t="s">
        <v>2823</v>
      </c>
      <c r="H259" s="351"/>
      <c r="I259" s="351" t="s">
        <v>2681</v>
      </c>
      <c r="J259" s="351" t="s">
        <v>2328</v>
      </c>
      <c r="K259" s="311">
        <v>14268.510000000002</v>
      </c>
      <c r="L259" s="311">
        <v>0</v>
      </c>
      <c r="M259" s="311">
        <v>22685.88</v>
      </c>
      <c r="N259" s="311">
        <v>3270.3</v>
      </c>
      <c r="O259" s="311">
        <v>2289.21</v>
      </c>
      <c r="P259" s="68">
        <f t="shared" si="52"/>
        <v>42513.9</v>
      </c>
      <c r="Q259" s="68">
        <f t="shared" si="53"/>
        <v>4506473.4000000004</v>
      </c>
      <c r="R259" s="127">
        <f t="shared" si="54"/>
        <v>4506473.4000000004</v>
      </c>
      <c r="S259" s="38"/>
    </row>
    <row r="260" spans="1:19">
      <c r="A260" s="123">
        <v>3</v>
      </c>
      <c r="B260" s="254" t="s">
        <v>884</v>
      </c>
      <c r="C260" s="42"/>
      <c r="D260" s="351"/>
      <c r="E260" s="124"/>
      <c r="F260" s="351"/>
      <c r="G260" s="36"/>
      <c r="H260" s="36"/>
      <c r="I260" s="36"/>
      <c r="J260" s="36"/>
      <c r="K260" s="65"/>
      <c r="L260" s="65"/>
      <c r="M260" s="65"/>
      <c r="N260" s="65"/>
      <c r="O260" s="65"/>
      <c r="P260" s="65"/>
      <c r="Q260" s="65"/>
      <c r="R260" s="65"/>
      <c r="S260" s="36"/>
    </row>
    <row r="261" spans="1:19" s="131" customFormat="1">
      <c r="A261" s="126"/>
      <c r="B261" s="253" t="s">
        <v>868</v>
      </c>
      <c r="C261" s="126" t="s">
        <v>117</v>
      </c>
      <c r="D261" s="352">
        <v>12</v>
      </c>
      <c r="E261" s="130" t="s">
        <v>885</v>
      </c>
      <c r="F261" s="352">
        <v>12</v>
      </c>
      <c r="G261" s="15" t="s">
        <v>2826</v>
      </c>
      <c r="H261" s="315"/>
      <c r="I261" s="15" t="s">
        <v>2681</v>
      </c>
      <c r="J261" s="15" t="s">
        <v>2328</v>
      </c>
      <c r="K261" s="311">
        <v>634558.28</v>
      </c>
      <c r="L261" s="311">
        <v>0</v>
      </c>
      <c r="M261" s="311">
        <v>83116.02</v>
      </c>
      <c r="N261" s="311">
        <v>63511</v>
      </c>
      <c r="O261" s="311">
        <v>44457.700000000004</v>
      </c>
      <c r="P261" s="68">
        <f t="shared" ref="P261:P264" si="55">SUM(K261:O261)</f>
        <v>825643</v>
      </c>
      <c r="Q261" s="68">
        <f>D261*P261</f>
        <v>9907716</v>
      </c>
      <c r="R261" s="127">
        <f>F261*P261</f>
        <v>9907716</v>
      </c>
      <c r="S261" s="509"/>
    </row>
    <row r="262" spans="1:19" s="131" customFormat="1">
      <c r="A262" s="126"/>
      <c r="B262" s="253" t="s">
        <v>871</v>
      </c>
      <c r="C262" s="126" t="s">
        <v>117</v>
      </c>
      <c r="D262" s="352">
        <v>12</v>
      </c>
      <c r="E262" s="130" t="s">
        <v>885</v>
      </c>
      <c r="F262" s="352">
        <v>12</v>
      </c>
      <c r="G262" s="15" t="s">
        <v>2827</v>
      </c>
      <c r="H262" s="315"/>
      <c r="I262" s="15" t="s">
        <v>2681</v>
      </c>
      <c r="J262" s="15" t="s">
        <v>2328</v>
      </c>
      <c r="K262" s="311">
        <v>326651.36000000004</v>
      </c>
      <c r="L262" s="311">
        <v>0</v>
      </c>
      <c r="M262" s="311">
        <v>70430.640000000014</v>
      </c>
      <c r="N262" s="311">
        <v>35140</v>
      </c>
      <c r="O262" s="311">
        <v>24598.000000000004</v>
      </c>
      <c r="P262" s="68">
        <f t="shared" si="55"/>
        <v>456820.00000000006</v>
      </c>
      <c r="Q262" s="68">
        <f>D262*P262</f>
        <v>5481840.0000000009</v>
      </c>
      <c r="R262" s="127">
        <f>F262*P262</f>
        <v>5481840.0000000009</v>
      </c>
      <c r="S262" s="509"/>
    </row>
    <row r="263" spans="1:19">
      <c r="A263" s="123"/>
      <c r="B263" s="254" t="s">
        <v>874</v>
      </c>
      <c r="C263" s="42" t="s">
        <v>117</v>
      </c>
      <c r="D263" s="351">
        <v>36</v>
      </c>
      <c r="E263" s="124" t="s">
        <v>885</v>
      </c>
      <c r="F263" s="351">
        <v>36</v>
      </c>
      <c r="G263" s="15" t="s">
        <v>2824</v>
      </c>
      <c r="H263" s="15"/>
      <c r="I263" s="15" t="s">
        <v>2681</v>
      </c>
      <c r="J263" s="15" t="s">
        <v>2328</v>
      </c>
      <c r="K263" s="311">
        <v>160376.38000000006</v>
      </c>
      <c r="L263" s="311">
        <v>0</v>
      </c>
      <c r="M263" s="311">
        <v>54972.240000000005</v>
      </c>
      <c r="N263" s="311">
        <v>19057.400000000005</v>
      </c>
      <c r="O263" s="311">
        <v>13340.180000000004</v>
      </c>
      <c r="P263" s="68">
        <f t="shared" si="55"/>
        <v>247746.20000000004</v>
      </c>
      <c r="Q263" s="68">
        <f>D263*P263</f>
        <v>8918863.2000000011</v>
      </c>
      <c r="R263" s="127">
        <f>F263*P263</f>
        <v>8918863.2000000011</v>
      </c>
      <c r="S263" s="15"/>
    </row>
    <row r="264" spans="1:19">
      <c r="A264" s="123"/>
      <c r="B264" s="254" t="s">
        <v>879</v>
      </c>
      <c r="C264" s="42" t="s">
        <v>117</v>
      </c>
      <c r="D264" s="351">
        <v>131.69999999999999</v>
      </c>
      <c r="E264" s="124" t="s">
        <v>885</v>
      </c>
      <c r="F264" s="351">
        <v>131.69999999999999</v>
      </c>
      <c r="G264" s="15" t="s">
        <v>2825</v>
      </c>
      <c r="H264" s="15"/>
      <c r="I264" s="15" t="s">
        <v>2681</v>
      </c>
      <c r="J264" s="15" t="s">
        <v>2328</v>
      </c>
      <c r="K264" s="311">
        <v>46795.560000000012</v>
      </c>
      <c r="L264" s="311">
        <v>0</v>
      </c>
      <c r="M264" s="311">
        <v>28977.72</v>
      </c>
      <c r="N264" s="311">
        <v>6705.6</v>
      </c>
      <c r="O264" s="311">
        <v>4693.92</v>
      </c>
      <c r="P264" s="68">
        <f t="shared" si="55"/>
        <v>87172.800000000017</v>
      </c>
      <c r="Q264" s="68">
        <f>D264*P264</f>
        <v>11480657.760000002</v>
      </c>
      <c r="R264" s="127">
        <f>F264*P264</f>
        <v>11480657.760000002</v>
      </c>
      <c r="S264" s="15"/>
    </row>
    <row r="265" spans="1:19">
      <c r="A265" s="123">
        <v>4</v>
      </c>
      <c r="B265" s="254" t="s">
        <v>887</v>
      </c>
      <c r="C265" s="42"/>
      <c r="D265" s="351"/>
      <c r="E265" s="124"/>
      <c r="F265" s="351"/>
      <c r="G265" s="37"/>
      <c r="H265" s="37"/>
      <c r="I265" s="37"/>
      <c r="J265" s="37"/>
      <c r="K265" s="66"/>
      <c r="L265" s="66"/>
      <c r="M265" s="66"/>
      <c r="N265" s="66"/>
      <c r="O265" s="66"/>
      <c r="P265" s="66"/>
      <c r="Q265" s="66"/>
      <c r="R265" s="66"/>
      <c r="S265" s="37"/>
    </row>
    <row r="266" spans="1:19" ht="30">
      <c r="A266" s="123"/>
      <c r="B266" s="254" t="s">
        <v>888</v>
      </c>
      <c r="C266" s="42" t="s">
        <v>117</v>
      </c>
      <c r="D266" s="351">
        <v>26</v>
      </c>
      <c r="E266" s="124"/>
      <c r="F266" s="351">
        <v>26</v>
      </c>
      <c r="G266" s="26" t="s">
        <v>2829</v>
      </c>
      <c r="H266" s="37"/>
      <c r="I266" s="37" t="s">
        <v>2828</v>
      </c>
      <c r="J266" s="37" t="s">
        <v>2328</v>
      </c>
      <c r="K266" s="311">
        <v>392901.00000000012</v>
      </c>
      <c r="L266" s="311">
        <v>0</v>
      </c>
      <c r="M266" s="311">
        <v>131211.08000000002</v>
      </c>
      <c r="N266" s="311">
        <v>46381.600000000006</v>
      </c>
      <c r="O266" s="311">
        <v>32467.120000000006</v>
      </c>
      <c r="P266" s="68">
        <f>SUM(K266:O266)</f>
        <v>602960.80000000016</v>
      </c>
      <c r="Q266" s="68">
        <f>D266*P266</f>
        <v>15676980.800000004</v>
      </c>
      <c r="R266" s="127">
        <f>F266*P266</f>
        <v>15676980.800000004</v>
      </c>
      <c r="S266" s="37"/>
    </row>
    <row r="267" spans="1:19">
      <c r="A267" s="123">
        <v>6</v>
      </c>
      <c r="B267" s="254" t="s">
        <v>890</v>
      </c>
      <c r="C267" s="42"/>
      <c r="D267" s="351"/>
      <c r="E267" s="124"/>
      <c r="F267" s="351"/>
      <c r="G267" s="15"/>
      <c r="H267" s="15"/>
      <c r="I267" s="15"/>
      <c r="J267" s="15"/>
      <c r="K267" s="66"/>
      <c r="L267" s="66"/>
      <c r="M267" s="66"/>
      <c r="N267" s="66"/>
      <c r="O267" s="66"/>
      <c r="P267" s="66"/>
      <c r="Q267" s="66"/>
      <c r="R267" s="66"/>
      <c r="S267" s="15"/>
    </row>
    <row r="268" spans="1:19">
      <c r="A268" s="123"/>
      <c r="B268" s="254" t="s">
        <v>891</v>
      </c>
      <c r="C268" s="42" t="s">
        <v>8</v>
      </c>
      <c r="D268" s="351">
        <v>9</v>
      </c>
      <c r="E268" s="124"/>
      <c r="F268" s="351">
        <v>9</v>
      </c>
      <c r="G268" s="351" t="s">
        <v>2830</v>
      </c>
      <c r="H268" s="351"/>
      <c r="I268" s="351" t="s">
        <v>2681</v>
      </c>
      <c r="J268" s="351" t="s">
        <v>2328</v>
      </c>
      <c r="K268" s="311">
        <v>2341079.7600000002</v>
      </c>
      <c r="L268" s="311">
        <v>0</v>
      </c>
      <c r="M268" s="311">
        <v>74111.563636363644</v>
      </c>
      <c r="N268" s="311">
        <v>213733.74545454548</v>
      </c>
      <c r="O268" s="311">
        <v>149613.62181818183</v>
      </c>
      <c r="P268" s="68">
        <f t="shared" ref="P268:P294" si="56">SUM(K268:O268)</f>
        <v>2778538.6909090914</v>
      </c>
      <c r="Q268" s="68">
        <f t="shared" ref="Q268:Q294" si="57">D268*P268</f>
        <v>25006848.218181822</v>
      </c>
      <c r="R268" s="127">
        <f t="shared" ref="R268:R294" si="58">F268*P268</f>
        <v>25006848.218181822</v>
      </c>
      <c r="S268" s="308"/>
    </row>
    <row r="269" spans="1:19">
      <c r="A269" s="123"/>
      <c r="B269" s="254" t="s">
        <v>892</v>
      </c>
      <c r="C269" s="42" t="s">
        <v>8</v>
      </c>
      <c r="D269" s="351">
        <v>4</v>
      </c>
      <c r="E269" s="124"/>
      <c r="F269" s="351">
        <v>4</v>
      </c>
      <c r="G269" s="351" t="s">
        <v>2831</v>
      </c>
      <c r="H269" s="351"/>
      <c r="I269" s="351" t="s">
        <v>2681</v>
      </c>
      <c r="J269" s="351" t="s">
        <v>2328</v>
      </c>
      <c r="K269" s="311">
        <v>2989980.0000000005</v>
      </c>
      <c r="L269" s="311">
        <v>0</v>
      </c>
      <c r="M269" s="311">
        <v>74111.563636363644</v>
      </c>
      <c r="N269" s="311">
        <v>271158.54545454547</v>
      </c>
      <c r="O269" s="311">
        <v>189810.98181818184</v>
      </c>
      <c r="P269" s="68">
        <f t="shared" si="56"/>
        <v>3525061.0909090913</v>
      </c>
      <c r="Q269" s="68">
        <f t="shared" si="57"/>
        <v>14100244.363636365</v>
      </c>
      <c r="R269" s="127">
        <f t="shared" si="58"/>
        <v>14100244.363636365</v>
      </c>
      <c r="S269" s="38"/>
    </row>
    <row r="270" spans="1:19">
      <c r="A270" s="123"/>
      <c r="B270" s="254" t="s">
        <v>893</v>
      </c>
      <c r="C270" s="42" t="s">
        <v>8</v>
      </c>
      <c r="D270" s="351">
        <v>2</v>
      </c>
      <c r="E270" s="124"/>
      <c r="F270" s="351">
        <v>2</v>
      </c>
      <c r="G270" s="351" t="s">
        <v>2832</v>
      </c>
      <c r="H270" s="351"/>
      <c r="I270" s="351" t="s">
        <v>2681</v>
      </c>
      <c r="J270" s="351" t="s">
        <v>2328</v>
      </c>
      <c r="K270" s="311">
        <v>965763.54000000015</v>
      </c>
      <c r="L270" s="311">
        <v>0</v>
      </c>
      <c r="M270" s="311">
        <v>74111.563636363644</v>
      </c>
      <c r="N270" s="311">
        <v>92024.345454545459</v>
      </c>
      <c r="O270" s="311">
        <v>64417.041818181824</v>
      </c>
      <c r="P270" s="68">
        <f t="shared" si="56"/>
        <v>1196316.490909091</v>
      </c>
      <c r="Q270" s="68">
        <f t="shared" si="57"/>
        <v>2392632.9818181819</v>
      </c>
      <c r="R270" s="127">
        <f t="shared" si="58"/>
        <v>2392632.9818181819</v>
      </c>
      <c r="S270" s="36"/>
    </row>
    <row r="271" spans="1:19">
      <c r="A271" s="123"/>
      <c r="B271" s="254" t="s">
        <v>894</v>
      </c>
      <c r="C271" s="42" t="s">
        <v>8</v>
      </c>
      <c r="D271" s="351">
        <v>2</v>
      </c>
      <c r="E271" s="124"/>
      <c r="F271" s="351">
        <v>2</v>
      </c>
      <c r="G271" s="351" t="s">
        <v>2833</v>
      </c>
      <c r="H271" s="351"/>
      <c r="I271" s="351" t="s">
        <v>2681</v>
      </c>
      <c r="J271" s="351" t="s">
        <v>2328</v>
      </c>
      <c r="K271" s="311">
        <v>663044.67600000009</v>
      </c>
      <c r="L271" s="311">
        <v>0</v>
      </c>
      <c r="M271" s="311">
        <v>74111.563636363644</v>
      </c>
      <c r="N271" s="311">
        <v>65235.065454545467</v>
      </c>
      <c r="O271" s="311">
        <v>45664.545818181832</v>
      </c>
      <c r="P271" s="68">
        <f t="shared" si="56"/>
        <v>848055.85090909095</v>
      </c>
      <c r="Q271" s="68">
        <f t="shared" si="57"/>
        <v>1696111.7018181819</v>
      </c>
      <c r="R271" s="127">
        <f t="shared" si="58"/>
        <v>1696111.7018181819</v>
      </c>
      <c r="S271" s="15"/>
    </row>
    <row r="272" spans="1:19">
      <c r="A272" s="123"/>
      <c r="B272" s="254" t="s">
        <v>895</v>
      </c>
      <c r="C272" s="42" t="s">
        <v>8</v>
      </c>
      <c r="D272" s="351">
        <v>11</v>
      </c>
      <c r="E272" s="124"/>
      <c r="F272" s="351">
        <v>11</v>
      </c>
      <c r="G272" s="351" t="s">
        <v>2834</v>
      </c>
      <c r="H272" s="351"/>
      <c r="I272" s="351" t="s">
        <v>2681</v>
      </c>
      <c r="J272" s="351" t="s">
        <v>2328</v>
      </c>
      <c r="K272" s="311">
        <v>1037340.0000000002</v>
      </c>
      <c r="L272" s="311">
        <v>0</v>
      </c>
      <c r="M272" s="311">
        <v>74111.563636363644</v>
      </c>
      <c r="N272" s="311">
        <v>98358.54545454547</v>
      </c>
      <c r="O272" s="311">
        <v>68850.981818181841</v>
      </c>
      <c r="P272" s="68">
        <f t="shared" si="56"/>
        <v>1278661.0909090913</v>
      </c>
      <c r="Q272" s="68">
        <f t="shared" si="57"/>
        <v>14065272.000000004</v>
      </c>
      <c r="R272" s="127">
        <f t="shared" si="58"/>
        <v>14065272.000000004</v>
      </c>
      <c r="S272" s="18"/>
    </row>
    <row r="273" spans="1:19">
      <c r="A273" s="123"/>
      <c r="B273" s="254" t="s">
        <v>896</v>
      </c>
      <c r="C273" s="42" t="s">
        <v>8</v>
      </c>
      <c r="D273" s="351">
        <v>15</v>
      </c>
      <c r="E273" s="124"/>
      <c r="F273" s="351">
        <v>15</v>
      </c>
      <c r="G273" s="351" t="s">
        <v>2835</v>
      </c>
      <c r="H273" s="351"/>
      <c r="I273" s="351" t="s">
        <v>2681</v>
      </c>
      <c r="J273" s="351" t="s">
        <v>2328</v>
      </c>
      <c r="K273" s="311">
        <v>524594.36400000006</v>
      </c>
      <c r="L273" s="311">
        <v>0</v>
      </c>
      <c r="M273" s="311">
        <v>70265.454545454544</v>
      </c>
      <c r="N273" s="311">
        <v>52642.461818181822</v>
      </c>
      <c r="O273" s="311">
        <v>36849.723272727279</v>
      </c>
      <c r="P273" s="68">
        <f t="shared" si="56"/>
        <v>684352.00363636366</v>
      </c>
      <c r="Q273" s="68">
        <f t="shared" si="57"/>
        <v>10265280.054545455</v>
      </c>
      <c r="R273" s="127">
        <f t="shared" si="58"/>
        <v>10265280.054545455</v>
      </c>
      <c r="S273" s="15"/>
    </row>
    <row r="274" spans="1:19">
      <c r="A274" s="123"/>
      <c r="B274" s="254" t="s">
        <v>897</v>
      </c>
      <c r="C274" s="42" t="s">
        <v>8</v>
      </c>
      <c r="D274" s="351">
        <v>4</v>
      </c>
      <c r="E274" s="124"/>
      <c r="F274" s="351">
        <v>4</v>
      </c>
      <c r="G274" s="351" t="s">
        <v>2836</v>
      </c>
      <c r="H274" s="351"/>
      <c r="I274" s="351" t="s">
        <v>2681</v>
      </c>
      <c r="J274" s="351" t="s">
        <v>2328</v>
      </c>
      <c r="K274" s="311">
        <v>2379780.0000000005</v>
      </c>
      <c r="L274" s="311">
        <v>0</v>
      </c>
      <c r="M274" s="311">
        <v>70265.454545454544</v>
      </c>
      <c r="N274" s="311">
        <v>216818.18181818185</v>
      </c>
      <c r="O274" s="311">
        <v>151772.72727272729</v>
      </c>
      <c r="P274" s="68">
        <f t="shared" si="56"/>
        <v>2818636.3636363642</v>
      </c>
      <c r="Q274" s="68">
        <f t="shared" si="57"/>
        <v>11274545.454545457</v>
      </c>
      <c r="R274" s="127">
        <f t="shared" si="58"/>
        <v>11274545.454545457</v>
      </c>
      <c r="S274" s="15"/>
    </row>
    <row r="275" spans="1:19" ht="30">
      <c r="A275" s="123"/>
      <c r="B275" s="254" t="s">
        <v>898</v>
      </c>
      <c r="C275" s="42" t="s">
        <v>8</v>
      </c>
      <c r="D275" s="351">
        <v>5</v>
      </c>
      <c r="E275" s="124"/>
      <c r="F275" s="351">
        <v>5</v>
      </c>
      <c r="G275" s="351" t="s">
        <v>2837</v>
      </c>
      <c r="H275" s="351"/>
      <c r="I275" s="351" t="s">
        <v>2681</v>
      </c>
      <c r="J275" s="351" t="s">
        <v>2328</v>
      </c>
      <c r="K275" s="311">
        <v>440150.82000000007</v>
      </c>
      <c r="L275" s="311">
        <v>0</v>
      </c>
      <c r="M275" s="311">
        <v>70265.454545454544</v>
      </c>
      <c r="N275" s="311">
        <v>45169.581818181818</v>
      </c>
      <c r="O275" s="311">
        <v>31618.707272727275</v>
      </c>
      <c r="P275" s="68">
        <f t="shared" si="56"/>
        <v>587204.56363636372</v>
      </c>
      <c r="Q275" s="68">
        <f t="shared" si="57"/>
        <v>2936022.8181818184</v>
      </c>
      <c r="R275" s="127">
        <f t="shared" si="58"/>
        <v>2936022.8181818184</v>
      </c>
      <c r="S275" s="15"/>
    </row>
    <row r="276" spans="1:19">
      <c r="A276" s="123"/>
      <c r="B276" s="254" t="s">
        <v>899</v>
      </c>
      <c r="C276" s="42" t="s">
        <v>8</v>
      </c>
      <c r="D276" s="351">
        <v>29</v>
      </c>
      <c r="E276" s="124"/>
      <c r="F276" s="351">
        <v>29</v>
      </c>
      <c r="G276" s="351" t="s">
        <v>2838</v>
      </c>
      <c r="H276" s="351"/>
      <c r="I276" s="351" t="s">
        <v>2681</v>
      </c>
      <c r="J276" s="351" t="s">
        <v>2328</v>
      </c>
      <c r="K276" s="311">
        <v>732240.00000000012</v>
      </c>
      <c r="L276" s="311">
        <v>0</v>
      </c>
      <c r="M276" s="311">
        <v>50813.018181818181</v>
      </c>
      <c r="N276" s="311">
        <v>69296.727272727279</v>
      </c>
      <c r="O276" s="311">
        <v>48507.709090909091</v>
      </c>
      <c r="P276" s="68">
        <f t="shared" si="56"/>
        <v>900857.4545454547</v>
      </c>
      <c r="Q276" s="68">
        <f t="shared" si="57"/>
        <v>26124866.181818187</v>
      </c>
      <c r="R276" s="127">
        <f t="shared" si="58"/>
        <v>26124866.181818187</v>
      </c>
      <c r="S276" s="15"/>
    </row>
    <row r="277" spans="1:19">
      <c r="A277" s="123"/>
      <c r="B277" s="254" t="s">
        <v>900</v>
      </c>
      <c r="C277" s="42" t="s">
        <v>8</v>
      </c>
      <c r="D277" s="351">
        <v>4</v>
      </c>
      <c r="E277" s="124"/>
      <c r="F277" s="351">
        <v>4</v>
      </c>
      <c r="G277" s="351" t="s">
        <v>2839</v>
      </c>
      <c r="H277" s="351"/>
      <c r="I277" s="351" t="s">
        <v>2681</v>
      </c>
      <c r="J277" s="351" t="s">
        <v>2328</v>
      </c>
      <c r="K277" s="311">
        <v>671220.00000000012</v>
      </c>
      <c r="L277" s="311">
        <v>0</v>
      </c>
      <c r="M277" s="311">
        <v>50813.018181818181</v>
      </c>
      <c r="N277" s="311">
        <v>63896.727272727272</v>
      </c>
      <c r="O277" s="311">
        <v>44727.709090909091</v>
      </c>
      <c r="P277" s="68">
        <f t="shared" si="56"/>
        <v>830657.4545454547</v>
      </c>
      <c r="Q277" s="68">
        <f t="shared" si="57"/>
        <v>3322629.8181818188</v>
      </c>
      <c r="R277" s="127">
        <f t="shared" si="58"/>
        <v>3322629.8181818188</v>
      </c>
      <c r="S277" s="37"/>
    </row>
    <row r="278" spans="1:19">
      <c r="A278" s="123"/>
      <c r="B278" s="254" t="s">
        <v>901</v>
      </c>
      <c r="C278" s="42" t="s">
        <v>8</v>
      </c>
      <c r="D278" s="351">
        <v>2</v>
      </c>
      <c r="E278" s="124"/>
      <c r="F278" s="351">
        <v>2</v>
      </c>
      <c r="G278" s="351" t="s">
        <v>2840</v>
      </c>
      <c r="H278" s="351"/>
      <c r="I278" s="351" t="s">
        <v>2681</v>
      </c>
      <c r="J278" s="351" t="s">
        <v>2328</v>
      </c>
      <c r="K278" s="311">
        <v>610200.00000000012</v>
      </c>
      <c r="L278" s="311">
        <v>0</v>
      </c>
      <c r="M278" s="311">
        <v>50813.018181818181</v>
      </c>
      <c r="N278" s="311">
        <v>58496.727272727272</v>
      </c>
      <c r="O278" s="311">
        <v>40947.709090909091</v>
      </c>
      <c r="P278" s="68">
        <f t="shared" si="56"/>
        <v>760457.4545454547</v>
      </c>
      <c r="Q278" s="68">
        <f t="shared" si="57"/>
        <v>1520914.9090909094</v>
      </c>
      <c r="R278" s="127">
        <f t="shared" si="58"/>
        <v>1520914.9090909094</v>
      </c>
      <c r="S278" s="37"/>
    </row>
    <row r="279" spans="1:19">
      <c r="A279" s="123"/>
      <c r="B279" s="254" t="s">
        <v>902</v>
      </c>
      <c r="C279" s="42" t="s">
        <v>8</v>
      </c>
      <c r="D279" s="351">
        <v>7</v>
      </c>
      <c r="E279" s="124"/>
      <c r="F279" s="351">
        <v>7</v>
      </c>
      <c r="G279" s="351" t="s">
        <v>2841</v>
      </c>
      <c r="H279" s="351"/>
      <c r="I279" s="351" t="s">
        <v>2681</v>
      </c>
      <c r="J279" s="351" t="s">
        <v>2328</v>
      </c>
      <c r="K279" s="311">
        <v>253744.89</v>
      </c>
      <c r="L279" s="311">
        <v>0</v>
      </c>
      <c r="M279" s="311">
        <v>50813.018181818181</v>
      </c>
      <c r="N279" s="311">
        <v>26952.027272727271</v>
      </c>
      <c r="O279" s="311">
        <v>18866.41909090909</v>
      </c>
      <c r="P279" s="68">
        <f t="shared" si="56"/>
        <v>350376.35454545455</v>
      </c>
      <c r="Q279" s="68">
        <f t="shared" si="57"/>
        <v>2452634.4818181819</v>
      </c>
      <c r="R279" s="127">
        <f t="shared" si="58"/>
        <v>2452634.4818181819</v>
      </c>
      <c r="S279" s="37"/>
    </row>
    <row r="280" spans="1:19" ht="30">
      <c r="A280" s="123"/>
      <c r="B280" s="254" t="s">
        <v>903</v>
      </c>
      <c r="C280" s="42" t="s">
        <v>8</v>
      </c>
      <c r="D280" s="351">
        <v>12</v>
      </c>
      <c r="E280" s="124"/>
      <c r="F280" s="351">
        <v>12</v>
      </c>
      <c r="G280" s="351" t="s">
        <v>2842</v>
      </c>
      <c r="H280" s="351"/>
      <c r="I280" s="351" t="s">
        <v>2681</v>
      </c>
      <c r="J280" s="351" t="s">
        <v>2328</v>
      </c>
      <c r="K280" s="311">
        <v>319773.05000000005</v>
      </c>
      <c r="L280" s="311">
        <v>0</v>
      </c>
      <c r="M280" s="311">
        <v>50813.018181818181</v>
      </c>
      <c r="N280" s="311">
        <v>32795.227272727272</v>
      </c>
      <c r="O280" s="311">
        <v>22956.659090909092</v>
      </c>
      <c r="P280" s="68">
        <f t="shared" si="56"/>
        <v>426337.95454545465</v>
      </c>
      <c r="Q280" s="68">
        <f t="shared" si="57"/>
        <v>5116055.454545456</v>
      </c>
      <c r="R280" s="127">
        <f t="shared" si="58"/>
        <v>5116055.454545456</v>
      </c>
      <c r="S280" s="37"/>
    </row>
    <row r="281" spans="1:19">
      <c r="A281" s="123"/>
      <c r="B281" s="254" t="s">
        <v>904</v>
      </c>
      <c r="C281" s="42" t="s">
        <v>8</v>
      </c>
      <c r="D281" s="351">
        <v>16</v>
      </c>
      <c r="E281" s="124"/>
      <c r="F281" s="351">
        <v>16</v>
      </c>
      <c r="G281" s="351" t="s">
        <v>2856</v>
      </c>
      <c r="H281" s="351"/>
      <c r="I281" s="351" t="s">
        <v>2681</v>
      </c>
      <c r="J281" s="351" t="s">
        <v>2328</v>
      </c>
      <c r="K281" s="311">
        <v>220100.49600000004</v>
      </c>
      <c r="L281" s="311">
        <v>0</v>
      </c>
      <c r="M281" s="311">
        <v>50813.018181818181</v>
      </c>
      <c r="N281" s="311">
        <v>23974.647272727274</v>
      </c>
      <c r="O281" s="311">
        <v>16782.253090909093</v>
      </c>
      <c r="P281" s="68">
        <f t="shared" si="56"/>
        <v>311670.41454545461</v>
      </c>
      <c r="Q281" s="68">
        <f t="shared" si="57"/>
        <v>4986726.6327272737</v>
      </c>
      <c r="R281" s="127">
        <f t="shared" si="58"/>
        <v>4986726.6327272737</v>
      </c>
      <c r="S281" s="15"/>
    </row>
    <row r="282" spans="1:19">
      <c r="A282" s="123"/>
      <c r="B282" s="254" t="s">
        <v>905</v>
      </c>
      <c r="C282" s="42" t="s">
        <v>8</v>
      </c>
      <c r="D282" s="351">
        <v>6</v>
      </c>
      <c r="E282" s="124"/>
      <c r="F282" s="351">
        <v>6</v>
      </c>
      <c r="G282" s="351" t="s">
        <v>2843</v>
      </c>
      <c r="H282" s="351"/>
      <c r="I282" s="351" t="s">
        <v>2681</v>
      </c>
      <c r="J282" s="351" t="s">
        <v>2328</v>
      </c>
      <c r="K282" s="311">
        <v>126025.28400000001</v>
      </c>
      <c r="L282" s="311">
        <v>0</v>
      </c>
      <c r="M282" s="311">
        <v>50813.018181818181</v>
      </c>
      <c r="N282" s="311">
        <v>15649.407272727272</v>
      </c>
      <c r="O282" s="311">
        <v>10954.585090909091</v>
      </c>
      <c r="P282" s="68">
        <f t="shared" si="56"/>
        <v>203442.29454545456</v>
      </c>
      <c r="Q282" s="68">
        <f t="shared" si="57"/>
        <v>1220653.7672727273</v>
      </c>
      <c r="R282" s="127">
        <f t="shared" si="58"/>
        <v>1220653.7672727273</v>
      </c>
      <c r="S282" s="308"/>
    </row>
    <row r="283" spans="1:19">
      <c r="A283" s="123"/>
      <c r="B283" s="254" t="s">
        <v>783</v>
      </c>
      <c r="C283" s="42" t="s">
        <v>8</v>
      </c>
      <c r="D283" s="351">
        <v>6</v>
      </c>
      <c r="E283" s="124"/>
      <c r="F283" s="351">
        <v>6</v>
      </c>
      <c r="G283" s="351" t="s">
        <v>2844</v>
      </c>
      <c r="H283" s="351"/>
      <c r="I283" s="351" t="s">
        <v>2681</v>
      </c>
      <c r="J283" s="351" t="s">
        <v>2328</v>
      </c>
      <c r="K283" s="311">
        <v>178871.99400000004</v>
      </c>
      <c r="L283" s="311">
        <v>0</v>
      </c>
      <c r="M283" s="311">
        <v>42344.181818181823</v>
      </c>
      <c r="N283" s="311">
        <v>19576.652727272729</v>
      </c>
      <c r="O283" s="311">
        <v>13703.656909090911</v>
      </c>
      <c r="P283" s="68">
        <f t="shared" si="56"/>
        <v>254496.4854545455</v>
      </c>
      <c r="Q283" s="68">
        <f t="shared" si="57"/>
        <v>1526978.9127272731</v>
      </c>
      <c r="R283" s="127">
        <f t="shared" si="58"/>
        <v>1526978.9127272731</v>
      </c>
      <c r="S283" s="38"/>
    </row>
    <row r="284" spans="1:19" ht="30">
      <c r="A284" s="123"/>
      <c r="B284" s="254" t="s">
        <v>906</v>
      </c>
      <c r="C284" s="42" t="s">
        <v>8</v>
      </c>
      <c r="D284" s="351">
        <v>12</v>
      </c>
      <c r="E284" s="124"/>
      <c r="F284" s="351">
        <v>12</v>
      </c>
      <c r="G284" s="351" t="s">
        <v>2845</v>
      </c>
      <c r="H284" s="351"/>
      <c r="I284" s="351" t="s">
        <v>2681</v>
      </c>
      <c r="J284" s="351" t="s">
        <v>2328</v>
      </c>
      <c r="K284" s="311">
        <v>244249.274</v>
      </c>
      <c r="L284" s="311">
        <v>0</v>
      </c>
      <c r="M284" s="311">
        <v>42344.181818181823</v>
      </c>
      <c r="N284" s="311">
        <v>25362.252727272727</v>
      </c>
      <c r="O284" s="311">
        <v>17753.576909090909</v>
      </c>
      <c r="P284" s="68">
        <f t="shared" si="56"/>
        <v>329709.28545454552</v>
      </c>
      <c r="Q284" s="68">
        <f t="shared" si="57"/>
        <v>3956511.4254545462</v>
      </c>
      <c r="R284" s="127">
        <f t="shared" si="58"/>
        <v>3956511.4254545462</v>
      </c>
      <c r="S284" s="36"/>
    </row>
    <row r="285" spans="1:19">
      <c r="A285" s="123"/>
      <c r="B285" s="254" t="s">
        <v>907</v>
      </c>
      <c r="C285" s="42" t="s">
        <v>8</v>
      </c>
      <c r="D285" s="351">
        <v>25</v>
      </c>
      <c r="E285" s="124"/>
      <c r="F285" s="351">
        <v>25</v>
      </c>
      <c r="G285" s="351" t="s">
        <v>2855</v>
      </c>
      <c r="H285" s="351"/>
      <c r="I285" s="351" t="s">
        <v>2681</v>
      </c>
      <c r="J285" s="351" t="s">
        <v>2328</v>
      </c>
      <c r="K285" s="311">
        <v>120296.86200000002</v>
      </c>
      <c r="L285" s="311">
        <v>0</v>
      </c>
      <c r="M285" s="311">
        <v>42344.181818181823</v>
      </c>
      <c r="N285" s="311">
        <v>14393.01272727273</v>
      </c>
      <c r="O285" s="311">
        <v>10075.108909090912</v>
      </c>
      <c r="P285" s="68">
        <f t="shared" si="56"/>
        <v>187109.16545454549</v>
      </c>
      <c r="Q285" s="68">
        <f t="shared" si="57"/>
        <v>4677729.1363636376</v>
      </c>
      <c r="R285" s="127">
        <f t="shared" si="58"/>
        <v>4677729.1363636376</v>
      </c>
      <c r="S285" s="15"/>
    </row>
    <row r="286" spans="1:19">
      <c r="A286" s="123"/>
      <c r="B286" s="254" t="s">
        <v>798</v>
      </c>
      <c r="C286" s="42" t="s">
        <v>8</v>
      </c>
      <c r="D286" s="351">
        <v>19</v>
      </c>
      <c r="E286" s="124"/>
      <c r="F286" s="351">
        <v>19</v>
      </c>
      <c r="G286" s="351" t="s">
        <v>2846</v>
      </c>
      <c r="H286" s="351"/>
      <c r="I286" s="351" t="s">
        <v>2681</v>
      </c>
      <c r="J286" s="351" t="s">
        <v>2328</v>
      </c>
      <c r="K286" s="311">
        <v>113519.57400000001</v>
      </c>
      <c r="L286" s="311">
        <v>0</v>
      </c>
      <c r="M286" s="311">
        <v>42344.181818181823</v>
      </c>
      <c r="N286" s="311">
        <v>13793.252727272729</v>
      </c>
      <c r="O286" s="311">
        <v>9655.2769090909114</v>
      </c>
      <c r="P286" s="68">
        <f t="shared" si="56"/>
        <v>179312.28545454546</v>
      </c>
      <c r="Q286" s="68">
        <f t="shared" si="57"/>
        <v>3406933.4236363638</v>
      </c>
      <c r="R286" s="127">
        <f t="shared" si="58"/>
        <v>3406933.4236363638</v>
      </c>
      <c r="S286" s="18"/>
    </row>
    <row r="287" spans="1:19">
      <c r="A287" s="123"/>
      <c r="B287" s="254" t="s">
        <v>908</v>
      </c>
      <c r="C287" s="42" t="s">
        <v>8</v>
      </c>
      <c r="D287" s="351">
        <v>146</v>
      </c>
      <c r="E287" s="124"/>
      <c r="F287" s="351">
        <v>146</v>
      </c>
      <c r="G287" s="351" t="s">
        <v>2847</v>
      </c>
      <c r="H287" s="351"/>
      <c r="I287" s="351" t="s">
        <v>2681</v>
      </c>
      <c r="J287" s="351" t="s">
        <v>2328</v>
      </c>
      <c r="K287" s="311">
        <v>103056.00000000001</v>
      </c>
      <c r="L287" s="311">
        <v>0</v>
      </c>
      <c r="M287" s="311">
        <v>42344.181818181823</v>
      </c>
      <c r="N287" s="311">
        <v>12867.272727272728</v>
      </c>
      <c r="O287" s="311">
        <v>9007.0909090909099</v>
      </c>
      <c r="P287" s="68">
        <f t="shared" si="56"/>
        <v>167274.54545454547</v>
      </c>
      <c r="Q287" s="68">
        <f t="shared" si="57"/>
        <v>24422083.63636364</v>
      </c>
      <c r="R287" s="127">
        <f t="shared" si="58"/>
        <v>24422083.63636364</v>
      </c>
      <c r="S287" s="15"/>
    </row>
    <row r="288" spans="1:19">
      <c r="A288" s="123"/>
      <c r="B288" s="254" t="s">
        <v>909</v>
      </c>
      <c r="C288" s="42" t="s">
        <v>8</v>
      </c>
      <c r="D288" s="351">
        <v>439</v>
      </c>
      <c r="E288" s="124"/>
      <c r="F288" s="351">
        <v>439</v>
      </c>
      <c r="G288" s="351" t="s">
        <v>2848</v>
      </c>
      <c r="H288" s="351"/>
      <c r="I288" s="351" t="s">
        <v>2681</v>
      </c>
      <c r="J288" s="351" t="s">
        <v>2328</v>
      </c>
      <c r="K288" s="311">
        <v>321236.40000000002</v>
      </c>
      <c r="L288" s="311">
        <v>0</v>
      </c>
      <c r="M288" s="311">
        <v>42344.181818181823</v>
      </c>
      <c r="N288" s="311">
        <v>32175.272727272732</v>
      </c>
      <c r="O288" s="311">
        <v>22522.690909090914</v>
      </c>
      <c r="P288" s="68">
        <f t="shared" si="56"/>
        <v>418278.54545454547</v>
      </c>
      <c r="Q288" s="68">
        <f t="shared" si="57"/>
        <v>183624281.45454547</v>
      </c>
      <c r="R288" s="127">
        <f t="shared" si="58"/>
        <v>183624281.45454547</v>
      </c>
      <c r="S288" s="15"/>
    </row>
    <row r="289" spans="1:19">
      <c r="A289" s="123"/>
      <c r="B289" s="254" t="s">
        <v>910</v>
      </c>
      <c r="C289" s="42" t="s">
        <v>8</v>
      </c>
      <c r="D289" s="351">
        <v>145</v>
      </c>
      <c r="E289" s="124"/>
      <c r="F289" s="351">
        <v>145</v>
      </c>
      <c r="G289" s="351" t="s">
        <v>2854</v>
      </c>
      <c r="H289" s="351"/>
      <c r="I289" s="351" t="s">
        <v>2681</v>
      </c>
      <c r="J289" s="351" t="s">
        <v>2328</v>
      </c>
      <c r="K289" s="311">
        <v>291133.2</v>
      </c>
      <c r="L289" s="311">
        <v>0</v>
      </c>
      <c r="M289" s="311">
        <v>42344.181818181823</v>
      </c>
      <c r="N289" s="311">
        <v>29511.272727272732</v>
      </c>
      <c r="O289" s="311">
        <v>20657.890909090911</v>
      </c>
      <c r="P289" s="68">
        <f t="shared" si="56"/>
        <v>383646.54545454547</v>
      </c>
      <c r="Q289" s="68">
        <f t="shared" si="57"/>
        <v>55628749.090909094</v>
      </c>
      <c r="R289" s="127">
        <f t="shared" si="58"/>
        <v>55628749.090909094</v>
      </c>
      <c r="S289" s="15"/>
    </row>
    <row r="290" spans="1:19">
      <c r="A290" s="123"/>
      <c r="B290" s="254" t="s">
        <v>785</v>
      </c>
      <c r="C290" s="42" t="s">
        <v>8</v>
      </c>
      <c r="D290" s="351">
        <v>337</v>
      </c>
      <c r="E290" s="124"/>
      <c r="F290" s="351">
        <v>337</v>
      </c>
      <c r="G290" s="351" t="s">
        <v>2853</v>
      </c>
      <c r="H290" s="351"/>
      <c r="I290" s="351" t="s">
        <v>2681</v>
      </c>
      <c r="J290" s="351" t="s">
        <v>2328</v>
      </c>
      <c r="K290" s="311">
        <v>142181.12000000002</v>
      </c>
      <c r="L290" s="311">
        <v>0</v>
      </c>
      <c r="M290" s="311">
        <v>36963.327272727271</v>
      </c>
      <c r="N290" s="311">
        <v>15853.49090909091</v>
      </c>
      <c r="O290" s="311">
        <v>11097.443636363638</v>
      </c>
      <c r="P290" s="68">
        <f t="shared" si="56"/>
        <v>206095.38181818184</v>
      </c>
      <c r="Q290" s="68">
        <f t="shared" si="57"/>
        <v>69454143.672727272</v>
      </c>
      <c r="R290" s="127">
        <f t="shared" si="58"/>
        <v>69454143.672727272</v>
      </c>
      <c r="S290" s="15"/>
    </row>
    <row r="291" spans="1:19">
      <c r="A291" s="123"/>
      <c r="B291" s="254" t="s">
        <v>799</v>
      </c>
      <c r="C291" s="42" t="s">
        <v>8</v>
      </c>
      <c r="D291" s="351">
        <v>202</v>
      </c>
      <c r="E291" s="124"/>
      <c r="F291" s="351">
        <v>202</v>
      </c>
      <c r="G291" s="351" t="s">
        <v>2849</v>
      </c>
      <c r="H291" s="351"/>
      <c r="I291" s="351" t="s">
        <v>2681</v>
      </c>
      <c r="J291" s="351" t="s">
        <v>2328</v>
      </c>
      <c r="K291" s="311">
        <v>153029.12000000002</v>
      </c>
      <c r="L291" s="311">
        <v>0</v>
      </c>
      <c r="M291" s="311">
        <v>36963.327272727271</v>
      </c>
      <c r="N291" s="311">
        <v>16813.49090909091</v>
      </c>
      <c r="O291" s="311">
        <v>11769.443636363638</v>
      </c>
      <c r="P291" s="68">
        <f t="shared" si="56"/>
        <v>218575.38181818184</v>
      </c>
      <c r="Q291" s="68">
        <f t="shared" si="57"/>
        <v>44152227.127272733</v>
      </c>
      <c r="R291" s="127">
        <f t="shared" si="58"/>
        <v>44152227.127272733</v>
      </c>
      <c r="S291" s="37"/>
    </row>
    <row r="292" spans="1:19">
      <c r="A292" s="123"/>
      <c r="B292" s="254" t="s">
        <v>800</v>
      </c>
      <c r="C292" s="42" t="s">
        <v>8</v>
      </c>
      <c r="D292" s="351">
        <v>932</v>
      </c>
      <c r="E292" s="124"/>
      <c r="F292" s="351">
        <v>932</v>
      </c>
      <c r="G292" s="351" t="s">
        <v>2850</v>
      </c>
      <c r="H292" s="351"/>
      <c r="I292" s="351" t="s">
        <v>2681</v>
      </c>
      <c r="J292" s="351" t="s">
        <v>2328</v>
      </c>
      <c r="K292" s="311">
        <v>118170.88000000002</v>
      </c>
      <c r="L292" s="311">
        <v>0</v>
      </c>
      <c r="M292" s="311">
        <v>36963.327272727271</v>
      </c>
      <c r="N292" s="311">
        <v>13728.69090909091</v>
      </c>
      <c r="O292" s="311">
        <v>9610.0836363636372</v>
      </c>
      <c r="P292" s="68">
        <f t="shared" si="56"/>
        <v>178472.98181818184</v>
      </c>
      <c r="Q292" s="68">
        <f t="shared" si="57"/>
        <v>166336819.05454546</v>
      </c>
      <c r="R292" s="127">
        <f t="shared" si="58"/>
        <v>166336819.05454546</v>
      </c>
      <c r="S292" s="37"/>
    </row>
    <row r="293" spans="1:19">
      <c r="A293" s="123"/>
      <c r="B293" s="254" t="s">
        <v>786</v>
      </c>
      <c r="C293" s="42" t="s">
        <v>8</v>
      </c>
      <c r="D293" s="351">
        <v>313</v>
      </c>
      <c r="E293" s="124"/>
      <c r="F293" s="351">
        <v>313</v>
      </c>
      <c r="G293" s="351" t="s">
        <v>2852</v>
      </c>
      <c r="H293" s="351"/>
      <c r="I293" s="351" t="s">
        <v>2681</v>
      </c>
      <c r="J293" s="351" t="s">
        <v>2328</v>
      </c>
      <c r="K293" s="311">
        <v>85988.479999999996</v>
      </c>
      <c r="L293" s="311">
        <v>0</v>
      </c>
      <c r="M293" s="311">
        <v>30805.854545454546</v>
      </c>
      <c r="N293" s="311">
        <v>10335.781818181817</v>
      </c>
      <c r="O293" s="311">
        <v>7235.0472727272718</v>
      </c>
      <c r="P293" s="68">
        <f t="shared" si="56"/>
        <v>134365.16363636364</v>
      </c>
      <c r="Q293" s="68">
        <f t="shared" si="57"/>
        <v>42056296.218181819</v>
      </c>
      <c r="R293" s="127">
        <f t="shared" si="58"/>
        <v>42056296.218181819</v>
      </c>
      <c r="S293" s="37"/>
    </row>
    <row r="294" spans="1:19">
      <c r="A294" s="123"/>
      <c r="B294" s="254" t="s">
        <v>913</v>
      </c>
      <c r="C294" s="42" t="s">
        <v>8</v>
      </c>
      <c r="D294" s="351">
        <v>2</v>
      </c>
      <c r="E294" s="124"/>
      <c r="F294" s="351">
        <v>2</v>
      </c>
      <c r="G294" s="351" t="s">
        <v>2851</v>
      </c>
      <c r="H294" s="351"/>
      <c r="I294" s="351" t="s">
        <v>2681</v>
      </c>
      <c r="J294" s="351" t="s">
        <v>2328</v>
      </c>
      <c r="K294" s="311">
        <v>1137850.1099999999</v>
      </c>
      <c r="L294" s="311">
        <v>0</v>
      </c>
      <c r="M294" s="311">
        <v>94728.927272727276</v>
      </c>
      <c r="N294" s="311">
        <v>109077.79090909089</v>
      </c>
      <c r="O294" s="311">
        <v>76354.453636363629</v>
      </c>
      <c r="P294" s="68">
        <f t="shared" si="56"/>
        <v>1418011.2818181817</v>
      </c>
      <c r="Q294" s="68">
        <f t="shared" si="57"/>
        <v>2836022.5636363635</v>
      </c>
      <c r="R294" s="127">
        <f t="shared" si="58"/>
        <v>2836022.5636363635</v>
      </c>
      <c r="S294" s="37"/>
    </row>
    <row r="295" spans="1:19">
      <c r="A295" s="123">
        <v>7</v>
      </c>
      <c r="B295" s="254" t="s">
        <v>914</v>
      </c>
      <c r="C295" s="42"/>
      <c r="D295" s="351"/>
      <c r="E295" s="124"/>
      <c r="F295" s="351"/>
      <c r="G295" s="37"/>
      <c r="H295" s="37"/>
      <c r="I295" s="37"/>
      <c r="J295" s="37"/>
      <c r="K295" s="66"/>
      <c r="L295" s="66"/>
      <c r="M295" s="66"/>
      <c r="N295" s="66"/>
      <c r="O295" s="66"/>
      <c r="P295" s="66"/>
      <c r="Q295" s="66"/>
      <c r="R295" s="66"/>
      <c r="S295" s="37"/>
    </row>
    <row r="296" spans="1:19">
      <c r="A296" s="123"/>
      <c r="B296" s="254" t="s">
        <v>891</v>
      </c>
      <c r="C296" s="42" t="s">
        <v>8</v>
      </c>
      <c r="D296" s="351">
        <v>21</v>
      </c>
      <c r="E296" s="124"/>
      <c r="F296" s="351">
        <v>21</v>
      </c>
      <c r="G296" s="351" t="s">
        <v>2857</v>
      </c>
      <c r="H296" s="351"/>
      <c r="I296" s="351" t="s">
        <v>2681</v>
      </c>
      <c r="J296" s="351" t="s">
        <v>2328</v>
      </c>
      <c r="K296" s="311">
        <v>1566091.86</v>
      </c>
      <c r="L296" s="311">
        <v>0</v>
      </c>
      <c r="M296" s="311">
        <v>49407.709090909091</v>
      </c>
      <c r="N296" s="311">
        <v>142964.56363636366</v>
      </c>
      <c r="O296" s="311">
        <v>100075.19454545456</v>
      </c>
      <c r="P296" s="68">
        <f t="shared" ref="P296:P305" si="59">SUM(K296:O296)</f>
        <v>1858539.3272727274</v>
      </c>
      <c r="Q296" s="68">
        <f t="shared" ref="Q296:Q305" si="60">D296*P296</f>
        <v>39029325.872727275</v>
      </c>
      <c r="R296" s="127">
        <f t="shared" ref="R296:R305" si="61">F296*P296</f>
        <v>39029325.872727275</v>
      </c>
      <c r="S296" s="38"/>
    </row>
    <row r="297" spans="1:19">
      <c r="A297" s="123"/>
      <c r="B297" s="254" t="s">
        <v>893</v>
      </c>
      <c r="C297" s="42" t="s">
        <v>8</v>
      </c>
      <c r="D297" s="351">
        <v>6</v>
      </c>
      <c r="E297" s="124"/>
      <c r="F297" s="351">
        <v>6</v>
      </c>
      <c r="G297" s="351" t="s">
        <v>2858</v>
      </c>
      <c r="H297" s="351"/>
      <c r="I297" s="351" t="s">
        <v>2681</v>
      </c>
      <c r="J297" s="351" t="s">
        <v>2328</v>
      </c>
      <c r="K297" s="311">
        <v>505714.77600000007</v>
      </c>
      <c r="L297" s="311">
        <v>0</v>
      </c>
      <c r="M297" s="311">
        <v>49407.709090909091</v>
      </c>
      <c r="N297" s="311">
        <v>49125.883636363636</v>
      </c>
      <c r="O297" s="311">
        <v>34388.118545454548</v>
      </c>
      <c r="P297" s="68">
        <f t="shared" si="59"/>
        <v>638636.48727272742</v>
      </c>
      <c r="Q297" s="68">
        <f t="shared" si="60"/>
        <v>3831818.9236363648</v>
      </c>
      <c r="R297" s="127">
        <f t="shared" si="61"/>
        <v>3831818.9236363648</v>
      </c>
      <c r="S297" s="36"/>
    </row>
    <row r="298" spans="1:19">
      <c r="A298" s="123"/>
      <c r="B298" s="254" t="s">
        <v>896</v>
      </c>
      <c r="C298" s="42" t="s">
        <v>8</v>
      </c>
      <c r="D298" s="351">
        <v>34</v>
      </c>
      <c r="E298" s="124"/>
      <c r="F298" s="351">
        <v>34</v>
      </c>
      <c r="G298" s="351" t="s">
        <v>2859</v>
      </c>
      <c r="H298" s="351"/>
      <c r="I298" s="351" t="s">
        <v>2681</v>
      </c>
      <c r="J298" s="351" t="s">
        <v>2328</v>
      </c>
      <c r="K298" s="311">
        <v>227926.65000000002</v>
      </c>
      <c r="L298" s="311">
        <v>0</v>
      </c>
      <c r="M298" s="311">
        <v>46843.63636363636</v>
      </c>
      <c r="N298" s="311">
        <v>24315.954545454544</v>
      </c>
      <c r="O298" s="311">
        <v>17021.168181818182</v>
      </c>
      <c r="P298" s="68">
        <f t="shared" si="59"/>
        <v>316107.40909090906</v>
      </c>
      <c r="Q298" s="68">
        <f t="shared" si="60"/>
        <v>10747651.909090908</v>
      </c>
      <c r="R298" s="127">
        <f t="shared" si="61"/>
        <v>10747651.909090908</v>
      </c>
      <c r="S298" s="15"/>
    </row>
    <row r="299" spans="1:19">
      <c r="A299" s="123"/>
      <c r="B299" s="254" t="s">
        <v>899</v>
      </c>
      <c r="C299" s="42" t="s">
        <v>8</v>
      </c>
      <c r="D299" s="351">
        <v>36</v>
      </c>
      <c r="E299" s="124"/>
      <c r="F299" s="351">
        <v>36</v>
      </c>
      <c r="G299" s="351" t="s">
        <v>2860</v>
      </c>
      <c r="H299" s="351"/>
      <c r="I299" s="351" t="s">
        <v>2681</v>
      </c>
      <c r="J299" s="351" t="s">
        <v>2328</v>
      </c>
      <c r="K299" s="311">
        <v>131116.16</v>
      </c>
      <c r="L299" s="311">
        <v>0</v>
      </c>
      <c r="M299" s="311">
        <v>33875.345454545459</v>
      </c>
      <c r="N299" s="311">
        <v>14601.018181818183</v>
      </c>
      <c r="O299" s="311">
        <v>10220.712727272728</v>
      </c>
      <c r="P299" s="68">
        <f t="shared" si="59"/>
        <v>189813.23636363639</v>
      </c>
      <c r="Q299" s="68">
        <f t="shared" si="60"/>
        <v>6833276.5090909097</v>
      </c>
      <c r="R299" s="127">
        <f t="shared" si="61"/>
        <v>6833276.5090909097</v>
      </c>
      <c r="S299" s="18"/>
    </row>
    <row r="300" spans="1:19">
      <c r="A300" s="123"/>
      <c r="B300" s="254" t="s">
        <v>902</v>
      </c>
      <c r="C300" s="42" t="s">
        <v>8</v>
      </c>
      <c r="D300" s="351">
        <v>17</v>
      </c>
      <c r="E300" s="124"/>
      <c r="F300" s="351">
        <v>17</v>
      </c>
      <c r="G300" s="351" t="s">
        <v>2861</v>
      </c>
      <c r="H300" s="351"/>
      <c r="I300" s="351" t="s">
        <v>2681</v>
      </c>
      <c r="J300" s="351" t="s">
        <v>2328</v>
      </c>
      <c r="K300" s="311">
        <v>123766.18800000002</v>
      </c>
      <c r="L300" s="311">
        <v>0</v>
      </c>
      <c r="M300" s="311">
        <v>33875.345454545459</v>
      </c>
      <c r="N300" s="311">
        <v>13950.578181818184</v>
      </c>
      <c r="O300" s="311">
        <v>9765.4047272727294</v>
      </c>
      <c r="P300" s="68">
        <f t="shared" si="59"/>
        <v>181357.51636363639</v>
      </c>
      <c r="Q300" s="68">
        <f t="shared" si="60"/>
        <v>3083077.7781818188</v>
      </c>
      <c r="R300" s="127">
        <f t="shared" si="61"/>
        <v>3083077.7781818188</v>
      </c>
      <c r="S300" s="15"/>
    </row>
    <row r="301" spans="1:19">
      <c r="A301" s="123"/>
      <c r="B301" s="254" t="s">
        <v>783</v>
      </c>
      <c r="C301" s="42" t="s">
        <v>8</v>
      </c>
      <c r="D301" s="351">
        <v>44</v>
      </c>
      <c r="E301" s="124"/>
      <c r="F301" s="351">
        <v>44</v>
      </c>
      <c r="G301" s="351" t="s">
        <v>2862</v>
      </c>
      <c r="H301" s="351"/>
      <c r="I301" s="351" t="s">
        <v>2681</v>
      </c>
      <c r="J301" s="351" t="s">
        <v>2328</v>
      </c>
      <c r="K301" s="311">
        <v>77374.038000000015</v>
      </c>
      <c r="L301" s="311">
        <v>0</v>
      </c>
      <c r="M301" s="311">
        <v>28229.454545454548</v>
      </c>
      <c r="N301" s="311">
        <v>9345.4418181818182</v>
      </c>
      <c r="O301" s="311">
        <v>6541.8092727272733</v>
      </c>
      <c r="P301" s="68">
        <f t="shared" si="59"/>
        <v>121490.74363636365</v>
      </c>
      <c r="Q301" s="68">
        <f t="shared" si="60"/>
        <v>5345592.7200000007</v>
      </c>
      <c r="R301" s="127">
        <f t="shared" si="61"/>
        <v>5345592.7200000007</v>
      </c>
      <c r="S301" s="15"/>
    </row>
    <row r="302" spans="1:19">
      <c r="A302" s="123"/>
      <c r="B302" s="254" t="s">
        <v>908</v>
      </c>
      <c r="C302" s="42" t="s">
        <v>8</v>
      </c>
      <c r="D302" s="351">
        <v>100</v>
      </c>
      <c r="E302" s="124"/>
      <c r="F302" s="351">
        <v>100</v>
      </c>
      <c r="G302" s="351" t="s">
        <v>2863</v>
      </c>
      <c r="H302" s="351"/>
      <c r="I302" s="351" t="s">
        <v>2681</v>
      </c>
      <c r="J302" s="351" t="s">
        <v>2328</v>
      </c>
      <c r="K302" s="311">
        <v>60170.240000000005</v>
      </c>
      <c r="L302" s="311">
        <v>0</v>
      </c>
      <c r="M302" s="311">
        <v>28229.454545454548</v>
      </c>
      <c r="N302" s="311">
        <v>7822.9818181818182</v>
      </c>
      <c r="O302" s="311">
        <v>5476.0872727272726</v>
      </c>
      <c r="P302" s="68">
        <f t="shared" si="59"/>
        <v>101698.76363636364</v>
      </c>
      <c r="Q302" s="68">
        <f t="shared" si="60"/>
        <v>10169876.363636363</v>
      </c>
      <c r="R302" s="127">
        <f t="shared" si="61"/>
        <v>10169876.363636363</v>
      </c>
      <c r="S302" s="15"/>
    </row>
    <row r="303" spans="1:19">
      <c r="A303" s="123"/>
      <c r="B303" s="254" t="s">
        <v>785</v>
      </c>
      <c r="C303" s="42" t="s">
        <v>8</v>
      </c>
      <c r="D303" s="351">
        <v>163</v>
      </c>
      <c r="E303" s="124"/>
      <c r="F303" s="351">
        <v>163</v>
      </c>
      <c r="G303" s="351" t="s">
        <v>2864</v>
      </c>
      <c r="H303" s="351"/>
      <c r="I303" s="351" t="s">
        <v>2681</v>
      </c>
      <c r="J303" s="351" t="s">
        <v>2328</v>
      </c>
      <c r="K303" s="311">
        <v>50407.040000000008</v>
      </c>
      <c r="L303" s="311">
        <v>0</v>
      </c>
      <c r="M303" s="311">
        <v>24642.218181818182</v>
      </c>
      <c r="N303" s="311">
        <v>6641.5272727272722</v>
      </c>
      <c r="O303" s="311">
        <v>4649.0690909090908</v>
      </c>
      <c r="P303" s="68">
        <f t="shared" si="59"/>
        <v>86339.854545454553</v>
      </c>
      <c r="Q303" s="68">
        <f t="shared" si="60"/>
        <v>14073396.290909093</v>
      </c>
      <c r="R303" s="127">
        <f t="shared" si="61"/>
        <v>14073396.290909093</v>
      </c>
      <c r="S303" s="15"/>
    </row>
    <row r="304" spans="1:19">
      <c r="A304" s="123"/>
      <c r="B304" s="254" t="s">
        <v>786</v>
      </c>
      <c r="C304" s="42" t="s">
        <v>8</v>
      </c>
      <c r="D304" s="351">
        <v>180</v>
      </c>
      <c r="E304" s="124"/>
      <c r="F304" s="351">
        <v>180</v>
      </c>
      <c r="G304" s="351" t="s">
        <v>2865</v>
      </c>
      <c r="H304" s="351"/>
      <c r="I304" s="351" t="s">
        <v>2681</v>
      </c>
      <c r="J304" s="351" t="s">
        <v>2328</v>
      </c>
      <c r="K304" s="311">
        <v>29651.200000000004</v>
      </c>
      <c r="L304" s="311">
        <v>0</v>
      </c>
      <c r="M304" s="311">
        <v>20537.236363636363</v>
      </c>
      <c r="N304" s="311">
        <v>4441.454545454546</v>
      </c>
      <c r="O304" s="311">
        <v>3109.0181818181823</v>
      </c>
      <c r="P304" s="68">
        <f t="shared" si="59"/>
        <v>57738.909090909096</v>
      </c>
      <c r="Q304" s="68">
        <f t="shared" si="60"/>
        <v>10393003.636363637</v>
      </c>
      <c r="R304" s="127">
        <f t="shared" si="61"/>
        <v>10393003.636363637</v>
      </c>
      <c r="S304" s="37"/>
    </row>
    <row r="305" spans="1:19">
      <c r="A305" s="123"/>
      <c r="B305" s="254" t="s">
        <v>918</v>
      </c>
      <c r="C305" s="42" t="s">
        <v>8</v>
      </c>
      <c r="D305" s="351">
        <v>10</v>
      </c>
      <c r="E305" s="124"/>
      <c r="F305" s="351">
        <v>10</v>
      </c>
      <c r="G305" s="351" t="s">
        <v>2866</v>
      </c>
      <c r="H305" s="351"/>
      <c r="I305" s="351" t="s">
        <v>2681</v>
      </c>
      <c r="J305" s="351" t="s">
        <v>2328</v>
      </c>
      <c r="K305" s="311">
        <v>122055.82</v>
      </c>
      <c r="L305" s="311">
        <v>0</v>
      </c>
      <c r="M305" s="311">
        <v>63152.618181818179</v>
      </c>
      <c r="N305" s="311">
        <v>16390.12727272727</v>
      </c>
      <c r="O305" s="311">
        <v>11473.08909090909</v>
      </c>
      <c r="P305" s="68">
        <f t="shared" si="59"/>
        <v>213071.65454545451</v>
      </c>
      <c r="Q305" s="68">
        <f t="shared" si="60"/>
        <v>2130716.5454545449</v>
      </c>
      <c r="R305" s="127">
        <f t="shared" si="61"/>
        <v>2130716.5454545449</v>
      </c>
      <c r="S305" s="36"/>
    </row>
    <row r="306" spans="1:19">
      <c r="A306" s="123">
        <v>8</v>
      </c>
      <c r="B306" s="254" t="s">
        <v>920</v>
      </c>
      <c r="C306" s="42"/>
      <c r="D306" s="351"/>
      <c r="E306" s="124"/>
      <c r="F306" s="351"/>
      <c r="G306" s="37"/>
      <c r="H306" s="37"/>
      <c r="I306" s="37"/>
      <c r="J306" s="37"/>
      <c r="K306" s="66"/>
      <c r="L306" s="66"/>
      <c r="M306" s="66"/>
      <c r="N306" s="66"/>
      <c r="O306" s="66"/>
      <c r="P306" s="66"/>
      <c r="Q306" s="66"/>
      <c r="R306" s="66"/>
      <c r="S306" s="37"/>
    </row>
    <row r="307" spans="1:19">
      <c r="A307" s="123"/>
      <c r="B307" s="254" t="s">
        <v>921</v>
      </c>
      <c r="C307" s="42" t="s">
        <v>8</v>
      </c>
      <c r="D307" s="351">
        <v>7</v>
      </c>
      <c r="E307" s="124"/>
      <c r="F307" s="351">
        <v>7</v>
      </c>
      <c r="G307" s="351" t="s">
        <v>2867</v>
      </c>
      <c r="H307" s="351"/>
      <c r="I307" s="351" t="s">
        <v>2681</v>
      </c>
      <c r="J307" s="351" t="s">
        <v>2328</v>
      </c>
      <c r="K307" s="311">
        <v>748945.91999999993</v>
      </c>
      <c r="L307" s="311">
        <v>0</v>
      </c>
      <c r="M307" s="311">
        <v>49407.709090909091</v>
      </c>
      <c r="N307" s="311">
        <v>70650.763636363627</v>
      </c>
      <c r="O307" s="311">
        <v>49455.534545454539</v>
      </c>
      <c r="P307" s="68">
        <f t="shared" ref="P307:P313" si="62">SUM(K307:O307)</f>
        <v>918459.92727272725</v>
      </c>
      <c r="Q307" s="68">
        <f t="shared" ref="Q307:Q313" si="63">D307*P307</f>
        <v>6429219.4909090903</v>
      </c>
      <c r="R307" s="127">
        <f t="shared" ref="R307:R313" si="64">F307*P307</f>
        <v>6429219.4909090903</v>
      </c>
      <c r="S307" s="37"/>
    </row>
    <row r="308" spans="1:19">
      <c r="A308" s="123"/>
      <c r="B308" s="254" t="s">
        <v>922</v>
      </c>
      <c r="C308" s="42" t="s">
        <v>8</v>
      </c>
      <c r="D308" s="351">
        <v>4</v>
      </c>
      <c r="E308" s="124"/>
      <c r="F308" s="351">
        <v>4</v>
      </c>
      <c r="G308" s="351" t="s">
        <v>2868</v>
      </c>
      <c r="H308" s="351"/>
      <c r="I308" s="351" t="s">
        <v>2681</v>
      </c>
      <c r="J308" s="351" t="s">
        <v>2328</v>
      </c>
      <c r="K308" s="311">
        <v>320377.59999999998</v>
      </c>
      <c r="L308" s="311">
        <v>0</v>
      </c>
      <c r="M308" s="311">
        <v>46843.63636363636</v>
      </c>
      <c r="N308" s="311">
        <v>32497.454545454544</v>
      </c>
      <c r="O308" s="311">
        <v>22748.218181818182</v>
      </c>
      <c r="P308" s="68">
        <f t="shared" si="62"/>
        <v>422466.90909090906</v>
      </c>
      <c r="Q308" s="68">
        <f t="shared" si="63"/>
        <v>1689867.6363636362</v>
      </c>
      <c r="R308" s="127">
        <f t="shared" si="64"/>
        <v>1689867.6363636362</v>
      </c>
      <c r="S308" s="37"/>
    </row>
    <row r="309" spans="1:19">
      <c r="A309" s="123"/>
      <c r="B309" s="254" t="s">
        <v>923</v>
      </c>
      <c r="C309" s="42" t="s">
        <v>8</v>
      </c>
      <c r="D309" s="351">
        <v>49</v>
      </c>
      <c r="E309" s="124"/>
      <c r="F309" s="351">
        <v>49</v>
      </c>
      <c r="G309" s="351" t="s">
        <v>2869</v>
      </c>
      <c r="H309" s="351"/>
      <c r="I309" s="351" t="s">
        <v>2681</v>
      </c>
      <c r="J309" s="351" t="s">
        <v>2328</v>
      </c>
      <c r="K309" s="311">
        <v>78499.342222222229</v>
      </c>
      <c r="L309" s="311">
        <v>0</v>
      </c>
      <c r="M309" s="311">
        <v>28229.454545454548</v>
      </c>
      <c r="N309" s="311">
        <v>9445.0262626262611</v>
      </c>
      <c r="O309" s="311">
        <v>6611.5183838383837</v>
      </c>
      <c r="P309" s="68">
        <f t="shared" si="62"/>
        <v>122785.34141414141</v>
      </c>
      <c r="Q309" s="68">
        <f t="shared" si="63"/>
        <v>6016481.7292929292</v>
      </c>
      <c r="R309" s="127">
        <f t="shared" si="64"/>
        <v>6016481.7292929292</v>
      </c>
      <c r="S309" s="36"/>
    </row>
    <row r="310" spans="1:19">
      <c r="A310" s="123"/>
      <c r="B310" s="254" t="s">
        <v>924</v>
      </c>
      <c r="C310" s="42" t="s">
        <v>8</v>
      </c>
      <c r="D310" s="351">
        <v>67</v>
      </c>
      <c r="E310" s="124"/>
      <c r="F310" s="351">
        <v>67</v>
      </c>
      <c r="G310" s="351" t="s">
        <v>2873</v>
      </c>
      <c r="H310" s="351"/>
      <c r="I310" s="351" t="s">
        <v>2681</v>
      </c>
      <c r="J310" s="351" t="s">
        <v>2328</v>
      </c>
      <c r="K310" s="311">
        <v>30401.520000000008</v>
      </c>
      <c r="L310" s="311">
        <v>0</v>
      </c>
      <c r="M310" s="311">
        <v>24642.218181818182</v>
      </c>
      <c r="N310" s="311">
        <v>4871.1272727272726</v>
      </c>
      <c r="O310" s="311">
        <v>3409.7890909090911</v>
      </c>
      <c r="P310" s="68">
        <f t="shared" si="62"/>
        <v>63324.654545454556</v>
      </c>
      <c r="Q310" s="68">
        <f t="shared" si="63"/>
        <v>4242751.8545454554</v>
      </c>
      <c r="R310" s="127">
        <f t="shared" si="64"/>
        <v>4242751.8545454554</v>
      </c>
      <c r="S310" s="18"/>
    </row>
    <row r="311" spans="1:19">
      <c r="A311" s="123"/>
      <c r="B311" s="254" t="s">
        <v>925</v>
      </c>
      <c r="C311" s="42" t="s">
        <v>8</v>
      </c>
      <c r="D311" s="351">
        <v>89</v>
      </c>
      <c r="E311" s="124"/>
      <c r="F311" s="351">
        <v>89</v>
      </c>
      <c r="G311" s="351" t="s">
        <v>2870</v>
      </c>
      <c r="H311" s="351"/>
      <c r="I311" s="351" t="s">
        <v>2681</v>
      </c>
      <c r="J311" s="351" t="s">
        <v>2328</v>
      </c>
      <c r="K311" s="311">
        <v>21267.730000000003</v>
      </c>
      <c r="L311" s="311">
        <v>0</v>
      </c>
      <c r="M311" s="311">
        <v>20537.236363636363</v>
      </c>
      <c r="N311" s="311">
        <v>3699.5545454545459</v>
      </c>
      <c r="O311" s="311">
        <v>2589.6881818181823</v>
      </c>
      <c r="P311" s="68">
        <f t="shared" si="62"/>
        <v>48094.209090909091</v>
      </c>
      <c r="Q311" s="68">
        <f t="shared" si="63"/>
        <v>4280384.6090909094</v>
      </c>
      <c r="R311" s="127">
        <f t="shared" si="64"/>
        <v>4280384.6090909094</v>
      </c>
      <c r="S311" s="15"/>
    </row>
    <row r="312" spans="1:19">
      <c r="A312" s="123"/>
      <c r="B312" s="254" t="s">
        <v>926</v>
      </c>
      <c r="C312" s="42" t="s">
        <v>8</v>
      </c>
      <c r="D312" s="351">
        <v>62</v>
      </c>
      <c r="E312" s="124"/>
      <c r="F312" s="351">
        <v>62</v>
      </c>
      <c r="G312" s="351" t="s">
        <v>2872</v>
      </c>
      <c r="H312" s="351"/>
      <c r="I312" s="351" t="s">
        <v>2681</v>
      </c>
      <c r="J312" s="351" t="s">
        <v>2328</v>
      </c>
      <c r="K312" s="311">
        <v>3326.7200000000003</v>
      </c>
      <c r="L312" s="311">
        <v>0</v>
      </c>
      <c r="M312" s="311">
        <v>12031.418181818182</v>
      </c>
      <c r="N312" s="311">
        <v>1359.1272727272726</v>
      </c>
      <c r="O312" s="311">
        <v>951.3890909090909</v>
      </c>
      <c r="P312" s="68">
        <f t="shared" si="62"/>
        <v>17668.654545454548</v>
      </c>
      <c r="Q312" s="68">
        <f t="shared" si="63"/>
        <v>1095456.581818182</v>
      </c>
      <c r="R312" s="127">
        <f t="shared" si="64"/>
        <v>1095456.581818182</v>
      </c>
      <c r="S312" s="15"/>
    </row>
    <row r="313" spans="1:19">
      <c r="A313" s="123"/>
      <c r="B313" s="254" t="s">
        <v>919</v>
      </c>
      <c r="C313" s="42" t="s">
        <v>8</v>
      </c>
      <c r="D313" s="351">
        <v>44</v>
      </c>
      <c r="E313" s="124"/>
      <c r="F313" s="351">
        <v>44</v>
      </c>
      <c r="G313" s="351" t="s">
        <v>2871</v>
      </c>
      <c r="H313" s="351"/>
      <c r="I313" s="351" t="s">
        <v>2681</v>
      </c>
      <c r="J313" s="351" t="s">
        <v>2328</v>
      </c>
      <c r="K313" s="311">
        <v>42462.01</v>
      </c>
      <c r="L313" s="311">
        <v>0</v>
      </c>
      <c r="M313" s="311">
        <v>35453.236363636366</v>
      </c>
      <c r="N313" s="311">
        <v>6895.1545454545458</v>
      </c>
      <c r="O313" s="311">
        <v>4826.6081818181819</v>
      </c>
      <c r="P313" s="68">
        <f t="shared" si="62"/>
        <v>89637.009090909094</v>
      </c>
      <c r="Q313" s="68">
        <f t="shared" si="63"/>
        <v>3944028.4000000004</v>
      </c>
      <c r="R313" s="127">
        <f t="shared" si="64"/>
        <v>3944028.4000000004</v>
      </c>
      <c r="S313" s="37"/>
    </row>
    <row r="314" spans="1:19">
      <c r="A314" s="123">
        <v>9</v>
      </c>
      <c r="B314" s="254" t="s">
        <v>927</v>
      </c>
      <c r="C314" s="42"/>
      <c r="D314" s="351"/>
      <c r="E314" s="124"/>
      <c r="F314" s="351"/>
      <c r="G314" s="37"/>
      <c r="H314" s="37"/>
      <c r="I314" s="37"/>
      <c r="J314" s="37"/>
      <c r="K314" s="66"/>
      <c r="L314" s="66"/>
      <c r="M314" s="66"/>
      <c r="N314" s="66"/>
      <c r="O314" s="66"/>
      <c r="P314" s="66"/>
      <c r="Q314" s="66"/>
      <c r="R314" s="66"/>
      <c r="S314" s="37"/>
    </row>
    <row r="315" spans="1:19">
      <c r="A315" s="123"/>
      <c r="B315" s="254" t="s">
        <v>928</v>
      </c>
      <c r="C315" s="42" t="s">
        <v>8</v>
      </c>
      <c r="D315" s="351">
        <v>2</v>
      </c>
      <c r="E315" s="124"/>
      <c r="F315" s="351">
        <v>2</v>
      </c>
      <c r="G315" s="351" t="s">
        <v>2874</v>
      </c>
      <c r="H315" s="351"/>
      <c r="I315" s="351" t="s">
        <v>2681</v>
      </c>
      <c r="J315" s="351" t="s">
        <v>2328</v>
      </c>
      <c r="K315" s="311">
        <v>2013660.0000000005</v>
      </c>
      <c r="L315" s="311">
        <v>0</v>
      </c>
      <c r="M315" s="311">
        <v>74111.563636363644</v>
      </c>
      <c r="N315" s="311">
        <v>184758.5454545455</v>
      </c>
      <c r="O315" s="311">
        <v>129330.98181818186</v>
      </c>
      <c r="P315" s="68">
        <f t="shared" ref="P315:P328" si="65">SUM(K315:O315)</f>
        <v>2401861.0909090918</v>
      </c>
      <c r="Q315" s="68">
        <f t="shared" ref="Q315:Q328" si="66">D315*P315</f>
        <v>4803722.1818181835</v>
      </c>
      <c r="R315" s="127">
        <f t="shared" ref="R315:R328" si="67">F315*P315</f>
        <v>4803722.1818181835</v>
      </c>
      <c r="S315" s="37"/>
    </row>
    <row r="316" spans="1:19" ht="30">
      <c r="A316" s="123"/>
      <c r="B316" s="254" t="s">
        <v>929</v>
      </c>
      <c r="C316" s="42" t="s">
        <v>8</v>
      </c>
      <c r="D316" s="351">
        <v>3</v>
      </c>
      <c r="E316" s="124"/>
      <c r="F316" s="351">
        <v>3</v>
      </c>
      <c r="G316" s="351" t="s">
        <v>2875</v>
      </c>
      <c r="H316" s="351"/>
      <c r="I316" s="351" t="s">
        <v>2681</v>
      </c>
      <c r="J316" s="351" t="s">
        <v>2328</v>
      </c>
      <c r="K316" s="311">
        <v>457496.32000000007</v>
      </c>
      <c r="L316" s="311">
        <v>0</v>
      </c>
      <c r="M316" s="311">
        <v>70265.454545454544</v>
      </c>
      <c r="N316" s="311">
        <v>46704.581818181818</v>
      </c>
      <c r="O316" s="311">
        <v>32693.207272727275</v>
      </c>
      <c r="P316" s="68">
        <f t="shared" si="65"/>
        <v>607159.56363636372</v>
      </c>
      <c r="Q316" s="68">
        <f t="shared" si="66"/>
        <v>1821478.6909090912</v>
      </c>
      <c r="R316" s="127">
        <f t="shared" si="67"/>
        <v>1821478.6909090912</v>
      </c>
      <c r="S316" s="37"/>
    </row>
    <row r="317" spans="1:19">
      <c r="A317" s="123"/>
      <c r="B317" s="254" t="s">
        <v>923</v>
      </c>
      <c r="C317" s="42" t="s">
        <v>8</v>
      </c>
      <c r="D317" s="351">
        <v>5</v>
      </c>
      <c r="E317" s="124"/>
      <c r="F317" s="351">
        <v>5</v>
      </c>
      <c r="G317" s="351" t="s">
        <v>2876</v>
      </c>
      <c r="H317" s="351"/>
      <c r="I317" s="351" t="s">
        <v>2681</v>
      </c>
      <c r="J317" s="351" t="s">
        <v>2328</v>
      </c>
      <c r="K317" s="311">
        <v>86133.119999999995</v>
      </c>
      <c r="L317" s="311">
        <v>0</v>
      </c>
      <c r="M317" s="311">
        <v>42344.181818181823</v>
      </c>
      <c r="N317" s="311">
        <v>11369.672727272728</v>
      </c>
      <c r="O317" s="311">
        <v>7958.7709090909093</v>
      </c>
      <c r="P317" s="68">
        <f t="shared" si="65"/>
        <v>147805.74545454545</v>
      </c>
      <c r="Q317" s="68">
        <f t="shared" si="66"/>
        <v>739028.72727272729</v>
      </c>
      <c r="R317" s="127">
        <f t="shared" si="67"/>
        <v>739028.72727272729</v>
      </c>
      <c r="S317" s="37"/>
    </row>
    <row r="318" spans="1:19">
      <c r="A318" s="123"/>
      <c r="B318" s="254" t="s">
        <v>930</v>
      </c>
      <c r="C318" s="42" t="s">
        <v>8</v>
      </c>
      <c r="D318" s="351">
        <v>18</v>
      </c>
      <c r="E318" s="124"/>
      <c r="F318" s="351">
        <v>18</v>
      </c>
      <c r="G318" s="351" t="s">
        <v>2877</v>
      </c>
      <c r="H318" s="351"/>
      <c r="I318" s="351" t="s">
        <v>2681</v>
      </c>
      <c r="J318" s="351" t="s">
        <v>2328</v>
      </c>
      <c r="K318" s="311">
        <v>63569.280000000006</v>
      </c>
      <c r="L318" s="311">
        <v>0</v>
      </c>
      <c r="M318" s="311">
        <v>42344.181818181823</v>
      </c>
      <c r="N318" s="311">
        <v>9372.8727272727265</v>
      </c>
      <c r="O318" s="311">
        <v>6561.0109090909091</v>
      </c>
      <c r="P318" s="68">
        <f t="shared" si="65"/>
        <v>121847.34545454546</v>
      </c>
      <c r="Q318" s="68">
        <f t="shared" si="66"/>
        <v>2193252.2181818183</v>
      </c>
      <c r="R318" s="127">
        <f t="shared" si="67"/>
        <v>2193252.2181818183</v>
      </c>
      <c r="S318" s="37"/>
    </row>
    <row r="319" spans="1:19" ht="30">
      <c r="A319" s="123"/>
      <c r="B319" s="254" t="s">
        <v>931</v>
      </c>
      <c r="C319" s="42" t="s">
        <v>8</v>
      </c>
      <c r="D319" s="351">
        <v>35</v>
      </c>
      <c r="E319" s="124"/>
      <c r="F319" s="351">
        <v>35</v>
      </c>
      <c r="G319" s="351" t="s">
        <v>2878</v>
      </c>
      <c r="H319" s="351"/>
      <c r="I319" s="351" t="s">
        <v>2681</v>
      </c>
      <c r="J319" s="351" t="s">
        <v>2328</v>
      </c>
      <c r="K319" s="311">
        <v>122148.48000000001</v>
      </c>
      <c r="L319" s="311">
        <v>0</v>
      </c>
      <c r="M319" s="311">
        <v>42344.181818181823</v>
      </c>
      <c r="N319" s="311">
        <v>14556.872727272726</v>
      </c>
      <c r="O319" s="311">
        <v>10189.810909090909</v>
      </c>
      <c r="P319" s="68">
        <f t="shared" si="65"/>
        <v>189239.34545454546</v>
      </c>
      <c r="Q319" s="68">
        <f t="shared" si="66"/>
        <v>6623377.0909090908</v>
      </c>
      <c r="R319" s="127">
        <f t="shared" si="67"/>
        <v>6623377.0909090908</v>
      </c>
      <c r="S319" s="37"/>
    </row>
    <row r="320" spans="1:19" s="131" customFormat="1">
      <c r="A320" s="126"/>
      <c r="B320" s="253" t="s">
        <v>1934</v>
      </c>
      <c r="C320" s="126" t="s">
        <v>8</v>
      </c>
      <c r="D320" s="352">
        <v>3</v>
      </c>
      <c r="E320" s="130"/>
      <c r="F320" s="352">
        <v>3</v>
      </c>
      <c r="G320" s="315" t="s">
        <v>3032</v>
      </c>
      <c r="H320" s="315"/>
      <c r="I320" s="351" t="s">
        <v>2681</v>
      </c>
      <c r="J320" s="351" t="s">
        <v>2328</v>
      </c>
      <c r="K320" s="311">
        <v>141702</v>
      </c>
      <c r="L320" s="311">
        <v>0</v>
      </c>
      <c r="M320" s="311">
        <v>50813.018181818181</v>
      </c>
      <c r="N320" s="311">
        <v>17036.727272727272</v>
      </c>
      <c r="O320" s="311">
        <v>11925.709090909091</v>
      </c>
      <c r="P320" s="68">
        <f t="shared" si="65"/>
        <v>221477.45454545453</v>
      </c>
      <c r="Q320" s="68">
        <f t="shared" si="66"/>
        <v>664432.36363636353</v>
      </c>
      <c r="R320" s="127">
        <f t="shared" si="67"/>
        <v>664432.36363636353</v>
      </c>
      <c r="S320" s="509"/>
    </row>
    <row r="321" spans="1:19" s="131" customFormat="1">
      <c r="A321" s="126"/>
      <c r="B321" s="253" t="s">
        <v>1935</v>
      </c>
      <c r="C321" s="126" t="s">
        <v>8</v>
      </c>
      <c r="D321" s="352">
        <v>3</v>
      </c>
      <c r="E321" s="130"/>
      <c r="F321" s="352">
        <v>3</v>
      </c>
      <c r="G321" s="315" t="s">
        <v>3153</v>
      </c>
      <c r="H321" s="315"/>
      <c r="I321" s="351" t="s">
        <v>2681</v>
      </c>
      <c r="J321" s="351" t="s">
        <v>2328</v>
      </c>
      <c r="K321" s="311">
        <v>252900.78</v>
      </c>
      <c r="L321" s="311">
        <v>0</v>
      </c>
      <c r="M321" s="311">
        <v>50813.018181818181</v>
      </c>
      <c r="N321" s="311">
        <v>26877.327272727271</v>
      </c>
      <c r="O321" s="311">
        <v>18814.129090909089</v>
      </c>
      <c r="P321" s="68">
        <f t="shared" si="65"/>
        <v>349405.25454545452</v>
      </c>
      <c r="Q321" s="68">
        <f t="shared" si="66"/>
        <v>1048215.7636363636</v>
      </c>
      <c r="R321" s="127">
        <f t="shared" si="67"/>
        <v>1048215.7636363636</v>
      </c>
      <c r="S321" s="509"/>
    </row>
    <row r="322" spans="1:19" s="131" customFormat="1" ht="30">
      <c r="A322" s="126"/>
      <c r="B322" s="253" t="s">
        <v>1936</v>
      </c>
      <c r="C322" s="126" t="s">
        <v>8</v>
      </c>
      <c r="D322" s="352">
        <v>2</v>
      </c>
      <c r="E322" s="130"/>
      <c r="F322" s="352">
        <v>2</v>
      </c>
      <c r="G322" s="315" t="s">
        <v>3154</v>
      </c>
      <c r="H322" s="315"/>
      <c r="I322" s="351" t="s">
        <v>2681</v>
      </c>
      <c r="J322" s="351" t="s">
        <v>2328</v>
      </c>
      <c r="K322" s="311">
        <v>124101.12</v>
      </c>
      <c r="L322" s="311">
        <v>0</v>
      </c>
      <c r="M322" s="311">
        <v>42344.181818181823</v>
      </c>
      <c r="N322" s="311">
        <v>14729.672727272728</v>
      </c>
      <c r="O322" s="311">
        <v>10310.77090909091</v>
      </c>
      <c r="P322" s="68">
        <f t="shared" si="65"/>
        <v>191485.74545454545</v>
      </c>
      <c r="Q322" s="68">
        <f t="shared" si="66"/>
        <v>382971.49090909091</v>
      </c>
      <c r="R322" s="127">
        <f t="shared" si="67"/>
        <v>382971.49090909091</v>
      </c>
      <c r="S322" s="509"/>
    </row>
    <row r="323" spans="1:19">
      <c r="A323" s="123"/>
      <c r="B323" s="254" t="s">
        <v>924</v>
      </c>
      <c r="C323" s="42" t="s">
        <v>8</v>
      </c>
      <c r="D323" s="351">
        <v>6</v>
      </c>
      <c r="E323" s="124"/>
      <c r="F323" s="351">
        <v>6</v>
      </c>
      <c r="G323" s="351" t="s">
        <v>2879</v>
      </c>
      <c r="H323" s="351"/>
      <c r="I323" s="351" t="s">
        <v>2681</v>
      </c>
      <c r="J323" s="351" t="s">
        <v>2328</v>
      </c>
      <c r="K323" s="311">
        <v>41535.410000000003</v>
      </c>
      <c r="L323" s="311">
        <v>0</v>
      </c>
      <c r="M323" s="311">
        <v>36963.327272727271</v>
      </c>
      <c r="N323" s="311">
        <v>6946.7909090909088</v>
      </c>
      <c r="O323" s="311">
        <v>4862.7536363636364</v>
      </c>
      <c r="P323" s="68">
        <f t="shared" si="65"/>
        <v>90308.281818181815</v>
      </c>
      <c r="Q323" s="68">
        <f t="shared" si="66"/>
        <v>541849.69090909092</v>
      </c>
      <c r="R323" s="127">
        <f t="shared" si="67"/>
        <v>541849.69090909092</v>
      </c>
      <c r="S323" s="37"/>
    </row>
    <row r="324" spans="1:19">
      <c r="A324" s="123"/>
      <c r="B324" s="254" t="s">
        <v>932</v>
      </c>
      <c r="C324" s="42" t="s">
        <v>8</v>
      </c>
      <c r="D324" s="351">
        <v>13</v>
      </c>
      <c r="E324" s="124"/>
      <c r="F324" s="351">
        <v>13</v>
      </c>
      <c r="G324" s="351" t="s">
        <v>2880</v>
      </c>
      <c r="H324" s="351"/>
      <c r="I324" s="351" t="s">
        <v>2681</v>
      </c>
      <c r="J324" s="351" t="s">
        <v>2328</v>
      </c>
      <c r="K324" s="311">
        <v>36668.500000000007</v>
      </c>
      <c r="L324" s="311">
        <v>0</v>
      </c>
      <c r="M324" s="311">
        <v>36963.327272727271</v>
      </c>
      <c r="N324" s="311">
        <v>6516.090909090909</v>
      </c>
      <c r="O324" s="311">
        <v>4561.2636363636366</v>
      </c>
      <c r="P324" s="68">
        <f t="shared" si="65"/>
        <v>84709.181818181823</v>
      </c>
      <c r="Q324" s="68">
        <f t="shared" si="66"/>
        <v>1101219.3636363638</v>
      </c>
      <c r="R324" s="127">
        <f t="shared" si="67"/>
        <v>1101219.3636363638</v>
      </c>
      <c r="S324" s="37"/>
    </row>
    <row r="325" spans="1:19">
      <c r="A325" s="123"/>
      <c r="B325" s="254" t="s">
        <v>925</v>
      </c>
      <c r="C325" s="42" t="s">
        <v>8</v>
      </c>
      <c r="D325" s="351">
        <v>20</v>
      </c>
      <c r="E325" s="124"/>
      <c r="F325" s="351">
        <v>20</v>
      </c>
      <c r="G325" s="351" t="s">
        <v>2881</v>
      </c>
      <c r="H325" s="351"/>
      <c r="I325" s="351" t="s">
        <v>2681</v>
      </c>
      <c r="J325" s="351" t="s">
        <v>2328</v>
      </c>
      <c r="K325" s="311">
        <v>29001.450000000008</v>
      </c>
      <c r="L325" s="311">
        <v>0</v>
      </c>
      <c r="M325" s="311">
        <v>30805.854545454546</v>
      </c>
      <c r="N325" s="311">
        <v>5292.6818181818189</v>
      </c>
      <c r="O325" s="311">
        <v>3704.8772727272731</v>
      </c>
      <c r="P325" s="68">
        <f t="shared" si="65"/>
        <v>68804.863636363632</v>
      </c>
      <c r="Q325" s="68">
        <f t="shared" si="66"/>
        <v>1376097.2727272727</v>
      </c>
      <c r="R325" s="127">
        <f t="shared" si="67"/>
        <v>1376097.2727272727</v>
      </c>
      <c r="S325" s="37"/>
    </row>
    <row r="326" spans="1:19">
      <c r="A326" s="123"/>
      <c r="B326" s="254" t="s">
        <v>933</v>
      </c>
      <c r="C326" s="42" t="s">
        <v>8</v>
      </c>
      <c r="D326" s="351">
        <v>5</v>
      </c>
      <c r="E326" s="124"/>
      <c r="F326" s="351">
        <v>5</v>
      </c>
      <c r="G326" s="351" t="s">
        <v>2882</v>
      </c>
      <c r="H326" s="351"/>
      <c r="I326" s="351" t="s">
        <v>2681</v>
      </c>
      <c r="J326" s="351" t="s">
        <v>2328</v>
      </c>
      <c r="K326" s="311">
        <v>27201.360000000008</v>
      </c>
      <c r="L326" s="311">
        <v>0</v>
      </c>
      <c r="M326" s="311">
        <v>30805.854545454546</v>
      </c>
      <c r="N326" s="311">
        <v>5133.3818181818187</v>
      </c>
      <c r="O326" s="311">
        <v>3593.3672727272733</v>
      </c>
      <c r="P326" s="68">
        <f t="shared" si="65"/>
        <v>66733.963636363653</v>
      </c>
      <c r="Q326" s="68">
        <f t="shared" si="66"/>
        <v>333669.81818181823</v>
      </c>
      <c r="R326" s="127">
        <f t="shared" si="67"/>
        <v>333669.81818181823</v>
      </c>
      <c r="S326" s="37"/>
    </row>
    <row r="327" spans="1:19">
      <c r="A327" s="123"/>
      <c r="B327" s="254" t="s">
        <v>934</v>
      </c>
      <c r="C327" s="42" t="s">
        <v>8</v>
      </c>
      <c r="D327" s="351">
        <v>814</v>
      </c>
      <c r="E327" s="124"/>
      <c r="F327" s="351">
        <v>814</v>
      </c>
      <c r="G327" s="351" t="s">
        <v>2883</v>
      </c>
      <c r="H327" s="351"/>
      <c r="I327" s="351" t="s">
        <v>2681</v>
      </c>
      <c r="J327" s="351" t="s">
        <v>2328</v>
      </c>
      <c r="K327" s="311">
        <v>23934.530000000006</v>
      </c>
      <c r="L327" s="311">
        <v>0</v>
      </c>
      <c r="M327" s="311">
        <v>30805.854545454546</v>
      </c>
      <c r="N327" s="311">
        <v>4844.2818181818184</v>
      </c>
      <c r="O327" s="311">
        <v>3390.9972727272734</v>
      </c>
      <c r="P327" s="68">
        <f t="shared" si="65"/>
        <v>62975.663636363643</v>
      </c>
      <c r="Q327" s="68">
        <f t="shared" si="66"/>
        <v>51262190.200000003</v>
      </c>
      <c r="R327" s="127">
        <f t="shared" si="67"/>
        <v>51262190.200000003</v>
      </c>
      <c r="S327" s="37"/>
    </row>
    <row r="328" spans="1:19">
      <c r="A328" s="123"/>
      <c r="B328" s="254" t="s">
        <v>935</v>
      </c>
      <c r="C328" s="42" t="s">
        <v>8</v>
      </c>
      <c r="D328" s="351">
        <v>4</v>
      </c>
      <c r="E328" s="124"/>
      <c r="F328" s="351">
        <v>4</v>
      </c>
      <c r="G328" s="351" t="s">
        <v>2884</v>
      </c>
      <c r="H328" s="351"/>
      <c r="I328" s="351" t="s">
        <v>2681</v>
      </c>
      <c r="J328" s="351" t="s">
        <v>2328</v>
      </c>
      <c r="K328" s="311">
        <v>55218.580000000009</v>
      </c>
      <c r="L328" s="311">
        <v>0</v>
      </c>
      <c r="M328" s="311">
        <v>53179.854545454546</v>
      </c>
      <c r="N328" s="311">
        <v>9592.7818181818184</v>
      </c>
      <c r="O328" s="311">
        <v>6714.9472727272732</v>
      </c>
      <c r="P328" s="68">
        <f t="shared" si="65"/>
        <v>124706.16363636364</v>
      </c>
      <c r="Q328" s="68">
        <f t="shared" si="66"/>
        <v>498824.65454545454</v>
      </c>
      <c r="R328" s="127">
        <f t="shared" si="67"/>
        <v>498824.65454545454</v>
      </c>
      <c r="S328" s="37"/>
    </row>
    <row r="329" spans="1:19">
      <c r="A329" s="123">
        <v>10</v>
      </c>
      <c r="B329" s="254" t="s">
        <v>937</v>
      </c>
      <c r="C329" s="42"/>
      <c r="D329" s="351"/>
      <c r="E329" s="124"/>
      <c r="F329" s="351"/>
      <c r="G329" s="37"/>
      <c r="H329" s="37"/>
      <c r="I329" s="37"/>
      <c r="J329" s="37"/>
      <c r="K329" s="66"/>
      <c r="L329" s="66"/>
      <c r="M329" s="66"/>
      <c r="N329" s="66"/>
      <c r="O329" s="66"/>
      <c r="P329" s="66"/>
      <c r="Q329" s="66"/>
      <c r="R329" s="66"/>
      <c r="S329" s="37"/>
    </row>
    <row r="330" spans="1:19">
      <c r="A330" s="123"/>
      <c r="B330" s="254" t="s">
        <v>868</v>
      </c>
      <c r="C330" s="42" t="s">
        <v>8</v>
      </c>
      <c r="D330" s="351">
        <v>14</v>
      </c>
      <c r="E330" s="124"/>
      <c r="F330" s="351">
        <v>14</v>
      </c>
      <c r="G330" s="351" t="s">
        <v>2885</v>
      </c>
      <c r="H330" s="351"/>
      <c r="I330" s="351" t="s">
        <v>2681</v>
      </c>
      <c r="J330" s="351" t="s">
        <v>2328</v>
      </c>
      <c r="K330" s="311">
        <v>1356135.6</v>
      </c>
      <c r="L330" s="311">
        <v>0</v>
      </c>
      <c r="M330" s="311">
        <v>49407.709090909091</v>
      </c>
      <c r="N330" s="311">
        <v>124384.36363636365</v>
      </c>
      <c r="O330" s="311">
        <v>87069.054545454565</v>
      </c>
      <c r="P330" s="68">
        <f t="shared" ref="P330:P338" si="68">SUM(K330:O330)</f>
        <v>1616996.7272727275</v>
      </c>
      <c r="Q330" s="68">
        <f t="shared" ref="Q330:Q338" si="69">D330*P330</f>
        <v>22637954.181818187</v>
      </c>
      <c r="R330" s="127">
        <f t="shared" ref="R330:R338" si="70">F330*P330</f>
        <v>22637954.181818187</v>
      </c>
      <c r="S330" s="37"/>
    </row>
    <row r="331" spans="1:19">
      <c r="A331" s="123"/>
      <c r="B331" s="254" t="s">
        <v>870</v>
      </c>
      <c r="C331" s="42" t="s">
        <v>8</v>
      </c>
      <c r="D331" s="351">
        <v>15</v>
      </c>
      <c r="E331" s="124"/>
      <c r="F331" s="351">
        <v>15</v>
      </c>
      <c r="G331" s="351" t="s">
        <v>2886</v>
      </c>
      <c r="H331" s="351"/>
      <c r="I331" s="351" t="s">
        <v>2681</v>
      </c>
      <c r="J331" s="351" t="s">
        <v>2328</v>
      </c>
      <c r="K331" s="311">
        <v>912823.04</v>
      </c>
      <c r="L331" s="311">
        <v>0</v>
      </c>
      <c r="M331" s="311">
        <v>49407.709090909091</v>
      </c>
      <c r="N331" s="311">
        <v>85153.163636363635</v>
      </c>
      <c r="O331" s="311">
        <v>59607.214545454553</v>
      </c>
      <c r="P331" s="68">
        <f t="shared" si="68"/>
        <v>1106991.1272727274</v>
      </c>
      <c r="Q331" s="68">
        <f t="shared" si="69"/>
        <v>16604866.909090912</v>
      </c>
      <c r="R331" s="127">
        <f t="shared" si="70"/>
        <v>16604866.909090912</v>
      </c>
      <c r="S331" s="37"/>
    </row>
    <row r="332" spans="1:19">
      <c r="A332" s="123"/>
      <c r="B332" s="254" t="s">
        <v>871</v>
      </c>
      <c r="C332" s="42" t="s">
        <v>8</v>
      </c>
      <c r="D332" s="351">
        <v>20</v>
      </c>
      <c r="E332" s="124"/>
      <c r="F332" s="351">
        <v>20</v>
      </c>
      <c r="G332" s="351" t="s">
        <v>2887</v>
      </c>
      <c r="H332" s="351"/>
      <c r="I332" s="351" t="s">
        <v>2681</v>
      </c>
      <c r="J332" s="351" t="s">
        <v>2328</v>
      </c>
      <c r="K332" s="311">
        <v>159508.31400000004</v>
      </c>
      <c r="L332" s="311">
        <v>0</v>
      </c>
      <c r="M332" s="311">
        <v>46843.63636363636</v>
      </c>
      <c r="N332" s="311">
        <v>18261.234545454547</v>
      </c>
      <c r="O332" s="311">
        <v>12782.864181818184</v>
      </c>
      <c r="P332" s="68">
        <f t="shared" si="68"/>
        <v>237396.04909090913</v>
      </c>
      <c r="Q332" s="68">
        <f t="shared" si="69"/>
        <v>4747920.9818181824</v>
      </c>
      <c r="R332" s="127">
        <f t="shared" si="70"/>
        <v>4747920.9818181824</v>
      </c>
      <c r="S332" s="37"/>
    </row>
    <row r="333" spans="1:19">
      <c r="A333" s="123"/>
      <c r="B333" s="254" t="s">
        <v>872</v>
      </c>
      <c r="C333" s="42" t="s">
        <v>8</v>
      </c>
      <c r="D333" s="351">
        <v>15</v>
      </c>
      <c r="E333" s="124"/>
      <c r="F333" s="351">
        <v>15</v>
      </c>
      <c r="G333" s="351" t="s">
        <v>2888</v>
      </c>
      <c r="H333" s="351"/>
      <c r="I333" s="351" t="s">
        <v>2681</v>
      </c>
      <c r="J333" s="351" t="s">
        <v>2328</v>
      </c>
      <c r="K333" s="311">
        <v>201366.00000000003</v>
      </c>
      <c r="L333" s="311">
        <v>0</v>
      </c>
      <c r="M333" s="311">
        <v>33875.345454545459</v>
      </c>
      <c r="N333" s="311">
        <v>20817.818181818184</v>
      </c>
      <c r="O333" s="311">
        <v>14572.472727272729</v>
      </c>
      <c r="P333" s="68">
        <f t="shared" si="68"/>
        <v>270631.63636363641</v>
      </c>
      <c r="Q333" s="68">
        <f t="shared" si="69"/>
        <v>4059474.5454545463</v>
      </c>
      <c r="R333" s="127">
        <f t="shared" si="70"/>
        <v>4059474.5454545463</v>
      </c>
      <c r="S333" s="37"/>
    </row>
    <row r="334" spans="1:19">
      <c r="A334" s="123"/>
      <c r="B334" s="254" t="s">
        <v>873</v>
      </c>
      <c r="C334" s="42" t="s">
        <v>8</v>
      </c>
      <c r="D334" s="351">
        <v>10</v>
      </c>
      <c r="E334" s="124"/>
      <c r="F334" s="351">
        <v>10</v>
      </c>
      <c r="G334" s="351" t="s">
        <v>2889</v>
      </c>
      <c r="H334" s="351"/>
      <c r="I334" s="351" t="s">
        <v>2681</v>
      </c>
      <c r="J334" s="351" t="s">
        <v>2328</v>
      </c>
      <c r="K334" s="311">
        <v>97924.896000000022</v>
      </c>
      <c r="L334" s="311">
        <v>0</v>
      </c>
      <c r="M334" s="311">
        <v>33875.345454545459</v>
      </c>
      <c r="N334" s="311">
        <v>11663.738181818184</v>
      </c>
      <c r="O334" s="311">
        <v>8164.6167272727289</v>
      </c>
      <c r="P334" s="68">
        <f t="shared" si="68"/>
        <v>151628.59636363637</v>
      </c>
      <c r="Q334" s="68">
        <f t="shared" si="69"/>
        <v>1516285.9636363639</v>
      </c>
      <c r="R334" s="127">
        <f t="shared" si="70"/>
        <v>1516285.9636363639</v>
      </c>
      <c r="S334" s="37"/>
    </row>
    <row r="335" spans="1:19">
      <c r="A335" s="123"/>
      <c r="B335" s="254" t="s">
        <v>874</v>
      </c>
      <c r="C335" s="42" t="s">
        <v>8</v>
      </c>
      <c r="D335" s="351">
        <v>36</v>
      </c>
      <c r="E335" s="124"/>
      <c r="F335" s="351">
        <v>36</v>
      </c>
      <c r="G335" s="351" t="s">
        <v>2890</v>
      </c>
      <c r="H335" s="351"/>
      <c r="I335" s="351" t="s">
        <v>2681</v>
      </c>
      <c r="J335" s="351" t="s">
        <v>2328</v>
      </c>
      <c r="K335" s="311">
        <v>60350.136000000013</v>
      </c>
      <c r="L335" s="311">
        <v>0</v>
      </c>
      <c r="M335" s="311">
        <v>28229.454545454548</v>
      </c>
      <c r="N335" s="311">
        <v>7838.9018181818192</v>
      </c>
      <c r="O335" s="311">
        <v>5487.2312727272738</v>
      </c>
      <c r="P335" s="68">
        <f t="shared" si="68"/>
        <v>101905.72363636366</v>
      </c>
      <c r="Q335" s="68">
        <f t="shared" si="69"/>
        <v>3668606.0509090917</v>
      </c>
      <c r="R335" s="127">
        <f t="shared" si="70"/>
        <v>3668606.0509090917</v>
      </c>
      <c r="S335" s="37"/>
    </row>
    <row r="336" spans="1:19">
      <c r="A336" s="123"/>
      <c r="B336" s="254" t="s">
        <v>875</v>
      </c>
      <c r="C336" s="42" t="s">
        <v>8</v>
      </c>
      <c r="D336" s="351">
        <v>206</v>
      </c>
      <c r="E336" s="124"/>
      <c r="F336" s="351">
        <v>206</v>
      </c>
      <c r="G336" s="351" t="s">
        <v>2891</v>
      </c>
      <c r="H336" s="351"/>
      <c r="I336" s="351" t="s">
        <v>2681</v>
      </c>
      <c r="J336" s="351" t="s">
        <v>2328</v>
      </c>
      <c r="K336" s="311">
        <v>61255.040000000008</v>
      </c>
      <c r="L336" s="311">
        <v>0</v>
      </c>
      <c r="M336" s="311">
        <v>28229.454545454548</v>
      </c>
      <c r="N336" s="311">
        <v>7918.9818181818182</v>
      </c>
      <c r="O336" s="311">
        <v>5543.2872727272725</v>
      </c>
      <c r="P336" s="68">
        <f t="shared" si="68"/>
        <v>102946.76363636364</v>
      </c>
      <c r="Q336" s="68">
        <f t="shared" si="69"/>
        <v>21207033.309090909</v>
      </c>
      <c r="R336" s="127">
        <f t="shared" si="70"/>
        <v>21207033.309090909</v>
      </c>
      <c r="S336" s="38"/>
    </row>
    <row r="337" spans="1:19">
      <c r="A337" s="123"/>
      <c r="B337" s="254" t="s">
        <v>877</v>
      </c>
      <c r="C337" s="42" t="s">
        <v>8</v>
      </c>
      <c r="D337" s="351">
        <v>339</v>
      </c>
      <c r="E337" s="124"/>
      <c r="F337" s="351">
        <v>339</v>
      </c>
      <c r="G337" s="351" t="s">
        <v>2892</v>
      </c>
      <c r="H337" s="351"/>
      <c r="I337" s="351" t="s">
        <v>2681</v>
      </c>
      <c r="J337" s="351" t="s">
        <v>2328</v>
      </c>
      <c r="K337" s="311">
        <v>44983.039999999994</v>
      </c>
      <c r="L337" s="311">
        <v>0</v>
      </c>
      <c r="M337" s="311">
        <v>24642.218181818182</v>
      </c>
      <c r="N337" s="311">
        <v>6161.5272727272722</v>
      </c>
      <c r="O337" s="311">
        <v>4313.0690909090908</v>
      </c>
      <c r="P337" s="68">
        <f t="shared" si="68"/>
        <v>80099.854545454538</v>
      </c>
      <c r="Q337" s="68">
        <f t="shared" si="69"/>
        <v>27153850.690909088</v>
      </c>
      <c r="R337" s="127">
        <f t="shared" si="70"/>
        <v>27153850.690909088</v>
      </c>
      <c r="S337" s="36"/>
    </row>
    <row r="338" spans="1:19">
      <c r="A338" s="123"/>
      <c r="B338" s="254" t="s">
        <v>878</v>
      </c>
      <c r="C338" s="42" t="s">
        <v>8</v>
      </c>
      <c r="D338" s="351">
        <v>320</v>
      </c>
      <c r="E338" s="124"/>
      <c r="F338" s="351">
        <v>320</v>
      </c>
      <c r="G338" s="351" t="s">
        <v>2893</v>
      </c>
      <c r="H338" s="351"/>
      <c r="I338" s="351" t="s">
        <v>2681</v>
      </c>
      <c r="J338" s="351" t="s">
        <v>2328</v>
      </c>
      <c r="K338" s="311">
        <v>21912.959999999999</v>
      </c>
      <c r="L338" s="311">
        <v>0</v>
      </c>
      <c r="M338" s="311">
        <v>20537.236363636363</v>
      </c>
      <c r="N338" s="311">
        <v>3756.6545454545449</v>
      </c>
      <c r="O338" s="311">
        <v>2629.6581818181817</v>
      </c>
      <c r="P338" s="68">
        <f t="shared" si="68"/>
        <v>48836.509090909087</v>
      </c>
      <c r="Q338" s="68">
        <f t="shared" si="69"/>
        <v>15627682.909090908</v>
      </c>
      <c r="R338" s="127">
        <f t="shared" si="70"/>
        <v>15627682.909090908</v>
      </c>
      <c r="S338" s="15"/>
    </row>
    <row r="339" spans="1:19">
      <c r="A339" s="123">
        <v>11</v>
      </c>
      <c r="B339" s="254" t="s">
        <v>938</v>
      </c>
      <c r="C339" s="42"/>
      <c r="D339" s="351"/>
      <c r="E339" s="124"/>
      <c r="F339" s="351"/>
      <c r="G339" s="15"/>
      <c r="H339" s="15"/>
      <c r="I339" s="15"/>
      <c r="J339" s="15"/>
      <c r="K339" s="66"/>
      <c r="L339" s="66"/>
      <c r="M339" s="66"/>
      <c r="N339" s="66"/>
      <c r="O339" s="66"/>
      <c r="P339" s="66"/>
      <c r="Q339" s="66"/>
      <c r="R339" s="66"/>
      <c r="S339" s="15"/>
    </row>
    <row r="340" spans="1:19">
      <c r="A340" s="123"/>
      <c r="B340" s="254" t="s">
        <v>939</v>
      </c>
      <c r="C340" s="42" t="s">
        <v>8</v>
      </c>
      <c r="D340" s="351">
        <v>1</v>
      </c>
      <c r="E340" s="124"/>
      <c r="F340" s="351">
        <v>1</v>
      </c>
      <c r="G340" s="351" t="s">
        <v>2894</v>
      </c>
      <c r="H340" s="351"/>
      <c r="I340" s="351" t="s">
        <v>2681</v>
      </c>
      <c r="J340" s="351" t="s">
        <v>2328</v>
      </c>
      <c r="K340" s="311">
        <v>1037340.0000000002</v>
      </c>
      <c r="L340" s="311">
        <v>0</v>
      </c>
      <c r="M340" s="311">
        <v>49407.709090909091</v>
      </c>
      <c r="N340" s="311">
        <v>96172.363636363647</v>
      </c>
      <c r="O340" s="311">
        <v>67320.654545454556</v>
      </c>
      <c r="P340" s="68">
        <f t="shared" ref="P340:P345" si="71">SUM(K340:O340)</f>
        <v>1250240.7272727273</v>
      </c>
      <c r="Q340" s="68">
        <f t="shared" ref="Q340:Q345" si="72">D340*P340</f>
        <v>1250240.7272727273</v>
      </c>
      <c r="R340" s="127">
        <f t="shared" ref="R340:R345" si="73">F340*P340</f>
        <v>1250240.7272727273</v>
      </c>
      <c r="S340" s="15"/>
    </row>
    <row r="341" spans="1:19">
      <c r="A341" s="123"/>
      <c r="B341" s="254" t="s">
        <v>940</v>
      </c>
      <c r="C341" s="42" t="s">
        <v>8</v>
      </c>
      <c r="D341" s="351">
        <v>10</v>
      </c>
      <c r="E341" s="124"/>
      <c r="F341" s="351">
        <v>10</v>
      </c>
      <c r="G341" s="351" t="s">
        <v>2895</v>
      </c>
      <c r="H341" s="351"/>
      <c r="I341" s="351" t="s">
        <v>2681</v>
      </c>
      <c r="J341" s="351" t="s">
        <v>2328</v>
      </c>
      <c r="K341" s="311">
        <v>915300.00000000012</v>
      </c>
      <c r="L341" s="311">
        <v>0</v>
      </c>
      <c r="M341" s="311">
        <v>49407.709090909091</v>
      </c>
      <c r="N341" s="311">
        <v>85372.363636363647</v>
      </c>
      <c r="O341" s="311">
        <v>59760.654545454548</v>
      </c>
      <c r="P341" s="68">
        <f t="shared" si="71"/>
        <v>1109840.7272727273</v>
      </c>
      <c r="Q341" s="68">
        <f t="shared" si="72"/>
        <v>11098407.272727273</v>
      </c>
      <c r="R341" s="127">
        <f t="shared" si="73"/>
        <v>11098407.272727273</v>
      </c>
      <c r="S341" s="15"/>
    </row>
    <row r="342" spans="1:19">
      <c r="A342" s="123"/>
      <c r="B342" s="254" t="s">
        <v>898</v>
      </c>
      <c r="C342" s="42" t="s">
        <v>8</v>
      </c>
      <c r="D342" s="351">
        <v>22</v>
      </c>
      <c r="E342" s="124"/>
      <c r="F342" s="351">
        <v>22</v>
      </c>
      <c r="G342" s="351" t="s">
        <v>2896</v>
      </c>
      <c r="H342" s="351"/>
      <c r="I342" s="351" t="s">
        <v>2681</v>
      </c>
      <c r="J342" s="351" t="s">
        <v>2328</v>
      </c>
      <c r="K342" s="311">
        <v>793260.00000000012</v>
      </c>
      <c r="L342" s="311">
        <v>0</v>
      </c>
      <c r="M342" s="311">
        <v>46843.63636363636</v>
      </c>
      <c r="N342" s="311">
        <v>74345.454545454544</v>
      </c>
      <c r="O342" s="311">
        <v>52041.818181818184</v>
      </c>
      <c r="P342" s="68">
        <f t="shared" si="71"/>
        <v>966490.90909090929</v>
      </c>
      <c r="Q342" s="68">
        <f t="shared" si="72"/>
        <v>21262800.000000004</v>
      </c>
      <c r="R342" s="127">
        <f t="shared" si="73"/>
        <v>21262800.000000004</v>
      </c>
      <c r="S342" s="37"/>
    </row>
    <row r="343" spans="1:19">
      <c r="A343" s="123"/>
      <c r="B343" s="254" t="s">
        <v>941</v>
      </c>
      <c r="C343" s="42" t="s">
        <v>8</v>
      </c>
      <c r="D343" s="351">
        <v>2</v>
      </c>
      <c r="E343" s="124"/>
      <c r="F343" s="351">
        <v>2</v>
      </c>
      <c r="G343" s="351" t="s">
        <v>2899</v>
      </c>
      <c r="H343" s="351"/>
      <c r="I343" s="351" t="s">
        <v>2681</v>
      </c>
      <c r="J343" s="351" t="s">
        <v>2328</v>
      </c>
      <c r="K343" s="311">
        <v>114771.84000000001</v>
      </c>
      <c r="L343" s="311">
        <v>0</v>
      </c>
      <c r="M343" s="311">
        <v>33875.345454545459</v>
      </c>
      <c r="N343" s="311">
        <v>13154.618181818183</v>
      </c>
      <c r="O343" s="311">
        <v>9208.2327272727289</v>
      </c>
      <c r="P343" s="68">
        <f t="shared" si="71"/>
        <v>171010.03636363641</v>
      </c>
      <c r="Q343" s="68">
        <f t="shared" si="72"/>
        <v>342020.07272727281</v>
      </c>
      <c r="R343" s="127">
        <f t="shared" si="73"/>
        <v>342020.07272727281</v>
      </c>
      <c r="S343" s="37"/>
    </row>
    <row r="344" spans="1:19">
      <c r="A344" s="123"/>
      <c r="B344" s="254" t="s">
        <v>907</v>
      </c>
      <c r="C344" s="42" t="s">
        <v>8</v>
      </c>
      <c r="D344" s="351">
        <v>2</v>
      </c>
      <c r="E344" s="124"/>
      <c r="F344" s="351">
        <v>2</v>
      </c>
      <c r="G344" s="351" t="s">
        <v>2897</v>
      </c>
      <c r="H344" s="351"/>
      <c r="I344" s="351" t="s">
        <v>2681</v>
      </c>
      <c r="J344" s="351" t="s">
        <v>2328</v>
      </c>
      <c r="K344" s="311">
        <v>81569.502000000022</v>
      </c>
      <c r="L344" s="311">
        <v>0</v>
      </c>
      <c r="M344" s="311">
        <v>28229.454545454548</v>
      </c>
      <c r="N344" s="311">
        <v>9716.7218181818189</v>
      </c>
      <c r="O344" s="311">
        <v>6801.705272727274</v>
      </c>
      <c r="P344" s="68">
        <f t="shared" si="71"/>
        <v>126317.38363636365</v>
      </c>
      <c r="Q344" s="68">
        <f t="shared" si="72"/>
        <v>252634.7672727273</v>
      </c>
      <c r="R344" s="127">
        <f t="shared" si="73"/>
        <v>252634.7672727273</v>
      </c>
      <c r="S344" s="36"/>
    </row>
    <row r="345" spans="1:19">
      <c r="A345" s="123"/>
      <c r="B345" s="254" t="s">
        <v>799</v>
      </c>
      <c r="C345" s="42" t="s">
        <v>8</v>
      </c>
      <c r="D345" s="351">
        <v>1</v>
      </c>
      <c r="E345" s="124"/>
      <c r="F345" s="351">
        <v>1</v>
      </c>
      <c r="G345" s="351" t="s">
        <v>2898</v>
      </c>
      <c r="H345" s="351"/>
      <c r="I345" s="351" t="s">
        <v>2681</v>
      </c>
      <c r="J345" s="351" t="s">
        <v>2328</v>
      </c>
      <c r="K345" s="311">
        <v>36883.200000000004</v>
      </c>
      <c r="L345" s="311">
        <v>0</v>
      </c>
      <c r="M345" s="311">
        <v>24642.218181818182</v>
      </c>
      <c r="N345" s="311">
        <v>5444.7272727272721</v>
      </c>
      <c r="O345" s="311">
        <v>3811.3090909090906</v>
      </c>
      <c r="P345" s="68">
        <f t="shared" si="71"/>
        <v>70781.454545454544</v>
      </c>
      <c r="Q345" s="68">
        <f t="shared" si="72"/>
        <v>70781.454545454544</v>
      </c>
      <c r="R345" s="127">
        <f t="shared" si="73"/>
        <v>70781.454545454544</v>
      </c>
      <c r="S345" s="15"/>
    </row>
    <row r="346" spans="1:19">
      <c r="A346" s="123">
        <v>12</v>
      </c>
      <c r="B346" s="254" t="s">
        <v>942</v>
      </c>
      <c r="C346" s="42"/>
      <c r="D346" s="351"/>
      <c r="E346" s="124"/>
      <c r="F346" s="351"/>
      <c r="G346" s="15"/>
      <c r="H346" s="15"/>
      <c r="I346" s="15"/>
      <c r="J346" s="15"/>
      <c r="K346" s="66"/>
      <c r="L346" s="66"/>
      <c r="M346" s="66"/>
      <c r="N346" s="66"/>
      <c r="O346" s="66"/>
      <c r="P346" s="66"/>
      <c r="Q346" s="66"/>
      <c r="R346" s="66"/>
      <c r="S346" s="15"/>
    </row>
    <row r="347" spans="1:19">
      <c r="A347" s="123"/>
      <c r="B347" s="254" t="s">
        <v>891</v>
      </c>
      <c r="C347" s="42" t="s">
        <v>8</v>
      </c>
      <c r="D347" s="351">
        <v>2</v>
      </c>
      <c r="E347" s="124"/>
      <c r="F347" s="351">
        <v>2</v>
      </c>
      <c r="G347" s="351" t="s">
        <v>2900</v>
      </c>
      <c r="H347" s="351"/>
      <c r="I347" s="351" t="s">
        <v>2681</v>
      </c>
      <c r="J347" s="351" t="s">
        <v>2328</v>
      </c>
      <c r="K347" s="311">
        <v>643069.43999999994</v>
      </c>
      <c r="L347" s="311">
        <v>0</v>
      </c>
      <c r="M347" s="311">
        <v>24703.854545454546</v>
      </c>
      <c r="N347" s="311">
        <v>59094.981818181812</v>
      </c>
      <c r="O347" s="311">
        <v>41366.487272727274</v>
      </c>
      <c r="P347" s="68">
        <f t="shared" ref="P347:P354" si="74">SUM(K347:O347)</f>
        <v>768234.76363636355</v>
      </c>
      <c r="Q347" s="68">
        <f t="shared" ref="Q347:Q354" si="75">D347*P347</f>
        <v>1536469.5272727271</v>
      </c>
      <c r="R347" s="127">
        <f t="shared" ref="R347:R354" si="76">F347*P347</f>
        <v>1536469.5272727271</v>
      </c>
      <c r="S347" s="15"/>
    </row>
    <row r="348" spans="1:19">
      <c r="A348" s="123"/>
      <c r="B348" s="254" t="s">
        <v>893</v>
      </c>
      <c r="C348" s="42" t="s">
        <v>8</v>
      </c>
      <c r="D348" s="351">
        <v>2</v>
      </c>
      <c r="E348" s="124"/>
      <c r="F348" s="351">
        <v>2</v>
      </c>
      <c r="G348" s="351" t="s">
        <v>2901</v>
      </c>
      <c r="H348" s="351"/>
      <c r="I348" s="351" t="s">
        <v>2681</v>
      </c>
      <c r="J348" s="351" t="s">
        <v>2328</v>
      </c>
      <c r="K348" s="311">
        <v>318208.00000000006</v>
      </c>
      <c r="L348" s="311">
        <v>0</v>
      </c>
      <c r="M348" s="311">
        <v>24703.854545454546</v>
      </c>
      <c r="N348" s="311">
        <v>30346.18181818182</v>
      </c>
      <c r="O348" s="311">
        <v>21242.327272727274</v>
      </c>
      <c r="P348" s="68">
        <f t="shared" si="74"/>
        <v>394500.36363636371</v>
      </c>
      <c r="Q348" s="68">
        <f t="shared" si="75"/>
        <v>789000.72727272741</v>
      </c>
      <c r="R348" s="127">
        <f t="shared" si="76"/>
        <v>789000.72727272741</v>
      </c>
      <c r="S348" s="15"/>
    </row>
    <row r="349" spans="1:19">
      <c r="A349" s="123"/>
      <c r="B349" s="254" t="s">
        <v>896</v>
      </c>
      <c r="C349" s="42" t="s">
        <v>8</v>
      </c>
      <c r="D349" s="351">
        <v>2</v>
      </c>
      <c r="E349" s="124"/>
      <c r="F349" s="351">
        <v>2</v>
      </c>
      <c r="G349" s="351" t="s">
        <v>2902</v>
      </c>
      <c r="H349" s="351"/>
      <c r="I349" s="351" t="s">
        <v>2681</v>
      </c>
      <c r="J349" s="351" t="s">
        <v>2328</v>
      </c>
      <c r="K349" s="311">
        <v>95462.400000000009</v>
      </c>
      <c r="L349" s="311">
        <v>0</v>
      </c>
      <c r="M349" s="311">
        <v>23421.81818181818</v>
      </c>
      <c r="N349" s="311">
        <v>10520.727272727272</v>
      </c>
      <c r="O349" s="311">
        <v>7364.5090909090914</v>
      </c>
      <c r="P349" s="68">
        <f t="shared" si="74"/>
        <v>136769.45454545456</v>
      </c>
      <c r="Q349" s="68">
        <f t="shared" si="75"/>
        <v>273538.90909090912</v>
      </c>
      <c r="R349" s="127">
        <f t="shared" si="76"/>
        <v>273538.90909090912</v>
      </c>
      <c r="S349" s="26"/>
    </row>
    <row r="350" spans="1:19">
      <c r="A350" s="123"/>
      <c r="B350" s="254" t="s">
        <v>902</v>
      </c>
      <c r="C350" s="42" t="s">
        <v>8</v>
      </c>
      <c r="D350" s="351">
        <v>4</v>
      </c>
      <c r="E350" s="124"/>
      <c r="F350" s="351">
        <v>4</v>
      </c>
      <c r="G350" s="351" t="s">
        <v>2903</v>
      </c>
      <c r="H350" s="351"/>
      <c r="I350" s="351" t="s">
        <v>2681</v>
      </c>
      <c r="J350" s="351" t="s">
        <v>2328</v>
      </c>
      <c r="K350" s="311">
        <v>46140.159999999996</v>
      </c>
      <c r="L350" s="311">
        <v>0</v>
      </c>
      <c r="M350" s="311">
        <v>16937.672727272729</v>
      </c>
      <c r="N350" s="311">
        <v>5582.1090909090899</v>
      </c>
      <c r="O350" s="311">
        <v>3907.4763636363632</v>
      </c>
      <c r="P350" s="68">
        <f t="shared" si="74"/>
        <v>72567.418181818182</v>
      </c>
      <c r="Q350" s="68">
        <f t="shared" si="75"/>
        <v>290269.67272727273</v>
      </c>
      <c r="R350" s="127">
        <f t="shared" si="76"/>
        <v>290269.67272727273</v>
      </c>
      <c r="S350" s="40"/>
    </row>
    <row r="351" spans="1:19">
      <c r="A351" s="123"/>
      <c r="B351" s="254" t="s">
        <v>783</v>
      </c>
      <c r="C351" s="42" t="s">
        <v>8</v>
      </c>
      <c r="D351" s="351">
        <v>15</v>
      </c>
      <c r="E351" s="124"/>
      <c r="F351" s="351">
        <v>15</v>
      </c>
      <c r="G351" s="351" t="s">
        <v>2904</v>
      </c>
      <c r="H351" s="351"/>
      <c r="I351" s="351" t="s">
        <v>2681</v>
      </c>
      <c r="J351" s="351" t="s">
        <v>2328</v>
      </c>
      <c r="K351" s="311">
        <v>23431.679999999997</v>
      </c>
      <c r="L351" s="311">
        <v>0</v>
      </c>
      <c r="M351" s="311">
        <v>14114.727272727274</v>
      </c>
      <c r="N351" s="311">
        <v>3322.6909090909089</v>
      </c>
      <c r="O351" s="311">
        <v>2325.8836363636365</v>
      </c>
      <c r="P351" s="68">
        <f t="shared" si="74"/>
        <v>43194.981818181819</v>
      </c>
      <c r="Q351" s="68">
        <f t="shared" si="75"/>
        <v>647924.72727272729</v>
      </c>
      <c r="R351" s="127">
        <f t="shared" si="76"/>
        <v>647924.72727272729</v>
      </c>
      <c r="S351" s="40"/>
    </row>
    <row r="352" spans="1:19">
      <c r="A352" s="123"/>
      <c r="B352" s="254" t="s">
        <v>908</v>
      </c>
      <c r="C352" s="42" t="s">
        <v>8</v>
      </c>
      <c r="D352" s="351">
        <v>34</v>
      </c>
      <c r="E352" s="124"/>
      <c r="F352" s="351">
        <v>34</v>
      </c>
      <c r="G352" s="351" t="s">
        <v>2905</v>
      </c>
      <c r="H352" s="351"/>
      <c r="I352" s="351" t="s">
        <v>2681</v>
      </c>
      <c r="J352" s="351" t="s">
        <v>2328</v>
      </c>
      <c r="K352" s="311">
        <v>41728.639999999999</v>
      </c>
      <c r="L352" s="311">
        <v>0</v>
      </c>
      <c r="M352" s="311">
        <v>14114.727272727274</v>
      </c>
      <c r="N352" s="311">
        <v>4941.8909090909083</v>
      </c>
      <c r="O352" s="311">
        <v>3459.3236363636361</v>
      </c>
      <c r="P352" s="68">
        <f t="shared" si="74"/>
        <v>64244.581818181818</v>
      </c>
      <c r="Q352" s="68">
        <f t="shared" si="75"/>
        <v>2184315.7818181817</v>
      </c>
      <c r="R352" s="127">
        <f t="shared" si="76"/>
        <v>2184315.7818181817</v>
      </c>
      <c r="S352" s="15"/>
    </row>
    <row r="353" spans="1:19">
      <c r="A353" s="123"/>
      <c r="B353" s="254" t="s">
        <v>785</v>
      </c>
      <c r="C353" s="42" t="s">
        <v>8</v>
      </c>
      <c r="D353" s="351">
        <v>24</v>
      </c>
      <c r="E353" s="124"/>
      <c r="F353" s="351">
        <v>24</v>
      </c>
      <c r="G353" s="351" t="s">
        <v>2907</v>
      </c>
      <c r="H353" s="351"/>
      <c r="I353" s="351" t="s">
        <v>2681</v>
      </c>
      <c r="J353" s="351" t="s">
        <v>2328</v>
      </c>
      <c r="K353" s="311">
        <v>17573.760000000002</v>
      </c>
      <c r="L353" s="311">
        <v>0</v>
      </c>
      <c r="M353" s="311">
        <v>12321.109090909091</v>
      </c>
      <c r="N353" s="311">
        <v>2645.5636363636363</v>
      </c>
      <c r="O353" s="311">
        <v>1851.8945454545453</v>
      </c>
      <c r="P353" s="68">
        <f t="shared" si="74"/>
        <v>34392.327272727278</v>
      </c>
      <c r="Q353" s="68">
        <f t="shared" si="75"/>
        <v>825415.85454545473</v>
      </c>
      <c r="R353" s="127">
        <f t="shared" si="76"/>
        <v>825415.85454545473</v>
      </c>
      <c r="S353" s="37"/>
    </row>
    <row r="354" spans="1:19">
      <c r="A354" s="123"/>
      <c r="B354" s="254" t="s">
        <v>786</v>
      </c>
      <c r="C354" s="42" t="s">
        <v>8</v>
      </c>
      <c r="D354" s="351">
        <v>48</v>
      </c>
      <c r="E354" s="124"/>
      <c r="F354" s="351">
        <v>48</v>
      </c>
      <c r="G354" s="351" t="s">
        <v>2906</v>
      </c>
      <c r="H354" s="351"/>
      <c r="I354" s="351" t="s">
        <v>2681</v>
      </c>
      <c r="J354" s="351" t="s">
        <v>2328</v>
      </c>
      <c r="K354" s="311">
        <v>15476.480000000001</v>
      </c>
      <c r="L354" s="311">
        <v>0</v>
      </c>
      <c r="M354" s="311">
        <v>10268.618181818181</v>
      </c>
      <c r="N354" s="311">
        <v>2278.3272727272729</v>
      </c>
      <c r="O354" s="311">
        <v>1594.8290909090911</v>
      </c>
      <c r="P354" s="68">
        <f t="shared" si="74"/>
        <v>29618.254545454547</v>
      </c>
      <c r="Q354" s="68">
        <f t="shared" si="75"/>
        <v>1421676.2181818183</v>
      </c>
      <c r="R354" s="127">
        <f t="shared" si="76"/>
        <v>1421676.2181818183</v>
      </c>
      <c r="S354" s="37"/>
    </row>
    <row r="355" spans="1:19">
      <c r="A355" s="123">
        <v>13</v>
      </c>
      <c r="B355" s="254" t="s">
        <v>943</v>
      </c>
      <c r="C355" s="42"/>
      <c r="D355" s="351"/>
      <c r="E355" s="124"/>
      <c r="F355" s="351"/>
      <c r="G355" s="37"/>
      <c r="H355" s="37"/>
      <c r="I355" s="37"/>
      <c r="J355" s="37"/>
      <c r="K355" s="66"/>
      <c r="L355" s="66"/>
      <c r="M355" s="66"/>
      <c r="N355" s="66"/>
      <c r="O355" s="66"/>
      <c r="P355" s="66"/>
      <c r="Q355" s="66"/>
      <c r="R355" s="66"/>
      <c r="S355" s="37"/>
    </row>
    <row r="356" spans="1:19" ht="30">
      <c r="A356" s="123"/>
      <c r="B356" s="254" t="s">
        <v>891</v>
      </c>
      <c r="C356" s="42" t="s">
        <v>8</v>
      </c>
      <c r="D356" s="351">
        <v>8</v>
      </c>
      <c r="E356" s="124"/>
      <c r="F356" s="351">
        <v>8</v>
      </c>
      <c r="G356" s="351" t="s">
        <v>2908</v>
      </c>
      <c r="H356" s="351"/>
      <c r="I356" s="351" t="s">
        <v>2681</v>
      </c>
      <c r="J356" s="351" t="s">
        <v>2328</v>
      </c>
      <c r="K356" s="311">
        <v>2806920.0000000005</v>
      </c>
      <c r="L356" s="311">
        <v>0</v>
      </c>
      <c r="M356" s="311">
        <v>74111.563636363644</v>
      </c>
      <c r="N356" s="311">
        <v>254958.54545454547</v>
      </c>
      <c r="O356" s="311">
        <v>178470.98181818184</v>
      </c>
      <c r="P356" s="68">
        <f t="shared" ref="P356:P364" si="77">SUM(K356:O356)</f>
        <v>3314461.0909090913</v>
      </c>
      <c r="Q356" s="68">
        <f t="shared" ref="Q356:Q364" si="78">D356*P356</f>
        <v>26515688.72727273</v>
      </c>
      <c r="R356" s="127">
        <f t="shared" ref="R356:R364" si="79">F356*P356</f>
        <v>26515688.72727273</v>
      </c>
      <c r="S356" s="37"/>
    </row>
    <row r="357" spans="1:19" ht="30">
      <c r="A357" s="123"/>
      <c r="B357" s="254" t="s">
        <v>893</v>
      </c>
      <c r="C357" s="42" t="s">
        <v>8</v>
      </c>
      <c r="D357" s="351">
        <v>3</v>
      </c>
      <c r="E357" s="124"/>
      <c r="F357" s="351">
        <v>3</v>
      </c>
      <c r="G357" s="351" t="s">
        <v>2909</v>
      </c>
      <c r="H357" s="351"/>
      <c r="I357" s="351" t="s">
        <v>2681</v>
      </c>
      <c r="J357" s="351" t="s">
        <v>2328</v>
      </c>
      <c r="K357" s="311">
        <v>2257740.0000000005</v>
      </c>
      <c r="L357" s="311">
        <v>0</v>
      </c>
      <c r="M357" s="311">
        <v>74111.563636363644</v>
      </c>
      <c r="N357" s="311">
        <v>206358.5454545455</v>
      </c>
      <c r="O357" s="311">
        <v>144450.98181818184</v>
      </c>
      <c r="P357" s="68">
        <f t="shared" si="77"/>
        <v>2682661.0909090913</v>
      </c>
      <c r="Q357" s="68">
        <f t="shared" si="78"/>
        <v>8047983.2727272734</v>
      </c>
      <c r="R357" s="127">
        <f t="shared" si="79"/>
        <v>8047983.2727272734</v>
      </c>
      <c r="S357" s="37"/>
    </row>
    <row r="358" spans="1:19" ht="30">
      <c r="A358" s="123"/>
      <c r="B358" s="254" t="s">
        <v>896</v>
      </c>
      <c r="C358" s="42" t="s">
        <v>8</v>
      </c>
      <c r="D358" s="351">
        <v>11</v>
      </c>
      <c r="E358" s="124"/>
      <c r="F358" s="351">
        <v>11</v>
      </c>
      <c r="G358" s="351" t="s">
        <v>2910</v>
      </c>
      <c r="H358" s="351"/>
      <c r="I358" s="351" t="s">
        <v>2681</v>
      </c>
      <c r="J358" s="351" t="s">
        <v>2328</v>
      </c>
      <c r="K358" s="311">
        <v>735528.3</v>
      </c>
      <c r="L358" s="311">
        <v>0</v>
      </c>
      <c r="M358" s="311">
        <v>70265.454545454544</v>
      </c>
      <c r="N358" s="311">
        <v>71309.181818181809</v>
      </c>
      <c r="O358" s="311">
        <v>49916.427272727276</v>
      </c>
      <c r="P358" s="68">
        <f t="shared" si="77"/>
        <v>927019.36363636365</v>
      </c>
      <c r="Q358" s="68">
        <f t="shared" si="78"/>
        <v>10197213</v>
      </c>
      <c r="R358" s="127">
        <f t="shared" si="79"/>
        <v>10197213</v>
      </c>
      <c r="S358" s="37"/>
    </row>
    <row r="359" spans="1:19" ht="30">
      <c r="A359" s="123"/>
      <c r="B359" s="254" t="s">
        <v>899</v>
      </c>
      <c r="C359" s="42" t="s">
        <v>8</v>
      </c>
      <c r="D359" s="351">
        <v>7</v>
      </c>
      <c r="E359" s="124"/>
      <c r="F359" s="351">
        <v>7</v>
      </c>
      <c r="G359" s="351" t="s">
        <v>2911</v>
      </c>
      <c r="H359" s="351"/>
      <c r="I359" s="351" t="s">
        <v>2681</v>
      </c>
      <c r="J359" s="351" t="s">
        <v>2328</v>
      </c>
      <c r="K359" s="311">
        <v>1159380.0000000002</v>
      </c>
      <c r="L359" s="311">
        <v>0</v>
      </c>
      <c r="M359" s="311">
        <v>50813.018181818181</v>
      </c>
      <c r="N359" s="311">
        <v>107096.72727272728</v>
      </c>
      <c r="O359" s="311">
        <v>74967.709090909091</v>
      </c>
      <c r="P359" s="68">
        <f t="shared" si="77"/>
        <v>1392257.4545454546</v>
      </c>
      <c r="Q359" s="68">
        <f t="shared" si="78"/>
        <v>9745802.1818181816</v>
      </c>
      <c r="R359" s="127">
        <f t="shared" si="79"/>
        <v>9745802.1818181816</v>
      </c>
      <c r="S359" s="37"/>
    </row>
    <row r="360" spans="1:19" ht="30">
      <c r="A360" s="123"/>
      <c r="B360" s="254" t="s">
        <v>902</v>
      </c>
      <c r="C360" s="42" t="s">
        <v>8</v>
      </c>
      <c r="D360" s="351">
        <v>6</v>
      </c>
      <c r="E360" s="124"/>
      <c r="F360" s="351">
        <v>6</v>
      </c>
      <c r="G360" s="351" t="s">
        <v>2915</v>
      </c>
      <c r="H360" s="351"/>
      <c r="I360" s="351" t="s">
        <v>2681</v>
      </c>
      <c r="J360" s="351" t="s">
        <v>2328</v>
      </c>
      <c r="K360" s="311">
        <v>298761.83</v>
      </c>
      <c r="L360" s="311">
        <v>0</v>
      </c>
      <c r="M360" s="311">
        <v>50813.018181818181</v>
      </c>
      <c r="N360" s="311">
        <v>30935.827272727271</v>
      </c>
      <c r="O360" s="311">
        <v>21655.07909090909</v>
      </c>
      <c r="P360" s="68">
        <f t="shared" si="77"/>
        <v>402165.75454545458</v>
      </c>
      <c r="Q360" s="68">
        <f t="shared" si="78"/>
        <v>2412994.5272727273</v>
      </c>
      <c r="R360" s="127">
        <f t="shared" si="79"/>
        <v>2412994.5272727273</v>
      </c>
      <c r="S360" s="37"/>
    </row>
    <row r="361" spans="1:19" ht="30">
      <c r="A361" s="123"/>
      <c r="B361" s="254" t="s">
        <v>783</v>
      </c>
      <c r="C361" s="42" t="s">
        <v>8</v>
      </c>
      <c r="D361" s="351">
        <v>15</v>
      </c>
      <c r="E361" s="124"/>
      <c r="F361" s="351">
        <v>15</v>
      </c>
      <c r="G361" s="351" t="s">
        <v>2916</v>
      </c>
      <c r="H361" s="351"/>
      <c r="I361" s="351" t="s">
        <v>2681</v>
      </c>
      <c r="J361" s="351" t="s">
        <v>2328</v>
      </c>
      <c r="K361" s="311">
        <v>200794.22000000003</v>
      </c>
      <c r="L361" s="311">
        <v>0</v>
      </c>
      <c r="M361" s="311">
        <v>42344.181818181823</v>
      </c>
      <c r="N361" s="311">
        <v>21516.672727272729</v>
      </c>
      <c r="O361" s="311">
        <v>15061.67090909091</v>
      </c>
      <c r="P361" s="68">
        <f t="shared" si="77"/>
        <v>279716.74545454548</v>
      </c>
      <c r="Q361" s="68">
        <f t="shared" si="78"/>
        <v>4195751.1818181826</v>
      </c>
      <c r="R361" s="127">
        <f t="shared" si="79"/>
        <v>4195751.1818181826</v>
      </c>
      <c r="S361" s="37"/>
    </row>
    <row r="362" spans="1:19" ht="30">
      <c r="A362" s="123"/>
      <c r="B362" s="254" t="s">
        <v>908</v>
      </c>
      <c r="C362" s="42" t="s">
        <v>8</v>
      </c>
      <c r="D362" s="351">
        <v>168</v>
      </c>
      <c r="E362" s="124"/>
      <c r="F362" s="351">
        <v>168</v>
      </c>
      <c r="G362" s="351" t="s">
        <v>2912</v>
      </c>
      <c r="H362" s="351"/>
      <c r="I362" s="351" t="s">
        <v>2681</v>
      </c>
      <c r="J362" s="351" t="s">
        <v>2328</v>
      </c>
      <c r="K362" s="311">
        <v>137841.92000000001</v>
      </c>
      <c r="L362" s="311">
        <v>0</v>
      </c>
      <c r="M362" s="311">
        <v>42344.181818181823</v>
      </c>
      <c r="N362" s="311">
        <v>15945.672727272728</v>
      </c>
      <c r="O362" s="311">
        <v>11161.970909090909</v>
      </c>
      <c r="P362" s="68">
        <f t="shared" si="77"/>
        <v>207293.74545454548</v>
      </c>
      <c r="Q362" s="68">
        <f t="shared" si="78"/>
        <v>34825349.236363642</v>
      </c>
      <c r="R362" s="127">
        <f t="shared" si="79"/>
        <v>34825349.236363642</v>
      </c>
      <c r="S362" s="37"/>
    </row>
    <row r="363" spans="1:19" ht="30">
      <c r="A363" s="123"/>
      <c r="B363" s="254" t="s">
        <v>785</v>
      </c>
      <c r="C363" s="42" t="s">
        <v>8</v>
      </c>
      <c r="D363" s="351">
        <v>176</v>
      </c>
      <c r="E363" s="124"/>
      <c r="F363" s="351">
        <v>176</v>
      </c>
      <c r="G363" s="351" t="s">
        <v>2913</v>
      </c>
      <c r="H363" s="351"/>
      <c r="I363" s="351" t="s">
        <v>2681</v>
      </c>
      <c r="J363" s="351" t="s">
        <v>2328</v>
      </c>
      <c r="K363" s="311">
        <v>113614.72000000002</v>
      </c>
      <c r="L363" s="311">
        <v>0</v>
      </c>
      <c r="M363" s="311">
        <v>36963.327272727271</v>
      </c>
      <c r="N363" s="311">
        <v>13325.49090909091</v>
      </c>
      <c r="O363" s="311">
        <v>9327.8436363636374</v>
      </c>
      <c r="P363" s="68">
        <f t="shared" si="77"/>
        <v>173231.38181818184</v>
      </c>
      <c r="Q363" s="68">
        <f t="shared" si="78"/>
        <v>30488723.200000003</v>
      </c>
      <c r="R363" s="127">
        <f t="shared" si="79"/>
        <v>30488723.200000003</v>
      </c>
      <c r="S363" s="37"/>
    </row>
    <row r="364" spans="1:19" ht="30">
      <c r="A364" s="123"/>
      <c r="B364" s="254" t="s">
        <v>786</v>
      </c>
      <c r="C364" s="42" t="s">
        <v>8</v>
      </c>
      <c r="D364" s="351">
        <v>3</v>
      </c>
      <c r="E364" s="124"/>
      <c r="F364" s="351">
        <v>3</v>
      </c>
      <c r="G364" s="351" t="s">
        <v>2914</v>
      </c>
      <c r="H364" s="351"/>
      <c r="I364" s="351" t="s">
        <v>2681</v>
      </c>
      <c r="J364" s="351" t="s">
        <v>2328</v>
      </c>
      <c r="K364" s="311">
        <v>72175.360000000001</v>
      </c>
      <c r="L364" s="311">
        <v>0</v>
      </c>
      <c r="M364" s="311">
        <v>30805.854545454546</v>
      </c>
      <c r="N364" s="311">
        <v>9113.3818181818187</v>
      </c>
      <c r="O364" s="311">
        <v>6379.3672727272733</v>
      </c>
      <c r="P364" s="68">
        <f t="shared" si="77"/>
        <v>118473.96363636364</v>
      </c>
      <c r="Q364" s="68">
        <f t="shared" si="78"/>
        <v>355421.89090909093</v>
      </c>
      <c r="R364" s="127">
        <f t="shared" si="79"/>
        <v>355421.89090909093</v>
      </c>
      <c r="S364" s="37"/>
    </row>
    <row r="365" spans="1:19">
      <c r="A365" s="123">
        <v>14</v>
      </c>
      <c r="B365" s="254" t="s">
        <v>944</v>
      </c>
      <c r="C365" s="42"/>
      <c r="D365" s="351"/>
      <c r="E365" s="124"/>
      <c r="F365" s="351"/>
      <c r="G365" s="39"/>
      <c r="H365" s="39"/>
      <c r="I365" s="39"/>
      <c r="J365" s="39"/>
      <c r="K365" s="65"/>
      <c r="L365" s="65"/>
      <c r="M365" s="65"/>
      <c r="N365" s="65"/>
      <c r="O365" s="65"/>
      <c r="P365" s="65"/>
      <c r="Q365" s="65"/>
      <c r="R365" s="65"/>
      <c r="S365" s="39"/>
    </row>
    <row r="366" spans="1:19" ht="60">
      <c r="A366" s="123"/>
      <c r="B366" s="254" t="s">
        <v>785</v>
      </c>
      <c r="C366" s="42" t="s">
        <v>8</v>
      </c>
      <c r="D366" s="351">
        <v>10</v>
      </c>
      <c r="E366" s="124"/>
      <c r="F366" s="351">
        <v>10</v>
      </c>
      <c r="G366" s="351" t="s">
        <v>2937</v>
      </c>
      <c r="H366" s="351" t="s">
        <v>2938</v>
      </c>
      <c r="I366" s="351" t="s">
        <v>2781</v>
      </c>
      <c r="J366" s="351" t="s">
        <v>2328</v>
      </c>
      <c r="K366" s="311">
        <v>401700</v>
      </c>
      <c r="L366" s="311">
        <v>0</v>
      </c>
      <c r="M366" s="311">
        <v>108654.20833333334</v>
      </c>
      <c r="N366" s="311">
        <v>48615.416666666672</v>
      </c>
      <c r="O366" s="311">
        <v>34030.791666666672</v>
      </c>
      <c r="P366" s="68">
        <f t="shared" ref="P366:P367" si="80">SUM(K366:O366)</f>
        <v>593000.41666666663</v>
      </c>
      <c r="Q366" s="68">
        <f>D366*P366</f>
        <v>5930004.166666666</v>
      </c>
      <c r="R366" s="127">
        <f>F366*P366</f>
        <v>5930004.166666666</v>
      </c>
      <c r="S366" s="15"/>
    </row>
    <row r="367" spans="1:19" ht="60">
      <c r="A367" s="123"/>
      <c r="B367" s="254" t="s">
        <v>786</v>
      </c>
      <c r="C367" s="42" t="s">
        <v>8</v>
      </c>
      <c r="D367" s="351">
        <v>49</v>
      </c>
      <c r="E367" s="124"/>
      <c r="F367" s="351">
        <v>49</v>
      </c>
      <c r="G367" s="351" t="s">
        <v>2917</v>
      </c>
      <c r="H367" s="351" t="s">
        <v>2918</v>
      </c>
      <c r="I367" s="351" t="s">
        <v>2781</v>
      </c>
      <c r="J367" s="351" t="s">
        <v>2328</v>
      </c>
      <c r="K367" s="311">
        <v>242050</v>
      </c>
      <c r="L367" s="311">
        <v>0</v>
      </c>
      <c r="M367" s="311">
        <v>94899.454545454544</v>
      </c>
      <c r="N367" s="311">
        <v>31898.18181818182</v>
      </c>
      <c r="O367" s="311">
        <v>22328.727272727276</v>
      </c>
      <c r="P367" s="68">
        <f t="shared" si="80"/>
        <v>391176.36363636365</v>
      </c>
      <c r="Q367" s="68">
        <f>D367*P367</f>
        <v>19167641.81818182</v>
      </c>
      <c r="R367" s="127">
        <f>F367*P367</f>
        <v>19167641.81818182</v>
      </c>
      <c r="S367" s="18"/>
    </row>
    <row r="368" spans="1:19">
      <c r="A368" s="123">
        <v>15</v>
      </c>
      <c r="B368" s="254" t="s">
        <v>945</v>
      </c>
      <c r="C368" s="42"/>
      <c r="D368" s="351"/>
      <c r="E368" s="124"/>
      <c r="F368" s="351"/>
      <c r="G368" s="15"/>
      <c r="H368" s="15"/>
      <c r="I368" s="15"/>
      <c r="J368" s="15"/>
      <c r="K368" s="66"/>
      <c r="L368" s="66"/>
      <c r="M368" s="66"/>
      <c r="N368" s="66"/>
      <c r="O368" s="66"/>
      <c r="P368" s="66"/>
      <c r="Q368" s="66"/>
      <c r="R368" s="66"/>
      <c r="S368" s="15"/>
    </row>
    <row r="369" spans="1:19">
      <c r="A369" s="123"/>
      <c r="B369" s="254" t="s">
        <v>841</v>
      </c>
      <c r="C369" s="42" t="s">
        <v>8</v>
      </c>
      <c r="D369" s="351">
        <v>4</v>
      </c>
      <c r="E369" s="124"/>
      <c r="F369" s="351">
        <v>4</v>
      </c>
      <c r="G369" s="351" t="s">
        <v>3145</v>
      </c>
      <c r="H369" s="351" t="s">
        <v>2772</v>
      </c>
      <c r="I369" s="351" t="s">
        <v>2662</v>
      </c>
      <c r="J369" s="335" t="s">
        <v>2374</v>
      </c>
      <c r="K369" s="311">
        <v>1413160</v>
      </c>
      <c r="L369" s="311">
        <v>0</v>
      </c>
      <c r="M369" s="311">
        <v>160957.20000000001</v>
      </c>
      <c r="N369" s="311">
        <v>151444</v>
      </c>
      <c r="O369" s="311">
        <v>106010.8</v>
      </c>
      <c r="P369" s="68">
        <f>SUM(K369:O369)</f>
        <v>1831572</v>
      </c>
      <c r="Q369" s="68">
        <f>D369*P369</f>
        <v>7326288</v>
      </c>
      <c r="R369" s="127">
        <f>F369*P369</f>
        <v>7326288</v>
      </c>
      <c r="S369" s="15" t="s">
        <v>761</v>
      </c>
    </row>
    <row r="370" spans="1:19">
      <c r="A370" s="123">
        <v>16</v>
      </c>
      <c r="B370" s="254" t="s">
        <v>849</v>
      </c>
      <c r="C370" s="42"/>
      <c r="D370" s="351"/>
      <c r="E370" s="124"/>
      <c r="F370" s="351"/>
      <c r="G370" s="26"/>
      <c r="H370" s="26"/>
      <c r="I370" s="26"/>
      <c r="J370" s="26"/>
      <c r="K370" s="66"/>
      <c r="L370" s="66"/>
      <c r="M370" s="66"/>
      <c r="N370" s="66"/>
      <c r="O370" s="66"/>
      <c r="P370" s="66"/>
      <c r="Q370" s="66"/>
      <c r="R370" s="66"/>
      <c r="S370" s="26"/>
    </row>
    <row r="371" spans="1:19">
      <c r="A371" s="123"/>
      <c r="B371" s="254" t="s">
        <v>841</v>
      </c>
      <c r="C371" s="42" t="s">
        <v>8</v>
      </c>
      <c r="D371" s="351">
        <v>4</v>
      </c>
      <c r="E371" s="124"/>
      <c r="F371" s="351">
        <v>4</v>
      </c>
      <c r="G371" s="351" t="s">
        <v>2777</v>
      </c>
      <c r="H371" s="351" t="s">
        <v>2778</v>
      </c>
      <c r="I371" s="351" t="s">
        <v>2662</v>
      </c>
      <c r="J371" s="335" t="s">
        <v>2374</v>
      </c>
      <c r="K371" s="311">
        <v>1676840</v>
      </c>
      <c r="L371" s="311">
        <v>0</v>
      </c>
      <c r="M371" s="311">
        <v>160957.20000000001</v>
      </c>
      <c r="N371" s="311">
        <v>177044</v>
      </c>
      <c r="O371" s="311">
        <v>123930.80000000002</v>
      </c>
      <c r="P371" s="68">
        <f>SUM(K371:O371)</f>
        <v>2138772</v>
      </c>
      <c r="Q371" s="68">
        <f>D371*P371</f>
        <v>8555088</v>
      </c>
      <c r="R371" s="127">
        <f>F371*P371</f>
        <v>8555088</v>
      </c>
      <c r="S371" s="15" t="s">
        <v>761</v>
      </c>
    </row>
    <row r="372" spans="1:19" s="131" customFormat="1">
      <c r="A372" s="126">
        <v>17</v>
      </c>
      <c r="B372" s="254" t="s">
        <v>861</v>
      </c>
      <c r="C372" s="126"/>
      <c r="D372" s="351"/>
      <c r="E372" s="130"/>
      <c r="F372" s="351"/>
      <c r="G372" s="315"/>
      <c r="H372" s="315"/>
      <c r="I372" s="315"/>
      <c r="J372" s="315"/>
      <c r="K372" s="66"/>
      <c r="L372" s="66"/>
      <c r="M372" s="66"/>
      <c r="N372" s="66"/>
      <c r="O372" s="66"/>
      <c r="P372" s="66"/>
      <c r="Q372" s="66"/>
      <c r="R372" s="66"/>
      <c r="S372" s="315"/>
    </row>
    <row r="373" spans="1:19" s="131" customFormat="1">
      <c r="A373" s="126"/>
      <c r="B373" s="253" t="s">
        <v>787</v>
      </c>
      <c r="C373" s="126" t="s">
        <v>8</v>
      </c>
      <c r="D373" s="352">
        <v>2</v>
      </c>
      <c r="E373" s="130"/>
      <c r="F373" s="352">
        <v>2</v>
      </c>
      <c r="G373" s="335" t="s">
        <v>2798</v>
      </c>
      <c r="H373" s="315" t="s">
        <v>3144</v>
      </c>
      <c r="I373" s="351" t="s">
        <v>2662</v>
      </c>
      <c r="J373" s="335" t="s">
        <v>2374</v>
      </c>
      <c r="K373" s="311">
        <v>1359600</v>
      </c>
      <c r="L373" s="311">
        <v>0</v>
      </c>
      <c r="M373" s="311">
        <v>160957.20000000001</v>
      </c>
      <c r="N373" s="311">
        <v>146244</v>
      </c>
      <c r="O373" s="311">
        <v>102370.8</v>
      </c>
      <c r="P373" s="68">
        <f>SUM(K373:O373)</f>
        <v>1769172</v>
      </c>
      <c r="Q373" s="68">
        <f>D373*P373</f>
        <v>3538344</v>
      </c>
      <c r="R373" s="127">
        <f>F373*P373</f>
        <v>3538344</v>
      </c>
      <c r="S373" s="15" t="s">
        <v>761</v>
      </c>
    </row>
    <row r="374" spans="1:19" s="131" customFormat="1">
      <c r="A374" s="126">
        <v>18</v>
      </c>
      <c r="B374" s="253" t="s">
        <v>2297</v>
      </c>
      <c r="C374" s="126"/>
      <c r="D374" s="352"/>
      <c r="E374" s="130"/>
      <c r="F374" s="352"/>
      <c r="G374" s="315"/>
      <c r="H374" s="315"/>
      <c r="I374" s="315"/>
      <c r="J374" s="315"/>
      <c r="K374" s="127"/>
      <c r="L374" s="127"/>
      <c r="M374" s="127"/>
      <c r="N374" s="127"/>
      <c r="O374" s="127"/>
      <c r="P374" s="127"/>
      <c r="Q374" s="127"/>
      <c r="R374" s="127"/>
      <c r="S374" s="509"/>
    </row>
    <row r="375" spans="1:19" s="131" customFormat="1">
      <c r="A375" s="126"/>
      <c r="B375" s="253" t="s">
        <v>1937</v>
      </c>
      <c r="C375" s="126" t="s">
        <v>8</v>
      </c>
      <c r="D375" s="352">
        <v>1</v>
      </c>
      <c r="E375" s="130"/>
      <c r="F375" s="352">
        <v>1</v>
      </c>
      <c r="G375" s="315" t="s">
        <v>3117</v>
      </c>
      <c r="H375" s="315"/>
      <c r="I375" s="351" t="s">
        <v>2681</v>
      </c>
      <c r="J375" s="351" t="s">
        <v>2328</v>
      </c>
      <c r="K375" s="311">
        <v>1979648.1300000001</v>
      </c>
      <c r="L375" s="311">
        <v>0</v>
      </c>
      <c r="M375" s="311">
        <v>370308.80727272725</v>
      </c>
      <c r="N375" s="311">
        <v>207960.79090909092</v>
      </c>
      <c r="O375" s="311">
        <v>145572.55363636365</v>
      </c>
      <c r="P375" s="68">
        <f t="shared" ref="P375:P380" si="81">SUM(K375:O375)</f>
        <v>2703490.2818181822</v>
      </c>
      <c r="Q375" s="68">
        <f t="shared" ref="Q375:Q380" si="82">D375*P375</f>
        <v>2703490.2818181822</v>
      </c>
      <c r="R375" s="127">
        <f t="shared" ref="R375:R380" si="83">F375*P375</f>
        <v>2703490.2818181822</v>
      </c>
      <c r="S375" s="509"/>
    </row>
    <row r="376" spans="1:19" s="131" customFormat="1">
      <c r="A376" s="126"/>
      <c r="B376" s="253" t="s">
        <v>1938</v>
      </c>
      <c r="C376" s="126" t="s">
        <v>8</v>
      </c>
      <c r="D376" s="352">
        <v>1</v>
      </c>
      <c r="E376" s="130"/>
      <c r="F376" s="352">
        <v>1</v>
      </c>
      <c r="G376" s="315" t="s">
        <v>3118</v>
      </c>
      <c r="H376" s="315"/>
      <c r="I376" s="351" t="s">
        <v>2681</v>
      </c>
      <c r="J376" s="351" t="s">
        <v>2328</v>
      </c>
      <c r="K376" s="311">
        <v>1031664.0100000001</v>
      </c>
      <c r="L376" s="311">
        <v>0</v>
      </c>
      <c r="M376" s="311">
        <v>289038.79636363639</v>
      </c>
      <c r="N376" s="311">
        <v>116876.35454545455</v>
      </c>
      <c r="O376" s="311">
        <v>81813.448181818181</v>
      </c>
      <c r="P376" s="68">
        <f t="shared" si="81"/>
        <v>1519392.6090909094</v>
      </c>
      <c r="Q376" s="68">
        <f t="shared" si="82"/>
        <v>1519392.6090909094</v>
      </c>
      <c r="R376" s="127">
        <f t="shared" si="83"/>
        <v>1519392.6090909094</v>
      </c>
      <c r="S376" s="509"/>
    </row>
    <row r="377" spans="1:19" s="131" customFormat="1">
      <c r="A377" s="126"/>
      <c r="B377" s="253" t="s">
        <v>1939</v>
      </c>
      <c r="C377" s="126" t="s">
        <v>8</v>
      </c>
      <c r="D377" s="352">
        <v>1</v>
      </c>
      <c r="E377" s="130"/>
      <c r="F377" s="352">
        <v>1</v>
      </c>
      <c r="G377" s="315" t="s">
        <v>3119</v>
      </c>
      <c r="H377" s="315"/>
      <c r="I377" s="351" t="s">
        <v>2681</v>
      </c>
      <c r="J377" s="351" t="s">
        <v>2328</v>
      </c>
      <c r="K377" s="311">
        <v>2390743.2600000002</v>
      </c>
      <c r="L377" s="311">
        <v>0</v>
      </c>
      <c r="M377" s="311">
        <v>320210.77090909088</v>
      </c>
      <c r="N377" s="311">
        <v>239907.4363636364</v>
      </c>
      <c r="O377" s="311">
        <v>167935.20545454547</v>
      </c>
      <c r="P377" s="68">
        <f t="shared" si="81"/>
        <v>3118796.6727272733</v>
      </c>
      <c r="Q377" s="68">
        <f t="shared" si="82"/>
        <v>3118796.6727272733</v>
      </c>
      <c r="R377" s="127">
        <f t="shared" si="83"/>
        <v>3118796.6727272733</v>
      </c>
      <c r="S377" s="509"/>
    </row>
    <row r="378" spans="1:19" s="131" customFormat="1">
      <c r="A378" s="126"/>
      <c r="B378" s="253" t="s">
        <v>1940</v>
      </c>
      <c r="C378" s="126" t="s">
        <v>8</v>
      </c>
      <c r="D378" s="352">
        <v>1</v>
      </c>
      <c r="E378" s="130"/>
      <c r="F378" s="352">
        <v>1</v>
      </c>
      <c r="G378" s="315" t="s">
        <v>3120</v>
      </c>
      <c r="H378" s="315"/>
      <c r="I378" s="351" t="s">
        <v>2681</v>
      </c>
      <c r="J378" s="351" t="s">
        <v>2328</v>
      </c>
      <c r="K378" s="311">
        <v>1390906.83</v>
      </c>
      <c r="L378" s="311">
        <v>0</v>
      </c>
      <c r="M378" s="311">
        <v>254448.46909090912</v>
      </c>
      <c r="N378" s="311">
        <v>145606.66363636364</v>
      </c>
      <c r="O378" s="311">
        <v>101924.66454545455</v>
      </c>
      <c r="P378" s="68">
        <f t="shared" si="81"/>
        <v>1892886.6272727274</v>
      </c>
      <c r="Q378" s="68">
        <f t="shared" si="82"/>
        <v>1892886.6272727274</v>
      </c>
      <c r="R378" s="127">
        <f t="shared" si="83"/>
        <v>1892886.6272727274</v>
      </c>
      <c r="S378" s="509"/>
    </row>
    <row r="379" spans="1:19" s="131" customFormat="1">
      <c r="A379" s="126">
        <v>19</v>
      </c>
      <c r="B379" s="253" t="s">
        <v>1942</v>
      </c>
      <c r="C379" s="126" t="s">
        <v>1943</v>
      </c>
      <c r="D379" s="352">
        <v>17.760000000000002</v>
      </c>
      <c r="E379" s="130"/>
      <c r="F379" s="352">
        <v>17.760000000000002</v>
      </c>
      <c r="G379" s="26"/>
      <c r="H379" s="26"/>
      <c r="I379" s="26"/>
      <c r="J379" s="26"/>
      <c r="K379" s="311">
        <v>0</v>
      </c>
      <c r="L379" s="311">
        <v>0</v>
      </c>
      <c r="M379" s="311">
        <v>175941.00000000003</v>
      </c>
      <c r="N379" s="311">
        <v>15570</v>
      </c>
      <c r="O379" s="311">
        <v>10899.000000000002</v>
      </c>
      <c r="P379" s="68">
        <f t="shared" si="81"/>
        <v>202410.00000000003</v>
      </c>
      <c r="Q379" s="68">
        <f t="shared" si="82"/>
        <v>3594801.600000001</v>
      </c>
      <c r="R379" s="127">
        <f t="shared" si="83"/>
        <v>3594801.600000001</v>
      </c>
      <c r="S379" s="30"/>
    </row>
    <row r="380" spans="1:19">
      <c r="A380" s="123">
        <v>20</v>
      </c>
      <c r="B380" s="254" t="s">
        <v>946</v>
      </c>
      <c r="C380" s="42" t="s">
        <v>78</v>
      </c>
      <c r="D380" s="351">
        <v>1</v>
      </c>
      <c r="E380" s="124"/>
      <c r="F380" s="351">
        <v>1</v>
      </c>
      <c r="G380" s="40"/>
      <c r="H380" s="40"/>
      <c r="I380" s="40"/>
      <c r="J380" s="40" t="s">
        <v>2381</v>
      </c>
      <c r="K380" s="311">
        <v>397473984.89859569</v>
      </c>
      <c r="L380" s="311">
        <v>0</v>
      </c>
      <c r="M380" s="311">
        <v>122765558.96189965</v>
      </c>
      <c r="N380" s="311">
        <v>44088096.937330112</v>
      </c>
      <c r="O380" s="311">
        <v>30861667.856131081</v>
      </c>
      <c r="P380" s="68">
        <f t="shared" si="81"/>
        <v>595189308.65395653</v>
      </c>
      <c r="Q380" s="68">
        <f t="shared" si="82"/>
        <v>595189308.65395653</v>
      </c>
      <c r="R380" s="127">
        <f t="shared" si="83"/>
        <v>595189308.65395653</v>
      </c>
      <c r="S380" s="40"/>
    </row>
    <row r="381" spans="1:19" s="122" customFormat="1">
      <c r="A381" s="244" t="s">
        <v>516</v>
      </c>
      <c r="B381" s="245" t="s">
        <v>2289</v>
      </c>
      <c r="C381" s="246"/>
      <c r="D381" s="515"/>
      <c r="E381" s="248"/>
      <c r="F381" s="515"/>
      <c r="G381" s="257"/>
      <c r="H381" s="257"/>
      <c r="I381" s="257"/>
      <c r="J381" s="257"/>
      <c r="K381" s="528"/>
      <c r="L381" s="528"/>
      <c r="M381" s="528"/>
      <c r="N381" s="528"/>
      <c r="O381" s="528"/>
      <c r="P381" s="528"/>
      <c r="Q381" s="528"/>
      <c r="R381" s="528"/>
      <c r="S381" s="257"/>
    </row>
    <row r="382" spans="1:19">
      <c r="A382" s="123">
        <v>1</v>
      </c>
      <c r="B382" s="254" t="s">
        <v>867</v>
      </c>
      <c r="C382" s="42"/>
      <c r="D382" s="351"/>
      <c r="E382" s="124"/>
      <c r="F382" s="351"/>
      <c r="G382" s="37"/>
      <c r="H382" s="37"/>
      <c r="I382" s="37"/>
      <c r="J382" s="37"/>
      <c r="K382" s="66"/>
      <c r="L382" s="66"/>
      <c r="M382" s="66"/>
      <c r="N382" s="66"/>
      <c r="O382" s="66"/>
      <c r="P382" s="66"/>
      <c r="Q382" s="66"/>
      <c r="R382" s="66"/>
      <c r="S382" s="37"/>
    </row>
    <row r="383" spans="1:19">
      <c r="A383" s="123"/>
      <c r="B383" s="254" t="s">
        <v>870</v>
      </c>
      <c r="C383" s="42" t="s">
        <v>117</v>
      </c>
      <c r="D383" s="351">
        <v>49.058999999999997</v>
      </c>
      <c r="E383" s="124" t="s">
        <v>869</v>
      </c>
      <c r="F383" s="351">
        <v>49.058999999999997</v>
      </c>
      <c r="G383" s="351" t="s">
        <v>2807</v>
      </c>
      <c r="H383" s="351"/>
      <c r="I383" s="351" t="s">
        <v>2919</v>
      </c>
      <c r="J383" s="351" t="s">
        <v>2328</v>
      </c>
      <c r="K383" s="311">
        <v>568225.02</v>
      </c>
      <c r="L383" s="311">
        <v>0</v>
      </c>
      <c r="M383" s="311">
        <v>90926.580000000016</v>
      </c>
      <c r="N383" s="311">
        <v>58332</v>
      </c>
      <c r="O383" s="311">
        <v>40832.400000000001</v>
      </c>
      <c r="P383" s="68">
        <f t="shared" ref="P383:P392" si="84">SUM(K383:O383)</f>
        <v>758316.00000000012</v>
      </c>
      <c r="Q383" s="68">
        <f t="shared" ref="Q383:Q392" si="85">D383*P383</f>
        <v>37202224.644000001</v>
      </c>
      <c r="R383" s="127">
        <f t="shared" ref="R383:R392" si="86">F383*P383</f>
        <v>37202224.644000001</v>
      </c>
      <c r="S383" s="37"/>
    </row>
    <row r="384" spans="1:19">
      <c r="A384" s="123"/>
      <c r="B384" s="254" t="s">
        <v>871</v>
      </c>
      <c r="C384" s="42" t="s">
        <v>117</v>
      </c>
      <c r="D384" s="351">
        <v>448.54800000000006</v>
      </c>
      <c r="E384" s="124" t="s">
        <v>869</v>
      </c>
      <c r="F384" s="351">
        <v>448.54800000000006</v>
      </c>
      <c r="G384" s="351" t="s">
        <v>2808</v>
      </c>
      <c r="H384" s="351"/>
      <c r="I384" s="351" t="s">
        <v>2919</v>
      </c>
      <c r="J384" s="351" t="s">
        <v>2328</v>
      </c>
      <c r="K384" s="311">
        <v>353434.62</v>
      </c>
      <c r="L384" s="311">
        <v>0</v>
      </c>
      <c r="M384" s="311">
        <v>66186.36</v>
      </c>
      <c r="N384" s="311">
        <v>37134.6</v>
      </c>
      <c r="O384" s="311">
        <v>25994.219999999998</v>
      </c>
      <c r="P384" s="68">
        <f t="shared" si="84"/>
        <v>482749.79999999993</v>
      </c>
      <c r="Q384" s="68">
        <f t="shared" si="85"/>
        <v>216536457.2904</v>
      </c>
      <c r="R384" s="127">
        <f t="shared" si="86"/>
        <v>216536457.2904</v>
      </c>
      <c r="S384" s="37"/>
    </row>
    <row r="385" spans="1:19">
      <c r="A385" s="123"/>
      <c r="B385" s="254" t="s">
        <v>873</v>
      </c>
      <c r="C385" s="42" t="s">
        <v>117</v>
      </c>
      <c r="D385" s="351">
        <v>201.90600000000001</v>
      </c>
      <c r="E385" s="124" t="s">
        <v>869</v>
      </c>
      <c r="F385" s="351">
        <v>201.90600000000001</v>
      </c>
      <c r="G385" s="351" t="s">
        <v>2810</v>
      </c>
      <c r="H385" s="351"/>
      <c r="I385" s="351" t="s">
        <v>2919</v>
      </c>
      <c r="J385" s="351" t="s">
        <v>2328</v>
      </c>
      <c r="K385" s="311">
        <v>226051.97999999998</v>
      </c>
      <c r="L385" s="311">
        <v>0</v>
      </c>
      <c r="M385" s="311">
        <v>50666.94</v>
      </c>
      <c r="N385" s="311">
        <v>24488.399999999998</v>
      </c>
      <c r="O385" s="311">
        <v>17141.88</v>
      </c>
      <c r="P385" s="68">
        <f t="shared" si="84"/>
        <v>318349.2</v>
      </c>
      <c r="Q385" s="68">
        <f t="shared" si="85"/>
        <v>64276613.575200006</v>
      </c>
      <c r="R385" s="127">
        <f t="shared" si="86"/>
        <v>64276613.575200006</v>
      </c>
      <c r="S385" s="329"/>
    </row>
    <row r="386" spans="1:19">
      <c r="A386" s="123"/>
      <c r="B386" s="254" t="s">
        <v>874</v>
      </c>
      <c r="C386" s="42" t="s">
        <v>117</v>
      </c>
      <c r="D386" s="351">
        <v>162.70600000000002</v>
      </c>
      <c r="E386" s="124" t="s">
        <v>869</v>
      </c>
      <c r="F386" s="351">
        <v>162.70600000000002</v>
      </c>
      <c r="G386" s="351" t="s">
        <v>2811</v>
      </c>
      <c r="H386" s="351"/>
      <c r="I386" s="351" t="s">
        <v>2919</v>
      </c>
      <c r="J386" s="351" t="s">
        <v>2328</v>
      </c>
      <c r="K386" s="311">
        <v>174144.3</v>
      </c>
      <c r="L386" s="311">
        <v>0</v>
      </c>
      <c r="M386" s="311">
        <v>45819.240000000005</v>
      </c>
      <c r="N386" s="311">
        <v>19465.8</v>
      </c>
      <c r="O386" s="311">
        <v>13626.06</v>
      </c>
      <c r="P386" s="68">
        <f t="shared" si="84"/>
        <v>253055.39999999997</v>
      </c>
      <c r="Q386" s="68">
        <f t="shared" si="85"/>
        <v>41173631.9124</v>
      </c>
      <c r="R386" s="127">
        <f t="shared" si="86"/>
        <v>41173631.9124</v>
      </c>
      <c r="S386" s="26"/>
    </row>
    <row r="387" spans="1:19">
      <c r="A387" s="123"/>
      <c r="B387" s="254" t="s">
        <v>875</v>
      </c>
      <c r="C387" s="42" t="s">
        <v>117</v>
      </c>
      <c r="D387" s="351">
        <v>24.849</v>
      </c>
      <c r="E387" s="124" t="s">
        <v>869</v>
      </c>
      <c r="F387" s="351">
        <v>24.849</v>
      </c>
      <c r="G387" s="351" t="s">
        <v>2812</v>
      </c>
      <c r="H387" s="351"/>
      <c r="I387" s="351" t="s">
        <v>2919</v>
      </c>
      <c r="J387" s="351" t="s">
        <v>2328</v>
      </c>
      <c r="K387" s="311">
        <v>136705.13999999998</v>
      </c>
      <c r="L387" s="311">
        <v>0</v>
      </c>
      <c r="M387" s="311">
        <v>45819.240000000005</v>
      </c>
      <c r="N387" s="311">
        <v>16152.6</v>
      </c>
      <c r="O387" s="311">
        <v>11306.820000000002</v>
      </c>
      <c r="P387" s="68">
        <f t="shared" si="84"/>
        <v>209983.80000000002</v>
      </c>
      <c r="Q387" s="68">
        <f t="shared" si="85"/>
        <v>5217887.4462000001</v>
      </c>
      <c r="R387" s="127">
        <f t="shared" si="86"/>
        <v>5217887.4462000001</v>
      </c>
      <c r="S387" s="26"/>
    </row>
    <row r="388" spans="1:19">
      <c r="A388" s="123"/>
      <c r="B388" s="254" t="s">
        <v>877</v>
      </c>
      <c r="C388" s="42" t="s">
        <v>117</v>
      </c>
      <c r="D388" s="351">
        <v>1268.6199999999999</v>
      </c>
      <c r="E388" s="124" t="s">
        <v>869</v>
      </c>
      <c r="F388" s="351">
        <v>1268.6199999999999</v>
      </c>
      <c r="G388" s="351" t="s">
        <v>2814</v>
      </c>
      <c r="H388" s="351"/>
      <c r="I388" s="351" t="s">
        <v>2919</v>
      </c>
      <c r="J388" s="351" t="s">
        <v>2328</v>
      </c>
      <c r="K388" s="311">
        <v>102981.42000000001</v>
      </c>
      <c r="L388" s="311">
        <v>0</v>
      </c>
      <c r="M388" s="311">
        <v>36178.080000000002</v>
      </c>
      <c r="N388" s="311">
        <v>12315</v>
      </c>
      <c r="O388" s="311">
        <v>8620.5</v>
      </c>
      <c r="P388" s="68">
        <f t="shared" si="84"/>
        <v>160095</v>
      </c>
      <c r="Q388" s="68">
        <f t="shared" si="85"/>
        <v>203099718.89999998</v>
      </c>
      <c r="R388" s="127">
        <f t="shared" si="86"/>
        <v>203099718.89999998</v>
      </c>
      <c r="S388" s="26"/>
    </row>
    <row r="389" spans="1:19">
      <c r="A389" s="123"/>
      <c r="B389" s="254" t="s">
        <v>877</v>
      </c>
      <c r="C389" s="42" t="s">
        <v>117</v>
      </c>
      <c r="D389" s="351">
        <v>418.56000000000006</v>
      </c>
      <c r="E389" s="124" t="s">
        <v>876</v>
      </c>
      <c r="F389" s="351">
        <v>418.56000000000006</v>
      </c>
      <c r="G389" s="351" t="s">
        <v>2815</v>
      </c>
      <c r="H389" s="351"/>
      <c r="I389" s="351" t="s">
        <v>2919</v>
      </c>
      <c r="J389" s="351" t="s">
        <v>2328</v>
      </c>
      <c r="K389" s="311">
        <v>86024.640000000014</v>
      </c>
      <c r="L389" s="311">
        <v>0</v>
      </c>
      <c r="M389" s="311">
        <v>36178.080000000002</v>
      </c>
      <c r="N389" s="311">
        <v>10814.400000000001</v>
      </c>
      <c r="O389" s="311">
        <v>7570.0800000000008</v>
      </c>
      <c r="P389" s="68">
        <f t="shared" si="84"/>
        <v>140587.20000000001</v>
      </c>
      <c r="Q389" s="68">
        <f t="shared" si="85"/>
        <v>58844178.432000011</v>
      </c>
      <c r="R389" s="127">
        <f t="shared" si="86"/>
        <v>58844178.432000011</v>
      </c>
      <c r="S389" s="26"/>
    </row>
    <row r="390" spans="1:19">
      <c r="A390" s="123"/>
      <c r="B390" s="254" t="s">
        <v>878</v>
      </c>
      <c r="C390" s="42" t="s">
        <v>117</v>
      </c>
      <c r="D390" s="351">
        <v>223</v>
      </c>
      <c r="E390" s="124" t="s">
        <v>876</v>
      </c>
      <c r="F390" s="351">
        <v>223</v>
      </c>
      <c r="G390" s="351" t="s">
        <v>2816</v>
      </c>
      <c r="H390" s="351"/>
      <c r="I390" s="351" t="s">
        <v>2919</v>
      </c>
      <c r="J390" s="351" t="s">
        <v>2328</v>
      </c>
      <c r="K390" s="311">
        <v>54937.210000000006</v>
      </c>
      <c r="L390" s="311">
        <v>0</v>
      </c>
      <c r="M390" s="311">
        <v>29737.08</v>
      </c>
      <c r="N390" s="311">
        <v>7493.3</v>
      </c>
      <c r="O390" s="311">
        <v>5245.31</v>
      </c>
      <c r="P390" s="68">
        <f t="shared" si="84"/>
        <v>97412.900000000009</v>
      </c>
      <c r="Q390" s="68">
        <f t="shared" si="85"/>
        <v>21723076.700000003</v>
      </c>
      <c r="R390" s="127">
        <f t="shared" si="86"/>
        <v>21723076.700000003</v>
      </c>
      <c r="S390" s="26"/>
    </row>
    <row r="391" spans="1:19">
      <c r="A391" s="123"/>
      <c r="B391" s="254" t="s">
        <v>879</v>
      </c>
      <c r="C391" s="42" t="s">
        <v>117</v>
      </c>
      <c r="D391" s="351">
        <v>26</v>
      </c>
      <c r="E391" s="124" t="s">
        <v>876</v>
      </c>
      <c r="F391" s="351">
        <v>26</v>
      </c>
      <c r="G391" s="351" t="s">
        <v>2920</v>
      </c>
      <c r="H391" s="351"/>
      <c r="I391" s="351" t="s">
        <v>2919</v>
      </c>
      <c r="J391" s="351" t="s">
        <v>2328</v>
      </c>
      <c r="K391" s="311">
        <v>38256.15</v>
      </c>
      <c r="L391" s="311">
        <v>0</v>
      </c>
      <c r="M391" s="311">
        <v>25465.680000000004</v>
      </c>
      <c r="N391" s="311">
        <v>5639.1</v>
      </c>
      <c r="O391" s="311">
        <v>3947.3700000000003</v>
      </c>
      <c r="P391" s="68">
        <f t="shared" si="84"/>
        <v>73308.3</v>
      </c>
      <c r="Q391" s="68">
        <f t="shared" si="85"/>
        <v>1906015.8</v>
      </c>
      <c r="R391" s="127">
        <f t="shared" si="86"/>
        <v>1906015.8</v>
      </c>
      <c r="S391" s="26"/>
    </row>
    <row r="392" spans="1:19">
      <c r="A392" s="123"/>
      <c r="B392" s="254" t="s">
        <v>880</v>
      </c>
      <c r="C392" s="42" t="s">
        <v>117</v>
      </c>
      <c r="D392" s="351">
        <v>49</v>
      </c>
      <c r="E392" s="124" t="s">
        <v>876</v>
      </c>
      <c r="F392" s="351">
        <v>49</v>
      </c>
      <c r="G392" s="351" t="s">
        <v>2921</v>
      </c>
      <c r="H392" s="351"/>
      <c r="I392" s="351" t="s">
        <v>2919</v>
      </c>
      <c r="J392" s="351" t="s">
        <v>2328</v>
      </c>
      <c r="K392" s="311">
        <v>26882.700000000004</v>
      </c>
      <c r="L392" s="311">
        <v>0</v>
      </c>
      <c r="M392" s="311">
        <v>24760.560000000001</v>
      </c>
      <c r="N392" s="311">
        <v>4570.2</v>
      </c>
      <c r="O392" s="311">
        <v>3199.1400000000003</v>
      </c>
      <c r="P392" s="68">
        <f t="shared" si="84"/>
        <v>59412.600000000006</v>
      </c>
      <c r="Q392" s="68">
        <f t="shared" si="85"/>
        <v>2911217.4000000004</v>
      </c>
      <c r="R392" s="127">
        <f t="shared" si="86"/>
        <v>2911217.4000000004</v>
      </c>
      <c r="S392" s="26"/>
    </row>
    <row r="393" spans="1:19">
      <c r="A393" s="123">
        <v>2</v>
      </c>
      <c r="B393" s="254" t="s">
        <v>884</v>
      </c>
      <c r="C393" s="42"/>
      <c r="D393" s="351"/>
      <c r="E393" s="124"/>
      <c r="F393" s="351"/>
      <c r="G393" s="351"/>
      <c r="H393" s="26"/>
      <c r="I393" s="26"/>
      <c r="J393" s="26"/>
      <c r="K393" s="66"/>
      <c r="L393" s="66"/>
      <c r="M393" s="66"/>
      <c r="N393" s="66"/>
      <c r="O393" s="66"/>
      <c r="P393" s="66"/>
      <c r="Q393" s="66"/>
      <c r="R393" s="66"/>
      <c r="S393" s="26"/>
    </row>
    <row r="394" spans="1:19" s="131" customFormat="1">
      <c r="A394" s="126"/>
      <c r="B394" s="253" t="s">
        <v>870</v>
      </c>
      <c r="C394" s="126" t="s">
        <v>117</v>
      </c>
      <c r="D394" s="352">
        <v>8</v>
      </c>
      <c r="E394" s="124" t="s">
        <v>885</v>
      </c>
      <c r="F394" s="352">
        <v>8</v>
      </c>
      <c r="G394" s="351" t="s">
        <v>2923</v>
      </c>
      <c r="H394" s="351"/>
      <c r="I394" s="351" t="s">
        <v>2919</v>
      </c>
      <c r="J394" s="351" t="s">
        <v>2328</v>
      </c>
      <c r="K394" s="311">
        <v>507803.92000000004</v>
      </c>
      <c r="L394" s="311">
        <v>0</v>
      </c>
      <c r="M394" s="311">
        <v>83116.02</v>
      </c>
      <c r="N394" s="311">
        <v>52293.8</v>
      </c>
      <c r="O394" s="311">
        <v>36605.660000000003</v>
      </c>
      <c r="P394" s="68">
        <f t="shared" ref="P394:P398" si="87">SUM(K394:O394)</f>
        <v>679819.40000000014</v>
      </c>
      <c r="Q394" s="68">
        <f>D394*P394</f>
        <v>5438555.2000000011</v>
      </c>
      <c r="R394" s="127">
        <f>F394*P394</f>
        <v>5438555.2000000011</v>
      </c>
      <c r="S394" s="30"/>
    </row>
    <row r="395" spans="1:19" s="131" customFormat="1">
      <c r="A395" s="126"/>
      <c r="B395" s="253" t="s">
        <v>871</v>
      </c>
      <c r="C395" s="126" t="s">
        <v>117</v>
      </c>
      <c r="D395" s="352">
        <v>40</v>
      </c>
      <c r="E395" s="124" t="s">
        <v>885</v>
      </c>
      <c r="F395" s="352">
        <v>40</v>
      </c>
      <c r="G395" s="351" t="s">
        <v>2827</v>
      </c>
      <c r="H395" s="351"/>
      <c r="I395" s="351" t="s">
        <v>2919</v>
      </c>
      <c r="J395" s="351" t="s">
        <v>2328</v>
      </c>
      <c r="K395" s="311">
        <v>326651.36000000004</v>
      </c>
      <c r="L395" s="311">
        <v>0</v>
      </c>
      <c r="M395" s="311">
        <v>70430.640000000014</v>
      </c>
      <c r="N395" s="311">
        <v>35140</v>
      </c>
      <c r="O395" s="311">
        <v>24598.000000000004</v>
      </c>
      <c r="P395" s="68">
        <f t="shared" si="87"/>
        <v>456820.00000000006</v>
      </c>
      <c r="Q395" s="68">
        <f>D395*P395</f>
        <v>18272800.000000004</v>
      </c>
      <c r="R395" s="127">
        <f>F395*P395</f>
        <v>18272800.000000004</v>
      </c>
      <c r="S395" s="30"/>
    </row>
    <row r="396" spans="1:19">
      <c r="A396" s="123"/>
      <c r="B396" s="254" t="s">
        <v>874</v>
      </c>
      <c r="C396" s="42" t="s">
        <v>117</v>
      </c>
      <c r="D396" s="351">
        <v>156</v>
      </c>
      <c r="E396" s="124" t="s">
        <v>885</v>
      </c>
      <c r="F396" s="351">
        <v>156</v>
      </c>
      <c r="G396" s="351" t="s">
        <v>2824</v>
      </c>
      <c r="H396" s="351"/>
      <c r="I396" s="351" t="s">
        <v>2919</v>
      </c>
      <c r="J396" s="351" t="s">
        <v>2328</v>
      </c>
      <c r="K396" s="311">
        <v>160376.38000000006</v>
      </c>
      <c r="L396" s="311">
        <v>0</v>
      </c>
      <c r="M396" s="311">
        <v>54972.240000000005</v>
      </c>
      <c r="N396" s="311">
        <v>19057.400000000005</v>
      </c>
      <c r="O396" s="311">
        <v>13340.180000000004</v>
      </c>
      <c r="P396" s="68">
        <f t="shared" si="87"/>
        <v>247746.20000000004</v>
      </c>
      <c r="Q396" s="68">
        <f>D396*P396</f>
        <v>38648407.200000003</v>
      </c>
      <c r="R396" s="127">
        <f>F396*P396</f>
        <v>38648407.200000003</v>
      </c>
      <c r="S396" s="26"/>
    </row>
    <row r="397" spans="1:19">
      <c r="A397" s="123"/>
      <c r="B397" s="254" t="s">
        <v>879</v>
      </c>
      <c r="C397" s="42" t="s">
        <v>117</v>
      </c>
      <c r="D397" s="351">
        <v>95.035000000000025</v>
      </c>
      <c r="E397" s="124" t="s">
        <v>885</v>
      </c>
      <c r="F397" s="351">
        <v>95.035000000000025</v>
      </c>
      <c r="G397" s="351" t="s">
        <v>2825</v>
      </c>
      <c r="H397" s="351"/>
      <c r="I397" s="351" t="s">
        <v>2919</v>
      </c>
      <c r="J397" s="351" t="s">
        <v>2328</v>
      </c>
      <c r="K397" s="311">
        <v>46795.560000000012</v>
      </c>
      <c r="L397" s="311">
        <v>0</v>
      </c>
      <c r="M397" s="311">
        <v>28977.72</v>
      </c>
      <c r="N397" s="311">
        <v>6705.6</v>
      </c>
      <c r="O397" s="311">
        <v>4693.92</v>
      </c>
      <c r="P397" s="68">
        <f t="shared" si="87"/>
        <v>87172.800000000017</v>
      </c>
      <c r="Q397" s="68">
        <f>D397*P397</f>
        <v>8284467.0480000041</v>
      </c>
      <c r="R397" s="127">
        <f>F397*P397</f>
        <v>8284467.0480000041</v>
      </c>
      <c r="S397" s="26"/>
    </row>
    <row r="398" spans="1:19">
      <c r="A398" s="123"/>
      <c r="B398" s="254" t="s">
        <v>886</v>
      </c>
      <c r="C398" s="42" t="s">
        <v>117</v>
      </c>
      <c r="D398" s="351">
        <v>66</v>
      </c>
      <c r="E398" s="124" t="s">
        <v>885</v>
      </c>
      <c r="F398" s="351">
        <v>66</v>
      </c>
      <c r="G398" s="351" t="s">
        <v>2922</v>
      </c>
      <c r="H398" s="351"/>
      <c r="I398" s="351" t="s">
        <v>2919</v>
      </c>
      <c r="J398" s="351" t="s">
        <v>2328</v>
      </c>
      <c r="K398" s="311">
        <v>33556.48000000001</v>
      </c>
      <c r="L398" s="311">
        <v>0</v>
      </c>
      <c r="M398" s="311">
        <v>27201.360000000004</v>
      </c>
      <c r="N398" s="311">
        <v>5376.8</v>
      </c>
      <c r="O398" s="311">
        <v>3763.76</v>
      </c>
      <c r="P398" s="68">
        <f t="shared" si="87"/>
        <v>69898.400000000009</v>
      </c>
      <c r="Q398" s="68">
        <f>D398*P398</f>
        <v>4613294.4000000004</v>
      </c>
      <c r="R398" s="127">
        <f>F398*P398</f>
        <v>4613294.4000000004</v>
      </c>
      <c r="S398" s="26"/>
    </row>
    <row r="399" spans="1:19">
      <c r="A399" s="123">
        <v>3</v>
      </c>
      <c r="B399" s="254" t="s">
        <v>887</v>
      </c>
      <c r="C399" s="42"/>
      <c r="D399" s="351"/>
      <c r="E399" s="124"/>
      <c r="F399" s="351"/>
      <c r="G399" s="26"/>
      <c r="H399" s="26"/>
      <c r="I399" s="26"/>
      <c r="J399" s="26"/>
      <c r="K399" s="66"/>
      <c r="L399" s="66"/>
      <c r="M399" s="66"/>
      <c r="N399" s="66"/>
      <c r="O399" s="66"/>
      <c r="P399" s="66"/>
      <c r="Q399" s="66"/>
      <c r="R399" s="66"/>
      <c r="S399" s="26"/>
    </row>
    <row r="400" spans="1:19" ht="30">
      <c r="A400" s="123"/>
      <c r="B400" s="254" t="s">
        <v>888</v>
      </c>
      <c r="C400" s="42" t="s">
        <v>117</v>
      </c>
      <c r="D400" s="351">
        <v>172.03399999999999</v>
      </c>
      <c r="E400" s="124"/>
      <c r="F400" s="351">
        <v>172.03399999999999</v>
      </c>
      <c r="G400" s="26" t="s">
        <v>2829</v>
      </c>
      <c r="H400" s="37"/>
      <c r="I400" s="37" t="s">
        <v>2828</v>
      </c>
      <c r="J400" s="37" t="s">
        <v>2328</v>
      </c>
      <c r="K400" s="311">
        <v>392901.00000000012</v>
      </c>
      <c r="L400" s="311">
        <v>0</v>
      </c>
      <c r="M400" s="311">
        <v>131211.08000000002</v>
      </c>
      <c r="N400" s="311">
        <v>46381.600000000006</v>
      </c>
      <c r="O400" s="311">
        <v>32467.120000000006</v>
      </c>
      <c r="P400" s="68">
        <f t="shared" ref="P400:P401" si="88">SUM(K400:O400)</f>
        <v>602960.80000000016</v>
      </c>
      <c r="Q400" s="68">
        <f>D400*P400</f>
        <v>103729758.26720002</v>
      </c>
      <c r="R400" s="127">
        <f>F400*P400</f>
        <v>103729758.26720002</v>
      </c>
      <c r="S400" s="26"/>
    </row>
    <row r="401" spans="1:19" ht="30">
      <c r="A401" s="123"/>
      <c r="B401" s="254" t="s">
        <v>889</v>
      </c>
      <c r="C401" s="42" t="s">
        <v>117</v>
      </c>
      <c r="D401" s="351">
        <v>69.823999999999998</v>
      </c>
      <c r="E401" s="124"/>
      <c r="F401" s="351">
        <v>69.823999999999998</v>
      </c>
      <c r="G401" s="26" t="s">
        <v>2924</v>
      </c>
      <c r="H401" s="37"/>
      <c r="I401" s="37" t="s">
        <v>2828</v>
      </c>
      <c r="J401" s="37" t="s">
        <v>2328</v>
      </c>
      <c r="K401" s="311">
        <v>161991.15000000002</v>
      </c>
      <c r="L401" s="311">
        <v>0</v>
      </c>
      <c r="M401" s="311">
        <v>61657.320000000007</v>
      </c>
      <c r="N401" s="311">
        <v>19791.900000000001</v>
      </c>
      <c r="O401" s="311">
        <v>13854.330000000002</v>
      </c>
      <c r="P401" s="68">
        <f t="shared" si="88"/>
        <v>257294.7</v>
      </c>
      <c r="Q401" s="68">
        <f>D401*P401</f>
        <v>17965345.132800002</v>
      </c>
      <c r="R401" s="127">
        <f>F401*P401</f>
        <v>17965345.132800002</v>
      </c>
      <c r="S401" s="26"/>
    </row>
    <row r="402" spans="1:19">
      <c r="A402" s="123">
        <v>4</v>
      </c>
      <c r="B402" s="254" t="s">
        <v>890</v>
      </c>
      <c r="C402" s="42"/>
      <c r="D402" s="351"/>
      <c r="E402" s="124"/>
      <c r="F402" s="351"/>
      <c r="G402" s="26"/>
      <c r="H402" s="26"/>
      <c r="I402" s="26"/>
      <c r="J402" s="26"/>
      <c r="K402" s="66"/>
      <c r="L402" s="66"/>
      <c r="M402" s="66"/>
      <c r="N402" s="66"/>
      <c r="O402" s="66"/>
      <c r="P402" s="66"/>
      <c r="Q402" s="66"/>
      <c r="R402" s="66"/>
      <c r="S402" s="26"/>
    </row>
    <row r="403" spans="1:19">
      <c r="A403" s="123"/>
      <c r="B403" s="254" t="s">
        <v>893</v>
      </c>
      <c r="C403" s="42" t="s">
        <v>8</v>
      </c>
      <c r="D403" s="351">
        <v>3</v>
      </c>
      <c r="E403" s="124"/>
      <c r="F403" s="351">
        <v>3</v>
      </c>
      <c r="G403" s="351" t="s">
        <v>2832</v>
      </c>
      <c r="H403" s="351"/>
      <c r="I403" s="351" t="s">
        <v>2919</v>
      </c>
      <c r="J403" s="351" t="s">
        <v>2328</v>
      </c>
      <c r="K403" s="311">
        <v>965763.54000000015</v>
      </c>
      <c r="L403" s="311">
        <v>0</v>
      </c>
      <c r="M403" s="311">
        <v>74111.563636363644</v>
      </c>
      <c r="N403" s="311">
        <v>92024.345454545459</v>
      </c>
      <c r="O403" s="311">
        <v>64417.041818181824</v>
      </c>
      <c r="P403" s="68">
        <f t="shared" ref="P403:P419" si="89">SUM(K403:O403)</f>
        <v>1196316.490909091</v>
      </c>
      <c r="Q403" s="68">
        <f t="shared" ref="Q403:Q419" si="90">D403*P403</f>
        <v>3588949.4727272727</v>
      </c>
      <c r="R403" s="127">
        <f t="shared" ref="R403:R419" si="91">F403*P403</f>
        <v>3588949.4727272727</v>
      </c>
      <c r="S403" s="26"/>
    </row>
    <row r="404" spans="1:19">
      <c r="A404" s="123"/>
      <c r="B404" s="254" t="s">
        <v>894</v>
      </c>
      <c r="C404" s="42" t="s">
        <v>8</v>
      </c>
      <c r="D404" s="351">
        <v>4</v>
      </c>
      <c r="E404" s="124"/>
      <c r="F404" s="351">
        <v>4</v>
      </c>
      <c r="G404" s="351" t="s">
        <v>2833</v>
      </c>
      <c r="H404" s="351"/>
      <c r="I404" s="351" t="s">
        <v>2919</v>
      </c>
      <c r="J404" s="351" t="s">
        <v>2328</v>
      </c>
      <c r="K404" s="311">
        <v>663044.67600000009</v>
      </c>
      <c r="L404" s="311">
        <v>0</v>
      </c>
      <c r="M404" s="311">
        <v>74111.563636363644</v>
      </c>
      <c r="N404" s="311">
        <v>65235.065454545467</v>
      </c>
      <c r="O404" s="311">
        <v>45664.545818181832</v>
      </c>
      <c r="P404" s="68">
        <f t="shared" si="89"/>
        <v>848055.85090909095</v>
      </c>
      <c r="Q404" s="68">
        <f t="shared" si="90"/>
        <v>3392223.4036363638</v>
      </c>
      <c r="R404" s="127">
        <f t="shared" si="91"/>
        <v>3392223.4036363638</v>
      </c>
      <c r="S404" s="26"/>
    </row>
    <row r="405" spans="1:19">
      <c r="A405" s="123"/>
      <c r="B405" s="254" t="s">
        <v>896</v>
      </c>
      <c r="C405" s="42" t="s">
        <v>8</v>
      </c>
      <c r="D405" s="351">
        <v>21</v>
      </c>
      <c r="E405" s="124"/>
      <c r="F405" s="351">
        <v>21</v>
      </c>
      <c r="G405" s="351" t="s">
        <v>2835</v>
      </c>
      <c r="H405" s="351"/>
      <c r="I405" s="351" t="s">
        <v>2919</v>
      </c>
      <c r="J405" s="351" t="s">
        <v>2328</v>
      </c>
      <c r="K405" s="311">
        <v>524594.36400000006</v>
      </c>
      <c r="L405" s="311">
        <v>0</v>
      </c>
      <c r="M405" s="311">
        <v>70265.454545454544</v>
      </c>
      <c r="N405" s="311">
        <v>52642.461818181822</v>
      </c>
      <c r="O405" s="311">
        <v>36849.723272727279</v>
      </c>
      <c r="P405" s="68">
        <f t="shared" si="89"/>
        <v>684352.00363636366</v>
      </c>
      <c r="Q405" s="68">
        <f t="shared" si="90"/>
        <v>14371392.076363636</v>
      </c>
      <c r="R405" s="127">
        <f t="shared" si="91"/>
        <v>14371392.076363636</v>
      </c>
      <c r="S405" s="26"/>
    </row>
    <row r="406" spans="1:19">
      <c r="A406" s="123"/>
      <c r="B406" s="254" t="s">
        <v>947</v>
      </c>
      <c r="C406" s="42" t="s">
        <v>8</v>
      </c>
      <c r="D406" s="351">
        <v>5</v>
      </c>
      <c r="E406" s="124"/>
      <c r="F406" s="351">
        <v>5</v>
      </c>
      <c r="G406" s="351" t="s">
        <v>2925</v>
      </c>
      <c r="H406" s="351"/>
      <c r="I406" s="351" t="s">
        <v>2919</v>
      </c>
      <c r="J406" s="351" t="s">
        <v>2328</v>
      </c>
      <c r="K406" s="311">
        <v>374122.43400000001</v>
      </c>
      <c r="L406" s="311">
        <v>0</v>
      </c>
      <c r="M406" s="311">
        <v>70265.454545454544</v>
      </c>
      <c r="N406" s="311">
        <v>39326.361818181816</v>
      </c>
      <c r="O406" s="311">
        <v>27528.453272727274</v>
      </c>
      <c r="P406" s="68">
        <f t="shared" si="89"/>
        <v>511242.70363636361</v>
      </c>
      <c r="Q406" s="68">
        <f t="shared" si="90"/>
        <v>2556213.5181818181</v>
      </c>
      <c r="R406" s="127">
        <f t="shared" si="91"/>
        <v>2556213.5181818181</v>
      </c>
      <c r="S406" s="26"/>
    </row>
    <row r="407" spans="1:19">
      <c r="A407" s="123"/>
      <c r="B407" s="254" t="s">
        <v>948</v>
      </c>
      <c r="C407" s="42" t="s">
        <v>8</v>
      </c>
      <c r="D407" s="351">
        <v>5</v>
      </c>
      <c r="E407" s="124"/>
      <c r="F407" s="351">
        <v>5</v>
      </c>
      <c r="G407" s="351" t="s">
        <v>2926</v>
      </c>
      <c r="H407" s="351"/>
      <c r="I407" s="351" t="s">
        <v>2919</v>
      </c>
      <c r="J407" s="351" t="s">
        <v>2328</v>
      </c>
      <c r="K407" s="311">
        <v>356049.66600000003</v>
      </c>
      <c r="L407" s="311">
        <v>0</v>
      </c>
      <c r="M407" s="311">
        <v>70265.454545454544</v>
      </c>
      <c r="N407" s="311">
        <v>37727.001818181823</v>
      </c>
      <c r="O407" s="311">
        <v>26408.901272727275</v>
      </c>
      <c r="P407" s="68">
        <f t="shared" si="89"/>
        <v>490451.02363636368</v>
      </c>
      <c r="Q407" s="68">
        <f t="shared" si="90"/>
        <v>2452255.1181818182</v>
      </c>
      <c r="R407" s="127">
        <f t="shared" si="91"/>
        <v>2452255.1181818182</v>
      </c>
      <c r="S407" s="26"/>
    </row>
    <row r="408" spans="1:19" ht="30">
      <c r="A408" s="123"/>
      <c r="B408" s="254" t="s">
        <v>898</v>
      </c>
      <c r="C408" s="42" t="s">
        <v>8</v>
      </c>
      <c r="D408" s="351">
        <v>1</v>
      </c>
      <c r="E408" s="124"/>
      <c r="F408" s="351">
        <v>1</v>
      </c>
      <c r="G408" s="351" t="s">
        <v>2930</v>
      </c>
      <c r="H408" s="351"/>
      <c r="I408" s="351" t="s">
        <v>2919</v>
      </c>
      <c r="J408" s="351" t="s">
        <v>2328</v>
      </c>
      <c r="K408" s="311">
        <v>440150.59400000004</v>
      </c>
      <c r="L408" s="311">
        <v>0</v>
      </c>
      <c r="M408" s="311">
        <v>70265.454545454544</v>
      </c>
      <c r="N408" s="311">
        <v>45169.561818181821</v>
      </c>
      <c r="O408" s="311">
        <v>31618.693272727276</v>
      </c>
      <c r="P408" s="68">
        <f t="shared" si="89"/>
        <v>587204.30363636371</v>
      </c>
      <c r="Q408" s="68">
        <f t="shared" si="90"/>
        <v>587204.30363636371</v>
      </c>
      <c r="R408" s="127">
        <f t="shared" si="91"/>
        <v>587204.30363636371</v>
      </c>
      <c r="S408" s="26"/>
    </row>
    <row r="409" spans="1:19">
      <c r="A409" s="123"/>
      <c r="B409" s="254" t="s">
        <v>902</v>
      </c>
      <c r="C409" s="42" t="s">
        <v>8</v>
      </c>
      <c r="D409" s="351">
        <v>17</v>
      </c>
      <c r="E409" s="124"/>
      <c r="F409" s="351">
        <v>17</v>
      </c>
      <c r="G409" s="351" t="s">
        <v>2841</v>
      </c>
      <c r="H409" s="351"/>
      <c r="I409" s="351" t="s">
        <v>2919</v>
      </c>
      <c r="J409" s="351" t="s">
        <v>2328</v>
      </c>
      <c r="K409" s="311">
        <v>253744.89</v>
      </c>
      <c r="L409" s="311">
        <v>0</v>
      </c>
      <c r="M409" s="311">
        <v>50813.018181818181</v>
      </c>
      <c r="N409" s="311">
        <v>26952.027272727271</v>
      </c>
      <c r="O409" s="311">
        <v>18866.41909090909</v>
      </c>
      <c r="P409" s="68">
        <f t="shared" si="89"/>
        <v>350376.35454545455</v>
      </c>
      <c r="Q409" s="68">
        <f t="shared" si="90"/>
        <v>5956398.0272727273</v>
      </c>
      <c r="R409" s="127">
        <f t="shared" si="91"/>
        <v>5956398.0272727273</v>
      </c>
      <c r="S409" s="26"/>
    </row>
    <row r="410" spans="1:19">
      <c r="A410" s="123"/>
      <c r="B410" s="254" t="s">
        <v>941</v>
      </c>
      <c r="C410" s="42" t="s">
        <v>8</v>
      </c>
      <c r="D410" s="351">
        <v>10</v>
      </c>
      <c r="E410" s="124"/>
      <c r="F410" s="351">
        <v>10</v>
      </c>
      <c r="G410" s="351" t="s">
        <v>2927</v>
      </c>
      <c r="H410" s="351"/>
      <c r="I410" s="351" t="s">
        <v>2919</v>
      </c>
      <c r="J410" s="351" t="s">
        <v>2328</v>
      </c>
      <c r="K410" s="311">
        <v>383368.32000000007</v>
      </c>
      <c r="L410" s="311">
        <v>0</v>
      </c>
      <c r="M410" s="311">
        <v>50813.018181818181</v>
      </c>
      <c r="N410" s="311">
        <v>38423.127272727274</v>
      </c>
      <c r="O410" s="311">
        <v>26896.189090909091</v>
      </c>
      <c r="P410" s="68">
        <f t="shared" si="89"/>
        <v>499500.6545454546</v>
      </c>
      <c r="Q410" s="68">
        <f t="shared" si="90"/>
        <v>4995006.5454545459</v>
      </c>
      <c r="R410" s="127">
        <f t="shared" si="91"/>
        <v>4995006.5454545459</v>
      </c>
      <c r="S410" s="26"/>
    </row>
    <row r="411" spans="1:19">
      <c r="A411" s="123"/>
      <c r="B411" s="254" t="s">
        <v>904</v>
      </c>
      <c r="C411" s="42" t="s">
        <v>8</v>
      </c>
      <c r="D411" s="351">
        <v>21</v>
      </c>
      <c r="E411" s="124"/>
      <c r="F411" s="351">
        <v>21</v>
      </c>
      <c r="G411" s="351" t="s">
        <v>2856</v>
      </c>
      <c r="H411" s="351"/>
      <c r="I411" s="351" t="s">
        <v>2919</v>
      </c>
      <c r="J411" s="351" t="s">
        <v>2328</v>
      </c>
      <c r="K411" s="311">
        <v>220100.49600000004</v>
      </c>
      <c r="L411" s="311">
        <v>0</v>
      </c>
      <c r="M411" s="311">
        <v>50813.018181818181</v>
      </c>
      <c r="N411" s="311">
        <v>23974.647272727274</v>
      </c>
      <c r="O411" s="311">
        <v>16782.253090909093</v>
      </c>
      <c r="P411" s="68">
        <f t="shared" si="89"/>
        <v>311670.41454545461</v>
      </c>
      <c r="Q411" s="68">
        <f t="shared" si="90"/>
        <v>6545078.705454547</v>
      </c>
      <c r="R411" s="127">
        <f t="shared" si="91"/>
        <v>6545078.705454547</v>
      </c>
      <c r="S411" s="26"/>
    </row>
    <row r="412" spans="1:19">
      <c r="A412" s="123"/>
      <c r="B412" s="254" t="s">
        <v>783</v>
      </c>
      <c r="C412" s="42" t="s">
        <v>8</v>
      </c>
      <c r="D412" s="351">
        <v>9</v>
      </c>
      <c r="E412" s="124"/>
      <c r="F412" s="351">
        <v>9</v>
      </c>
      <c r="G412" s="351" t="s">
        <v>2844</v>
      </c>
      <c r="H412" s="351"/>
      <c r="I412" s="351" t="s">
        <v>2919</v>
      </c>
      <c r="J412" s="351" t="s">
        <v>2328</v>
      </c>
      <c r="K412" s="311">
        <v>178871.99400000004</v>
      </c>
      <c r="L412" s="311">
        <v>0</v>
      </c>
      <c r="M412" s="311">
        <v>42344.181818181823</v>
      </c>
      <c r="N412" s="311">
        <v>19576.652727272729</v>
      </c>
      <c r="O412" s="311">
        <v>13703.656909090911</v>
      </c>
      <c r="P412" s="68">
        <f t="shared" si="89"/>
        <v>254496.4854545455</v>
      </c>
      <c r="Q412" s="68">
        <f t="shared" si="90"/>
        <v>2290468.3690909096</v>
      </c>
      <c r="R412" s="127">
        <f t="shared" si="91"/>
        <v>2290468.3690909096</v>
      </c>
      <c r="S412" s="26"/>
    </row>
    <row r="413" spans="1:19">
      <c r="A413" s="123"/>
      <c r="B413" s="254" t="s">
        <v>907</v>
      </c>
      <c r="C413" s="42" t="s">
        <v>8</v>
      </c>
      <c r="D413" s="351">
        <v>20</v>
      </c>
      <c r="E413" s="124"/>
      <c r="F413" s="351">
        <v>20</v>
      </c>
      <c r="G413" s="351" t="s">
        <v>2855</v>
      </c>
      <c r="H413" s="351"/>
      <c r="I413" s="351" t="s">
        <v>2919</v>
      </c>
      <c r="J413" s="351" t="s">
        <v>2328</v>
      </c>
      <c r="K413" s="311">
        <v>120296.86200000002</v>
      </c>
      <c r="L413" s="311">
        <v>0</v>
      </c>
      <c r="M413" s="311">
        <v>42344.181818181823</v>
      </c>
      <c r="N413" s="311">
        <v>14393.01272727273</v>
      </c>
      <c r="O413" s="311">
        <v>10075.108909090912</v>
      </c>
      <c r="P413" s="68">
        <f t="shared" si="89"/>
        <v>187109.16545454549</v>
      </c>
      <c r="Q413" s="68">
        <f t="shared" si="90"/>
        <v>3742183.30909091</v>
      </c>
      <c r="R413" s="127">
        <f t="shared" si="91"/>
        <v>3742183.30909091</v>
      </c>
      <c r="S413" s="26"/>
    </row>
    <row r="414" spans="1:19">
      <c r="A414" s="123"/>
      <c r="B414" s="254" t="s">
        <v>908</v>
      </c>
      <c r="C414" s="42" t="s">
        <v>8</v>
      </c>
      <c r="D414" s="351">
        <v>1</v>
      </c>
      <c r="E414" s="124"/>
      <c r="F414" s="351">
        <v>1</v>
      </c>
      <c r="G414" s="351" t="s">
        <v>2847</v>
      </c>
      <c r="H414" s="351"/>
      <c r="I414" s="351" t="s">
        <v>2919</v>
      </c>
      <c r="J414" s="351" t="s">
        <v>2328</v>
      </c>
      <c r="K414" s="311">
        <v>103056.00000000001</v>
      </c>
      <c r="L414" s="311">
        <v>0</v>
      </c>
      <c r="M414" s="311">
        <v>42344.181818181823</v>
      </c>
      <c r="N414" s="311">
        <v>12867.272727272728</v>
      </c>
      <c r="O414" s="311">
        <v>9007.0909090909099</v>
      </c>
      <c r="P414" s="68">
        <f t="shared" si="89"/>
        <v>167274.54545454547</v>
      </c>
      <c r="Q414" s="68">
        <f t="shared" si="90"/>
        <v>167274.54545454547</v>
      </c>
      <c r="R414" s="127">
        <f t="shared" si="91"/>
        <v>167274.54545454547</v>
      </c>
      <c r="S414" s="26"/>
    </row>
    <row r="415" spans="1:19">
      <c r="A415" s="123"/>
      <c r="B415" s="254" t="s">
        <v>909</v>
      </c>
      <c r="C415" s="42" t="s">
        <v>8</v>
      </c>
      <c r="D415" s="351">
        <v>1</v>
      </c>
      <c r="E415" s="124"/>
      <c r="F415" s="351">
        <v>1</v>
      </c>
      <c r="G415" s="351" t="s">
        <v>2848</v>
      </c>
      <c r="H415" s="351"/>
      <c r="I415" s="351" t="s">
        <v>2919</v>
      </c>
      <c r="J415" s="351" t="s">
        <v>2328</v>
      </c>
      <c r="K415" s="311">
        <v>321236.40000000002</v>
      </c>
      <c r="L415" s="311">
        <v>0</v>
      </c>
      <c r="M415" s="311">
        <v>42344.181818181823</v>
      </c>
      <c r="N415" s="311">
        <v>32175.272727272732</v>
      </c>
      <c r="O415" s="311">
        <v>22522.690909090914</v>
      </c>
      <c r="P415" s="68">
        <f t="shared" si="89"/>
        <v>418278.54545454547</v>
      </c>
      <c r="Q415" s="68">
        <f t="shared" si="90"/>
        <v>418278.54545454547</v>
      </c>
      <c r="R415" s="127">
        <f t="shared" si="91"/>
        <v>418278.54545454547</v>
      </c>
      <c r="S415" s="26"/>
    </row>
    <row r="416" spans="1:19">
      <c r="A416" s="123"/>
      <c r="B416" s="254" t="s">
        <v>785</v>
      </c>
      <c r="C416" s="42" t="s">
        <v>8</v>
      </c>
      <c r="D416" s="351">
        <v>182</v>
      </c>
      <c r="E416" s="124"/>
      <c r="F416" s="351">
        <v>182</v>
      </c>
      <c r="G416" s="351" t="s">
        <v>2853</v>
      </c>
      <c r="H416" s="351"/>
      <c r="I416" s="351" t="s">
        <v>2919</v>
      </c>
      <c r="J416" s="351" t="s">
        <v>2328</v>
      </c>
      <c r="K416" s="311">
        <v>142181.12000000002</v>
      </c>
      <c r="L416" s="311">
        <v>0</v>
      </c>
      <c r="M416" s="311">
        <v>36963.327272727271</v>
      </c>
      <c r="N416" s="311">
        <v>15853.49090909091</v>
      </c>
      <c r="O416" s="311">
        <v>11097.443636363638</v>
      </c>
      <c r="P416" s="68">
        <f t="shared" si="89"/>
        <v>206095.38181818184</v>
      </c>
      <c r="Q416" s="68">
        <f t="shared" si="90"/>
        <v>37509359.490909092</v>
      </c>
      <c r="R416" s="127">
        <f t="shared" si="91"/>
        <v>37509359.490909092</v>
      </c>
      <c r="S416" s="26"/>
    </row>
    <row r="417" spans="1:19">
      <c r="A417" s="123"/>
      <c r="B417" s="254" t="s">
        <v>786</v>
      </c>
      <c r="C417" s="42" t="s">
        <v>8</v>
      </c>
      <c r="D417" s="351">
        <v>55</v>
      </c>
      <c r="E417" s="124"/>
      <c r="F417" s="351">
        <v>55</v>
      </c>
      <c r="G417" s="351" t="s">
        <v>2928</v>
      </c>
      <c r="H417" s="351"/>
      <c r="I417" s="351" t="s">
        <v>2919</v>
      </c>
      <c r="J417" s="351" t="s">
        <v>2328</v>
      </c>
      <c r="K417" s="311">
        <v>85988.479999999996</v>
      </c>
      <c r="L417" s="311">
        <v>0</v>
      </c>
      <c r="M417" s="311">
        <v>30805.854545454546</v>
      </c>
      <c r="N417" s="311">
        <v>10335.781818181817</v>
      </c>
      <c r="O417" s="311">
        <v>7235.0472727272718</v>
      </c>
      <c r="P417" s="68">
        <f t="shared" si="89"/>
        <v>134365.16363636364</v>
      </c>
      <c r="Q417" s="68">
        <f t="shared" si="90"/>
        <v>7390084</v>
      </c>
      <c r="R417" s="127">
        <f t="shared" si="91"/>
        <v>7390084</v>
      </c>
      <c r="S417" s="26"/>
    </row>
    <row r="418" spans="1:19" s="131" customFormat="1">
      <c r="A418" s="126"/>
      <c r="B418" s="253" t="s">
        <v>787</v>
      </c>
      <c r="C418" s="126" t="s">
        <v>8</v>
      </c>
      <c r="D418" s="352">
        <v>5</v>
      </c>
      <c r="E418" s="130"/>
      <c r="F418" s="352">
        <v>5</v>
      </c>
      <c r="G418" s="351" t="s">
        <v>2929</v>
      </c>
      <c r="H418" s="351"/>
      <c r="I418" s="351" t="s">
        <v>2919</v>
      </c>
      <c r="J418" s="351" t="s">
        <v>2328</v>
      </c>
      <c r="K418" s="311">
        <v>51057.920000000006</v>
      </c>
      <c r="L418" s="311">
        <v>0</v>
      </c>
      <c r="M418" s="311">
        <v>24019.69090909091</v>
      </c>
      <c r="N418" s="311">
        <v>6644.0363636363636</v>
      </c>
      <c r="O418" s="311">
        <v>4650.8254545454547</v>
      </c>
      <c r="P418" s="68">
        <f t="shared" si="89"/>
        <v>86372.472727272732</v>
      </c>
      <c r="Q418" s="68">
        <f t="shared" si="90"/>
        <v>431862.36363636365</v>
      </c>
      <c r="R418" s="127">
        <f t="shared" si="91"/>
        <v>431862.36363636365</v>
      </c>
      <c r="S418" s="30"/>
    </row>
    <row r="419" spans="1:19" s="131" customFormat="1">
      <c r="A419" s="126"/>
      <c r="B419" s="253" t="s">
        <v>1016</v>
      </c>
      <c r="C419" s="126" t="s">
        <v>8</v>
      </c>
      <c r="D419" s="352">
        <v>2</v>
      </c>
      <c r="E419" s="130"/>
      <c r="F419" s="352">
        <v>2</v>
      </c>
      <c r="G419" s="26" t="s">
        <v>3033</v>
      </c>
      <c r="H419" s="26"/>
      <c r="I419" s="351" t="s">
        <v>2681</v>
      </c>
      <c r="J419" s="351" t="s">
        <v>2328</v>
      </c>
      <c r="K419" s="311">
        <v>18955.750000000004</v>
      </c>
      <c r="L419" s="311">
        <v>0</v>
      </c>
      <c r="M419" s="311">
        <v>24019.69090909091</v>
      </c>
      <c r="N419" s="311">
        <v>3803.1363636363635</v>
      </c>
      <c r="O419" s="311">
        <v>2662.1954545454546</v>
      </c>
      <c r="P419" s="68">
        <f t="shared" si="89"/>
        <v>49440.772727272735</v>
      </c>
      <c r="Q419" s="68">
        <f t="shared" si="90"/>
        <v>98881.54545454547</v>
      </c>
      <c r="R419" s="127">
        <f t="shared" si="91"/>
        <v>98881.54545454547</v>
      </c>
      <c r="S419" s="30"/>
    </row>
    <row r="420" spans="1:19">
      <c r="A420" s="123">
        <v>5</v>
      </c>
      <c r="B420" s="254" t="s">
        <v>914</v>
      </c>
      <c r="C420" s="42"/>
      <c r="D420" s="351"/>
      <c r="E420" s="124"/>
      <c r="F420" s="351"/>
      <c r="G420" s="26"/>
      <c r="H420" s="26"/>
      <c r="I420" s="26"/>
      <c r="J420" s="26"/>
      <c r="K420" s="66"/>
      <c r="L420" s="66"/>
      <c r="M420" s="66"/>
      <c r="N420" s="66"/>
      <c r="O420" s="66"/>
      <c r="P420" s="66"/>
      <c r="Q420" s="66"/>
      <c r="R420" s="66"/>
      <c r="S420" s="26"/>
    </row>
    <row r="421" spans="1:19">
      <c r="A421" s="123"/>
      <c r="B421" s="254" t="s">
        <v>893</v>
      </c>
      <c r="C421" s="42" t="s">
        <v>8</v>
      </c>
      <c r="D421" s="351">
        <v>15</v>
      </c>
      <c r="E421" s="124"/>
      <c r="F421" s="351">
        <v>15</v>
      </c>
      <c r="G421" s="351" t="s">
        <v>2858</v>
      </c>
      <c r="H421" s="351"/>
      <c r="I421" s="351" t="s">
        <v>2919</v>
      </c>
      <c r="J421" s="351" t="s">
        <v>2328</v>
      </c>
      <c r="K421" s="311">
        <v>505714.77600000007</v>
      </c>
      <c r="L421" s="311">
        <v>0</v>
      </c>
      <c r="M421" s="311">
        <v>49407.709090909091</v>
      </c>
      <c r="N421" s="311">
        <v>49125.883636363636</v>
      </c>
      <c r="O421" s="311">
        <v>34388.118545454548</v>
      </c>
      <c r="P421" s="68">
        <f t="shared" ref="P421:P430" si="92">SUM(K421:O421)</f>
        <v>638636.48727272742</v>
      </c>
      <c r="Q421" s="68">
        <f t="shared" ref="Q421:Q430" si="93">D421*P421</f>
        <v>9579547.3090909105</v>
      </c>
      <c r="R421" s="127">
        <f t="shared" ref="R421:R430" si="94">F421*P421</f>
        <v>9579547.3090909105</v>
      </c>
      <c r="S421" s="26"/>
    </row>
    <row r="422" spans="1:19">
      <c r="A422" s="123"/>
      <c r="B422" s="254" t="s">
        <v>896</v>
      </c>
      <c r="C422" s="42" t="s">
        <v>8</v>
      </c>
      <c r="D422" s="351">
        <v>127</v>
      </c>
      <c r="E422" s="124"/>
      <c r="F422" s="351">
        <v>127</v>
      </c>
      <c r="G422" s="351" t="s">
        <v>2859</v>
      </c>
      <c r="H422" s="351"/>
      <c r="I422" s="351" t="s">
        <v>2919</v>
      </c>
      <c r="J422" s="351" t="s">
        <v>2328</v>
      </c>
      <c r="K422" s="311">
        <v>227926.65000000002</v>
      </c>
      <c r="L422" s="311">
        <v>0</v>
      </c>
      <c r="M422" s="311">
        <v>46843.63636363636</v>
      </c>
      <c r="N422" s="311">
        <v>24315.954545454544</v>
      </c>
      <c r="O422" s="311">
        <v>17021.168181818182</v>
      </c>
      <c r="P422" s="68">
        <f t="shared" si="92"/>
        <v>316107.40909090906</v>
      </c>
      <c r="Q422" s="68">
        <f t="shared" si="93"/>
        <v>40145640.954545453</v>
      </c>
      <c r="R422" s="127">
        <f t="shared" si="94"/>
        <v>40145640.954545453</v>
      </c>
      <c r="S422" s="26"/>
    </row>
    <row r="423" spans="1:19">
      <c r="A423" s="123"/>
      <c r="B423" s="254" t="s">
        <v>902</v>
      </c>
      <c r="C423" s="42" t="s">
        <v>8</v>
      </c>
      <c r="D423" s="351">
        <v>52</v>
      </c>
      <c r="E423" s="124"/>
      <c r="F423" s="351">
        <v>52</v>
      </c>
      <c r="G423" s="351" t="s">
        <v>2861</v>
      </c>
      <c r="H423" s="351"/>
      <c r="I423" s="351" t="s">
        <v>2919</v>
      </c>
      <c r="J423" s="351" t="s">
        <v>2328</v>
      </c>
      <c r="K423" s="311">
        <v>123766.18800000002</v>
      </c>
      <c r="L423" s="311">
        <v>0</v>
      </c>
      <c r="M423" s="311">
        <v>33875.345454545459</v>
      </c>
      <c r="N423" s="311">
        <v>13950.578181818184</v>
      </c>
      <c r="O423" s="311">
        <v>9765.4047272727294</v>
      </c>
      <c r="P423" s="68">
        <f t="shared" si="92"/>
        <v>181357.51636363639</v>
      </c>
      <c r="Q423" s="68">
        <f t="shared" si="93"/>
        <v>9430590.8509090915</v>
      </c>
      <c r="R423" s="127">
        <f t="shared" si="94"/>
        <v>9430590.8509090915</v>
      </c>
      <c r="S423" s="26"/>
    </row>
    <row r="424" spans="1:19">
      <c r="A424" s="123"/>
      <c r="B424" s="254" t="s">
        <v>783</v>
      </c>
      <c r="C424" s="42" t="s">
        <v>8</v>
      </c>
      <c r="D424" s="351">
        <v>48</v>
      </c>
      <c r="E424" s="124"/>
      <c r="F424" s="351">
        <v>48</v>
      </c>
      <c r="G424" s="351" t="s">
        <v>2862</v>
      </c>
      <c r="H424" s="351"/>
      <c r="I424" s="351" t="s">
        <v>2919</v>
      </c>
      <c r="J424" s="351" t="s">
        <v>2328</v>
      </c>
      <c r="K424" s="311">
        <v>77374.038000000015</v>
      </c>
      <c r="L424" s="311">
        <v>0</v>
      </c>
      <c r="M424" s="311">
        <v>28229.454545454548</v>
      </c>
      <c r="N424" s="311">
        <v>9345.4418181818182</v>
      </c>
      <c r="O424" s="311">
        <v>6541.8092727272733</v>
      </c>
      <c r="P424" s="68">
        <f t="shared" si="92"/>
        <v>121490.74363636365</v>
      </c>
      <c r="Q424" s="68">
        <f t="shared" si="93"/>
        <v>5831555.6945454553</v>
      </c>
      <c r="R424" s="127">
        <f t="shared" si="94"/>
        <v>5831555.6945454553</v>
      </c>
      <c r="S424" s="26"/>
    </row>
    <row r="425" spans="1:19">
      <c r="A425" s="123"/>
      <c r="B425" s="254" t="s">
        <v>908</v>
      </c>
      <c r="C425" s="42" t="s">
        <v>8</v>
      </c>
      <c r="D425" s="351">
        <v>10</v>
      </c>
      <c r="E425" s="124"/>
      <c r="F425" s="351">
        <v>10</v>
      </c>
      <c r="G425" s="351" t="s">
        <v>2863</v>
      </c>
      <c r="H425" s="351"/>
      <c r="I425" s="351" t="s">
        <v>2919</v>
      </c>
      <c r="J425" s="351" t="s">
        <v>2328</v>
      </c>
      <c r="K425" s="311">
        <v>60170.240000000005</v>
      </c>
      <c r="L425" s="311">
        <v>0</v>
      </c>
      <c r="M425" s="311">
        <v>28229.454545454548</v>
      </c>
      <c r="N425" s="311">
        <v>7822.9818181818182</v>
      </c>
      <c r="O425" s="311">
        <v>5476.0872727272726</v>
      </c>
      <c r="P425" s="68">
        <f t="shared" si="92"/>
        <v>101698.76363636364</v>
      </c>
      <c r="Q425" s="68">
        <f t="shared" si="93"/>
        <v>1016987.6363636365</v>
      </c>
      <c r="R425" s="127">
        <f t="shared" si="94"/>
        <v>1016987.6363636365</v>
      </c>
      <c r="S425" s="26"/>
    </row>
    <row r="426" spans="1:19">
      <c r="A426" s="123"/>
      <c r="B426" s="254" t="s">
        <v>785</v>
      </c>
      <c r="C426" s="42" t="s">
        <v>8</v>
      </c>
      <c r="D426" s="351">
        <v>487</v>
      </c>
      <c r="E426" s="124"/>
      <c r="F426" s="351">
        <v>487</v>
      </c>
      <c r="G426" s="351" t="s">
        <v>2864</v>
      </c>
      <c r="H426" s="351"/>
      <c r="I426" s="351" t="s">
        <v>2919</v>
      </c>
      <c r="J426" s="351" t="s">
        <v>2328</v>
      </c>
      <c r="K426" s="311">
        <v>50407.040000000008</v>
      </c>
      <c r="L426" s="311">
        <v>0</v>
      </c>
      <c r="M426" s="311">
        <v>24642.218181818182</v>
      </c>
      <c r="N426" s="311">
        <v>6641.5272727272722</v>
      </c>
      <c r="O426" s="311">
        <v>4649.0690909090908</v>
      </c>
      <c r="P426" s="68">
        <f t="shared" si="92"/>
        <v>86339.854545454553</v>
      </c>
      <c r="Q426" s="68">
        <f t="shared" si="93"/>
        <v>42047509.163636364</v>
      </c>
      <c r="R426" s="127">
        <f t="shared" si="94"/>
        <v>42047509.163636364</v>
      </c>
      <c r="S426" s="26"/>
    </row>
    <row r="427" spans="1:19">
      <c r="A427" s="123"/>
      <c r="B427" s="254" t="s">
        <v>786</v>
      </c>
      <c r="C427" s="42" t="s">
        <v>8</v>
      </c>
      <c r="D427" s="351">
        <v>82</v>
      </c>
      <c r="E427" s="124"/>
      <c r="F427" s="351">
        <v>82</v>
      </c>
      <c r="G427" s="351" t="s">
        <v>2865</v>
      </c>
      <c r="H427" s="351"/>
      <c r="I427" s="351" t="s">
        <v>2919</v>
      </c>
      <c r="J427" s="351" t="s">
        <v>2328</v>
      </c>
      <c r="K427" s="311">
        <v>29651.200000000004</v>
      </c>
      <c r="L427" s="311">
        <v>0</v>
      </c>
      <c r="M427" s="311">
        <v>20537.236363636363</v>
      </c>
      <c r="N427" s="311">
        <v>4441.454545454546</v>
      </c>
      <c r="O427" s="311">
        <v>3109.0181818181823</v>
      </c>
      <c r="P427" s="68">
        <f t="shared" si="92"/>
        <v>57738.909090909096</v>
      </c>
      <c r="Q427" s="68">
        <f t="shared" si="93"/>
        <v>4734590.5454545459</v>
      </c>
      <c r="R427" s="127">
        <f t="shared" si="94"/>
        <v>4734590.5454545459</v>
      </c>
      <c r="S427" s="26"/>
    </row>
    <row r="428" spans="1:19">
      <c r="A428" s="123"/>
      <c r="B428" s="254" t="s">
        <v>787</v>
      </c>
      <c r="C428" s="42" t="s">
        <v>8</v>
      </c>
      <c r="D428" s="351">
        <v>10</v>
      </c>
      <c r="E428" s="124"/>
      <c r="F428" s="351">
        <v>10</v>
      </c>
      <c r="G428" s="351" t="s">
        <v>2932</v>
      </c>
      <c r="H428" s="351"/>
      <c r="I428" s="351" t="s">
        <v>2919</v>
      </c>
      <c r="J428" s="351" t="s">
        <v>2328</v>
      </c>
      <c r="K428" s="311">
        <v>26324.480000000003</v>
      </c>
      <c r="L428" s="311">
        <v>0</v>
      </c>
      <c r="M428" s="311">
        <v>16013.127272727274</v>
      </c>
      <c r="N428" s="311">
        <v>3746.6909090909089</v>
      </c>
      <c r="O428" s="311">
        <v>2622.6836363636367</v>
      </c>
      <c r="P428" s="68">
        <f t="shared" si="92"/>
        <v>48706.981818181826</v>
      </c>
      <c r="Q428" s="68">
        <f t="shared" si="93"/>
        <v>487069.81818181823</v>
      </c>
      <c r="R428" s="127">
        <f t="shared" si="94"/>
        <v>487069.81818181823</v>
      </c>
      <c r="S428" s="26"/>
    </row>
    <row r="429" spans="1:19">
      <c r="A429" s="123"/>
      <c r="B429" s="254" t="s">
        <v>915</v>
      </c>
      <c r="C429" s="42" t="s">
        <v>8</v>
      </c>
      <c r="D429" s="351">
        <v>10</v>
      </c>
      <c r="E429" s="124"/>
      <c r="F429" s="351">
        <v>10</v>
      </c>
      <c r="G429" s="351" t="s">
        <v>2931</v>
      </c>
      <c r="H429" s="351"/>
      <c r="I429" s="351" t="s">
        <v>2919</v>
      </c>
      <c r="J429" s="351" t="s">
        <v>2328</v>
      </c>
      <c r="K429" s="311">
        <v>9467.1400000000012</v>
      </c>
      <c r="L429" s="311">
        <v>0</v>
      </c>
      <c r="M429" s="311">
        <v>14299.636363636364</v>
      </c>
      <c r="N429" s="311">
        <v>2103.2545454545457</v>
      </c>
      <c r="O429" s="311">
        <v>1472.278181818182</v>
      </c>
      <c r="P429" s="68">
        <f t="shared" si="92"/>
        <v>27342.309090909097</v>
      </c>
      <c r="Q429" s="68">
        <f t="shared" si="93"/>
        <v>273423.09090909094</v>
      </c>
      <c r="R429" s="127">
        <f t="shared" si="94"/>
        <v>273423.09090909094</v>
      </c>
      <c r="S429" s="26"/>
    </row>
    <row r="430" spans="1:19">
      <c r="A430" s="123"/>
      <c r="B430" s="254" t="s">
        <v>919</v>
      </c>
      <c r="C430" s="42" t="s">
        <v>8</v>
      </c>
      <c r="D430" s="351">
        <v>10</v>
      </c>
      <c r="E430" s="124"/>
      <c r="F430" s="351">
        <v>10</v>
      </c>
      <c r="G430" s="351" t="s">
        <v>2933</v>
      </c>
      <c r="H430" s="351"/>
      <c r="I430" s="351" t="s">
        <v>2919</v>
      </c>
      <c r="J430" s="351" t="s">
        <v>2328</v>
      </c>
      <c r="K430" s="311">
        <v>36293.339999999997</v>
      </c>
      <c r="L430" s="311">
        <v>0</v>
      </c>
      <c r="M430" s="311">
        <v>35453.236363636366</v>
      </c>
      <c r="N430" s="311">
        <v>6349.2545454545452</v>
      </c>
      <c r="O430" s="311">
        <v>4444.4781818181818</v>
      </c>
      <c r="P430" s="68">
        <f t="shared" si="92"/>
        <v>82540.309090909082</v>
      </c>
      <c r="Q430" s="68">
        <f t="shared" si="93"/>
        <v>825403.09090909082</v>
      </c>
      <c r="R430" s="127">
        <f t="shared" si="94"/>
        <v>825403.09090909082</v>
      </c>
      <c r="S430" s="26"/>
    </row>
    <row r="431" spans="1:19">
      <c r="A431" s="123">
        <v>6</v>
      </c>
      <c r="B431" s="254" t="s">
        <v>920</v>
      </c>
      <c r="C431" s="42"/>
      <c r="D431" s="351"/>
      <c r="E431" s="124"/>
      <c r="F431" s="351"/>
      <c r="G431" s="26"/>
      <c r="H431" s="26"/>
      <c r="I431" s="26"/>
      <c r="J431" s="26"/>
      <c r="K431" s="66"/>
      <c r="L431" s="66"/>
      <c r="M431" s="66"/>
      <c r="N431" s="66"/>
      <c r="O431" s="66"/>
      <c r="P431" s="66"/>
      <c r="Q431" s="66"/>
      <c r="R431" s="66"/>
      <c r="S431" s="26"/>
    </row>
    <row r="432" spans="1:19">
      <c r="A432" s="123"/>
      <c r="B432" s="254" t="s">
        <v>918</v>
      </c>
      <c r="C432" s="42" t="s">
        <v>8</v>
      </c>
      <c r="D432" s="351">
        <v>1</v>
      </c>
      <c r="E432" s="124"/>
      <c r="F432" s="351">
        <v>1</v>
      </c>
      <c r="G432" s="351" t="s">
        <v>2934</v>
      </c>
      <c r="H432" s="351"/>
      <c r="I432" s="351" t="s">
        <v>2919</v>
      </c>
      <c r="J432" s="351" t="s">
        <v>2328</v>
      </c>
      <c r="K432" s="311">
        <v>146970.06</v>
      </c>
      <c r="L432" s="311">
        <v>0</v>
      </c>
      <c r="M432" s="311">
        <v>63152.618181818179</v>
      </c>
      <c r="N432" s="311">
        <v>18594.927272727273</v>
      </c>
      <c r="O432" s="311">
        <v>13016.449090909091</v>
      </c>
      <c r="P432" s="68">
        <f t="shared" ref="P432:P434" si="95">SUM(K432:O432)</f>
        <v>241734.05454545454</v>
      </c>
      <c r="Q432" s="68">
        <f>D432*P432</f>
        <v>241734.05454545454</v>
      </c>
      <c r="R432" s="127">
        <f>F432*P432</f>
        <v>241734.05454545454</v>
      </c>
      <c r="S432" s="26"/>
    </row>
    <row r="433" spans="1:19">
      <c r="A433" s="123"/>
      <c r="B433" s="254" t="s">
        <v>919</v>
      </c>
      <c r="C433" s="42" t="s">
        <v>8</v>
      </c>
      <c r="D433" s="351">
        <v>18</v>
      </c>
      <c r="E433" s="124"/>
      <c r="F433" s="351">
        <v>18</v>
      </c>
      <c r="G433" s="351" t="s">
        <v>2871</v>
      </c>
      <c r="H433" s="351"/>
      <c r="I433" s="351" t="s">
        <v>2919</v>
      </c>
      <c r="J433" s="351" t="s">
        <v>2328</v>
      </c>
      <c r="K433" s="311">
        <v>42462.01</v>
      </c>
      <c r="L433" s="311">
        <v>0</v>
      </c>
      <c r="M433" s="311">
        <v>35453.236363636366</v>
      </c>
      <c r="N433" s="311">
        <v>6895.1545454545458</v>
      </c>
      <c r="O433" s="311">
        <v>4826.6081818181819</v>
      </c>
      <c r="P433" s="68">
        <f t="shared" si="95"/>
        <v>89637.009090909094</v>
      </c>
      <c r="Q433" s="68">
        <f>D433*P433</f>
        <v>1613466.1636363636</v>
      </c>
      <c r="R433" s="127">
        <f>F433*P433</f>
        <v>1613466.1636363636</v>
      </c>
      <c r="S433" s="26"/>
    </row>
    <row r="434" spans="1:19">
      <c r="A434" s="123"/>
      <c r="B434" s="254" t="s">
        <v>842</v>
      </c>
      <c r="C434" s="42" t="s">
        <v>8</v>
      </c>
      <c r="D434" s="351">
        <v>21</v>
      </c>
      <c r="E434" s="124"/>
      <c r="F434" s="351">
        <v>21</v>
      </c>
      <c r="G434" s="351" t="s">
        <v>854</v>
      </c>
      <c r="H434" s="351"/>
      <c r="I434" s="351"/>
      <c r="J434" s="351" t="s">
        <v>2374</v>
      </c>
      <c r="K434" s="311">
        <v>24860.000000000004</v>
      </c>
      <c r="L434" s="311">
        <v>0</v>
      </c>
      <c r="M434" s="311">
        <v>31995.436363636363</v>
      </c>
      <c r="N434" s="311">
        <v>5031.454545454546</v>
      </c>
      <c r="O434" s="311">
        <v>3522.0181818181823</v>
      </c>
      <c r="P434" s="68">
        <f t="shared" si="95"/>
        <v>65408.909090909096</v>
      </c>
      <c r="Q434" s="68">
        <f>D434*P434</f>
        <v>1373587.0909090911</v>
      </c>
      <c r="R434" s="127">
        <f>F434*P434</f>
        <v>1373587.0909090911</v>
      </c>
      <c r="S434" s="26"/>
    </row>
    <row r="435" spans="1:19">
      <c r="A435" s="123">
        <v>7</v>
      </c>
      <c r="B435" s="254" t="s">
        <v>927</v>
      </c>
      <c r="C435" s="42"/>
      <c r="D435" s="351"/>
      <c r="E435" s="124"/>
      <c r="F435" s="351"/>
      <c r="G435" s="26"/>
      <c r="H435" s="26"/>
      <c r="I435" s="26"/>
      <c r="J435" s="26"/>
      <c r="K435" s="66"/>
      <c r="L435" s="66"/>
      <c r="M435" s="66"/>
      <c r="N435" s="66"/>
      <c r="O435" s="66"/>
      <c r="P435" s="66"/>
      <c r="Q435" s="66"/>
      <c r="R435" s="66"/>
      <c r="S435" s="26"/>
    </row>
    <row r="436" spans="1:19">
      <c r="A436" s="123"/>
      <c r="B436" s="254" t="s">
        <v>935</v>
      </c>
      <c r="C436" s="42" t="s">
        <v>8</v>
      </c>
      <c r="D436" s="351">
        <v>6</v>
      </c>
      <c r="E436" s="124"/>
      <c r="F436" s="351">
        <v>6</v>
      </c>
      <c r="G436" s="351" t="s">
        <v>2884</v>
      </c>
      <c r="H436" s="351"/>
      <c r="I436" s="351" t="s">
        <v>2919</v>
      </c>
      <c r="J436" s="351" t="s">
        <v>2328</v>
      </c>
      <c r="K436" s="311">
        <v>55218.580000000009</v>
      </c>
      <c r="L436" s="311">
        <v>0</v>
      </c>
      <c r="M436" s="311">
        <v>53179.854545454546</v>
      </c>
      <c r="N436" s="311">
        <v>9592.7818181818184</v>
      </c>
      <c r="O436" s="311">
        <v>6714.9472727272732</v>
      </c>
      <c r="P436" s="68">
        <f t="shared" ref="P436:P437" si="96">SUM(K436:O436)</f>
        <v>124706.16363636364</v>
      </c>
      <c r="Q436" s="68">
        <f>D436*P436</f>
        <v>748236.98181818181</v>
      </c>
      <c r="R436" s="127">
        <f>F436*P436</f>
        <v>748236.98181818181</v>
      </c>
      <c r="S436" s="26"/>
    </row>
    <row r="437" spans="1:19">
      <c r="A437" s="123"/>
      <c r="B437" s="254" t="s">
        <v>936</v>
      </c>
      <c r="C437" s="42" t="s">
        <v>8</v>
      </c>
      <c r="D437" s="351">
        <v>2</v>
      </c>
      <c r="E437" s="124"/>
      <c r="F437" s="351">
        <v>2</v>
      </c>
      <c r="G437" s="351" t="s">
        <v>857</v>
      </c>
      <c r="H437" s="351"/>
      <c r="I437" s="351"/>
      <c r="J437" s="351" t="s">
        <v>2374</v>
      </c>
      <c r="K437" s="311">
        <v>56500.000000000007</v>
      </c>
      <c r="L437" s="311">
        <v>0</v>
      </c>
      <c r="M437" s="311">
        <v>47993.154545454541</v>
      </c>
      <c r="N437" s="311">
        <v>9247.181818181818</v>
      </c>
      <c r="O437" s="311">
        <v>6473.0272727272732</v>
      </c>
      <c r="P437" s="68">
        <f t="shared" si="96"/>
        <v>120213.36363636363</v>
      </c>
      <c r="Q437" s="68">
        <f>D437*P437</f>
        <v>240426.72727272726</v>
      </c>
      <c r="R437" s="127">
        <f>F437*P437</f>
        <v>240426.72727272726</v>
      </c>
      <c r="S437" s="26"/>
    </row>
    <row r="438" spans="1:19">
      <c r="A438" s="123">
        <v>8</v>
      </c>
      <c r="B438" s="254" t="s">
        <v>937</v>
      </c>
      <c r="C438" s="42"/>
      <c r="D438" s="351"/>
      <c r="E438" s="124"/>
      <c r="F438" s="351"/>
      <c r="G438" s="26"/>
      <c r="H438" s="26"/>
      <c r="I438" s="26"/>
      <c r="J438" s="26"/>
      <c r="K438" s="66"/>
      <c r="L438" s="66"/>
      <c r="M438" s="66"/>
      <c r="N438" s="66"/>
      <c r="O438" s="66"/>
      <c r="P438" s="66"/>
      <c r="Q438" s="66"/>
      <c r="R438" s="66"/>
      <c r="S438" s="26"/>
    </row>
    <row r="439" spans="1:19">
      <c r="A439" s="123"/>
      <c r="B439" s="254" t="s">
        <v>870</v>
      </c>
      <c r="C439" s="42" t="s">
        <v>8</v>
      </c>
      <c r="D439" s="351">
        <v>4</v>
      </c>
      <c r="E439" s="124"/>
      <c r="F439" s="351">
        <v>4</v>
      </c>
      <c r="G439" s="351" t="s">
        <v>2886</v>
      </c>
      <c r="H439" s="351"/>
      <c r="I439" s="351" t="s">
        <v>2919</v>
      </c>
      <c r="J439" s="351" t="s">
        <v>2328</v>
      </c>
      <c r="K439" s="311">
        <v>912823.04</v>
      </c>
      <c r="L439" s="311">
        <v>0</v>
      </c>
      <c r="M439" s="311">
        <v>49407.709090909091</v>
      </c>
      <c r="N439" s="311">
        <v>85153.163636363635</v>
      </c>
      <c r="O439" s="311">
        <v>59607.214545454553</v>
      </c>
      <c r="P439" s="68">
        <f t="shared" ref="P439:P445" si="97">SUM(K439:O439)</f>
        <v>1106991.1272727274</v>
      </c>
      <c r="Q439" s="68">
        <f t="shared" ref="Q439:Q445" si="98">D439*P439</f>
        <v>4427964.5090909097</v>
      </c>
      <c r="R439" s="127">
        <f t="shared" ref="R439:R445" si="99">F439*P439</f>
        <v>4427964.5090909097</v>
      </c>
      <c r="S439" s="26"/>
    </row>
    <row r="440" spans="1:19">
      <c r="A440" s="123"/>
      <c r="B440" s="254" t="s">
        <v>871</v>
      </c>
      <c r="C440" s="42" t="s">
        <v>8</v>
      </c>
      <c r="D440" s="351">
        <v>52</v>
      </c>
      <c r="E440" s="124"/>
      <c r="F440" s="351">
        <v>52</v>
      </c>
      <c r="G440" s="351" t="s">
        <v>2887</v>
      </c>
      <c r="H440" s="351"/>
      <c r="I440" s="351" t="s">
        <v>2919</v>
      </c>
      <c r="J440" s="351" t="s">
        <v>2328</v>
      </c>
      <c r="K440" s="311">
        <v>159508.31400000004</v>
      </c>
      <c r="L440" s="311">
        <v>0</v>
      </c>
      <c r="M440" s="311">
        <v>46843.63636363636</v>
      </c>
      <c r="N440" s="311">
        <v>18261.234545454547</v>
      </c>
      <c r="O440" s="311">
        <v>12782.864181818184</v>
      </c>
      <c r="P440" s="68">
        <f t="shared" si="97"/>
        <v>237396.04909090913</v>
      </c>
      <c r="Q440" s="68">
        <f t="shared" si="98"/>
        <v>12344594.552727275</v>
      </c>
      <c r="R440" s="127">
        <f t="shared" si="99"/>
        <v>12344594.552727275</v>
      </c>
      <c r="S440" s="26"/>
    </row>
    <row r="441" spans="1:19">
      <c r="A441" s="123"/>
      <c r="B441" s="254" t="s">
        <v>873</v>
      </c>
      <c r="C441" s="42" t="s">
        <v>8</v>
      </c>
      <c r="D441" s="351">
        <v>20</v>
      </c>
      <c r="E441" s="124"/>
      <c r="F441" s="351">
        <v>20</v>
      </c>
      <c r="G441" s="351" t="s">
        <v>2889</v>
      </c>
      <c r="H441" s="351"/>
      <c r="I441" s="351" t="s">
        <v>2919</v>
      </c>
      <c r="J441" s="351" t="s">
        <v>2328</v>
      </c>
      <c r="K441" s="311">
        <v>97924.896000000022</v>
      </c>
      <c r="L441" s="311">
        <v>0</v>
      </c>
      <c r="M441" s="311">
        <v>33875.345454545459</v>
      </c>
      <c r="N441" s="311">
        <v>11663.738181818184</v>
      </c>
      <c r="O441" s="311">
        <v>8164.6167272727289</v>
      </c>
      <c r="P441" s="68">
        <f t="shared" si="97"/>
        <v>151628.59636363637</v>
      </c>
      <c r="Q441" s="68">
        <f t="shared" si="98"/>
        <v>3032571.9272727277</v>
      </c>
      <c r="R441" s="127">
        <f t="shared" si="99"/>
        <v>3032571.9272727277</v>
      </c>
      <c r="S441" s="26"/>
    </row>
    <row r="442" spans="1:19">
      <c r="A442" s="123"/>
      <c r="B442" s="254" t="s">
        <v>874</v>
      </c>
      <c r="C442" s="42" t="s">
        <v>8</v>
      </c>
      <c r="D442" s="351">
        <v>26</v>
      </c>
      <c r="E442" s="124"/>
      <c r="F442" s="351">
        <v>26</v>
      </c>
      <c r="G442" s="351" t="s">
        <v>2890</v>
      </c>
      <c r="H442" s="351"/>
      <c r="I442" s="351" t="s">
        <v>2919</v>
      </c>
      <c r="J442" s="351" t="s">
        <v>2328</v>
      </c>
      <c r="K442" s="311">
        <v>60350.136000000013</v>
      </c>
      <c r="L442" s="311">
        <v>0</v>
      </c>
      <c r="M442" s="311">
        <v>28229.454545454548</v>
      </c>
      <c r="N442" s="311">
        <v>7838.9018181818192</v>
      </c>
      <c r="O442" s="311">
        <v>5487.2312727272738</v>
      </c>
      <c r="P442" s="68">
        <f t="shared" si="97"/>
        <v>101905.72363636366</v>
      </c>
      <c r="Q442" s="68">
        <f t="shared" si="98"/>
        <v>2649548.8145454554</v>
      </c>
      <c r="R442" s="127">
        <f t="shared" si="99"/>
        <v>2649548.8145454554</v>
      </c>
      <c r="S442" s="26"/>
    </row>
    <row r="443" spans="1:19">
      <c r="A443" s="123"/>
      <c r="B443" s="254" t="s">
        <v>875</v>
      </c>
      <c r="C443" s="42" t="s">
        <v>8</v>
      </c>
      <c r="D443" s="351">
        <v>4</v>
      </c>
      <c r="E443" s="124"/>
      <c r="F443" s="351">
        <v>4</v>
      </c>
      <c r="G443" s="351" t="s">
        <v>2891</v>
      </c>
      <c r="H443" s="351"/>
      <c r="I443" s="351" t="s">
        <v>2919</v>
      </c>
      <c r="J443" s="351" t="s">
        <v>2328</v>
      </c>
      <c r="K443" s="311">
        <v>61255.040000000008</v>
      </c>
      <c r="L443" s="311">
        <v>0</v>
      </c>
      <c r="M443" s="311">
        <v>28229.454545454548</v>
      </c>
      <c r="N443" s="311">
        <v>7918.9818181818182</v>
      </c>
      <c r="O443" s="311">
        <v>5543.2872727272725</v>
      </c>
      <c r="P443" s="68">
        <f t="shared" si="97"/>
        <v>102946.76363636364</v>
      </c>
      <c r="Q443" s="68">
        <f t="shared" si="98"/>
        <v>411787.05454545456</v>
      </c>
      <c r="R443" s="127">
        <f t="shared" si="99"/>
        <v>411787.05454545456</v>
      </c>
      <c r="S443" s="26"/>
    </row>
    <row r="444" spans="1:19">
      <c r="A444" s="123"/>
      <c r="B444" s="254" t="s">
        <v>877</v>
      </c>
      <c r="C444" s="42" t="s">
        <v>8</v>
      </c>
      <c r="D444" s="351">
        <v>237</v>
      </c>
      <c r="E444" s="124"/>
      <c r="F444" s="351">
        <v>237</v>
      </c>
      <c r="G444" s="351" t="s">
        <v>2892</v>
      </c>
      <c r="H444" s="351"/>
      <c r="I444" s="351" t="s">
        <v>2919</v>
      </c>
      <c r="J444" s="351" t="s">
        <v>2328</v>
      </c>
      <c r="K444" s="311">
        <v>44983.039999999994</v>
      </c>
      <c r="L444" s="311">
        <v>0</v>
      </c>
      <c r="M444" s="311">
        <v>24642.218181818182</v>
      </c>
      <c r="N444" s="311">
        <v>6161.5272727272722</v>
      </c>
      <c r="O444" s="311">
        <v>4313.0690909090908</v>
      </c>
      <c r="P444" s="68">
        <f t="shared" si="97"/>
        <v>80099.854545454538</v>
      </c>
      <c r="Q444" s="68">
        <f t="shared" si="98"/>
        <v>18983665.527272727</v>
      </c>
      <c r="R444" s="127">
        <f t="shared" si="99"/>
        <v>18983665.527272727</v>
      </c>
      <c r="S444" s="26"/>
    </row>
    <row r="445" spans="1:19">
      <c r="A445" s="123"/>
      <c r="B445" s="254" t="s">
        <v>878</v>
      </c>
      <c r="C445" s="42" t="s">
        <v>8</v>
      </c>
      <c r="D445" s="351">
        <v>14</v>
      </c>
      <c r="E445" s="124"/>
      <c r="F445" s="351">
        <v>14</v>
      </c>
      <c r="G445" s="351" t="s">
        <v>2893</v>
      </c>
      <c r="H445" s="351"/>
      <c r="I445" s="351" t="s">
        <v>2919</v>
      </c>
      <c r="J445" s="351" t="s">
        <v>2328</v>
      </c>
      <c r="K445" s="311">
        <v>21912.959999999999</v>
      </c>
      <c r="L445" s="311">
        <v>0</v>
      </c>
      <c r="M445" s="311">
        <v>20537.236363636363</v>
      </c>
      <c r="N445" s="311">
        <v>3756.6545454545449</v>
      </c>
      <c r="O445" s="311">
        <v>2629.6581818181817</v>
      </c>
      <c r="P445" s="68">
        <f t="shared" si="97"/>
        <v>48836.509090909087</v>
      </c>
      <c r="Q445" s="68">
        <f t="shared" si="98"/>
        <v>683711.1272727272</v>
      </c>
      <c r="R445" s="127">
        <f t="shared" si="99"/>
        <v>683711.1272727272</v>
      </c>
      <c r="S445" s="26"/>
    </row>
    <row r="446" spans="1:19">
      <c r="A446" s="123">
        <v>9</v>
      </c>
      <c r="B446" s="254" t="s">
        <v>942</v>
      </c>
      <c r="C446" s="42"/>
      <c r="D446" s="351"/>
      <c r="E446" s="124"/>
      <c r="F446" s="351"/>
      <c r="G446" s="26"/>
      <c r="H446" s="26"/>
      <c r="I446" s="26"/>
      <c r="J446" s="26"/>
      <c r="K446" s="66"/>
      <c r="L446" s="66"/>
      <c r="M446" s="66"/>
      <c r="N446" s="66"/>
      <c r="O446" s="66"/>
      <c r="P446" s="66"/>
      <c r="Q446" s="66"/>
      <c r="R446" s="66"/>
      <c r="S446" s="26"/>
    </row>
    <row r="447" spans="1:19">
      <c r="A447" s="123"/>
      <c r="B447" s="254" t="s">
        <v>893</v>
      </c>
      <c r="C447" s="42" t="s">
        <v>8</v>
      </c>
      <c r="D447" s="351">
        <v>3</v>
      </c>
      <c r="E447" s="124"/>
      <c r="F447" s="351">
        <v>3</v>
      </c>
      <c r="G447" s="351" t="s">
        <v>2901</v>
      </c>
      <c r="H447" s="351"/>
      <c r="I447" s="351" t="s">
        <v>2919</v>
      </c>
      <c r="J447" s="351" t="s">
        <v>2328</v>
      </c>
      <c r="K447" s="311">
        <v>318208.00000000006</v>
      </c>
      <c r="L447" s="311">
        <v>0</v>
      </c>
      <c r="M447" s="311">
        <v>24703.854545454546</v>
      </c>
      <c r="N447" s="311">
        <v>30346.18181818182</v>
      </c>
      <c r="O447" s="311">
        <v>21242.327272727274</v>
      </c>
      <c r="P447" s="68">
        <f t="shared" ref="P447:P453" si="100">SUM(K447:O447)</f>
        <v>394500.36363636371</v>
      </c>
      <c r="Q447" s="68">
        <f t="shared" ref="Q447:Q453" si="101">D447*P447</f>
        <v>1183501.0909090911</v>
      </c>
      <c r="R447" s="127">
        <f t="shared" ref="R447:R453" si="102">F447*P447</f>
        <v>1183501.0909090911</v>
      </c>
      <c r="S447" s="26"/>
    </row>
    <row r="448" spans="1:19">
      <c r="A448" s="123"/>
      <c r="B448" s="254" t="s">
        <v>896</v>
      </c>
      <c r="C448" s="42" t="s">
        <v>8</v>
      </c>
      <c r="D448" s="351">
        <v>26</v>
      </c>
      <c r="E448" s="124"/>
      <c r="F448" s="351">
        <v>26</v>
      </c>
      <c r="G448" s="351" t="s">
        <v>2902</v>
      </c>
      <c r="H448" s="351"/>
      <c r="I448" s="351" t="s">
        <v>2919</v>
      </c>
      <c r="J448" s="351" t="s">
        <v>2328</v>
      </c>
      <c r="K448" s="311">
        <v>95462.400000000009</v>
      </c>
      <c r="L448" s="311">
        <v>0</v>
      </c>
      <c r="M448" s="311">
        <v>23421.81818181818</v>
      </c>
      <c r="N448" s="311">
        <v>10520.727272727272</v>
      </c>
      <c r="O448" s="311">
        <v>7364.5090909090914</v>
      </c>
      <c r="P448" s="68">
        <f t="shared" si="100"/>
        <v>136769.45454545456</v>
      </c>
      <c r="Q448" s="68">
        <f t="shared" si="101"/>
        <v>3556005.8181818184</v>
      </c>
      <c r="R448" s="127">
        <f t="shared" si="102"/>
        <v>3556005.8181818184</v>
      </c>
      <c r="S448" s="26"/>
    </row>
    <row r="449" spans="1:19">
      <c r="A449" s="123"/>
      <c r="B449" s="254" t="s">
        <v>902</v>
      </c>
      <c r="C449" s="42" t="s">
        <v>8</v>
      </c>
      <c r="D449" s="351">
        <v>14</v>
      </c>
      <c r="E449" s="124"/>
      <c r="F449" s="351">
        <v>14</v>
      </c>
      <c r="G449" s="351" t="s">
        <v>2903</v>
      </c>
      <c r="H449" s="351"/>
      <c r="I449" s="351" t="s">
        <v>2919</v>
      </c>
      <c r="J449" s="351" t="s">
        <v>2328</v>
      </c>
      <c r="K449" s="311">
        <v>46140.159999999996</v>
      </c>
      <c r="L449" s="311">
        <v>0</v>
      </c>
      <c r="M449" s="311">
        <v>16937.672727272729</v>
      </c>
      <c r="N449" s="311">
        <v>5582.1090909090899</v>
      </c>
      <c r="O449" s="311">
        <v>3907.4763636363632</v>
      </c>
      <c r="P449" s="68">
        <f t="shared" si="100"/>
        <v>72567.418181818182</v>
      </c>
      <c r="Q449" s="68">
        <f t="shared" si="101"/>
        <v>1015943.8545454545</v>
      </c>
      <c r="R449" s="127">
        <f t="shared" si="102"/>
        <v>1015943.8545454545</v>
      </c>
      <c r="S449" s="329"/>
    </row>
    <row r="450" spans="1:19">
      <c r="A450" s="123"/>
      <c r="B450" s="254" t="s">
        <v>783</v>
      </c>
      <c r="C450" s="42" t="s">
        <v>8</v>
      </c>
      <c r="D450" s="351">
        <v>24</v>
      </c>
      <c r="E450" s="124"/>
      <c r="F450" s="351">
        <v>24</v>
      </c>
      <c r="G450" s="351" t="s">
        <v>2904</v>
      </c>
      <c r="H450" s="351"/>
      <c r="I450" s="351" t="s">
        <v>2919</v>
      </c>
      <c r="J450" s="351" t="s">
        <v>2328</v>
      </c>
      <c r="K450" s="311">
        <v>23431.679999999997</v>
      </c>
      <c r="L450" s="311">
        <v>0</v>
      </c>
      <c r="M450" s="311">
        <v>14114.727272727274</v>
      </c>
      <c r="N450" s="311">
        <v>3322.6909090909089</v>
      </c>
      <c r="O450" s="311">
        <v>2325.8836363636365</v>
      </c>
      <c r="P450" s="68">
        <f t="shared" si="100"/>
        <v>43194.981818181819</v>
      </c>
      <c r="Q450" s="68">
        <f t="shared" si="101"/>
        <v>1036679.5636363637</v>
      </c>
      <c r="R450" s="127">
        <f t="shared" si="102"/>
        <v>1036679.5636363637</v>
      </c>
      <c r="S450" s="26"/>
    </row>
    <row r="451" spans="1:19">
      <c r="A451" s="123"/>
      <c r="B451" s="254" t="s">
        <v>908</v>
      </c>
      <c r="C451" s="42" t="s">
        <v>8</v>
      </c>
      <c r="D451" s="351">
        <v>1</v>
      </c>
      <c r="E451" s="124"/>
      <c r="F451" s="351">
        <v>1</v>
      </c>
      <c r="G451" s="351" t="s">
        <v>2905</v>
      </c>
      <c r="H451" s="351"/>
      <c r="I451" s="351" t="s">
        <v>2919</v>
      </c>
      <c r="J451" s="351" t="s">
        <v>2328</v>
      </c>
      <c r="K451" s="311">
        <v>41728.639999999999</v>
      </c>
      <c r="L451" s="311">
        <v>0</v>
      </c>
      <c r="M451" s="311">
        <v>14114.727272727274</v>
      </c>
      <c r="N451" s="311">
        <v>4941.8909090909083</v>
      </c>
      <c r="O451" s="311">
        <v>3459.3236363636361</v>
      </c>
      <c r="P451" s="68">
        <f t="shared" si="100"/>
        <v>64244.581818181818</v>
      </c>
      <c r="Q451" s="68">
        <f t="shared" si="101"/>
        <v>64244.581818181818</v>
      </c>
      <c r="R451" s="127">
        <f t="shared" si="102"/>
        <v>64244.581818181818</v>
      </c>
      <c r="S451" s="26"/>
    </row>
    <row r="452" spans="1:19">
      <c r="A452" s="123"/>
      <c r="B452" s="254" t="s">
        <v>785</v>
      </c>
      <c r="C452" s="42" t="s">
        <v>8</v>
      </c>
      <c r="D452" s="351">
        <v>43</v>
      </c>
      <c r="E452" s="124"/>
      <c r="F452" s="351">
        <v>43</v>
      </c>
      <c r="G452" s="351" t="s">
        <v>2907</v>
      </c>
      <c r="H452" s="351"/>
      <c r="I452" s="351" t="s">
        <v>2919</v>
      </c>
      <c r="J452" s="351" t="s">
        <v>2328</v>
      </c>
      <c r="K452" s="311">
        <v>17573.760000000002</v>
      </c>
      <c r="L452" s="311">
        <v>0</v>
      </c>
      <c r="M452" s="311">
        <v>12321.109090909091</v>
      </c>
      <c r="N452" s="311">
        <v>2645.5636363636363</v>
      </c>
      <c r="O452" s="311">
        <v>1851.8945454545453</v>
      </c>
      <c r="P452" s="68">
        <f t="shared" si="100"/>
        <v>34392.327272727278</v>
      </c>
      <c r="Q452" s="68">
        <f t="shared" si="101"/>
        <v>1478870.072727273</v>
      </c>
      <c r="R452" s="127">
        <f t="shared" si="102"/>
        <v>1478870.072727273</v>
      </c>
      <c r="S452" s="26"/>
    </row>
    <row r="453" spans="1:19">
      <c r="A453" s="123"/>
      <c r="B453" s="254" t="s">
        <v>786</v>
      </c>
      <c r="C453" s="42" t="s">
        <v>8</v>
      </c>
      <c r="D453" s="351">
        <v>50</v>
      </c>
      <c r="E453" s="124"/>
      <c r="F453" s="351">
        <v>50</v>
      </c>
      <c r="G453" s="351" t="s">
        <v>2906</v>
      </c>
      <c r="H453" s="351"/>
      <c r="I453" s="351" t="s">
        <v>2919</v>
      </c>
      <c r="J453" s="351" t="s">
        <v>2328</v>
      </c>
      <c r="K453" s="311">
        <v>15476.480000000001</v>
      </c>
      <c r="L453" s="311">
        <v>0</v>
      </c>
      <c r="M453" s="311">
        <v>10268.618181818181</v>
      </c>
      <c r="N453" s="311">
        <v>2278.3272727272729</v>
      </c>
      <c r="O453" s="311">
        <v>1594.8290909090911</v>
      </c>
      <c r="P453" s="68">
        <f t="shared" si="100"/>
        <v>29618.254545454547</v>
      </c>
      <c r="Q453" s="68">
        <f t="shared" si="101"/>
        <v>1480912.7272727273</v>
      </c>
      <c r="R453" s="127">
        <f t="shared" si="102"/>
        <v>1480912.7272727273</v>
      </c>
      <c r="S453" s="26"/>
    </row>
    <row r="454" spans="1:19">
      <c r="A454" s="123">
        <v>10</v>
      </c>
      <c r="B454" s="254" t="s">
        <v>943</v>
      </c>
      <c r="C454" s="42"/>
      <c r="D454" s="351"/>
      <c r="E454" s="124"/>
      <c r="F454" s="351"/>
      <c r="G454" s="26"/>
      <c r="H454" s="26"/>
      <c r="I454" s="26"/>
      <c r="J454" s="26"/>
      <c r="K454" s="66"/>
      <c r="L454" s="66"/>
      <c r="M454" s="66"/>
      <c r="N454" s="66"/>
      <c r="O454" s="66"/>
      <c r="P454" s="66"/>
      <c r="Q454" s="66"/>
      <c r="R454" s="66"/>
      <c r="S454" s="26"/>
    </row>
    <row r="455" spans="1:19" ht="30">
      <c r="A455" s="123"/>
      <c r="B455" s="254" t="s">
        <v>893</v>
      </c>
      <c r="C455" s="42" t="s">
        <v>8</v>
      </c>
      <c r="D455" s="351">
        <v>4</v>
      </c>
      <c r="E455" s="124"/>
      <c r="F455" s="351">
        <v>4</v>
      </c>
      <c r="G455" s="351" t="s">
        <v>3034</v>
      </c>
      <c r="H455" s="351"/>
      <c r="I455" s="351" t="s">
        <v>2919</v>
      </c>
      <c r="J455" s="351" t="s">
        <v>2328</v>
      </c>
      <c r="K455" s="311">
        <v>2257740.0000000005</v>
      </c>
      <c r="L455" s="311">
        <v>0</v>
      </c>
      <c r="M455" s="311">
        <v>74111.563636363644</v>
      </c>
      <c r="N455" s="311">
        <v>206358.5454545455</v>
      </c>
      <c r="O455" s="311">
        <v>144450.98181818184</v>
      </c>
      <c r="P455" s="68">
        <f t="shared" ref="P455:P461" si="103">SUM(K455:O455)</f>
        <v>2682661.0909090913</v>
      </c>
      <c r="Q455" s="68">
        <f t="shared" ref="Q455:Q461" si="104">D455*P455</f>
        <v>10730644.363636365</v>
      </c>
      <c r="R455" s="127">
        <f t="shared" ref="R455:R461" si="105">F455*P455</f>
        <v>10730644.363636365</v>
      </c>
      <c r="S455" s="26"/>
    </row>
    <row r="456" spans="1:19" ht="30">
      <c r="A456" s="123"/>
      <c r="B456" s="254" t="s">
        <v>896</v>
      </c>
      <c r="C456" s="42" t="s">
        <v>8</v>
      </c>
      <c r="D456" s="351">
        <v>21</v>
      </c>
      <c r="E456" s="124"/>
      <c r="F456" s="351">
        <v>21</v>
      </c>
      <c r="G456" s="351" t="s">
        <v>2910</v>
      </c>
      <c r="H456" s="351"/>
      <c r="I456" s="351" t="s">
        <v>2919</v>
      </c>
      <c r="J456" s="351" t="s">
        <v>2328</v>
      </c>
      <c r="K456" s="311">
        <v>735528.07400000014</v>
      </c>
      <c r="L456" s="311">
        <v>0</v>
      </c>
      <c r="M456" s="311">
        <v>70265.454545454544</v>
      </c>
      <c r="N456" s="311">
        <v>71309.161818181819</v>
      </c>
      <c r="O456" s="311">
        <v>49916.413272727274</v>
      </c>
      <c r="P456" s="68">
        <f t="shared" si="103"/>
        <v>927019.10363636387</v>
      </c>
      <c r="Q456" s="68">
        <f t="shared" si="104"/>
        <v>19467401.17636364</v>
      </c>
      <c r="R456" s="127">
        <f t="shared" si="105"/>
        <v>19467401.17636364</v>
      </c>
      <c r="S456" s="26"/>
    </row>
    <row r="457" spans="1:19" ht="30">
      <c r="A457" s="123"/>
      <c r="B457" s="254" t="s">
        <v>902</v>
      </c>
      <c r="C457" s="42" t="s">
        <v>8</v>
      </c>
      <c r="D457" s="351">
        <v>14</v>
      </c>
      <c r="E457" s="124"/>
      <c r="F457" s="351">
        <v>14</v>
      </c>
      <c r="G457" s="351" t="s">
        <v>2935</v>
      </c>
      <c r="H457" s="351"/>
      <c r="I457" s="351" t="s">
        <v>2919</v>
      </c>
      <c r="J457" s="351" t="s">
        <v>2328</v>
      </c>
      <c r="K457" s="311">
        <v>298762.28200000006</v>
      </c>
      <c r="L457" s="311">
        <v>0</v>
      </c>
      <c r="M457" s="311">
        <v>50813.018181818181</v>
      </c>
      <c r="N457" s="311">
        <v>30935.867272727275</v>
      </c>
      <c r="O457" s="311">
        <v>21655.107090909092</v>
      </c>
      <c r="P457" s="68">
        <f t="shared" si="103"/>
        <v>402166.27454545459</v>
      </c>
      <c r="Q457" s="68">
        <f t="shared" si="104"/>
        <v>5630327.8436363647</v>
      </c>
      <c r="R457" s="127">
        <f t="shared" si="105"/>
        <v>5630327.8436363647</v>
      </c>
      <c r="S457" s="26"/>
    </row>
    <row r="458" spans="1:19" ht="30">
      <c r="A458" s="123"/>
      <c r="B458" s="254" t="s">
        <v>783</v>
      </c>
      <c r="C458" s="42" t="s">
        <v>8</v>
      </c>
      <c r="D458" s="351">
        <v>32</v>
      </c>
      <c r="E458" s="124"/>
      <c r="F458" s="351">
        <v>32</v>
      </c>
      <c r="G458" s="351" t="s">
        <v>2936</v>
      </c>
      <c r="H458" s="351"/>
      <c r="I458" s="351" t="s">
        <v>2919</v>
      </c>
      <c r="J458" s="351" t="s">
        <v>2328</v>
      </c>
      <c r="K458" s="311">
        <v>200794.22000000003</v>
      </c>
      <c r="L458" s="311">
        <v>0</v>
      </c>
      <c r="M458" s="311">
        <v>42344.181818181823</v>
      </c>
      <c r="N458" s="311">
        <v>21516.672727272729</v>
      </c>
      <c r="O458" s="311">
        <v>15061.67090909091</v>
      </c>
      <c r="P458" s="68">
        <f t="shared" si="103"/>
        <v>279716.74545454548</v>
      </c>
      <c r="Q458" s="68">
        <f t="shared" si="104"/>
        <v>8950935.8545454554</v>
      </c>
      <c r="R458" s="127">
        <f t="shared" si="105"/>
        <v>8950935.8545454554</v>
      </c>
      <c r="S458" s="26"/>
    </row>
    <row r="459" spans="1:19" ht="30">
      <c r="A459" s="123"/>
      <c r="B459" s="254" t="s">
        <v>785</v>
      </c>
      <c r="C459" s="42" t="s">
        <v>8</v>
      </c>
      <c r="D459" s="351">
        <v>133</v>
      </c>
      <c r="E459" s="124"/>
      <c r="F459" s="351">
        <v>133</v>
      </c>
      <c r="G459" s="351" t="s">
        <v>2913</v>
      </c>
      <c r="H459" s="351"/>
      <c r="I459" s="351" t="s">
        <v>2919</v>
      </c>
      <c r="J459" s="351" t="s">
        <v>2328</v>
      </c>
      <c r="K459" s="311">
        <v>113614.72000000002</v>
      </c>
      <c r="L459" s="311">
        <v>0</v>
      </c>
      <c r="M459" s="311">
        <v>36963.327272727271</v>
      </c>
      <c r="N459" s="311">
        <v>13325.49090909091</v>
      </c>
      <c r="O459" s="311">
        <v>9327.8436363636374</v>
      </c>
      <c r="P459" s="68">
        <f t="shared" si="103"/>
        <v>173231.38181818184</v>
      </c>
      <c r="Q459" s="68">
        <f t="shared" si="104"/>
        <v>23039773.781818185</v>
      </c>
      <c r="R459" s="127">
        <f t="shared" si="105"/>
        <v>23039773.781818185</v>
      </c>
      <c r="S459" s="329"/>
    </row>
    <row r="460" spans="1:19" ht="30">
      <c r="A460" s="123"/>
      <c r="B460" s="254" t="s">
        <v>786</v>
      </c>
      <c r="C460" s="42" t="s">
        <v>8</v>
      </c>
      <c r="D460" s="351">
        <v>18</v>
      </c>
      <c r="E460" s="124"/>
      <c r="F460" s="351">
        <v>18</v>
      </c>
      <c r="G460" s="351" t="s">
        <v>2914</v>
      </c>
      <c r="H460" s="351"/>
      <c r="I460" s="351" t="s">
        <v>2919</v>
      </c>
      <c r="J460" s="351" t="s">
        <v>2328</v>
      </c>
      <c r="K460" s="311">
        <v>71596.800000000003</v>
      </c>
      <c r="L460" s="311">
        <v>0</v>
      </c>
      <c r="M460" s="311">
        <v>30805.854545454546</v>
      </c>
      <c r="N460" s="311">
        <v>9062.181818181818</v>
      </c>
      <c r="O460" s="311">
        <v>6343.5272727272732</v>
      </c>
      <c r="P460" s="68">
        <f t="shared" si="103"/>
        <v>117808.36363636363</v>
      </c>
      <c r="Q460" s="68">
        <f t="shared" si="104"/>
        <v>2120550.5454545454</v>
      </c>
      <c r="R460" s="127">
        <f t="shared" si="105"/>
        <v>2120550.5454545454</v>
      </c>
      <c r="S460" s="26"/>
    </row>
    <row r="461" spans="1:19" s="131" customFormat="1" ht="30">
      <c r="A461" s="126"/>
      <c r="B461" s="253" t="s">
        <v>787</v>
      </c>
      <c r="C461" s="126" t="s">
        <v>8</v>
      </c>
      <c r="D461" s="352">
        <v>1</v>
      </c>
      <c r="E461" s="130"/>
      <c r="F461" s="352">
        <v>1</v>
      </c>
      <c r="G461" s="351" t="s">
        <v>3155</v>
      </c>
      <c r="H461" s="26"/>
      <c r="I461" s="351" t="s">
        <v>2681</v>
      </c>
      <c r="J461" s="351" t="s">
        <v>2328</v>
      </c>
      <c r="K461" s="311">
        <v>45717.539999999994</v>
      </c>
      <c r="L461" s="311">
        <v>0</v>
      </c>
      <c r="M461" s="311">
        <v>24019.69090909091</v>
      </c>
      <c r="N461" s="311">
        <v>6171.4363636363632</v>
      </c>
      <c r="O461" s="311">
        <v>4320.005454545455</v>
      </c>
      <c r="P461" s="68">
        <f t="shared" si="103"/>
        <v>80228.672727272729</v>
      </c>
      <c r="Q461" s="68">
        <f t="shared" si="104"/>
        <v>80228.672727272729</v>
      </c>
      <c r="R461" s="127">
        <f t="shared" si="105"/>
        <v>80228.672727272729</v>
      </c>
      <c r="S461" s="30"/>
    </row>
    <row r="462" spans="1:19">
      <c r="A462" s="123">
        <v>11</v>
      </c>
      <c r="B462" s="254" t="s">
        <v>944</v>
      </c>
      <c r="C462" s="42"/>
      <c r="D462" s="351"/>
      <c r="E462" s="124"/>
      <c r="F462" s="351"/>
      <c r="G462" s="334"/>
      <c r="H462" s="334"/>
      <c r="I462" s="334"/>
      <c r="J462" s="334"/>
      <c r="K462" s="127"/>
      <c r="L462" s="127"/>
      <c r="M462" s="127"/>
      <c r="N462" s="127"/>
      <c r="O462" s="127"/>
      <c r="P462" s="127"/>
      <c r="Q462" s="127"/>
      <c r="R462" s="127"/>
      <c r="S462" s="331"/>
    </row>
    <row r="463" spans="1:19" ht="60">
      <c r="A463" s="123"/>
      <c r="B463" s="254" t="s">
        <v>785</v>
      </c>
      <c r="C463" s="42" t="s">
        <v>8</v>
      </c>
      <c r="D463" s="351">
        <v>37</v>
      </c>
      <c r="E463" s="124"/>
      <c r="F463" s="351">
        <v>37</v>
      </c>
      <c r="G463" s="351" t="s">
        <v>2937</v>
      </c>
      <c r="H463" s="351" t="s">
        <v>2938</v>
      </c>
      <c r="I463" s="351" t="s">
        <v>2781</v>
      </c>
      <c r="J463" s="351" t="s">
        <v>2328</v>
      </c>
      <c r="K463" s="311">
        <v>401700</v>
      </c>
      <c r="L463" s="311">
        <v>0</v>
      </c>
      <c r="M463" s="311">
        <v>108654.20833333334</v>
      </c>
      <c r="N463" s="311">
        <v>48615.416666666672</v>
      </c>
      <c r="O463" s="311">
        <v>34030.791666666672</v>
      </c>
      <c r="P463" s="68">
        <f t="shared" ref="P463:P464" si="106">SUM(K463:O463)</f>
        <v>593000.41666666663</v>
      </c>
      <c r="Q463" s="68">
        <f>D463*P463</f>
        <v>21941015.416666664</v>
      </c>
      <c r="R463" s="127">
        <f>F463*P463</f>
        <v>21941015.416666664</v>
      </c>
      <c r="S463" s="26"/>
    </row>
    <row r="464" spans="1:19" ht="60">
      <c r="A464" s="123"/>
      <c r="B464" s="254" t="s">
        <v>786</v>
      </c>
      <c r="C464" s="42" t="s">
        <v>8</v>
      </c>
      <c r="D464" s="351">
        <v>43</v>
      </c>
      <c r="E464" s="124"/>
      <c r="F464" s="351">
        <v>43</v>
      </c>
      <c r="G464" s="351" t="s">
        <v>2917</v>
      </c>
      <c r="H464" s="351" t="s">
        <v>2918</v>
      </c>
      <c r="I464" s="351" t="s">
        <v>2781</v>
      </c>
      <c r="J464" s="351" t="s">
        <v>2328</v>
      </c>
      <c r="K464" s="311">
        <v>242050</v>
      </c>
      <c r="L464" s="311">
        <v>0</v>
      </c>
      <c r="M464" s="311">
        <v>94899.454545454544</v>
      </c>
      <c r="N464" s="311">
        <v>31898.18181818182</v>
      </c>
      <c r="O464" s="311">
        <v>22328.727272727276</v>
      </c>
      <c r="P464" s="68">
        <f t="shared" si="106"/>
        <v>391176.36363636365</v>
      </c>
      <c r="Q464" s="68">
        <f>D464*P464</f>
        <v>16820583.636363637</v>
      </c>
      <c r="R464" s="127">
        <f>F464*P464</f>
        <v>16820583.636363637</v>
      </c>
      <c r="S464" s="26"/>
    </row>
    <row r="465" spans="1:19">
      <c r="A465" s="123">
        <v>12</v>
      </c>
      <c r="B465" s="254" t="s">
        <v>949</v>
      </c>
      <c r="C465" s="42"/>
      <c r="D465" s="351"/>
      <c r="E465" s="124"/>
      <c r="F465" s="351"/>
      <c r="G465" s="26"/>
      <c r="H465" s="26"/>
      <c r="I465" s="26"/>
      <c r="J465" s="26"/>
      <c r="K465" s="66"/>
      <c r="L465" s="66"/>
      <c r="M465" s="66"/>
      <c r="N465" s="66"/>
      <c r="O465" s="66"/>
      <c r="P465" s="66"/>
      <c r="Q465" s="66"/>
      <c r="R465" s="66"/>
      <c r="S465" s="26"/>
    </row>
    <row r="466" spans="1:19" ht="30">
      <c r="A466" s="123"/>
      <c r="B466" s="254" t="s">
        <v>778</v>
      </c>
      <c r="C466" s="42" t="s">
        <v>8</v>
      </c>
      <c r="D466" s="351">
        <v>29</v>
      </c>
      <c r="E466" s="124"/>
      <c r="F466" s="351">
        <v>29</v>
      </c>
      <c r="G466" s="351" t="s">
        <v>2939</v>
      </c>
      <c r="H466" s="351" t="s">
        <v>2940</v>
      </c>
      <c r="I466" s="351" t="s">
        <v>2781</v>
      </c>
      <c r="J466" s="351" t="s">
        <v>2328</v>
      </c>
      <c r="K466" s="311">
        <v>700400</v>
      </c>
      <c r="L466" s="311">
        <v>0</v>
      </c>
      <c r="M466" s="311">
        <v>156460.7416666667</v>
      </c>
      <c r="N466" s="311">
        <v>81846.083333333343</v>
      </c>
      <c r="O466" s="311">
        <v>57292.258333333339</v>
      </c>
      <c r="P466" s="68">
        <f>SUM(K466:O466)</f>
        <v>995999.08333333337</v>
      </c>
      <c r="Q466" s="68">
        <f>D466*P466</f>
        <v>28883973.416666668</v>
      </c>
      <c r="R466" s="127">
        <f>F466*P466</f>
        <v>28883973.416666668</v>
      </c>
      <c r="S466" s="26"/>
    </row>
    <row r="467" spans="1:19">
      <c r="A467" s="123">
        <v>13</v>
      </c>
      <c r="B467" s="254" t="s">
        <v>945</v>
      </c>
      <c r="C467" s="42"/>
      <c r="D467" s="351"/>
      <c r="E467" s="124"/>
      <c r="F467" s="351"/>
      <c r="G467" s="26"/>
      <c r="H467" s="26"/>
      <c r="I467" s="26"/>
      <c r="J467" s="26"/>
      <c r="K467" s="66"/>
      <c r="L467" s="66"/>
      <c r="M467" s="66"/>
      <c r="N467" s="66"/>
      <c r="O467" s="66"/>
      <c r="P467" s="66"/>
      <c r="Q467" s="66"/>
      <c r="R467" s="66"/>
      <c r="S467" s="26"/>
    </row>
    <row r="468" spans="1:19">
      <c r="A468" s="123"/>
      <c r="B468" s="254" t="s">
        <v>841</v>
      </c>
      <c r="C468" s="42" t="s">
        <v>8</v>
      </c>
      <c r="D468" s="351">
        <v>5</v>
      </c>
      <c r="E468" s="124"/>
      <c r="F468" s="351">
        <v>5</v>
      </c>
      <c r="G468" s="351" t="s">
        <v>3145</v>
      </c>
      <c r="H468" s="351" t="s">
        <v>2772</v>
      </c>
      <c r="I468" s="351" t="s">
        <v>2662</v>
      </c>
      <c r="J468" s="335" t="s">
        <v>2374</v>
      </c>
      <c r="K468" s="311">
        <v>1413160</v>
      </c>
      <c r="L468" s="311">
        <v>0</v>
      </c>
      <c r="M468" s="311">
        <v>160957.20000000001</v>
      </c>
      <c r="N468" s="311">
        <v>151444</v>
      </c>
      <c r="O468" s="311">
        <v>106010.8</v>
      </c>
      <c r="P468" s="68">
        <f t="shared" ref="P468:P469" si="107">SUM(K468:O468)</f>
        <v>1831572</v>
      </c>
      <c r="Q468" s="68">
        <f>D468*P468</f>
        <v>9157860</v>
      </c>
      <c r="R468" s="127">
        <f>F468*P468</f>
        <v>9157860</v>
      </c>
      <c r="S468" s="333" t="s">
        <v>761</v>
      </c>
    </row>
    <row r="469" spans="1:19">
      <c r="A469" s="123"/>
      <c r="B469" s="254" t="s">
        <v>842</v>
      </c>
      <c r="C469" s="42" t="s">
        <v>8</v>
      </c>
      <c r="D469" s="351">
        <v>4</v>
      </c>
      <c r="E469" s="124"/>
      <c r="F469" s="351">
        <v>4</v>
      </c>
      <c r="G469" s="351" t="s">
        <v>3145</v>
      </c>
      <c r="H469" s="351" t="s">
        <v>2772</v>
      </c>
      <c r="I469" s="351" t="s">
        <v>2662</v>
      </c>
      <c r="J469" s="335" t="s">
        <v>2374</v>
      </c>
      <c r="K469" s="311">
        <v>1195830</v>
      </c>
      <c r="L469" s="311">
        <v>0</v>
      </c>
      <c r="M469" s="311">
        <v>138854.40000000002</v>
      </c>
      <c r="N469" s="311">
        <v>128388</v>
      </c>
      <c r="O469" s="311">
        <v>89871.6</v>
      </c>
      <c r="P469" s="68">
        <f t="shared" si="107"/>
        <v>1552944</v>
      </c>
      <c r="Q469" s="68">
        <f>D469*P469</f>
        <v>6211776</v>
      </c>
      <c r="R469" s="127">
        <f>F469*P469</f>
        <v>6211776</v>
      </c>
      <c r="S469" s="333" t="s">
        <v>761</v>
      </c>
    </row>
    <row r="470" spans="1:19">
      <c r="A470" s="123">
        <v>14</v>
      </c>
      <c r="B470" s="254" t="s">
        <v>849</v>
      </c>
      <c r="C470" s="42"/>
      <c r="D470" s="351"/>
      <c r="E470" s="124"/>
      <c r="F470" s="351"/>
      <c r="G470" s="26"/>
      <c r="H470" s="26"/>
      <c r="I470" s="26"/>
      <c r="J470" s="26"/>
      <c r="K470" s="66"/>
      <c r="L470" s="66"/>
      <c r="M470" s="66"/>
      <c r="N470" s="66"/>
      <c r="O470" s="66"/>
      <c r="P470" s="66"/>
      <c r="Q470" s="66"/>
      <c r="R470" s="66"/>
      <c r="S470" s="26"/>
    </row>
    <row r="471" spans="1:19">
      <c r="A471" s="123"/>
      <c r="B471" s="254" t="s">
        <v>841</v>
      </c>
      <c r="C471" s="42" t="s">
        <v>8</v>
      </c>
      <c r="D471" s="351">
        <v>6</v>
      </c>
      <c r="E471" s="124"/>
      <c r="F471" s="351">
        <v>6</v>
      </c>
      <c r="G471" s="351" t="s">
        <v>2777</v>
      </c>
      <c r="H471" s="351" t="s">
        <v>2778</v>
      </c>
      <c r="I471" s="351" t="s">
        <v>2662</v>
      </c>
      <c r="J471" s="335" t="s">
        <v>2374</v>
      </c>
      <c r="K471" s="311">
        <v>1676840</v>
      </c>
      <c r="L471" s="311">
        <v>0</v>
      </c>
      <c r="M471" s="311">
        <v>160957.20000000001</v>
      </c>
      <c r="N471" s="311">
        <v>177044</v>
      </c>
      <c r="O471" s="311">
        <v>123930.80000000002</v>
      </c>
      <c r="P471" s="68">
        <f t="shared" ref="P471:P473" si="108">SUM(K471:O471)</f>
        <v>2138772</v>
      </c>
      <c r="Q471" s="68">
        <f>D471*P471</f>
        <v>12832632</v>
      </c>
      <c r="R471" s="127">
        <f>F471*P471</f>
        <v>12832632</v>
      </c>
      <c r="S471" s="333" t="s">
        <v>761</v>
      </c>
    </row>
    <row r="472" spans="1:19">
      <c r="A472" s="123"/>
      <c r="B472" s="254" t="s">
        <v>842</v>
      </c>
      <c r="C472" s="42" t="s">
        <v>8</v>
      </c>
      <c r="D472" s="351">
        <v>2</v>
      </c>
      <c r="E472" s="124"/>
      <c r="F472" s="351">
        <v>2</v>
      </c>
      <c r="G472" s="351" t="s">
        <v>2777</v>
      </c>
      <c r="H472" s="351" t="s">
        <v>2778</v>
      </c>
      <c r="I472" s="351" t="s">
        <v>2662</v>
      </c>
      <c r="J472" s="335" t="s">
        <v>2374</v>
      </c>
      <c r="K472" s="311">
        <v>1458480</v>
      </c>
      <c r="L472" s="311">
        <v>0</v>
      </c>
      <c r="M472" s="311">
        <v>138854.40000000002</v>
      </c>
      <c r="N472" s="311">
        <v>153888</v>
      </c>
      <c r="O472" s="311">
        <v>107721.60000000001</v>
      </c>
      <c r="P472" s="68">
        <f t="shared" si="108"/>
        <v>1858944</v>
      </c>
      <c r="Q472" s="68">
        <f>D472*P472</f>
        <v>3717888</v>
      </c>
      <c r="R472" s="127">
        <f>F472*P472</f>
        <v>3717888</v>
      </c>
      <c r="S472" s="333" t="s">
        <v>761</v>
      </c>
    </row>
    <row r="473" spans="1:19">
      <c r="A473" s="123">
        <v>15</v>
      </c>
      <c r="B473" s="254" t="s">
        <v>946</v>
      </c>
      <c r="C473" s="42" t="s">
        <v>78</v>
      </c>
      <c r="D473" s="351">
        <v>1</v>
      </c>
      <c r="E473" s="124"/>
      <c r="F473" s="351">
        <v>1</v>
      </c>
      <c r="G473" s="26"/>
      <c r="H473" s="26"/>
      <c r="I473" s="26"/>
      <c r="J473" s="26" t="s">
        <v>2381</v>
      </c>
      <c r="K473" s="311">
        <v>167657792.19225606</v>
      </c>
      <c r="L473" s="311">
        <v>0</v>
      </c>
      <c r="M473" s="311">
        <v>47882168.804466195</v>
      </c>
      <c r="N473" s="311">
        <v>18266098.389552731</v>
      </c>
      <c r="O473" s="311">
        <v>12786268.872686913</v>
      </c>
      <c r="P473" s="68">
        <f t="shared" si="108"/>
        <v>246592328.25896192</v>
      </c>
      <c r="Q473" s="68">
        <f>D473*P473</f>
        <v>246592328.25896192</v>
      </c>
      <c r="R473" s="127">
        <f>F473*P473</f>
        <v>246592328.25896192</v>
      </c>
      <c r="S473" s="26"/>
    </row>
    <row r="474" spans="1:19" s="131" customFormat="1">
      <c r="A474" s="187">
        <v>16</v>
      </c>
      <c r="B474" s="253" t="s">
        <v>1944</v>
      </c>
      <c r="C474" s="126"/>
      <c r="D474" s="352"/>
      <c r="E474" s="130"/>
      <c r="F474" s="352"/>
      <c r="G474" s="26"/>
      <c r="H474" s="26"/>
      <c r="I474" s="26"/>
      <c r="J474" s="26"/>
      <c r="K474" s="127"/>
      <c r="L474" s="127"/>
      <c r="M474" s="127"/>
      <c r="N474" s="127"/>
      <c r="O474" s="127"/>
      <c r="P474" s="127"/>
      <c r="Q474" s="127"/>
      <c r="R474" s="127"/>
      <c r="S474" s="30"/>
    </row>
    <row r="475" spans="1:19" s="131" customFormat="1">
      <c r="A475" s="126"/>
      <c r="B475" s="253" t="s">
        <v>1945</v>
      </c>
      <c r="C475" s="126" t="s">
        <v>8</v>
      </c>
      <c r="D475" s="352">
        <v>2</v>
      </c>
      <c r="E475" s="130"/>
      <c r="F475" s="352">
        <v>2</v>
      </c>
      <c r="G475" s="315" t="s">
        <v>3121</v>
      </c>
      <c r="H475" s="315"/>
      <c r="I475" s="351" t="s">
        <v>2681</v>
      </c>
      <c r="J475" s="351" t="s">
        <v>2328</v>
      </c>
      <c r="K475" s="311">
        <v>1680907.7700000003</v>
      </c>
      <c r="L475" s="311">
        <v>0</v>
      </c>
      <c r="M475" s="311">
        <v>370308.80727272725</v>
      </c>
      <c r="N475" s="311">
        <v>181523.59090909094</v>
      </c>
      <c r="O475" s="311">
        <v>127066.51363636366</v>
      </c>
      <c r="P475" s="68">
        <f t="shared" ref="P475:P488" si="109">SUM(K475:O475)</f>
        <v>2359806.6818181821</v>
      </c>
      <c r="Q475" s="68">
        <f t="shared" ref="Q475:Q488" si="110">D475*P475</f>
        <v>4719613.3636363642</v>
      </c>
      <c r="R475" s="127">
        <f t="shared" ref="R475:R488" si="111">F475*P475</f>
        <v>4719613.3636363642</v>
      </c>
      <c r="S475" s="30"/>
    </row>
    <row r="476" spans="1:19" s="131" customFormat="1">
      <c r="A476" s="126"/>
      <c r="B476" s="253" t="s">
        <v>1938</v>
      </c>
      <c r="C476" s="126" t="s">
        <v>8</v>
      </c>
      <c r="D476" s="352">
        <v>6</v>
      </c>
      <c r="E476" s="130"/>
      <c r="F476" s="352">
        <v>6</v>
      </c>
      <c r="G476" s="315" t="s">
        <v>3118</v>
      </c>
      <c r="H476" s="315"/>
      <c r="I476" s="351" t="s">
        <v>2681</v>
      </c>
      <c r="J476" s="351" t="s">
        <v>2328</v>
      </c>
      <c r="K476" s="311">
        <v>1031664.0100000001</v>
      </c>
      <c r="L476" s="311">
        <v>0</v>
      </c>
      <c r="M476" s="311">
        <v>289038.79636363639</v>
      </c>
      <c r="N476" s="311">
        <v>116876.35454545455</v>
      </c>
      <c r="O476" s="311">
        <v>81813.448181818181</v>
      </c>
      <c r="P476" s="68">
        <f t="shared" si="109"/>
        <v>1519392.6090909094</v>
      </c>
      <c r="Q476" s="68">
        <f t="shared" si="110"/>
        <v>9116355.6545454562</v>
      </c>
      <c r="R476" s="127">
        <f t="shared" si="111"/>
        <v>9116355.6545454562</v>
      </c>
      <c r="S476" s="30"/>
    </row>
    <row r="477" spans="1:19" s="131" customFormat="1">
      <c r="A477" s="126"/>
      <c r="B477" s="253" t="s">
        <v>1946</v>
      </c>
      <c r="C477" s="126" t="s">
        <v>8</v>
      </c>
      <c r="D477" s="352">
        <v>2</v>
      </c>
      <c r="E477" s="130"/>
      <c r="F477" s="352">
        <v>2</v>
      </c>
      <c r="G477" s="315" t="s">
        <v>3122</v>
      </c>
      <c r="H477" s="315"/>
      <c r="I477" s="351" t="s">
        <v>2681</v>
      </c>
      <c r="J477" s="351" t="s">
        <v>2328</v>
      </c>
      <c r="K477" s="311">
        <v>2137190.2440000004</v>
      </c>
      <c r="L477" s="311">
        <v>0</v>
      </c>
      <c r="M477" s="311">
        <v>320210.77090909088</v>
      </c>
      <c r="N477" s="311">
        <v>217469.11636363636</v>
      </c>
      <c r="O477" s="311">
        <v>152228.38145454545</v>
      </c>
      <c r="P477" s="68">
        <f t="shared" si="109"/>
        <v>2827098.5127272732</v>
      </c>
      <c r="Q477" s="68">
        <f t="shared" si="110"/>
        <v>5654197.0254545463</v>
      </c>
      <c r="R477" s="127">
        <f t="shared" si="111"/>
        <v>5654197.0254545463</v>
      </c>
      <c r="S477" s="524"/>
    </row>
    <row r="478" spans="1:19" s="131" customFormat="1">
      <c r="A478" s="126"/>
      <c r="B478" s="253" t="s">
        <v>1940</v>
      </c>
      <c r="C478" s="126" t="s">
        <v>8</v>
      </c>
      <c r="D478" s="352">
        <v>6</v>
      </c>
      <c r="E478" s="130"/>
      <c r="F478" s="352">
        <v>6</v>
      </c>
      <c r="G478" s="315" t="s">
        <v>3120</v>
      </c>
      <c r="H478" s="315"/>
      <c r="I478" s="351" t="s">
        <v>2681</v>
      </c>
      <c r="J478" s="351" t="s">
        <v>2328</v>
      </c>
      <c r="K478" s="311">
        <v>1390906.83</v>
      </c>
      <c r="L478" s="311">
        <v>0</v>
      </c>
      <c r="M478" s="311">
        <v>254448.46909090912</v>
      </c>
      <c r="N478" s="311">
        <v>145606.66363636364</v>
      </c>
      <c r="O478" s="311">
        <v>101924.66454545455</v>
      </c>
      <c r="P478" s="68">
        <f t="shared" si="109"/>
        <v>1892886.6272727274</v>
      </c>
      <c r="Q478" s="68">
        <f t="shared" si="110"/>
        <v>11357319.763636366</v>
      </c>
      <c r="R478" s="127">
        <f t="shared" si="111"/>
        <v>11357319.763636366</v>
      </c>
      <c r="S478" s="524"/>
    </row>
    <row r="479" spans="1:19" s="131" customFormat="1">
      <c r="A479" s="126"/>
      <c r="B479" s="253" t="s">
        <v>1947</v>
      </c>
      <c r="C479" s="126" t="s">
        <v>8</v>
      </c>
      <c r="D479" s="352">
        <v>2</v>
      </c>
      <c r="E479" s="130"/>
      <c r="F479" s="352">
        <v>2</v>
      </c>
      <c r="G479" s="340"/>
      <c r="H479" s="340"/>
      <c r="I479" s="340"/>
      <c r="J479" s="37" t="s">
        <v>2381</v>
      </c>
      <c r="K479" s="311">
        <v>507878.50000000006</v>
      </c>
      <c r="L479" s="311">
        <v>0</v>
      </c>
      <c r="M479" s="311">
        <v>254698.15330615381</v>
      </c>
      <c r="N479" s="311">
        <v>67484.65958461538</v>
      </c>
      <c r="O479" s="311">
        <v>47239.26170923077</v>
      </c>
      <c r="P479" s="68">
        <f t="shared" si="109"/>
        <v>877300.57459999993</v>
      </c>
      <c r="Q479" s="68">
        <f t="shared" si="110"/>
        <v>1754601.1491999999</v>
      </c>
      <c r="R479" s="127">
        <f t="shared" si="111"/>
        <v>1754601.1491999999</v>
      </c>
      <c r="S479" s="524"/>
    </row>
    <row r="480" spans="1:19" s="131" customFormat="1">
      <c r="A480" s="126"/>
      <c r="B480" s="253" t="s">
        <v>1948</v>
      </c>
      <c r="C480" s="126" t="s">
        <v>8</v>
      </c>
      <c r="D480" s="352">
        <v>6</v>
      </c>
      <c r="E480" s="130"/>
      <c r="F480" s="352">
        <v>6</v>
      </c>
      <c r="G480" s="340"/>
      <c r="H480" s="340"/>
      <c r="I480" s="340"/>
      <c r="J480" s="37" t="s">
        <v>2381</v>
      </c>
      <c r="K480" s="311">
        <v>340525.50000000006</v>
      </c>
      <c r="L480" s="311">
        <v>0</v>
      </c>
      <c r="M480" s="311">
        <v>195327.5385092308</v>
      </c>
      <c r="N480" s="311">
        <v>47420.62287692308</v>
      </c>
      <c r="O480" s="311">
        <v>33194.436013846156</v>
      </c>
      <c r="P480" s="68">
        <f t="shared" si="109"/>
        <v>616468.09740000009</v>
      </c>
      <c r="Q480" s="68">
        <f t="shared" si="110"/>
        <v>3698808.5844000005</v>
      </c>
      <c r="R480" s="127">
        <f t="shared" si="111"/>
        <v>3698808.5844000005</v>
      </c>
      <c r="S480" s="524"/>
    </row>
    <row r="481" spans="1:19" s="131" customFormat="1">
      <c r="A481" s="126"/>
      <c r="B481" s="253" t="s">
        <v>1949</v>
      </c>
      <c r="C481" s="126" t="s">
        <v>8</v>
      </c>
      <c r="D481" s="352">
        <v>3</v>
      </c>
      <c r="E481" s="130"/>
      <c r="F481" s="352">
        <v>3</v>
      </c>
      <c r="G481" s="340"/>
      <c r="H481" s="340"/>
      <c r="I481" s="340"/>
      <c r="J481" s="37" t="s">
        <v>2381</v>
      </c>
      <c r="K481" s="311">
        <v>70512</v>
      </c>
      <c r="L481" s="311">
        <v>0</v>
      </c>
      <c r="M481" s="311">
        <v>69351.255790984607</v>
      </c>
      <c r="N481" s="311">
        <v>12377.279273538461</v>
      </c>
      <c r="O481" s="311">
        <v>8664.0954914769227</v>
      </c>
      <c r="P481" s="68">
        <f t="shared" si="109"/>
        <v>160904.63055599999</v>
      </c>
      <c r="Q481" s="68">
        <f t="shared" si="110"/>
        <v>482713.89166799997</v>
      </c>
      <c r="R481" s="127">
        <f t="shared" si="111"/>
        <v>482713.89166799997</v>
      </c>
      <c r="S481" s="524"/>
    </row>
    <row r="482" spans="1:19" s="131" customFormat="1">
      <c r="A482" s="126"/>
      <c r="B482" s="253" t="s">
        <v>1950</v>
      </c>
      <c r="C482" s="126" t="s">
        <v>8</v>
      </c>
      <c r="D482" s="352">
        <v>3</v>
      </c>
      <c r="E482" s="130"/>
      <c r="F482" s="352">
        <v>3</v>
      </c>
      <c r="G482" s="340"/>
      <c r="H482" s="340"/>
      <c r="I482" s="340"/>
      <c r="J482" s="37" t="s">
        <v>2381</v>
      </c>
      <c r="K482" s="311">
        <v>107802</v>
      </c>
      <c r="L482" s="311">
        <v>0</v>
      </c>
      <c r="M482" s="311">
        <v>87836.237360215397</v>
      </c>
      <c r="N482" s="311">
        <v>17313.11835046154</v>
      </c>
      <c r="O482" s="311">
        <v>12119.182845323077</v>
      </c>
      <c r="P482" s="68">
        <f t="shared" si="109"/>
        <v>225070.53855600001</v>
      </c>
      <c r="Q482" s="68">
        <f t="shared" si="110"/>
        <v>675211.61566800007</v>
      </c>
      <c r="R482" s="127">
        <f t="shared" si="111"/>
        <v>675211.61566800007</v>
      </c>
      <c r="S482" s="524"/>
    </row>
    <row r="483" spans="1:19" s="131" customFormat="1">
      <c r="A483" s="126"/>
      <c r="B483" s="253" t="s">
        <v>1951</v>
      </c>
      <c r="C483" s="126" t="s">
        <v>8</v>
      </c>
      <c r="D483" s="352">
        <v>25</v>
      </c>
      <c r="E483" s="130"/>
      <c r="F483" s="352">
        <v>25</v>
      </c>
      <c r="G483" s="340"/>
      <c r="H483" s="340"/>
      <c r="I483" s="340"/>
      <c r="J483" s="37" t="s">
        <v>2381</v>
      </c>
      <c r="K483" s="311">
        <v>45030.500000000007</v>
      </c>
      <c r="L483" s="311">
        <v>0</v>
      </c>
      <c r="M483" s="311">
        <v>42555.610990984613</v>
      </c>
      <c r="N483" s="311">
        <v>7750.9832735384616</v>
      </c>
      <c r="O483" s="311">
        <v>5425.688291476923</v>
      </c>
      <c r="P483" s="68">
        <f t="shared" si="109"/>
        <v>100762.78255600001</v>
      </c>
      <c r="Q483" s="68">
        <f t="shared" si="110"/>
        <v>2519069.5639</v>
      </c>
      <c r="R483" s="127">
        <f t="shared" si="111"/>
        <v>2519069.5639</v>
      </c>
      <c r="S483" s="524"/>
    </row>
    <row r="484" spans="1:19" s="131" customFormat="1">
      <c r="A484" s="126"/>
      <c r="B484" s="253" t="s">
        <v>2303</v>
      </c>
      <c r="C484" s="126" t="s">
        <v>8</v>
      </c>
      <c r="D484" s="352">
        <v>107</v>
      </c>
      <c r="E484" s="130"/>
      <c r="F484" s="352">
        <v>107</v>
      </c>
      <c r="G484" s="340"/>
      <c r="H484" s="340"/>
      <c r="I484" s="340"/>
      <c r="J484" s="37" t="s">
        <v>2381</v>
      </c>
      <c r="K484" s="311">
        <v>107802</v>
      </c>
      <c r="L484" s="311">
        <v>0</v>
      </c>
      <c r="M484" s="311">
        <v>87836.237360215397</v>
      </c>
      <c r="N484" s="311">
        <v>17313.11835046154</v>
      </c>
      <c r="O484" s="311">
        <v>12119.182845323077</v>
      </c>
      <c r="P484" s="68">
        <f t="shared" si="109"/>
        <v>225070.53855600001</v>
      </c>
      <c r="Q484" s="68">
        <f t="shared" si="110"/>
        <v>24082547.625492003</v>
      </c>
      <c r="R484" s="127">
        <f t="shared" si="111"/>
        <v>24082547.625492003</v>
      </c>
      <c r="S484" s="524"/>
    </row>
    <row r="485" spans="1:19" s="131" customFormat="1">
      <c r="A485" s="126"/>
      <c r="B485" s="253" t="s">
        <v>2304</v>
      </c>
      <c r="C485" s="126" t="s">
        <v>8</v>
      </c>
      <c r="D485" s="352">
        <v>50</v>
      </c>
      <c r="E485" s="130"/>
      <c r="F485" s="352">
        <v>50</v>
      </c>
      <c r="G485" s="315"/>
      <c r="H485" s="315"/>
      <c r="I485" s="315"/>
      <c r="J485" s="37" t="s">
        <v>2381</v>
      </c>
      <c r="K485" s="311">
        <v>82207.500000000015</v>
      </c>
      <c r="L485" s="311">
        <v>0</v>
      </c>
      <c r="M485" s="311">
        <v>87836.237360215397</v>
      </c>
      <c r="N485" s="311">
        <v>15048.11835046154</v>
      </c>
      <c r="O485" s="311">
        <v>10533.682845323077</v>
      </c>
      <c r="P485" s="68">
        <f t="shared" si="109"/>
        <v>195625.53855600001</v>
      </c>
      <c r="Q485" s="68">
        <f t="shared" si="110"/>
        <v>9781276.9278000016</v>
      </c>
      <c r="R485" s="127">
        <f t="shared" si="111"/>
        <v>9781276.9278000016</v>
      </c>
      <c r="S485" s="509"/>
    </row>
    <row r="486" spans="1:19" s="131" customFormat="1">
      <c r="A486" s="126"/>
      <c r="B486" s="253" t="s">
        <v>2301</v>
      </c>
      <c r="C486" s="126" t="s">
        <v>8</v>
      </c>
      <c r="D486" s="352">
        <v>107</v>
      </c>
      <c r="E486" s="130"/>
      <c r="F486" s="352">
        <v>107</v>
      </c>
      <c r="G486" s="315"/>
      <c r="H486" s="315"/>
      <c r="I486" s="315"/>
      <c r="J486" s="37" t="s">
        <v>2381</v>
      </c>
      <c r="K486" s="311">
        <v>84750.000000000015</v>
      </c>
      <c r="L486" s="311">
        <v>0</v>
      </c>
      <c r="M486" s="311">
        <v>75130.875000000015</v>
      </c>
      <c r="N486" s="311">
        <v>14148.75</v>
      </c>
      <c r="O486" s="311">
        <v>9904.1250000000018</v>
      </c>
      <c r="P486" s="68">
        <f t="shared" si="109"/>
        <v>183933.75000000003</v>
      </c>
      <c r="Q486" s="68">
        <f t="shared" si="110"/>
        <v>19680911.250000004</v>
      </c>
      <c r="R486" s="127">
        <f t="shared" si="111"/>
        <v>19680911.250000004</v>
      </c>
      <c r="S486" s="509"/>
    </row>
    <row r="487" spans="1:19" s="131" customFormat="1">
      <c r="A487" s="126"/>
      <c r="B487" s="253" t="s">
        <v>2302</v>
      </c>
      <c r="C487" s="126" t="s">
        <v>8</v>
      </c>
      <c r="D487" s="352">
        <v>50</v>
      </c>
      <c r="E487" s="130"/>
      <c r="F487" s="352">
        <v>50</v>
      </c>
      <c r="G487" s="315"/>
      <c r="H487" s="315"/>
      <c r="I487" s="315"/>
      <c r="J487" s="37" t="s">
        <v>2381</v>
      </c>
      <c r="K487" s="311">
        <v>79100.000000000015</v>
      </c>
      <c r="L487" s="311">
        <v>0</v>
      </c>
      <c r="M487" s="311">
        <v>53637.333333333343</v>
      </c>
      <c r="N487" s="311">
        <v>11746.666666666668</v>
      </c>
      <c r="O487" s="311">
        <v>8222.6666666666679</v>
      </c>
      <c r="P487" s="68">
        <f t="shared" si="109"/>
        <v>152706.66666666669</v>
      </c>
      <c r="Q487" s="68">
        <f t="shared" si="110"/>
        <v>7635333.333333334</v>
      </c>
      <c r="R487" s="127">
        <f t="shared" si="111"/>
        <v>7635333.333333334</v>
      </c>
      <c r="S487" s="509"/>
    </row>
    <row r="488" spans="1:19" s="131" customFormat="1">
      <c r="A488" s="126"/>
      <c r="B488" s="253" t="s">
        <v>1952</v>
      </c>
      <c r="C488" s="126" t="s">
        <v>1943</v>
      </c>
      <c r="D488" s="352">
        <v>77</v>
      </c>
      <c r="E488" s="130"/>
      <c r="F488" s="352">
        <v>77</v>
      </c>
      <c r="G488" s="26"/>
      <c r="H488" s="26"/>
      <c r="I488" s="26"/>
      <c r="J488" s="26"/>
      <c r="K488" s="311">
        <v>0</v>
      </c>
      <c r="L488" s="311">
        <v>0</v>
      </c>
      <c r="M488" s="311">
        <v>175941.00000000003</v>
      </c>
      <c r="N488" s="311">
        <v>15570</v>
      </c>
      <c r="O488" s="311">
        <v>10899.000000000002</v>
      </c>
      <c r="P488" s="68">
        <f t="shared" si="109"/>
        <v>202410.00000000003</v>
      </c>
      <c r="Q488" s="68">
        <f t="shared" si="110"/>
        <v>15585570.000000002</v>
      </c>
      <c r="R488" s="127">
        <f t="shared" si="111"/>
        <v>15585570.000000002</v>
      </c>
      <c r="S488" s="30"/>
    </row>
    <row r="489" spans="1:19" s="122" customFormat="1">
      <c r="A489" s="244" t="s">
        <v>518</v>
      </c>
      <c r="B489" s="245" t="s">
        <v>2285</v>
      </c>
      <c r="C489" s="246"/>
      <c r="D489" s="515"/>
      <c r="E489" s="248"/>
      <c r="F489" s="515"/>
      <c r="G489" s="215"/>
      <c r="H489" s="215"/>
      <c r="I489" s="215"/>
      <c r="J489" s="215"/>
      <c r="K489" s="528"/>
      <c r="L489" s="528"/>
      <c r="M489" s="528"/>
      <c r="N489" s="528"/>
      <c r="O489" s="528"/>
      <c r="P489" s="528"/>
      <c r="Q489" s="528"/>
      <c r="R489" s="528"/>
      <c r="S489" s="215"/>
    </row>
    <row r="490" spans="1:19">
      <c r="A490" s="119" t="s">
        <v>1758</v>
      </c>
      <c r="B490" s="1" t="s">
        <v>950</v>
      </c>
      <c r="C490" s="42"/>
      <c r="D490" s="351"/>
      <c r="E490" s="124"/>
      <c r="F490" s="351"/>
      <c r="G490" s="24"/>
      <c r="H490" s="24"/>
      <c r="I490" s="24"/>
      <c r="J490" s="24"/>
      <c r="K490" s="65"/>
      <c r="L490" s="65"/>
      <c r="M490" s="65"/>
      <c r="N490" s="65"/>
      <c r="O490" s="65"/>
      <c r="P490" s="65"/>
      <c r="Q490" s="65"/>
      <c r="R490" s="65"/>
      <c r="S490" s="24"/>
    </row>
    <row r="491" spans="1:19">
      <c r="A491" s="123">
        <v>1</v>
      </c>
      <c r="B491" s="254" t="s">
        <v>951</v>
      </c>
      <c r="C491" s="42"/>
      <c r="D491" s="351"/>
      <c r="E491" s="124"/>
      <c r="F491" s="351"/>
      <c r="G491" s="26"/>
      <c r="H491" s="26"/>
      <c r="I491" s="26"/>
      <c r="J491" s="26"/>
      <c r="K491" s="66"/>
      <c r="L491" s="66"/>
      <c r="M491" s="66"/>
      <c r="N491" s="66"/>
      <c r="O491" s="66"/>
      <c r="P491" s="66"/>
      <c r="Q491" s="66"/>
      <c r="R491" s="66"/>
      <c r="S491" s="26"/>
    </row>
    <row r="492" spans="1:19">
      <c r="A492" s="123"/>
      <c r="B492" s="254" t="s">
        <v>790</v>
      </c>
      <c r="C492" s="42" t="s">
        <v>117</v>
      </c>
      <c r="D492" s="351">
        <v>32</v>
      </c>
      <c r="E492" s="124" t="s">
        <v>784</v>
      </c>
      <c r="F492" s="351">
        <v>32</v>
      </c>
      <c r="G492" s="351" t="s">
        <v>2685</v>
      </c>
      <c r="H492" s="351"/>
      <c r="I492" s="351" t="s">
        <v>2681</v>
      </c>
      <c r="J492" s="351" t="s">
        <v>2328</v>
      </c>
      <c r="K492" s="311">
        <v>25318.78</v>
      </c>
      <c r="L492" s="311">
        <v>0</v>
      </c>
      <c r="M492" s="311">
        <v>32991.480000000003</v>
      </c>
      <c r="N492" s="311">
        <v>5160.2000000000007</v>
      </c>
      <c r="O492" s="311">
        <v>3612.1400000000003</v>
      </c>
      <c r="P492" s="68">
        <f t="shared" ref="P492:P495" si="112">SUM(K492:O492)</f>
        <v>67082.600000000006</v>
      </c>
      <c r="Q492" s="68">
        <f>D492*P492</f>
        <v>2146643.2000000002</v>
      </c>
      <c r="R492" s="127">
        <f>F492*P492</f>
        <v>2146643.2000000002</v>
      </c>
      <c r="S492" s="26"/>
    </row>
    <row r="493" spans="1:19">
      <c r="A493" s="123"/>
      <c r="B493" s="254" t="s">
        <v>791</v>
      </c>
      <c r="C493" s="42" t="s">
        <v>117</v>
      </c>
      <c r="D493" s="351">
        <v>2432</v>
      </c>
      <c r="E493" s="124" t="s">
        <v>784</v>
      </c>
      <c r="F493" s="351">
        <v>2432</v>
      </c>
      <c r="G493" s="351" t="s">
        <v>2686</v>
      </c>
      <c r="H493" s="351"/>
      <c r="I493" s="351" t="s">
        <v>2681</v>
      </c>
      <c r="J493" s="351" t="s">
        <v>2328</v>
      </c>
      <c r="K493" s="311">
        <v>18864.22</v>
      </c>
      <c r="L493" s="311">
        <v>0</v>
      </c>
      <c r="M493" s="311">
        <v>29520.120000000003</v>
      </c>
      <c r="N493" s="311">
        <v>4281.8</v>
      </c>
      <c r="O493" s="311">
        <v>2997.26</v>
      </c>
      <c r="P493" s="68">
        <f t="shared" si="112"/>
        <v>55663.400000000009</v>
      </c>
      <c r="Q493" s="68">
        <f>D493*P493</f>
        <v>135373388.80000001</v>
      </c>
      <c r="R493" s="127">
        <f>F493*P493</f>
        <v>135373388.80000001</v>
      </c>
      <c r="S493" s="26"/>
    </row>
    <row r="494" spans="1:19">
      <c r="A494" s="123"/>
      <c r="B494" s="254" t="s">
        <v>792</v>
      </c>
      <c r="C494" s="42" t="s">
        <v>117</v>
      </c>
      <c r="D494" s="351">
        <v>2139</v>
      </c>
      <c r="E494" s="124" t="s">
        <v>784</v>
      </c>
      <c r="F494" s="351">
        <v>2139</v>
      </c>
      <c r="G494" s="351" t="s">
        <v>2687</v>
      </c>
      <c r="H494" s="351"/>
      <c r="I494" s="351" t="s">
        <v>2681</v>
      </c>
      <c r="J494" s="351" t="s">
        <v>2328</v>
      </c>
      <c r="K494" s="311">
        <v>14561.18</v>
      </c>
      <c r="L494" s="311">
        <v>0</v>
      </c>
      <c r="M494" s="311">
        <v>28109.880000000005</v>
      </c>
      <c r="N494" s="311">
        <v>3776.2000000000003</v>
      </c>
      <c r="O494" s="311">
        <v>2643.34</v>
      </c>
      <c r="P494" s="68">
        <f t="shared" si="112"/>
        <v>49090.600000000006</v>
      </c>
      <c r="Q494" s="68">
        <f>D494*P494</f>
        <v>105004793.40000001</v>
      </c>
      <c r="R494" s="127">
        <f>F494*P494</f>
        <v>105004793.40000001</v>
      </c>
      <c r="S494" s="26"/>
    </row>
    <row r="495" spans="1:19">
      <c r="A495" s="123"/>
      <c r="B495" s="254" t="s">
        <v>530</v>
      </c>
      <c r="C495" s="42" t="s">
        <v>117</v>
      </c>
      <c r="D495" s="351">
        <v>19198</v>
      </c>
      <c r="E495" s="124" t="s">
        <v>784</v>
      </c>
      <c r="F495" s="351">
        <v>19198</v>
      </c>
      <c r="G495" s="351" t="s">
        <v>2688</v>
      </c>
      <c r="H495" s="351"/>
      <c r="I495" s="351" t="s">
        <v>2681</v>
      </c>
      <c r="J495" s="351" t="s">
        <v>2328</v>
      </c>
      <c r="K495" s="311">
        <v>8145.04</v>
      </c>
      <c r="L495" s="311">
        <v>0</v>
      </c>
      <c r="M495" s="311">
        <v>25831.800000000003</v>
      </c>
      <c r="N495" s="311">
        <v>3006.8</v>
      </c>
      <c r="O495" s="311">
        <v>2104.7600000000002</v>
      </c>
      <c r="P495" s="68">
        <f t="shared" si="112"/>
        <v>39088.400000000009</v>
      </c>
      <c r="Q495" s="68">
        <f>D495*P495</f>
        <v>750419103.20000017</v>
      </c>
      <c r="R495" s="127">
        <f>F495*P495</f>
        <v>750419103.20000017</v>
      </c>
      <c r="S495" s="26"/>
    </row>
    <row r="496" spans="1:19">
      <c r="A496" s="123">
        <v>2</v>
      </c>
      <c r="B496" s="254" t="s">
        <v>952</v>
      </c>
      <c r="C496" s="42"/>
      <c r="D496" s="351"/>
      <c r="E496" s="124"/>
      <c r="F496" s="351"/>
      <c r="G496" s="26"/>
      <c r="H496" s="26"/>
      <c r="I496" s="26"/>
      <c r="J496" s="26"/>
      <c r="K496" s="66"/>
      <c r="L496" s="66"/>
      <c r="M496" s="66"/>
      <c r="N496" s="66"/>
      <c r="O496" s="66"/>
      <c r="P496" s="66"/>
      <c r="Q496" s="66"/>
      <c r="R496" s="66"/>
      <c r="S496" s="26"/>
    </row>
    <row r="497" spans="1:19">
      <c r="A497" s="123"/>
      <c r="B497" s="254" t="s">
        <v>530</v>
      </c>
      <c r="C497" s="42" t="s">
        <v>117</v>
      </c>
      <c r="D497" s="351">
        <v>10335</v>
      </c>
      <c r="E497" s="124" t="s">
        <v>953</v>
      </c>
      <c r="F497" s="351">
        <v>10335</v>
      </c>
      <c r="G497" s="351" t="s">
        <v>2941</v>
      </c>
      <c r="H497" s="351"/>
      <c r="I497" s="351" t="s">
        <v>2681</v>
      </c>
      <c r="J497" s="351" t="s">
        <v>2328</v>
      </c>
      <c r="K497" s="311">
        <v>10066.040000000001</v>
      </c>
      <c r="L497" s="311">
        <v>0</v>
      </c>
      <c r="M497" s="311">
        <v>25831.800000000003</v>
      </c>
      <c r="N497" s="311">
        <v>3176.8</v>
      </c>
      <c r="O497" s="311">
        <v>2223.7600000000002</v>
      </c>
      <c r="P497" s="68">
        <f>SUM(K497:O497)</f>
        <v>41298.400000000009</v>
      </c>
      <c r="Q497" s="68">
        <f>D497*P497</f>
        <v>426818964.00000012</v>
      </c>
      <c r="R497" s="127">
        <f>F497*P497</f>
        <v>426818964.00000012</v>
      </c>
      <c r="S497" s="26"/>
    </row>
    <row r="498" spans="1:19">
      <c r="A498" s="123" t="s">
        <v>954</v>
      </c>
      <c r="B498" s="254" t="s">
        <v>955</v>
      </c>
      <c r="C498" s="42"/>
      <c r="D498" s="351"/>
      <c r="E498" s="124"/>
      <c r="F498" s="351"/>
      <c r="G498" s="334"/>
      <c r="H498" s="334"/>
      <c r="I498" s="334"/>
      <c r="J498" s="334"/>
      <c r="K498" s="127"/>
      <c r="L498" s="127"/>
      <c r="M498" s="127"/>
      <c r="N498" s="127"/>
      <c r="O498" s="127"/>
      <c r="P498" s="127"/>
      <c r="Q498" s="127"/>
      <c r="R498" s="127"/>
      <c r="S498" s="331"/>
    </row>
    <row r="499" spans="1:19">
      <c r="A499" s="123"/>
      <c r="B499" s="254" t="s">
        <v>790</v>
      </c>
      <c r="C499" s="42" t="s">
        <v>8</v>
      </c>
      <c r="D499" s="351">
        <v>4</v>
      </c>
      <c r="E499" s="124"/>
      <c r="F499" s="351">
        <v>4</v>
      </c>
      <c r="G499" s="351" t="s">
        <v>2718</v>
      </c>
      <c r="H499" s="351"/>
      <c r="I499" s="351" t="s">
        <v>2681</v>
      </c>
      <c r="J499" s="351" t="s">
        <v>2328</v>
      </c>
      <c r="K499" s="311">
        <v>9412.9000000000015</v>
      </c>
      <c r="L499" s="311">
        <v>0</v>
      </c>
      <c r="M499" s="311">
        <v>24909.72</v>
      </c>
      <c r="N499" s="311">
        <v>3037.4</v>
      </c>
      <c r="O499" s="311">
        <v>2126.1800000000003</v>
      </c>
      <c r="P499" s="68">
        <f t="shared" ref="P499:P508" si="113">SUM(K499:O499)</f>
        <v>39486.200000000004</v>
      </c>
      <c r="Q499" s="68">
        <f t="shared" ref="Q499:Q508" si="114">D499*P499</f>
        <v>157944.80000000002</v>
      </c>
      <c r="R499" s="127">
        <f t="shared" ref="R499:R508" si="115">F499*P499</f>
        <v>157944.80000000002</v>
      </c>
      <c r="S499" s="26"/>
    </row>
    <row r="500" spans="1:19">
      <c r="A500" s="123"/>
      <c r="B500" s="254" t="s">
        <v>816</v>
      </c>
      <c r="C500" s="42" t="s">
        <v>8</v>
      </c>
      <c r="D500" s="351">
        <v>1</v>
      </c>
      <c r="E500" s="124"/>
      <c r="F500" s="351">
        <v>1</v>
      </c>
      <c r="G500" s="351" t="s">
        <v>2709</v>
      </c>
      <c r="H500" s="351"/>
      <c r="I500" s="351" t="s">
        <v>2681</v>
      </c>
      <c r="J500" s="351" t="s">
        <v>2328</v>
      </c>
      <c r="K500" s="311">
        <v>14215.4</v>
      </c>
      <c r="L500" s="311">
        <v>0</v>
      </c>
      <c r="M500" s="311">
        <v>24909.72</v>
      </c>
      <c r="N500" s="311">
        <v>3462.4</v>
      </c>
      <c r="O500" s="311">
        <v>2423.6800000000003</v>
      </c>
      <c r="P500" s="68">
        <f t="shared" si="113"/>
        <v>45011.200000000004</v>
      </c>
      <c r="Q500" s="68">
        <f t="shared" si="114"/>
        <v>45011.200000000004</v>
      </c>
      <c r="R500" s="127">
        <f t="shared" si="115"/>
        <v>45011.200000000004</v>
      </c>
      <c r="S500" s="26"/>
    </row>
    <row r="501" spans="1:19">
      <c r="A501" s="123"/>
      <c r="B501" s="254" t="s">
        <v>817</v>
      </c>
      <c r="C501" s="42" t="s">
        <v>8</v>
      </c>
      <c r="D501" s="351">
        <v>5</v>
      </c>
      <c r="E501" s="124"/>
      <c r="F501" s="351">
        <v>5</v>
      </c>
      <c r="G501" s="351" t="s">
        <v>2710</v>
      </c>
      <c r="H501" s="351"/>
      <c r="I501" s="351" t="s">
        <v>2681</v>
      </c>
      <c r="J501" s="351" t="s">
        <v>2328</v>
      </c>
      <c r="K501" s="311">
        <v>14215.4</v>
      </c>
      <c r="L501" s="311">
        <v>0</v>
      </c>
      <c r="M501" s="311">
        <v>24909.72</v>
      </c>
      <c r="N501" s="311">
        <v>3462.4</v>
      </c>
      <c r="O501" s="311">
        <v>2423.6800000000003</v>
      </c>
      <c r="P501" s="68">
        <f t="shared" si="113"/>
        <v>45011.200000000004</v>
      </c>
      <c r="Q501" s="68">
        <f t="shared" si="114"/>
        <v>225056.00000000003</v>
      </c>
      <c r="R501" s="127">
        <f t="shared" si="115"/>
        <v>225056.00000000003</v>
      </c>
      <c r="S501" s="26"/>
    </row>
    <row r="502" spans="1:19">
      <c r="A502" s="123"/>
      <c r="B502" s="254" t="s">
        <v>818</v>
      </c>
      <c r="C502" s="42" t="s">
        <v>8</v>
      </c>
      <c r="D502" s="351">
        <v>5</v>
      </c>
      <c r="E502" s="124"/>
      <c r="F502" s="351">
        <v>5</v>
      </c>
      <c r="G502" s="351" t="s">
        <v>2711</v>
      </c>
      <c r="H502" s="351"/>
      <c r="I502" s="351" t="s">
        <v>2681</v>
      </c>
      <c r="J502" s="351" t="s">
        <v>2328</v>
      </c>
      <c r="K502" s="311">
        <v>14215.4</v>
      </c>
      <c r="L502" s="311">
        <v>0</v>
      </c>
      <c r="M502" s="311">
        <v>24909.72</v>
      </c>
      <c r="N502" s="311">
        <v>3462.4</v>
      </c>
      <c r="O502" s="311">
        <v>2423.6800000000003</v>
      </c>
      <c r="P502" s="68">
        <f t="shared" si="113"/>
        <v>45011.200000000004</v>
      </c>
      <c r="Q502" s="68">
        <f t="shared" si="114"/>
        <v>225056.00000000003</v>
      </c>
      <c r="R502" s="127">
        <f t="shared" si="115"/>
        <v>225056.00000000003</v>
      </c>
      <c r="S502" s="26"/>
    </row>
    <row r="503" spans="1:19">
      <c r="A503" s="123"/>
      <c r="B503" s="254" t="s">
        <v>791</v>
      </c>
      <c r="C503" s="42" t="s">
        <v>8</v>
      </c>
      <c r="D503" s="351">
        <v>370</v>
      </c>
      <c r="E503" s="124"/>
      <c r="F503" s="351">
        <v>370</v>
      </c>
      <c r="G503" s="351" t="s">
        <v>2712</v>
      </c>
      <c r="H503" s="351"/>
      <c r="I503" s="351" t="s">
        <v>2681</v>
      </c>
      <c r="J503" s="351" t="s">
        <v>2328</v>
      </c>
      <c r="K503" s="311">
        <v>6031.94</v>
      </c>
      <c r="L503" s="311">
        <v>0</v>
      </c>
      <c r="M503" s="311">
        <v>22035.000000000004</v>
      </c>
      <c r="N503" s="311">
        <v>2483.8000000000002</v>
      </c>
      <c r="O503" s="311">
        <v>1738.66</v>
      </c>
      <c r="P503" s="68">
        <f t="shared" si="113"/>
        <v>32289.4</v>
      </c>
      <c r="Q503" s="68">
        <f t="shared" si="114"/>
        <v>11947078</v>
      </c>
      <c r="R503" s="127">
        <f t="shared" si="115"/>
        <v>11947078</v>
      </c>
      <c r="S503" s="26"/>
    </row>
    <row r="504" spans="1:19">
      <c r="A504" s="123"/>
      <c r="B504" s="254" t="s">
        <v>819</v>
      </c>
      <c r="C504" s="42" t="s">
        <v>8</v>
      </c>
      <c r="D504" s="351">
        <v>245</v>
      </c>
      <c r="E504" s="124"/>
      <c r="F504" s="351">
        <v>245</v>
      </c>
      <c r="G504" s="351" t="s">
        <v>2713</v>
      </c>
      <c r="H504" s="351"/>
      <c r="I504" s="351" t="s">
        <v>2681</v>
      </c>
      <c r="J504" s="351" t="s">
        <v>2328</v>
      </c>
      <c r="K504" s="311">
        <v>6454.5599999999995</v>
      </c>
      <c r="L504" s="311">
        <v>0</v>
      </c>
      <c r="M504" s="311">
        <v>22035.000000000004</v>
      </c>
      <c r="N504" s="311">
        <v>2521.2000000000003</v>
      </c>
      <c r="O504" s="311">
        <v>1764.8400000000001</v>
      </c>
      <c r="P504" s="68">
        <f t="shared" si="113"/>
        <v>32775.600000000006</v>
      </c>
      <c r="Q504" s="68">
        <f t="shared" si="114"/>
        <v>8030022.0000000019</v>
      </c>
      <c r="R504" s="127">
        <f t="shared" si="115"/>
        <v>8030022.0000000019</v>
      </c>
      <c r="S504" s="26"/>
    </row>
    <row r="505" spans="1:19">
      <c r="A505" s="123"/>
      <c r="B505" s="254" t="s">
        <v>820</v>
      </c>
      <c r="C505" s="42" t="s">
        <v>8</v>
      </c>
      <c r="D505" s="351">
        <v>606</v>
      </c>
      <c r="E505" s="124"/>
      <c r="F505" s="351">
        <v>606</v>
      </c>
      <c r="G505" s="351" t="s">
        <v>2714</v>
      </c>
      <c r="H505" s="351"/>
      <c r="I505" s="351" t="s">
        <v>2681</v>
      </c>
      <c r="J505" s="351" t="s">
        <v>2328</v>
      </c>
      <c r="K505" s="311">
        <v>6454.5599999999995</v>
      </c>
      <c r="L505" s="311">
        <v>0</v>
      </c>
      <c r="M505" s="311">
        <v>22035.000000000004</v>
      </c>
      <c r="N505" s="311">
        <v>2521.2000000000003</v>
      </c>
      <c r="O505" s="311">
        <v>1764.8400000000001</v>
      </c>
      <c r="P505" s="68">
        <f t="shared" si="113"/>
        <v>32775.600000000006</v>
      </c>
      <c r="Q505" s="68">
        <f t="shared" si="114"/>
        <v>19862013.600000005</v>
      </c>
      <c r="R505" s="127">
        <f t="shared" si="115"/>
        <v>19862013.600000005</v>
      </c>
      <c r="S505" s="26"/>
    </row>
    <row r="506" spans="1:19">
      <c r="A506" s="123"/>
      <c r="B506" s="254" t="s">
        <v>792</v>
      </c>
      <c r="C506" s="42" t="s">
        <v>8</v>
      </c>
      <c r="D506" s="351">
        <v>540</v>
      </c>
      <c r="E506" s="124"/>
      <c r="F506" s="351">
        <v>540</v>
      </c>
      <c r="G506" s="351" t="s">
        <v>2715</v>
      </c>
      <c r="H506" s="351"/>
      <c r="I506" s="351" t="s">
        <v>2681</v>
      </c>
      <c r="J506" s="351" t="s">
        <v>2328</v>
      </c>
      <c r="K506" s="311">
        <v>3649.8999999999996</v>
      </c>
      <c r="L506" s="311">
        <v>0</v>
      </c>
      <c r="M506" s="311">
        <v>18183.960000000003</v>
      </c>
      <c r="N506" s="311">
        <v>1932.2</v>
      </c>
      <c r="O506" s="311">
        <v>1352.5400000000002</v>
      </c>
      <c r="P506" s="68">
        <f t="shared" si="113"/>
        <v>25118.600000000002</v>
      </c>
      <c r="Q506" s="68">
        <f t="shared" si="114"/>
        <v>13564044.000000002</v>
      </c>
      <c r="R506" s="127">
        <f t="shared" si="115"/>
        <v>13564044.000000002</v>
      </c>
      <c r="S506" s="26"/>
    </row>
    <row r="507" spans="1:19">
      <c r="A507" s="123"/>
      <c r="B507" s="254" t="s">
        <v>821</v>
      </c>
      <c r="C507" s="42" t="s">
        <v>8</v>
      </c>
      <c r="D507" s="351">
        <v>1198</v>
      </c>
      <c r="E507" s="124"/>
      <c r="F507" s="351">
        <v>1198</v>
      </c>
      <c r="G507" s="351" t="s">
        <v>2716</v>
      </c>
      <c r="H507" s="351"/>
      <c r="I507" s="351" t="s">
        <v>2681</v>
      </c>
      <c r="J507" s="351" t="s">
        <v>2328</v>
      </c>
      <c r="K507" s="311">
        <v>3649.8999999999996</v>
      </c>
      <c r="L507" s="311">
        <v>0</v>
      </c>
      <c r="M507" s="311">
        <v>18183.960000000003</v>
      </c>
      <c r="N507" s="311">
        <v>1932.2</v>
      </c>
      <c r="O507" s="311">
        <v>1352.5400000000002</v>
      </c>
      <c r="P507" s="68">
        <f t="shared" si="113"/>
        <v>25118.600000000002</v>
      </c>
      <c r="Q507" s="68">
        <f t="shared" si="114"/>
        <v>30092082.800000004</v>
      </c>
      <c r="R507" s="127">
        <f t="shared" si="115"/>
        <v>30092082.800000004</v>
      </c>
      <c r="S507" s="26"/>
    </row>
    <row r="508" spans="1:19">
      <c r="A508" s="123"/>
      <c r="B508" s="254" t="s">
        <v>530</v>
      </c>
      <c r="C508" s="42" t="s">
        <v>8</v>
      </c>
      <c r="D508" s="351">
        <v>2348</v>
      </c>
      <c r="E508" s="124"/>
      <c r="F508" s="351">
        <v>2348</v>
      </c>
      <c r="G508" s="351" t="s">
        <v>2942</v>
      </c>
      <c r="H508" s="351"/>
      <c r="I508" s="351" t="s">
        <v>2681</v>
      </c>
      <c r="J508" s="351" t="s">
        <v>2328</v>
      </c>
      <c r="K508" s="311">
        <v>2343.6200000000003</v>
      </c>
      <c r="L508" s="311">
        <v>0</v>
      </c>
      <c r="M508" s="311">
        <v>15648.240000000002</v>
      </c>
      <c r="N508" s="311">
        <v>1592.2</v>
      </c>
      <c r="O508" s="311">
        <v>1114.5400000000002</v>
      </c>
      <c r="P508" s="68">
        <f t="shared" si="113"/>
        <v>20698.600000000002</v>
      </c>
      <c r="Q508" s="68">
        <f t="shared" si="114"/>
        <v>48600312.800000004</v>
      </c>
      <c r="R508" s="127">
        <f t="shared" si="115"/>
        <v>48600312.800000004</v>
      </c>
      <c r="S508" s="26"/>
    </row>
    <row r="509" spans="1:19">
      <c r="A509" s="123" t="s">
        <v>736</v>
      </c>
      <c r="B509" s="254" t="s">
        <v>956</v>
      </c>
      <c r="C509" s="42"/>
      <c r="D509" s="351"/>
      <c r="E509" s="124"/>
      <c r="F509" s="351"/>
      <c r="G509" s="26"/>
      <c r="H509" s="26"/>
      <c r="I509" s="26"/>
      <c r="J509" s="26"/>
      <c r="K509" s="66"/>
      <c r="L509" s="66"/>
      <c r="M509" s="66"/>
      <c r="N509" s="66"/>
      <c r="O509" s="66"/>
      <c r="P509" s="66"/>
      <c r="Q509" s="66"/>
      <c r="R509" s="66"/>
      <c r="S509" s="26"/>
    </row>
    <row r="510" spans="1:19">
      <c r="A510" s="123"/>
      <c r="B510" s="254" t="s">
        <v>790</v>
      </c>
      <c r="C510" s="42" t="s">
        <v>8</v>
      </c>
      <c r="D510" s="351">
        <v>13</v>
      </c>
      <c r="E510" s="124"/>
      <c r="F510" s="351">
        <v>13</v>
      </c>
      <c r="G510" s="351" t="s">
        <v>2724</v>
      </c>
      <c r="H510" s="351"/>
      <c r="I510" s="351" t="s">
        <v>2681</v>
      </c>
      <c r="J510" s="351" t="s">
        <v>2328</v>
      </c>
      <c r="K510" s="311">
        <v>7684</v>
      </c>
      <c r="L510" s="311">
        <v>0</v>
      </c>
      <c r="M510" s="311">
        <v>16606.480000000003</v>
      </c>
      <c r="N510" s="311">
        <v>2149.6</v>
      </c>
      <c r="O510" s="311">
        <v>1504.7200000000003</v>
      </c>
      <c r="P510" s="68">
        <f t="shared" ref="P510:P513" si="116">SUM(K510:O510)</f>
        <v>27944.800000000003</v>
      </c>
      <c r="Q510" s="68">
        <f>D510*P510</f>
        <v>363282.4</v>
      </c>
      <c r="R510" s="127">
        <f>F510*P510</f>
        <v>363282.4</v>
      </c>
      <c r="S510" s="331"/>
    </row>
    <row r="511" spans="1:19">
      <c r="A511" s="123"/>
      <c r="B511" s="254" t="s">
        <v>791</v>
      </c>
      <c r="C511" s="42" t="s">
        <v>8</v>
      </c>
      <c r="D511" s="351">
        <v>1543</v>
      </c>
      <c r="E511" s="124"/>
      <c r="F511" s="351">
        <v>1543</v>
      </c>
      <c r="G511" s="351" t="s">
        <v>2725</v>
      </c>
      <c r="H511" s="351"/>
      <c r="I511" s="351" t="s">
        <v>2681</v>
      </c>
      <c r="J511" s="351" t="s">
        <v>2328</v>
      </c>
      <c r="K511" s="311">
        <v>4687.2400000000007</v>
      </c>
      <c r="L511" s="311">
        <v>0</v>
      </c>
      <c r="M511" s="311">
        <v>14690.000000000002</v>
      </c>
      <c r="N511" s="311">
        <v>1714.8000000000002</v>
      </c>
      <c r="O511" s="311">
        <v>1200.3600000000001</v>
      </c>
      <c r="P511" s="68">
        <f t="shared" si="116"/>
        <v>22292.400000000001</v>
      </c>
      <c r="Q511" s="68">
        <f>D511*P511</f>
        <v>34397173.200000003</v>
      </c>
      <c r="R511" s="127">
        <f>F511*P511</f>
        <v>34397173.200000003</v>
      </c>
      <c r="S511" s="26"/>
    </row>
    <row r="512" spans="1:19">
      <c r="A512" s="123"/>
      <c r="B512" s="254" t="s">
        <v>792</v>
      </c>
      <c r="C512" s="42" t="s">
        <v>8</v>
      </c>
      <c r="D512" s="351">
        <v>2036</v>
      </c>
      <c r="E512" s="124"/>
      <c r="F512" s="351">
        <v>2036</v>
      </c>
      <c r="G512" s="351" t="s">
        <v>2726</v>
      </c>
      <c r="H512" s="351"/>
      <c r="I512" s="351" t="s">
        <v>2681</v>
      </c>
      <c r="J512" s="351" t="s">
        <v>2328</v>
      </c>
      <c r="K512" s="311">
        <v>2689.4</v>
      </c>
      <c r="L512" s="311">
        <v>0</v>
      </c>
      <c r="M512" s="311">
        <v>12122.640000000001</v>
      </c>
      <c r="N512" s="311">
        <v>1310.8000000000002</v>
      </c>
      <c r="O512" s="311">
        <v>917.56000000000006</v>
      </c>
      <c r="P512" s="68">
        <f t="shared" si="116"/>
        <v>17040.400000000001</v>
      </c>
      <c r="Q512" s="68">
        <f>D512*P512</f>
        <v>34694254.400000006</v>
      </c>
      <c r="R512" s="127">
        <f>F512*P512</f>
        <v>34694254.400000006</v>
      </c>
      <c r="S512" s="26"/>
    </row>
    <row r="513" spans="1:19">
      <c r="A513" s="123"/>
      <c r="B513" s="254" t="s">
        <v>530</v>
      </c>
      <c r="C513" s="42" t="s">
        <v>8</v>
      </c>
      <c r="D513" s="351">
        <v>15858</v>
      </c>
      <c r="E513" s="124"/>
      <c r="F513" s="351">
        <v>15858</v>
      </c>
      <c r="G513" s="351" t="s">
        <v>2727</v>
      </c>
      <c r="H513" s="351"/>
      <c r="I513" s="351" t="s">
        <v>2681</v>
      </c>
      <c r="J513" s="351" t="s">
        <v>2328</v>
      </c>
      <c r="K513" s="311">
        <v>1997.84</v>
      </c>
      <c r="L513" s="311">
        <v>0</v>
      </c>
      <c r="M513" s="311">
        <v>10432.160000000002</v>
      </c>
      <c r="N513" s="311">
        <v>1100</v>
      </c>
      <c r="O513" s="311">
        <v>770.00000000000011</v>
      </c>
      <c r="P513" s="68">
        <f t="shared" si="116"/>
        <v>14300.000000000002</v>
      </c>
      <c r="Q513" s="68">
        <f>D513*P513</f>
        <v>226769400.00000003</v>
      </c>
      <c r="R513" s="127">
        <f>F513*P513</f>
        <v>226769400.00000003</v>
      </c>
      <c r="S513" s="26"/>
    </row>
    <row r="514" spans="1:19">
      <c r="A514" s="123" t="s">
        <v>957</v>
      </c>
      <c r="B514" s="254" t="s">
        <v>958</v>
      </c>
      <c r="C514" s="42"/>
      <c r="D514" s="351"/>
      <c r="E514" s="124"/>
      <c r="F514" s="351"/>
      <c r="G514" s="26"/>
      <c r="H514" s="26"/>
      <c r="I514" s="26"/>
      <c r="J514" s="26"/>
      <c r="K514" s="66"/>
      <c r="L514" s="66"/>
      <c r="M514" s="66"/>
      <c r="N514" s="66"/>
      <c r="O514" s="66"/>
      <c r="P514" s="66"/>
      <c r="Q514" s="66"/>
      <c r="R514" s="66"/>
      <c r="S514" s="26"/>
    </row>
    <row r="515" spans="1:19">
      <c r="A515" s="123"/>
      <c r="B515" s="254" t="s">
        <v>816</v>
      </c>
      <c r="C515" s="42" t="s">
        <v>8</v>
      </c>
      <c r="D515" s="351">
        <v>4</v>
      </c>
      <c r="E515" s="124"/>
      <c r="F515" s="351">
        <v>4</v>
      </c>
      <c r="G515" s="351" t="s">
        <v>2732</v>
      </c>
      <c r="H515" s="351"/>
      <c r="I515" s="351" t="s">
        <v>2681</v>
      </c>
      <c r="J515" s="351" t="s">
        <v>2328</v>
      </c>
      <c r="K515" s="311">
        <v>3649.8999999999996</v>
      </c>
      <c r="L515" s="311">
        <v>0</v>
      </c>
      <c r="M515" s="311">
        <v>16606.480000000003</v>
      </c>
      <c r="N515" s="311">
        <v>1792.6000000000001</v>
      </c>
      <c r="O515" s="311">
        <v>1254.8200000000002</v>
      </c>
      <c r="P515" s="68">
        <f t="shared" ref="P515:P518" si="117">SUM(K515:O515)</f>
        <v>23303.800000000003</v>
      </c>
      <c r="Q515" s="68">
        <f>D515*P515</f>
        <v>93215.200000000012</v>
      </c>
      <c r="R515" s="127">
        <f>F515*P515</f>
        <v>93215.200000000012</v>
      </c>
      <c r="S515" s="26"/>
    </row>
    <row r="516" spans="1:19">
      <c r="A516" s="123"/>
      <c r="B516" s="254" t="s">
        <v>819</v>
      </c>
      <c r="C516" s="42" t="s">
        <v>8</v>
      </c>
      <c r="D516" s="351">
        <v>349</v>
      </c>
      <c r="E516" s="124"/>
      <c r="F516" s="351">
        <v>349</v>
      </c>
      <c r="G516" s="351" t="s">
        <v>2734</v>
      </c>
      <c r="H516" s="351"/>
      <c r="I516" s="351" t="s">
        <v>2681</v>
      </c>
      <c r="J516" s="351" t="s">
        <v>2328</v>
      </c>
      <c r="K516" s="311">
        <v>2343.6200000000003</v>
      </c>
      <c r="L516" s="311">
        <v>0</v>
      </c>
      <c r="M516" s="311">
        <v>14690.000000000002</v>
      </c>
      <c r="N516" s="311">
        <v>1507.4</v>
      </c>
      <c r="O516" s="311">
        <v>1055.18</v>
      </c>
      <c r="P516" s="68">
        <f t="shared" si="117"/>
        <v>19596.200000000004</v>
      </c>
      <c r="Q516" s="68">
        <f>D516*P516</f>
        <v>6839073.8000000017</v>
      </c>
      <c r="R516" s="127">
        <f>F516*P516</f>
        <v>6839073.8000000017</v>
      </c>
      <c r="S516" s="26"/>
    </row>
    <row r="517" spans="1:19">
      <c r="A517" s="123"/>
      <c r="B517" s="254" t="s">
        <v>820</v>
      </c>
      <c r="C517" s="42" t="s">
        <v>8</v>
      </c>
      <c r="D517" s="351">
        <v>439</v>
      </c>
      <c r="E517" s="124"/>
      <c r="F517" s="351">
        <v>439</v>
      </c>
      <c r="G517" s="351" t="s">
        <v>2735</v>
      </c>
      <c r="H517" s="351"/>
      <c r="I517" s="351" t="s">
        <v>2681</v>
      </c>
      <c r="J517" s="351" t="s">
        <v>2328</v>
      </c>
      <c r="K517" s="311">
        <v>2343.6200000000003</v>
      </c>
      <c r="L517" s="311">
        <v>0</v>
      </c>
      <c r="M517" s="311">
        <v>14690.000000000002</v>
      </c>
      <c r="N517" s="311">
        <v>1507.4</v>
      </c>
      <c r="O517" s="311">
        <v>1055.18</v>
      </c>
      <c r="P517" s="68">
        <f t="shared" si="117"/>
        <v>19596.200000000004</v>
      </c>
      <c r="Q517" s="68">
        <f>D517*P517</f>
        <v>8602731.8000000026</v>
      </c>
      <c r="R517" s="127">
        <f>F517*P517</f>
        <v>8602731.8000000026</v>
      </c>
      <c r="S517" s="26"/>
    </row>
    <row r="518" spans="1:19">
      <c r="A518" s="123"/>
      <c r="B518" s="254" t="s">
        <v>821</v>
      </c>
      <c r="C518" s="42" t="s">
        <v>8</v>
      </c>
      <c r="D518" s="351">
        <v>1225</v>
      </c>
      <c r="E518" s="124"/>
      <c r="F518" s="351">
        <v>1225</v>
      </c>
      <c r="G518" s="351" t="s">
        <v>2736</v>
      </c>
      <c r="H518" s="351"/>
      <c r="I518" s="351" t="s">
        <v>2681</v>
      </c>
      <c r="J518" s="351" t="s">
        <v>2328</v>
      </c>
      <c r="K518" s="311">
        <v>1652.06</v>
      </c>
      <c r="L518" s="311">
        <v>0</v>
      </c>
      <c r="M518" s="311">
        <v>12122.640000000001</v>
      </c>
      <c r="N518" s="311">
        <v>1219</v>
      </c>
      <c r="O518" s="311">
        <v>853.30000000000007</v>
      </c>
      <c r="P518" s="68">
        <f t="shared" si="117"/>
        <v>15847</v>
      </c>
      <c r="Q518" s="68">
        <f>D518*P518</f>
        <v>19412575</v>
      </c>
      <c r="R518" s="127">
        <f>F518*P518</f>
        <v>19412575</v>
      </c>
      <c r="S518" s="26"/>
    </row>
    <row r="519" spans="1:19">
      <c r="A519" s="123" t="s">
        <v>736</v>
      </c>
      <c r="B519" s="254" t="s">
        <v>959</v>
      </c>
      <c r="C519" s="42"/>
      <c r="D519" s="351"/>
      <c r="E519" s="124"/>
      <c r="F519" s="351"/>
      <c r="G519" s="334"/>
      <c r="H519" s="334"/>
      <c r="I519" s="334"/>
      <c r="J519" s="334"/>
      <c r="K519" s="127"/>
      <c r="L519" s="127"/>
      <c r="M519" s="127"/>
      <c r="N519" s="127"/>
      <c r="O519" s="127"/>
      <c r="P519" s="127"/>
      <c r="Q519" s="127"/>
      <c r="R519" s="127"/>
      <c r="S519" s="331"/>
    </row>
    <row r="520" spans="1:19">
      <c r="A520" s="123"/>
      <c r="B520" s="254" t="s">
        <v>790</v>
      </c>
      <c r="C520" s="42" t="s">
        <v>8</v>
      </c>
      <c r="D520" s="351">
        <v>5</v>
      </c>
      <c r="E520" s="124"/>
      <c r="F520" s="351">
        <v>5</v>
      </c>
      <c r="G520" s="351" t="s">
        <v>2943</v>
      </c>
      <c r="H520" s="351"/>
      <c r="I520" s="351" t="s">
        <v>2681</v>
      </c>
      <c r="J520" s="351" t="s">
        <v>2328</v>
      </c>
      <c r="K520" s="311">
        <v>113994.40000000001</v>
      </c>
      <c r="L520" s="311">
        <v>0</v>
      </c>
      <c r="M520" s="311">
        <v>33212.960000000006</v>
      </c>
      <c r="N520" s="311">
        <v>13027.2</v>
      </c>
      <c r="O520" s="311">
        <v>9119.0400000000009</v>
      </c>
      <c r="P520" s="68">
        <f t="shared" ref="P520:P523" si="118">SUM(K520:O520)</f>
        <v>169353.60000000003</v>
      </c>
      <c r="Q520" s="68">
        <f>D520*P520</f>
        <v>846768.00000000023</v>
      </c>
      <c r="R520" s="127">
        <f>F520*P520</f>
        <v>846768.00000000023</v>
      </c>
      <c r="S520" s="26"/>
    </row>
    <row r="521" spans="1:19">
      <c r="A521" s="123"/>
      <c r="B521" s="254" t="s">
        <v>791</v>
      </c>
      <c r="C521" s="42" t="s">
        <v>8</v>
      </c>
      <c r="D521" s="351">
        <v>586</v>
      </c>
      <c r="E521" s="124"/>
      <c r="F521" s="351">
        <v>586</v>
      </c>
      <c r="G521" s="351" t="s">
        <v>2944</v>
      </c>
      <c r="H521" s="351"/>
      <c r="I521" s="351" t="s">
        <v>2681</v>
      </c>
      <c r="J521" s="351" t="s">
        <v>2328</v>
      </c>
      <c r="K521" s="311">
        <v>115260</v>
      </c>
      <c r="L521" s="311">
        <v>0</v>
      </c>
      <c r="M521" s="311">
        <v>29380.000000000004</v>
      </c>
      <c r="N521" s="311">
        <v>12800</v>
      </c>
      <c r="O521" s="311">
        <v>8960</v>
      </c>
      <c r="P521" s="68">
        <f t="shared" si="118"/>
        <v>166400</v>
      </c>
      <c r="Q521" s="68">
        <f>D521*P521</f>
        <v>97510400</v>
      </c>
      <c r="R521" s="127">
        <f>F521*P521</f>
        <v>97510400</v>
      </c>
      <c r="S521" s="26"/>
    </row>
    <row r="522" spans="1:19">
      <c r="A522" s="123"/>
      <c r="B522" s="254" t="s">
        <v>792</v>
      </c>
      <c r="C522" s="42" t="s">
        <v>8</v>
      </c>
      <c r="D522" s="351">
        <v>683</v>
      </c>
      <c r="E522" s="124"/>
      <c r="F522" s="351">
        <v>683</v>
      </c>
      <c r="G522" s="351" t="s">
        <v>2945</v>
      </c>
      <c r="H522" s="351"/>
      <c r="I522" s="351" t="s">
        <v>2681</v>
      </c>
      <c r="J522" s="351" t="s">
        <v>2328</v>
      </c>
      <c r="K522" s="311">
        <v>80682.000000000015</v>
      </c>
      <c r="L522" s="311">
        <v>0</v>
      </c>
      <c r="M522" s="311">
        <v>24245.280000000002</v>
      </c>
      <c r="N522" s="311">
        <v>9285.6</v>
      </c>
      <c r="O522" s="311">
        <v>6499.920000000001</v>
      </c>
      <c r="P522" s="68">
        <f t="shared" si="118"/>
        <v>120712.80000000002</v>
      </c>
      <c r="Q522" s="68">
        <f>D522*P522</f>
        <v>82446842.400000006</v>
      </c>
      <c r="R522" s="127">
        <f>F522*P522</f>
        <v>82446842.400000006</v>
      </c>
      <c r="S522" s="26"/>
    </row>
    <row r="523" spans="1:19">
      <c r="A523" s="123"/>
      <c r="B523" s="254" t="s">
        <v>530</v>
      </c>
      <c r="C523" s="42" t="s">
        <v>8</v>
      </c>
      <c r="D523" s="351">
        <v>1777</v>
      </c>
      <c r="E523" s="124"/>
      <c r="F523" s="351">
        <v>1777</v>
      </c>
      <c r="G523" s="351" t="s">
        <v>2946</v>
      </c>
      <c r="H523" s="351"/>
      <c r="I523" s="351" t="s">
        <v>2681</v>
      </c>
      <c r="J523" s="351" t="s">
        <v>2328</v>
      </c>
      <c r="K523" s="311">
        <v>69924.399999999994</v>
      </c>
      <c r="L523" s="311">
        <v>0</v>
      </c>
      <c r="M523" s="311">
        <v>20864.320000000003</v>
      </c>
      <c r="N523" s="311">
        <v>8034.4000000000005</v>
      </c>
      <c r="O523" s="311">
        <v>5624.0800000000008</v>
      </c>
      <c r="P523" s="68">
        <f t="shared" si="118"/>
        <v>104447.2</v>
      </c>
      <c r="Q523" s="68">
        <f>D523*P523</f>
        <v>185602674.40000001</v>
      </c>
      <c r="R523" s="127">
        <f>F523*P523</f>
        <v>185602674.40000001</v>
      </c>
      <c r="S523" s="26"/>
    </row>
    <row r="524" spans="1:19">
      <c r="A524" s="123" t="s">
        <v>960</v>
      </c>
      <c r="B524" s="254" t="s">
        <v>937</v>
      </c>
      <c r="C524" s="42"/>
      <c r="D524" s="351"/>
      <c r="E524" s="124"/>
      <c r="F524" s="351"/>
      <c r="G524" s="26"/>
      <c r="H524" s="26"/>
      <c r="I524" s="26"/>
      <c r="J524" s="26"/>
      <c r="K524" s="66"/>
      <c r="L524" s="66"/>
      <c r="M524" s="66"/>
      <c r="N524" s="66"/>
      <c r="O524" s="66"/>
      <c r="P524" s="66"/>
      <c r="Q524" s="66"/>
      <c r="R524" s="66"/>
      <c r="S524" s="26"/>
    </row>
    <row r="525" spans="1:19">
      <c r="A525" s="123"/>
      <c r="B525" s="254" t="s">
        <v>790</v>
      </c>
      <c r="C525" s="42" t="s">
        <v>8</v>
      </c>
      <c r="D525" s="351">
        <v>1</v>
      </c>
      <c r="E525" s="124"/>
      <c r="F525" s="351">
        <v>1</v>
      </c>
      <c r="G525" s="351" t="s">
        <v>2759</v>
      </c>
      <c r="H525" s="351"/>
      <c r="I525" s="351" t="s">
        <v>2681</v>
      </c>
      <c r="J525" s="351" t="s">
        <v>2328</v>
      </c>
      <c r="K525" s="311">
        <v>4456.72</v>
      </c>
      <c r="L525" s="311">
        <v>0</v>
      </c>
      <c r="M525" s="311">
        <v>16606.480000000003</v>
      </c>
      <c r="N525" s="311">
        <v>1864</v>
      </c>
      <c r="O525" s="311">
        <v>1304.8000000000002</v>
      </c>
      <c r="P525" s="68">
        <f t="shared" ref="P525:P532" si="119">SUM(K525:O525)</f>
        <v>24232.000000000004</v>
      </c>
      <c r="Q525" s="68">
        <f t="shared" ref="Q525:Q532" si="120">D525*P525</f>
        <v>24232.000000000004</v>
      </c>
      <c r="R525" s="127">
        <f t="shared" ref="R525:R532" si="121">F525*P525</f>
        <v>24232.000000000004</v>
      </c>
      <c r="S525" s="26"/>
    </row>
    <row r="526" spans="1:19">
      <c r="A526" s="123"/>
      <c r="B526" s="254" t="s">
        <v>791</v>
      </c>
      <c r="C526" s="42" t="s">
        <v>8</v>
      </c>
      <c r="D526" s="351">
        <v>520</v>
      </c>
      <c r="E526" s="124"/>
      <c r="F526" s="351">
        <v>520</v>
      </c>
      <c r="G526" s="351" t="s">
        <v>2760</v>
      </c>
      <c r="H526" s="351"/>
      <c r="I526" s="351" t="s">
        <v>2681</v>
      </c>
      <c r="J526" s="351" t="s">
        <v>2328</v>
      </c>
      <c r="K526" s="311">
        <v>2766.2400000000002</v>
      </c>
      <c r="L526" s="311">
        <v>0</v>
      </c>
      <c r="M526" s="311">
        <v>14690.000000000002</v>
      </c>
      <c r="N526" s="311">
        <v>1544.8000000000002</v>
      </c>
      <c r="O526" s="311">
        <v>1081.3600000000001</v>
      </c>
      <c r="P526" s="68">
        <f t="shared" si="119"/>
        <v>20082.400000000001</v>
      </c>
      <c r="Q526" s="68">
        <f t="shared" si="120"/>
        <v>10442848</v>
      </c>
      <c r="R526" s="127">
        <f t="shared" si="121"/>
        <v>10442848</v>
      </c>
      <c r="S526" s="26"/>
    </row>
    <row r="527" spans="1:19">
      <c r="A527" s="123"/>
      <c r="B527" s="254" t="s">
        <v>792</v>
      </c>
      <c r="C527" s="42" t="s">
        <v>8</v>
      </c>
      <c r="D527" s="351">
        <v>520</v>
      </c>
      <c r="E527" s="124"/>
      <c r="F527" s="351">
        <v>520</v>
      </c>
      <c r="G527" s="351" t="s">
        <v>2761</v>
      </c>
      <c r="H527" s="351"/>
      <c r="I527" s="351" t="s">
        <v>2681</v>
      </c>
      <c r="J527" s="351" t="s">
        <v>2328</v>
      </c>
      <c r="K527" s="311">
        <v>1805.74</v>
      </c>
      <c r="L527" s="311">
        <v>0</v>
      </c>
      <c r="M527" s="311">
        <v>14690.000000000002</v>
      </c>
      <c r="N527" s="311">
        <v>1459.8000000000002</v>
      </c>
      <c r="O527" s="311">
        <v>1021.8600000000001</v>
      </c>
      <c r="P527" s="68">
        <f t="shared" si="119"/>
        <v>18977.400000000001</v>
      </c>
      <c r="Q527" s="68">
        <f t="shared" si="120"/>
        <v>9868248</v>
      </c>
      <c r="R527" s="127">
        <f t="shared" si="121"/>
        <v>9868248</v>
      </c>
      <c r="S527" s="26"/>
    </row>
    <row r="528" spans="1:19">
      <c r="A528" s="123"/>
      <c r="B528" s="254" t="s">
        <v>530</v>
      </c>
      <c r="C528" s="42" t="s">
        <v>8</v>
      </c>
      <c r="D528" s="351">
        <v>6500</v>
      </c>
      <c r="E528" s="124"/>
      <c r="F528" s="351">
        <v>6500</v>
      </c>
      <c r="G528" s="351" t="s">
        <v>2762</v>
      </c>
      <c r="H528" s="351"/>
      <c r="I528" s="351" t="s">
        <v>2681</v>
      </c>
      <c r="J528" s="351" t="s">
        <v>2328</v>
      </c>
      <c r="K528" s="311">
        <v>1075.76</v>
      </c>
      <c r="L528" s="311">
        <v>0</v>
      </c>
      <c r="M528" s="311">
        <v>12122.640000000001</v>
      </c>
      <c r="N528" s="311">
        <v>1168</v>
      </c>
      <c r="O528" s="311">
        <v>817.6</v>
      </c>
      <c r="P528" s="68">
        <f t="shared" si="119"/>
        <v>15184.000000000002</v>
      </c>
      <c r="Q528" s="68">
        <f t="shared" si="120"/>
        <v>98696000.000000015</v>
      </c>
      <c r="R528" s="127">
        <f t="shared" si="121"/>
        <v>98696000.000000015</v>
      </c>
      <c r="S528" s="26"/>
    </row>
    <row r="529" spans="1:19">
      <c r="A529" s="123" t="s">
        <v>961</v>
      </c>
      <c r="B529" s="254" t="s">
        <v>962</v>
      </c>
      <c r="C529" s="42" t="s">
        <v>8</v>
      </c>
      <c r="D529" s="351">
        <v>7364</v>
      </c>
      <c r="E529" s="124"/>
      <c r="F529" s="351">
        <v>7364</v>
      </c>
      <c r="G529" s="351" t="s">
        <v>2947</v>
      </c>
      <c r="H529" s="351"/>
      <c r="I529" s="351" t="s">
        <v>2681</v>
      </c>
      <c r="J529" s="351" t="s">
        <v>2328</v>
      </c>
      <c r="K529" s="311">
        <v>14753.279999999999</v>
      </c>
      <c r="L529" s="311">
        <v>0</v>
      </c>
      <c r="M529" s="311">
        <v>12122.640000000001</v>
      </c>
      <c r="N529" s="311">
        <v>2378.4</v>
      </c>
      <c r="O529" s="311">
        <v>1664.88</v>
      </c>
      <c r="P529" s="68">
        <f t="shared" si="119"/>
        <v>30919.200000000001</v>
      </c>
      <c r="Q529" s="68">
        <f t="shared" si="120"/>
        <v>227688988.80000001</v>
      </c>
      <c r="R529" s="127">
        <f t="shared" si="121"/>
        <v>227688988.80000001</v>
      </c>
      <c r="S529" s="26"/>
    </row>
    <row r="530" spans="1:19">
      <c r="A530" s="123" t="s">
        <v>963</v>
      </c>
      <c r="B530" s="254" t="s">
        <v>964</v>
      </c>
      <c r="C530" s="42" t="s">
        <v>8</v>
      </c>
      <c r="D530" s="351">
        <v>8499</v>
      </c>
      <c r="E530" s="124"/>
      <c r="F530" s="351">
        <v>8499</v>
      </c>
      <c r="G530" s="351" t="s">
        <v>2948</v>
      </c>
      <c r="H530" s="351"/>
      <c r="I530" s="351" t="s">
        <v>2681</v>
      </c>
      <c r="J530" s="351" t="s">
        <v>2328</v>
      </c>
      <c r="K530" s="311">
        <v>820.38</v>
      </c>
      <c r="L530" s="311">
        <v>0</v>
      </c>
      <c r="M530" s="311">
        <v>3685.8545454545456</v>
      </c>
      <c r="N530" s="311">
        <v>398.78181818181815</v>
      </c>
      <c r="O530" s="311">
        <v>279.14727272727271</v>
      </c>
      <c r="P530" s="68">
        <f t="shared" si="119"/>
        <v>5184.1636363636371</v>
      </c>
      <c r="Q530" s="68">
        <f t="shared" si="120"/>
        <v>44060206.74545455</v>
      </c>
      <c r="R530" s="127">
        <f t="shared" si="121"/>
        <v>44060206.74545455</v>
      </c>
      <c r="S530" s="26"/>
    </row>
    <row r="531" spans="1:19">
      <c r="A531" s="123" t="s">
        <v>965</v>
      </c>
      <c r="B531" s="254" t="s">
        <v>966</v>
      </c>
      <c r="C531" s="42" t="s">
        <v>8</v>
      </c>
      <c r="D531" s="351">
        <v>3051</v>
      </c>
      <c r="E531" s="124"/>
      <c r="F531" s="351">
        <v>3051</v>
      </c>
      <c r="G531" s="351" t="s">
        <v>2949</v>
      </c>
      <c r="H531" s="351"/>
      <c r="I531" s="351"/>
      <c r="J531" s="351" t="s">
        <v>2374</v>
      </c>
      <c r="K531" s="311">
        <v>15820.000000000002</v>
      </c>
      <c r="L531" s="311">
        <v>0</v>
      </c>
      <c r="M531" s="311">
        <v>13175.8</v>
      </c>
      <c r="N531" s="311">
        <v>2566</v>
      </c>
      <c r="O531" s="311">
        <v>1796.2000000000003</v>
      </c>
      <c r="P531" s="68">
        <f t="shared" si="119"/>
        <v>33358</v>
      </c>
      <c r="Q531" s="68">
        <f t="shared" si="120"/>
        <v>101775258</v>
      </c>
      <c r="R531" s="127">
        <f t="shared" si="121"/>
        <v>101775258</v>
      </c>
      <c r="S531" s="331"/>
    </row>
    <row r="532" spans="1:19">
      <c r="A532" s="123">
        <v>11</v>
      </c>
      <c r="B532" s="254" t="s">
        <v>967</v>
      </c>
      <c r="C532" s="42" t="s">
        <v>78</v>
      </c>
      <c r="D532" s="351">
        <v>1</v>
      </c>
      <c r="E532" s="124"/>
      <c r="F532" s="351">
        <v>1</v>
      </c>
      <c r="G532" s="26"/>
      <c r="H532" s="26"/>
      <c r="I532" s="26"/>
      <c r="J532" s="26" t="s">
        <v>2381</v>
      </c>
      <c r="K532" s="311">
        <v>172740656.42400002</v>
      </c>
      <c r="L532" s="311">
        <v>0</v>
      </c>
      <c r="M532" s="311">
        <v>325155021.94763643</v>
      </c>
      <c r="N532" s="311">
        <v>42194549.014545463</v>
      </c>
      <c r="O532" s="311">
        <v>29536184.310181823</v>
      </c>
      <c r="P532" s="68">
        <f t="shared" si="119"/>
        <v>569626411.69636381</v>
      </c>
      <c r="Q532" s="68">
        <f t="shared" si="120"/>
        <v>569626411.69636381</v>
      </c>
      <c r="R532" s="127">
        <f t="shared" si="121"/>
        <v>569626411.69636381</v>
      </c>
      <c r="S532" s="26"/>
    </row>
    <row r="533" spans="1:19" s="122" customFormat="1" ht="14.25">
      <c r="A533" s="119" t="s">
        <v>1763</v>
      </c>
      <c r="B533" s="1" t="s">
        <v>968</v>
      </c>
      <c r="C533" s="120"/>
      <c r="D533" s="350"/>
      <c r="E533" s="121"/>
      <c r="F533" s="350"/>
      <c r="G533" s="24"/>
      <c r="H533" s="24"/>
      <c r="I533" s="24"/>
      <c r="J533" s="24"/>
      <c r="K533" s="65"/>
      <c r="L533" s="65"/>
      <c r="M533" s="65"/>
      <c r="N533" s="65"/>
      <c r="O533" s="65"/>
      <c r="P533" s="65"/>
      <c r="Q533" s="65"/>
      <c r="R533" s="65"/>
      <c r="S533" s="24"/>
    </row>
    <row r="534" spans="1:19">
      <c r="A534" s="123">
        <v>1</v>
      </c>
      <c r="B534" s="254" t="s">
        <v>969</v>
      </c>
      <c r="C534" s="42"/>
      <c r="D534" s="351"/>
      <c r="E534" s="124"/>
      <c r="F534" s="351"/>
      <c r="G534" s="26"/>
      <c r="H534" s="26"/>
      <c r="I534" s="26"/>
      <c r="J534" s="26"/>
      <c r="K534" s="66"/>
      <c r="L534" s="66"/>
      <c r="M534" s="66"/>
      <c r="N534" s="66"/>
      <c r="O534" s="66"/>
      <c r="P534" s="66"/>
      <c r="Q534" s="66"/>
      <c r="R534" s="66"/>
      <c r="S534" s="26"/>
    </row>
    <row r="535" spans="1:19">
      <c r="A535" s="123"/>
      <c r="B535" s="254" t="s">
        <v>785</v>
      </c>
      <c r="C535" s="42" t="s">
        <v>117</v>
      </c>
      <c r="D535" s="351">
        <v>3535</v>
      </c>
      <c r="E535" s="124" t="s">
        <v>876</v>
      </c>
      <c r="F535" s="351">
        <v>3535</v>
      </c>
      <c r="G535" s="351" t="s">
        <v>2815</v>
      </c>
      <c r="H535" s="351"/>
      <c r="I535" s="351" t="s">
        <v>2681</v>
      </c>
      <c r="J535" s="351" t="s">
        <v>2328</v>
      </c>
      <c r="K535" s="311">
        <v>86024.640000000014</v>
      </c>
      <c r="L535" s="311">
        <v>0</v>
      </c>
      <c r="M535" s="311">
        <v>36178.080000000002</v>
      </c>
      <c r="N535" s="311">
        <v>10814.400000000001</v>
      </c>
      <c r="O535" s="311">
        <v>7570.0800000000008</v>
      </c>
      <c r="P535" s="68">
        <f t="shared" ref="P535:P539" si="122">SUM(K535:O535)</f>
        <v>140587.20000000001</v>
      </c>
      <c r="Q535" s="68">
        <f>D535*P535</f>
        <v>496975752.00000006</v>
      </c>
      <c r="R535" s="127">
        <f>F535*P535</f>
        <v>496975752.00000006</v>
      </c>
      <c r="S535" s="26"/>
    </row>
    <row r="536" spans="1:19">
      <c r="A536" s="123"/>
      <c r="B536" s="254" t="s">
        <v>787</v>
      </c>
      <c r="C536" s="42" t="s">
        <v>117</v>
      </c>
      <c r="D536" s="351">
        <v>5080</v>
      </c>
      <c r="E536" s="124" t="s">
        <v>876</v>
      </c>
      <c r="F536" s="351">
        <v>5080</v>
      </c>
      <c r="G536" s="351" t="s">
        <v>2920</v>
      </c>
      <c r="H536" s="351"/>
      <c r="I536" s="351" t="s">
        <v>2681</v>
      </c>
      <c r="J536" s="351" t="s">
        <v>2328</v>
      </c>
      <c r="K536" s="311">
        <v>38256.15</v>
      </c>
      <c r="L536" s="311">
        <v>0</v>
      </c>
      <c r="M536" s="311">
        <v>25465.680000000004</v>
      </c>
      <c r="N536" s="311">
        <v>5639.1</v>
      </c>
      <c r="O536" s="311">
        <v>3947.3700000000003</v>
      </c>
      <c r="P536" s="68">
        <f t="shared" si="122"/>
        <v>73308.3</v>
      </c>
      <c r="Q536" s="68">
        <f>D536*P536</f>
        <v>372406164</v>
      </c>
      <c r="R536" s="127">
        <f>F536*P536</f>
        <v>372406164</v>
      </c>
      <c r="S536" s="26"/>
    </row>
    <row r="537" spans="1:19" s="131" customFormat="1">
      <c r="A537" s="126"/>
      <c r="B537" s="253" t="s">
        <v>915</v>
      </c>
      <c r="C537" s="126" t="s">
        <v>117</v>
      </c>
      <c r="D537" s="352">
        <v>796</v>
      </c>
      <c r="E537" s="130" t="s">
        <v>876</v>
      </c>
      <c r="F537" s="352">
        <v>796</v>
      </c>
      <c r="G537" s="351" t="s">
        <v>2921</v>
      </c>
      <c r="H537" s="351"/>
      <c r="I537" s="351" t="s">
        <v>2681</v>
      </c>
      <c r="J537" s="351" t="s">
        <v>2328</v>
      </c>
      <c r="K537" s="311">
        <v>26882.700000000004</v>
      </c>
      <c r="L537" s="311">
        <v>0</v>
      </c>
      <c r="M537" s="311">
        <v>24760.560000000001</v>
      </c>
      <c r="N537" s="311">
        <v>4570.2</v>
      </c>
      <c r="O537" s="311">
        <v>3199.1400000000003</v>
      </c>
      <c r="P537" s="68">
        <f t="shared" si="122"/>
        <v>59412.600000000006</v>
      </c>
      <c r="Q537" s="68">
        <f>D537*P537</f>
        <v>47292429.600000001</v>
      </c>
      <c r="R537" s="127">
        <f>F537*P537</f>
        <v>47292429.600000001</v>
      </c>
      <c r="S537" s="331"/>
    </row>
    <row r="538" spans="1:19">
      <c r="A538" s="123"/>
      <c r="B538" s="254" t="s">
        <v>916</v>
      </c>
      <c r="C538" s="42" t="s">
        <v>117</v>
      </c>
      <c r="D538" s="351">
        <v>7.5450000000000026</v>
      </c>
      <c r="E538" s="124" t="s">
        <v>876</v>
      </c>
      <c r="F538" s="351">
        <v>7.5450000000000026</v>
      </c>
      <c r="G538" s="351" t="s">
        <v>2956</v>
      </c>
      <c r="H538" s="351"/>
      <c r="I538" s="351" t="s">
        <v>2681</v>
      </c>
      <c r="J538" s="351" t="s">
        <v>2328</v>
      </c>
      <c r="K538" s="311">
        <v>16336.410000000002</v>
      </c>
      <c r="L538" s="311">
        <v>0</v>
      </c>
      <c r="M538" s="311">
        <v>22685.88</v>
      </c>
      <c r="N538" s="311">
        <v>3453.3</v>
      </c>
      <c r="O538" s="311">
        <v>2417.3100000000004</v>
      </c>
      <c r="P538" s="68">
        <f t="shared" si="122"/>
        <v>44892.9</v>
      </c>
      <c r="Q538" s="68">
        <f>D538*P538</f>
        <v>338716.93050000013</v>
      </c>
      <c r="R538" s="127">
        <f>F538*P538</f>
        <v>338716.93050000013</v>
      </c>
      <c r="S538" s="26"/>
    </row>
    <row r="539" spans="1:19">
      <c r="A539" s="123"/>
      <c r="B539" s="254" t="s">
        <v>917</v>
      </c>
      <c r="C539" s="42" t="s">
        <v>117</v>
      </c>
      <c r="D539" s="351">
        <v>1548</v>
      </c>
      <c r="E539" s="124" t="s">
        <v>876</v>
      </c>
      <c r="F539" s="351">
        <v>1548</v>
      </c>
      <c r="G539" s="351" t="s">
        <v>2955</v>
      </c>
      <c r="H539" s="351"/>
      <c r="I539" s="351" t="s">
        <v>2681</v>
      </c>
      <c r="J539" s="351" t="s">
        <v>2328</v>
      </c>
      <c r="K539" s="311">
        <v>13717.070000000002</v>
      </c>
      <c r="L539" s="311">
        <v>0</v>
      </c>
      <c r="M539" s="311">
        <v>18129.72</v>
      </c>
      <c r="N539" s="311">
        <v>2818.3</v>
      </c>
      <c r="O539" s="311">
        <v>1972.8100000000002</v>
      </c>
      <c r="P539" s="68">
        <f t="shared" si="122"/>
        <v>36637.9</v>
      </c>
      <c r="Q539" s="68">
        <f>D539*P539</f>
        <v>56715469.200000003</v>
      </c>
      <c r="R539" s="127">
        <f>F539*P539</f>
        <v>56715469.200000003</v>
      </c>
      <c r="S539" s="26"/>
    </row>
    <row r="540" spans="1:19">
      <c r="A540" s="123">
        <v>2</v>
      </c>
      <c r="B540" s="254" t="s">
        <v>970</v>
      </c>
      <c r="C540" s="42"/>
      <c r="D540" s="351"/>
      <c r="E540" s="124"/>
      <c r="F540" s="351"/>
      <c r="G540" s="26"/>
      <c r="H540" s="26"/>
      <c r="I540" s="26"/>
      <c r="J540" s="26"/>
      <c r="K540" s="66"/>
      <c r="L540" s="66"/>
      <c r="M540" s="66"/>
      <c r="N540" s="66"/>
      <c r="O540" s="66"/>
      <c r="P540" s="66"/>
      <c r="Q540" s="66"/>
      <c r="R540" s="66"/>
      <c r="S540" s="26"/>
    </row>
    <row r="541" spans="1:19">
      <c r="A541" s="123"/>
      <c r="B541" s="254" t="s">
        <v>916</v>
      </c>
      <c r="C541" s="42" t="s">
        <v>117</v>
      </c>
      <c r="D541" s="351">
        <v>3075</v>
      </c>
      <c r="E541" s="124" t="s">
        <v>876</v>
      </c>
      <c r="F541" s="351">
        <v>3075</v>
      </c>
      <c r="G541" s="351" t="s">
        <v>2823</v>
      </c>
      <c r="H541" s="351"/>
      <c r="I541" s="351" t="s">
        <v>2681</v>
      </c>
      <c r="J541" s="351" t="s">
        <v>2328</v>
      </c>
      <c r="K541" s="311">
        <v>14268.510000000002</v>
      </c>
      <c r="L541" s="311">
        <v>0</v>
      </c>
      <c r="M541" s="311">
        <v>22685.88</v>
      </c>
      <c r="N541" s="311">
        <v>3270.3</v>
      </c>
      <c r="O541" s="311">
        <v>2289.21</v>
      </c>
      <c r="P541" s="68">
        <f>SUM(K541:O541)</f>
        <v>42513.9</v>
      </c>
      <c r="Q541" s="68">
        <f>D541*P541</f>
        <v>130730242.5</v>
      </c>
      <c r="R541" s="127">
        <f>F541*P541</f>
        <v>130730242.5</v>
      </c>
      <c r="S541" s="26"/>
    </row>
    <row r="542" spans="1:19">
      <c r="A542" s="123">
        <v>3</v>
      </c>
      <c r="B542" s="254" t="s">
        <v>890</v>
      </c>
      <c r="C542" s="42"/>
      <c r="D542" s="351"/>
      <c r="E542" s="124"/>
      <c r="F542" s="351"/>
      <c r="G542" s="26"/>
      <c r="H542" s="26"/>
      <c r="I542" s="26"/>
      <c r="J542" s="26"/>
      <c r="K542" s="66"/>
      <c r="L542" s="66"/>
      <c r="M542" s="66"/>
      <c r="N542" s="66"/>
      <c r="O542" s="66"/>
      <c r="P542" s="66"/>
      <c r="Q542" s="66"/>
      <c r="R542" s="66"/>
      <c r="S542" s="26"/>
    </row>
    <row r="543" spans="1:19">
      <c r="A543" s="123"/>
      <c r="B543" s="254" t="s">
        <v>785</v>
      </c>
      <c r="C543" s="42" t="s">
        <v>8</v>
      </c>
      <c r="D543" s="351">
        <v>1238</v>
      </c>
      <c r="E543" s="124"/>
      <c r="F543" s="351">
        <v>1238</v>
      </c>
      <c r="G543" s="351" t="s">
        <v>2853</v>
      </c>
      <c r="H543" s="351"/>
      <c r="I543" s="351" t="s">
        <v>2681</v>
      </c>
      <c r="J543" s="351" t="s">
        <v>2328</v>
      </c>
      <c r="K543" s="311">
        <v>142181.12000000002</v>
      </c>
      <c r="L543" s="311">
        <v>0</v>
      </c>
      <c r="M543" s="311">
        <v>36963.327272727271</v>
      </c>
      <c r="N543" s="311">
        <v>15853.49090909091</v>
      </c>
      <c r="O543" s="311">
        <v>11097.443636363638</v>
      </c>
      <c r="P543" s="68">
        <f t="shared" ref="P543:P547" si="123">SUM(K543:O543)</f>
        <v>206095.38181818184</v>
      </c>
      <c r="Q543" s="68">
        <f>D543*P543</f>
        <v>255146082.69090912</v>
      </c>
      <c r="R543" s="127">
        <f>F543*P543</f>
        <v>255146082.69090912</v>
      </c>
      <c r="S543" s="26"/>
    </row>
    <row r="544" spans="1:19">
      <c r="A544" s="123"/>
      <c r="B544" s="254" t="s">
        <v>971</v>
      </c>
      <c r="C544" s="42" t="s">
        <v>8</v>
      </c>
      <c r="D544" s="351">
        <v>767</v>
      </c>
      <c r="E544" s="124"/>
      <c r="F544" s="351">
        <v>767</v>
      </c>
      <c r="G544" s="351" t="s">
        <v>3025</v>
      </c>
      <c r="H544" s="351"/>
      <c r="I544" s="351" t="s">
        <v>2681</v>
      </c>
      <c r="J544" s="351" t="s">
        <v>2328</v>
      </c>
      <c r="K544" s="311">
        <v>41202.060000000005</v>
      </c>
      <c r="L544" s="311">
        <v>0</v>
      </c>
      <c r="M544" s="311">
        <v>36963.327272727271</v>
      </c>
      <c r="N544" s="311">
        <v>6917.2909090909088</v>
      </c>
      <c r="O544" s="311">
        <v>4842.1036363636367</v>
      </c>
      <c r="P544" s="68">
        <f t="shared" si="123"/>
        <v>89924.781818181815</v>
      </c>
      <c r="Q544" s="68">
        <f>D544*P544</f>
        <v>68972307.654545456</v>
      </c>
      <c r="R544" s="127">
        <f>F544*P544</f>
        <v>68972307.654545456</v>
      </c>
      <c r="S544" s="26"/>
    </row>
    <row r="545" spans="1:19">
      <c r="A545" s="123"/>
      <c r="B545" s="254" t="s">
        <v>787</v>
      </c>
      <c r="C545" s="42" t="s">
        <v>8</v>
      </c>
      <c r="D545" s="351">
        <v>1322</v>
      </c>
      <c r="E545" s="124"/>
      <c r="F545" s="351">
        <v>1322</v>
      </c>
      <c r="G545" s="351" t="s">
        <v>3003</v>
      </c>
      <c r="H545" s="351"/>
      <c r="I545" s="351" t="s">
        <v>2681</v>
      </c>
      <c r="J545" s="351" t="s">
        <v>2328</v>
      </c>
      <c r="K545" s="311">
        <v>51057.920000000006</v>
      </c>
      <c r="L545" s="311">
        <v>0</v>
      </c>
      <c r="M545" s="311">
        <v>24019.69090909091</v>
      </c>
      <c r="N545" s="311">
        <v>6644.0363636363636</v>
      </c>
      <c r="O545" s="311">
        <v>4650.8254545454547</v>
      </c>
      <c r="P545" s="68">
        <f t="shared" si="123"/>
        <v>86372.472727272732</v>
      </c>
      <c r="Q545" s="68">
        <f>D545*P545</f>
        <v>114184408.94545455</v>
      </c>
      <c r="R545" s="127">
        <f>F545*P545</f>
        <v>114184408.94545455</v>
      </c>
      <c r="S545" s="26"/>
    </row>
    <row r="546" spans="1:19" s="131" customFormat="1">
      <c r="A546" s="126"/>
      <c r="B546" s="253" t="s">
        <v>1016</v>
      </c>
      <c r="C546" s="126" t="s">
        <v>8</v>
      </c>
      <c r="D546" s="352">
        <v>486</v>
      </c>
      <c r="E546" s="130"/>
      <c r="F546" s="352">
        <v>486</v>
      </c>
      <c r="G546" s="26" t="s">
        <v>3033</v>
      </c>
      <c r="H546" s="26"/>
      <c r="I546" s="351" t="s">
        <v>2681</v>
      </c>
      <c r="J546" s="351" t="s">
        <v>2328</v>
      </c>
      <c r="K546" s="311">
        <v>18955.750000000004</v>
      </c>
      <c r="L546" s="311">
        <v>0</v>
      </c>
      <c r="M546" s="311">
        <v>24019.69090909091</v>
      </c>
      <c r="N546" s="311">
        <v>3803.1363636363635</v>
      </c>
      <c r="O546" s="311">
        <v>2662.1954545454546</v>
      </c>
      <c r="P546" s="68">
        <f t="shared" si="123"/>
        <v>49440.772727272735</v>
      </c>
      <c r="Q546" s="68">
        <f>D546*P546</f>
        <v>24028215.545454551</v>
      </c>
      <c r="R546" s="127">
        <f>F546*P546</f>
        <v>24028215.545454551</v>
      </c>
      <c r="S546" s="338"/>
    </row>
    <row r="547" spans="1:19" ht="30">
      <c r="A547" s="123"/>
      <c r="B547" s="254" t="s">
        <v>974</v>
      </c>
      <c r="C547" s="42" t="s">
        <v>8</v>
      </c>
      <c r="D547" s="351">
        <v>760</v>
      </c>
      <c r="E547" s="124"/>
      <c r="F547" s="351">
        <v>760</v>
      </c>
      <c r="G547" s="351" t="s">
        <v>3004</v>
      </c>
      <c r="H547" s="351"/>
      <c r="I547" s="351" t="s">
        <v>2681</v>
      </c>
      <c r="J547" s="351" t="s">
        <v>2328</v>
      </c>
      <c r="K547" s="311">
        <v>57494.400000000009</v>
      </c>
      <c r="L547" s="311">
        <v>0</v>
      </c>
      <c r="M547" s="311">
        <v>24019.69090909091</v>
      </c>
      <c r="N547" s="311">
        <v>7213.636363636364</v>
      </c>
      <c r="O547" s="311">
        <v>5049.545454545455</v>
      </c>
      <c r="P547" s="68">
        <f t="shared" si="123"/>
        <v>93777.272727272735</v>
      </c>
      <c r="Q547" s="68">
        <f>D547*P547</f>
        <v>71270727.272727281</v>
      </c>
      <c r="R547" s="127">
        <f>F547*P547</f>
        <v>71270727.272727281</v>
      </c>
      <c r="S547" s="26"/>
    </row>
    <row r="548" spans="1:19">
      <c r="A548" s="123" t="s">
        <v>954</v>
      </c>
      <c r="B548" s="254" t="s">
        <v>975</v>
      </c>
      <c r="C548" s="42"/>
      <c r="D548" s="351"/>
      <c r="E548" s="124"/>
      <c r="F548" s="351"/>
      <c r="G548" s="26"/>
      <c r="H548" s="26"/>
      <c r="I548" s="26"/>
      <c r="J548" s="26"/>
      <c r="K548" s="66"/>
      <c r="L548" s="66"/>
      <c r="M548" s="66"/>
      <c r="N548" s="66"/>
      <c r="O548" s="66"/>
      <c r="P548" s="66"/>
      <c r="Q548" s="66"/>
      <c r="R548" s="66"/>
      <c r="S548" s="26"/>
    </row>
    <row r="549" spans="1:19">
      <c r="A549" s="123"/>
      <c r="B549" s="254" t="s">
        <v>785</v>
      </c>
      <c r="C549" s="42" t="s">
        <v>8</v>
      </c>
      <c r="D549" s="351">
        <v>4229</v>
      </c>
      <c r="E549" s="124"/>
      <c r="F549" s="351">
        <v>4229</v>
      </c>
      <c r="G549" s="351" t="s">
        <v>2864</v>
      </c>
      <c r="H549" s="351"/>
      <c r="I549" s="351" t="s">
        <v>2681</v>
      </c>
      <c r="J549" s="351" t="s">
        <v>2328</v>
      </c>
      <c r="K549" s="311">
        <v>50407.040000000008</v>
      </c>
      <c r="L549" s="311">
        <v>0</v>
      </c>
      <c r="M549" s="311">
        <v>24642.218181818182</v>
      </c>
      <c r="N549" s="311">
        <v>6641.5272727272722</v>
      </c>
      <c r="O549" s="311">
        <v>4649.0690909090908</v>
      </c>
      <c r="P549" s="68">
        <f t="shared" ref="P549:P552" si="124">SUM(K549:O549)</f>
        <v>86339.854545454553</v>
      </c>
      <c r="Q549" s="68">
        <f>D549*P549</f>
        <v>365131244.87272727</v>
      </c>
      <c r="R549" s="127">
        <f>F549*P549</f>
        <v>365131244.87272727</v>
      </c>
      <c r="S549" s="26"/>
    </row>
    <row r="550" spans="1:19">
      <c r="A550" s="123"/>
      <c r="B550" s="254" t="s">
        <v>787</v>
      </c>
      <c r="C550" s="42" t="s">
        <v>8</v>
      </c>
      <c r="D550" s="351">
        <v>11258</v>
      </c>
      <c r="E550" s="124"/>
      <c r="F550" s="351">
        <v>11258</v>
      </c>
      <c r="G550" s="351" t="s">
        <v>3005</v>
      </c>
      <c r="H550" s="351"/>
      <c r="I550" s="351" t="s">
        <v>2681</v>
      </c>
      <c r="J550" s="351" t="s">
        <v>2328</v>
      </c>
      <c r="K550" s="311">
        <v>26324.480000000003</v>
      </c>
      <c r="L550" s="311">
        <v>0</v>
      </c>
      <c r="M550" s="311">
        <v>16013.127272727274</v>
      </c>
      <c r="N550" s="311">
        <v>3746.6909090909089</v>
      </c>
      <c r="O550" s="311">
        <v>2622.6836363636367</v>
      </c>
      <c r="P550" s="68">
        <f t="shared" si="124"/>
        <v>48706.981818181826</v>
      </c>
      <c r="Q550" s="68">
        <f>D550*P550</f>
        <v>548343201.30909097</v>
      </c>
      <c r="R550" s="127">
        <f>F550*P550</f>
        <v>548343201.30909097</v>
      </c>
      <c r="S550" s="26"/>
    </row>
    <row r="551" spans="1:19" s="131" customFormat="1">
      <c r="A551" s="126"/>
      <c r="B551" s="253" t="s">
        <v>915</v>
      </c>
      <c r="C551" s="126" t="s">
        <v>8</v>
      </c>
      <c r="D551" s="352">
        <v>1040</v>
      </c>
      <c r="E551" s="130"/>
      <c r="F551" s="352">
        <v>1040</v>
      </c>
      <c r="G551" s="335" t="s">
        <v>2931</v>
      </c>
      <c r="H551" s="335"/>
      <c r="I551" s="351" t="s">
        <v>2681</v>
      </c>
      <c r="J551" s="351" t="s">
        <v>2328</v>
      </c>
      <c r="K551" s="311">
        <v>9788.0600000000013</v>
      </c>
      <c r="L551" s="311">
        <v>0</v>
      </c>
      <c r="M551" s="311">
        <v>14299.636363636364</v>
      </c>
      <c r="N551" s="311">
        <v>2131.6545454545458</v>
      </c>
      <c r="O551" s="311">
        <v>1492.1581818181821</v>
      </c>
      <c r="P551" s="68">
        <f t="shared" si="124"/>
        <v>27711.509090909094</v>
      </c>
      <c r="Q551" s="68">
        <f>D551*P551</f>
        <v>28819969.454545457</v>
      </c>
      <c r="R551" s="127">
        <f>F551*P551</f>
        <v>28819969.454545457</v>
      </c>
      <c r="S551" s="338"/>
    </row>
    <row r="552" spans="1:19">
      <c r="A552" s="123"/>
      <c r="B552" s="254" t="s">
        <v>917</v>
      </c>
      <c r="C552" s="42" t="s">
        <v>8</v>
      </c>
      <c r="D552" s="351">
        <v>2056</v>
      </c>
      <c r="E552" s="124"/>
      <c r="F552" s="351">
        <v>2056</v>
      </c>
      <c r="G552" s="351" t="s">
        <v>3006</v>
      </c>
      <c r="H552" s="351"/>
      <c r="I552" s="351" t="s">
        <v>2681</v>
      </c>
      <c r="J552" s="351" t="s">
        <v>2328</v>
      </c>
      <c r="K552" s="311">
        <v>2600.13</v>
      </c>
      <c r="L552" s="311">
        <v>0</v>
      </c>
      <c r="M552" s="311">
        <v>11378.072727272727</v>
      </c>
      <c r="N552" s="311">
        <v>1237.0090909090909</v>
      </c>
      <c r="O552" s="311">
        <v>865.90636363636361</v>
      </c>
      <c r="P552" s="68">
        <f t="shared" si="124"/>
        <v>16081.118181818183</v>
      </c>
      <c r="Q552" s="68">
        <f>D552*P552</f>
        <v>33062778.981818184</v>
      </c>
      <c r="R552" s="127">
        <f>F552*P552</f>
        <v>33062778.981818184</v>
      </c>
      <c r="S552" s="26"/>
    </row>
    <row r="553" spans="1:19">
      <c r="A553" s="123" t="s">
        <v>736</v>
      </c>
      <c r="B553" s="254" t="s">
        <v>920</v>
      </c>
      <c r="C553" s="42"/>
      <c r="D553" s="351"/>
      <c r="E553" s="124"/>
      <c r="F553" s="351"/>
      <c r="G553" s="26"/>
      <c r="H553" s="26"/>
      <c r="I553" s="26"/>
      <c r="J553" s="26"/>
      <c r="K553" s="66"/>
      <c r="L553" s="66"/>
      <c r="M553" s="66"/>
      <c r="N553" s="66"/>
      <c r="O553" s="66"/>
      <c r="P553" s="66"/>
      <c r="Q553" s="66"/>
      <c r="R553" s="66"/>
      <c r="S553" s="26"/>
    </row>
    <row r="554" spans="1:19">
      <c r="A554" s="123"/>
      <c r="B554" s="254" t="s">
        <v>916</v>
      </c>
      <c r="C554" s="42" t="s">
        <v>8</v>
      </c>
      <c r="D554" s="351">
        <v>2717</v>
      </c>
      <c r="E554" s="124"/>
      <c r="F554" s="351">
        <v>2717</v>
      </c>
      <c r="G554" s="351" t="s">
        <v>2991</v>
      </c>
      <c r="H554" s="351"/>
      <c r="I554" s="351" t="s">
        <v>2681</v>
      </c>
      <c r="J554" s="351" t="s">
        <v>2328</v>
      </c>
      <c r="K554" s="311">
        <v>5333.6</v>
      </c>
      <c r="L554" s="311">
        <v>0</v>
      </c>
      <c r="M554" s="311">
        <v>12031.418181818182</v>
      </c>
      <c r="N554" s="311">
        <v>1536.7272727272727</v>
      </c>
      <c r="O554" s="311">
        <v>1075.7090909090909</v>
      </c>
      <c r="P554" s="68">
        <f t="shared" ref="P554:P555" si="125">SUM(K554:O554)</f>
        <v>19977.454545454544</v>
      </c>
      <c r="Q554" s="68">
        <f>D554*P554</f>
        <v>54278744</v>
      </c>
      <c r="R554" s="127">
        <f>F554*P554</f>
        <v>54278744</v>
      </c>
      <c r="S554" s="26"/>
    </row>
    <row r="555" spans="1:19">
      <c r="A555" s="123"/>
      <c r="B555" s="254" t="s">
        <v>917</v>
      </c>
      <c r="C555" s="42" t="s">
        <v>8</v>
      </c>
      <c r="D555" s="351">
        <v>791</v>
      </c>
      <c r="E555" s="124"/>
      <c r="F555" s="351">
        <v>791</v>
      </c>
      <c r="G555" s="351" t="s">
        <v>3026</v>
      </c>
      <c r="H555" s="351"/>
      <c r="I555" s="351" t="s">
        <v>2681</v>
      </c>
      <c r="J555" s="351" t="s">
        <v>2328</v>
      </c>
      <c r="K555" s="311">
        <v>3400.170000000001</v>
      </c>
      <c r="L555" s="311">
        <v>0</v>
      </c>
      <c r="M555" s="311">
        <v>11378.072727272727</v>
      </c>
      <c r="N555" s="311">
        <v>1307.8090909090909</v>
      </c>
      <c r="O555" s="311">
        <v>915.46636363636367</v>
      </c>
      <c r="P555" s="68">
        <f t="shared" si="125"/>
        <v>17001.518181818185</v>
      </c>
      <c r="Q555" s="68">
        <f>D555*P555</f>
        <v>13448200.881818185</v>
      </c>
      <c r="R555" s="127">
        <f>F555*P555</f>
        <v>13448200.881818185</v>
      </c>
      <c r="S555" s="329"/>
    </row>
    <row r="556" spans="1:19">
      <c r="A556" s="123" t="s">
        <v>957</v>
      </c>
      <c r="B556" s="254" t="s">
        <v>927</v>
      </c>
      <c r="C556" s="42"/>
      <c r="D556" s="351"/>
      <c r="E556" s="124"/>
      <c r="F556" s="351"/>
      <c r="G556" s="26"/>
      <c r="H556" s="26"/>
      <c r="I556" s="26"/>
      <c r="J556" s="26"/>
      <c r="K556" s="66"/>
      <c r="L556" s="66"/>
      <c r="M556" s="66"/>
      <c r="N556" s="66"/>
      <c r="O556" s="66"/>
      <c r="P556" s="66"/>
      <c r="Q556" s="66"/>
      <c r="R556" s="66"/>
      <c r="S556" s="26"/>
    </row>
    <row r="557" spans="1:19">
      <c r="A557" s="123"/>
      <c r="B557" s="254" t="s">
        <v>976</v>
      </c>
      <c r="C557" s="42" t="s">
        <v>8</v>
      </c>
      <c r="D557" s="351">
        <v>741</v>
      </c>
      <c r="E557" s="124"/>
      <c r="F557" s="351">
        <v>741</v>
      </c>
      <c r="G557" s="351" t="s">
        <v>2982</v>
      </c>
      <c r="H557" s="351"/>
      <c r="I557" s="351" t="s">
        <v>2681</v>
      </c>
      <c r="J557" s="351" t="s">
        <v>2328</v>
      </c>
      <c r="K557" s="311">
        <v>59302.400000000009</v>
      </c>
      <c r="L557" s="311">
        <v>0</v>
      </c>
      <c r="M557" s="311">
        <v>36963.327272727271</v>
      </c>
      <c r="N557" s="311">
        <v>8519.0909090909099</v>
      </c>
      <c r="O557" s="311">
        <v>5963.3636363636369</v>
      </c>
      <c r="P557" s="68">
        <f t="shared" ref="P557:P560" si="126">SUM(K557:O557)</f>
        <v>110748.18181818182</v>
      </c>
      <c r="Q557" s="68">
        <f>D557*P557</f>
        <v>82064402.727272734</v>
      </c>
      <c r="R557" s="127">
        <f>F557*P557</f>
        <v>82064402.727272734</v>
      </c>
      <c r="S557" s="26"/>
    </row>
    <row r="558" spans="1:19">
      <c r="A558" s="123"/>
      <c r="B558" s="254" t="s">
        <v>977</v>
      </c>
      <c r="C558" s="42" t="s">
        <v>8</v>
      </c>
      <c r="D558" s="351">
        <v>1016</v>
      </c>
      <c r="E558" s="124"/>
      <c r="F558" s="351">
        <v>1016</v>
      </c>
      <c r="G558" s="351" t="s">
        <v>2984</v>
      </c>
      <c r="H558" s="351"/>
      <c r="I558" s="351" t="s">
        <v>2681</v>
      </c>
      <c r="J558" s="351" t="s">
        <v>2328</v>
      </c>
      <c r="K558" s="311">
        <v>39848.320000000007</v>
      </c>
      <c r="L558" s="311">
        <v>0</v>
      </c>
      <c r="M558" s="311">
        <v>30805.854545454546</v>
      </c>
      <c r="N558" s="311">
        <v>6252.5818181818177</v>
      </c>
      <c r="O558" s="311">
        <v>4376.8072727272729</v>
      </c>
      <c r="P558" s="68">
        <f t="shared" si="126"/>
        <v>81283.563636363644</v>
      </c>
      <c r="Q558" s="68">
        <f>D558*P558</f>
        <v>82584100.654545456</v>
      </c>
      <c r="R558" s="127">
        <f>F558*P558</f>
        <v>82584100.654545456</v>
      </c>
      <c r="S558" s="26"/>
    </row>
    <row r="559" spans="1:19">
      <c r="A559" s="123"/>
      <c r="B559" s="254" t="s">
        <v>978</v>
      </c>
      <c r="C559" s="42" t="s">
        <v>8</v>
      </c>
      <c r="D559" s="351">
        <v>498</v>
      </c>
      <c r="E559" s="124"/>
      <c r="F559" s="351">
        <v>498</v>
      </c>
      <c r="G559" s="351" t="s">
        <v>3011</v>
      </c>
      <c r="H559" s="351"/>
      <c r="I559" s="351" t="s">
        <v>2681</v>
      </c>
      <c r="J559" s="351" t="s">
        <v>2328</v>
      </c>
      <c r="K559" s="311">
        <v>28855.680000000004</v>
      </c>
      <c r="L559" s="311">
        <v>0</v>
      </c>
      <c r="M559" s="311">
        <v>24019.69090909091</v>
      </c>
      <c r="N559" s="311">
        <v>4679.2363636363634</v>
      </c>
      <c r="O559" s="311">
        <v>3275.4654545454546</v>
      </c>
      <c r="P559" s="68">
        <f t="shared" si="126"/>
        <v>60830.072727272731</v>
      </c>
      <c r="Q559" s="68">
        <f>D559*P559</f>
        <v>30293376.218181819</v>
      </c>
      <c r="R559" s="127">
        <f>F559*P559</f>
        <v>30293376.218181819</v>
      </c>
      <c r="S559" s="26"/>
    </row>
    <row r="560" spans="1:19">
      <c r="A560" s="123"/>
      <c r="B560" s="254" t="s">
        <v>916</v>
      </c>
      <c r="C560" s="42" t="s">
        <v>8</v>
      </c>
      <c r="D560" s="351">
        <v>396</v>
      </c>
      <c r="E560" s="124"/>
      <c r="F560" s="351">
        <v>396</v>
      </c>
      <c r="G560" s="351" t="s">
        <v>3012</v>
      </c>
      <c r="H560" s="351"/>
      <c r="I560" s="351" t="s">
        <v>2681</v>
      </c>
      <c r="J560" s="351" t="s">
        <v>2328</v>
      </c>
      <c r="K560" s="311">
        <v>6667.0000000000018</v>
      </c>
      <c r="L560" s="311">
        <v>0</v>
      </c>
      <c r="M560" s="311">
        <v>18047.127272727274</v>
      </c>
      <c r="N560" s="311">
        <v>2187.0909090909095</v>
      </c>
      <c r="O560" s="311">
        <v>1530.9636363636366</v>
      </c>
      <c r="P560" s="68">
        <f t="shared" si="126"/>
        <v>28432.18181818182</v>
      </c>
      <c r="Q560" s="68">
        <f>D560*P560</f>
        <v>11259144</v>
      </c>
      <c r="R560" s="127">
        <f>F560*P560</f>
        <v>11259144</v>
      </c>
      <c r="S560" s="26"/>
    </row>
    <row r="561" spans="1:19">
      <c r="A561" s="123" t="s">
        <v>960</v>
      </c>
      <c r="B561" s="254" t="s">
        <v>937</v>
      </c>
      <c r="C561" s="42"/>
      <c r="D561" s="351"/>
      <c r="E561" s="124"/>
      <c r="F561" s="351"/>
      <c r="G561" s="26"/>
      <c r="H561" s="26"/>
      <c r="I561" s="26"/>
      <c r="J561" s="26"/>
      <c r="K561" s="66"/>
      <c r="L561" s="66"/>
      <c r="M561" s="66"/>
      <c r="N561" s="66"/>
      <c r="O561" s="66"/>
      <c r="P561" s="66"/>
      <c r="Q561" s="66"/>
      <c r="R561" s="66"/>
      <c r="S561" s="26"/>
    </row>
    <row r="562" spans="1:19">
      <c r="A562" s="123"/>
      <c r="B562" s="254" t="s">
        <v>785</v>
      </c>
      <c r="C562" s="42" t="s">
        <v>8</v>
      </c>
      <c r="D562" s="351">
        <v>433</v>
      </c>
      <c r="E562" s="124"/>
      <c r="F562" s="351">
        <v>433</v>
      </c>
      <c r="G562" s="351" t="s">
        <v>2892</v>
      </c>
      <c r="H562" s="351"/>
      <c r="I562" s="351" t="s">
        <v>2681</v>
      </c>
      <c r="J562" s="351" t="s">
        <v>2328</v>
      </c>
      <c r="K562" s="311">
        <v>44983.039999999994</v>
      </c>
      <c r="L562" s="311">
        <v>0</v>
      </c>
      <c r="M562" s="311">
        <v>24642.218181818182</v>
      </c>
      <c r="N562" s="311">
        <v>6161.5272727272722</v>
      </c>
      <c r="O562" s="311">
        <v>4313.0690909090908</v>
      </c>
      <c r="P562" s="68">
        <f t="shared" ref="P562:P565" si="127">SUM(K562:O562)</f>
        <v>80099.854545454538</v>
      </c>
      <c r="Q562" s="68">
        <f>D562*P562</f>
        <v>34683237.018181816</v>
      </c>
      <c r="R562" s="127">
        <f>F562*P562</f>
        <v>34683237.018181816</v>
      </c>
      <c r="S562" s="26"/>
    </row>
    <row r="563" spans="1:19">
      <c r="A563" s="123"/>
      <c r="B563" s="254" t="s">
        <v>787</v>
      </c>
      <c r="C563" s="42" t="s">
        <v>8</v>
      </c>
      <c r="D563" s="351">
        <v>1068</v>
      </c>
      <c r="E563" s="124"/>
      <c r="F563" s="351">
        <v>1068</v>
      </c>
      <c r="G563" s="351" t="s">
        <v>3013</v>
      </c>
      <c r="H563" s="351"/>
      <c r="I563" s="351" t="s">
        <v>2681</v>
      </c>
      <c r="J563" s="351" t="s">
        <v>2328</v>
      </c>
      <c r="K563" s="311">
        <v>20249.599999999999</v>
      </c>
      <c r="L563" s="311">
        <v>0</v>
      </c>
      <c r="M563" s="311">
        <v>16013.127272727274</v>
      </c>
      <c r="N563" s="311">
        <v>3209.090909090909</v>
      </c>
      <c r="O563" s="311">
        <v>2246.3636363636365</v>
      </c>
      <c r="P563" s="68">
        <f t="shared" si="127"/>
        <v>41718.181818181823</v>
      </c>
      <c r="Q563" s="68">
        <f>D563*P563</f>
        <v>44555018.181818187</v>
      </c>
      <c r="R563" s="127">
        <f>F563*P563</f>
        <v>44555018.181818187</v>
      </c>
      <c r="S563" s="26"/>
    </row>
    <row r="564" spans="1:19">
      <c r="A564" s="123"/>
      <c r="B564" s="254" t="s">
        <v>916</v>
      </c>
      <c r="C564" s="42" t="s">
        <v>8</v>
      </c>
      <c r="D564" s="351">
        <v>634</v>
      </c>
      <c r="E564" s="124"/>
      <c r="F564" s="351">
        <v>634</v>
      </c>
      <c r="G564" s="351" t="s">
        <v>2994</v>
      </c>
      <c r="H564" s="351"/>
      <c r="I564" s="351" t="s">
        <v>2681</v>
      </c>
      <c r="J564" s="351" t="s">
        <v>2328</v>
      </c>
      <c r="K564" s="311">
        <v>2666.8</v>
      </c>
      <c r="L564" s="311">
        <v>0</v>
      </c>
      <c r="M564" s="311">
        <v>12031.418181818182</v>
      </c>
      <c r="N564" s="311">
        <v>1300.7272727272727</v>
      </c>
      <c r="O564" s="311">
        <v>910.5090909090909</v>
      </c>
      <c r="P564" s="68">
        <f t="shared" si="127"/>
        <v>16909.454545454544</v>
      </c>
      <c r="Q564" s="68">
        <f>D564*P564</f>
        <v>10720594.181818182</v>
      </c>
      <c r="R564" s="127">
        <f>F564*P564</f>
        <v>10720594.181818182</v>
      </c>
      <c r="S564" s="26"/>
    </row>
    <row r="565" spans="1:19">
      <c r="A565" s="123"/>
      <c r="B565" s="254" t="s">
        <v>917</v>
      </c>
      <c r="C565" s="42" t="s">
        <v>8</v>
      </c>
      <c r="D565" s="351">
        <v>503</v>
      </c>
      <c r="E565" s="124"/>
      <c r="F565" s="351">
        <v>503</v>
      </c>
      <c r="G565" s="351" t="s">
        <v>3014</v>
      </c>
      <c r="H565" s="351"/>
      <c r="I565" s="351" t="s">
        <v>2681</v>
      </c>
      <c r="J565" s="351" t="s">
        <v>2328</v>
      </c>
      <c r="K565" s="311">
        <v>2066.7700000000004</v>
      </c>
      <c r="L565" s="311">
        <v>0</v>
      </c>
      <c r="M565" s="311">
        <v>11378.072727272727</v>
      </c>
      <c r="N565" s="311">
        <v>1189.8090909090909</v>
      </c>
      <c r="O565" s="311">
        <v>832.86636363636364</v>
      </c>
      <c r="P565" s="68">
        <f t="shared" si="127"/>
        <v>15467.518181818183</v>
      </c>
      <c r="Q565" s="68">
        <f>D565*P565</f>
        <v>7780161.6454545455</v>
      </c>
      <c r="R565" s="127">
        <f>F565*P565</f>
        <v>7780161.6454545455</v>
      </c>
      <c r="S565" s="26"/>
    </row>
    <row r="566" spans="1:19">
      <c r="A566" s="123" t="s">
        <v>961</v>
      </c>
      <c r="B566" s="254" t="s">
        <v>979</v>
      </c>
      <c r="C566" s="42"/>
      <c r="D566" s="351"/>
      <c r="E566" s="124"/>
      <c r="F566" s="351"/>
      <c r="G566" s="26"/>
      <c r="H566" s="26"/>
      <c r="I566" s="26"/>
      <c r="J566" s="26"/>
      <c r="K566" s="66"/>
      <c r="L566" s="66"/>
      <c r="M566" s="66"/>
      <c r="N566" s="66"/>
      <c r="O566" s="66"/>
      <c r="P566" s="66"/>
      <c r="Q566" s="66"/>
      <c r="R566" s="66"/>
      <c r="S566" s="26"/>
    </row>
    <row r="567" spans="1:19">
      <c r="A567" s="123"/>
      <c r="B567" s="254" t="s">
        <v>917</v>
      </c>
      <c r="C567" s="42" t="s">
        <v>8</v>
      </c>
      <c r="D567" s="351">
        <v>772</v>
      </c>
      <c r="E567" s="124"/>
      <c r="F567" s="351">
        <v>772</v>
      </c>
      <c r="G567" s="351" t="s">
        <v>3015</v>
      </c>
      <c r="H567" s="351"/>
      <c r="I567" s="351" t="s">
        <v>2681</v>
      </c>
      <c r="J567" s="351" t="s">
        <v>2328</v>
      </c>
      <c r="K567" s="311">
        <v>30265.920000000002</v>
      </c>
      <c r="L567" s="311">
        <v>0</v>
      </c>
      <c r="M567" s="311">
        <v>18047.127272727274</v>
      </c>
      <c r="N567" s="311">
        <v>4275.4909090909086</v>
      </c>
      <c r="O567" s="311">
        <v>2992.8436363636365</v>
      </c>
      <c r="P567" s="68">
        <f>SUM(K567:O567)</f>
        <v>55581.381818181813</v>
      </c>
      <c r="Q567" s="68">
        <f>D567*P567</f>
        <v>42908826.763636358</v>
      </c>
      <c r="R567" s="127">
        <f>F567*P567</f>
        <v>42908826.763636358</v>
      </c>
      <c r="S567" s="26"/>
    </row>
    <row r="568" spans="1:19">
      <c r="A568" s="123"/>
      <c r="B568" s="254" t="s">
        <v>916</v>
      </c>
      <c r="C568" s="42" t="s">
        <v>8</v>
      </c>
      <c r="D568" s="351">
        <v>0</v>
      </c>
      <c r="E568" s="124"/>
      <c r="F568" s="351">
        <v>0</v>
      </c>
      <c r="G568" s="351"/>
      <c r="H568" s="351"/>
      <c r="I568" s="351"/>
      <c r="J568" s="351"/>
      <c r="K568" s="66"/>
      <c r="L568" s="66"/>
      <c r="M568" s="66"/>
      <c r="N568" s="66"/>
      <c r="O568" s="66"/>
      <c r="P568" s="66"/>
      <c r="Q568" s="66"/>
      <c r="R568" s="66"/>
      <c r="S568" s="26"/>
    </row>
    <row r="569" spans="1:19">
      <c r="A569" s="123" t="s">
        <v>963</v>
      </c>
      <c r="B569" s="254" t="s">
        <v>980</v>
      </c>
      <c r="C569" s="42"/>
      <c r="D569" s="351"/>
      <c r="E569" s="124"/>
      <c r="F569" s="351"/>
      <c r="G569" s="26"/>
      <c r="H569" s="26"/>
      <c r="I569" s="26"/>
      <c r="J569" s="26"/>
      <c r="K569" s="66"/>
      <c r="L569" s="66"/>
      <c r="M569" s="66"/>
      <c r="N569" s="66"/>
      <c r="O569" s="66"/>
      <c r="P569" s="66"/>
      <c r="Q569" s="66"/>
      <c r="R569" s="66"/>
      <c r="S569" s="26"/>
    </row>
    <row r="570" spans="1:19">
      <c r="A570" s="123"/>
      <c r="B570" s="254" t="s">
        <v>787</v>
      </c>
      <c r="C570" s="42" t="s">
        <v>8</v>
      </c>
      <c r="D570" s="351">
        <v>2169</v>
      </c>
      <c r="E570" s="124"/>
      <c r="F570" s="351">
        <v>2169</v>
      </c>
      <c r="G570" s="351" t="s">
        <v>3027</v>
      </c>
      <c r="H570" s="351"/>
      <c r="I570" s="351" t="s">
        <v>2681</v>
      </c>
      <c r="J570" s="351" t="s">
        <v>2328</v>
      </c>
      <c r="K570" s="311">
        <v>73332.48000000001</v>
      </c>
      <c r="L570" s="311">
        <v>0</v>
      </c>
      <c r="M570" s="311">
        <v>24019.69090909091</v>
      </c>
      <c r="N570" s="311">
        <v>8615.2363636363643</v>
      </c>
      <c r="O570" s="311">
        <v>6030.6654545454548</v>
      </c>
      <c r="P570" s="68">
        <f>SUM(K570:O570)</f>
        <v>111998.07272727274</v>
      </c>
      <c r="Q570" s="68">
        <f>D570*P570</f>
        <v>242923819.74545458</v>
      </c>
      <c r="R570" s="127">
        <f>F570*P570</f>
        <v>242923819.74545458</v>
      </c>
      <c r="S570" s="26"/>
    </row>
    <row r="571" spans="1:19">
      <c r="A571" s="123" t="s">
        <v>965</v>
      </c>
      <c r="B571" s="254" t="s">
        <v>981</v>
      </c>
      <c r="C571" s="42"/>
      <c r="D571" s="351"/>
      <c r="E571" s="124"/>
      <c r="F571" s="351"/>
      <c r="G571" s="26"/>
      <c r="H571" s="26"/>
      <c r="I571" s="26"/>
      <c r="J571" s="26"/>
      <c r="K571" s="66"/>
      <c r="L571" s="66"/>
      <c r="M571" s="66"/>
      <c r="N571" s="66"/>
      <c r="O571" s="66"/>
      <c r="P571" s="66"/>
      <c r="Q571" s="66"/>
      <c r="R571" s="66"/>
      <c r="S571" s="26"/>
    </row>
    <row r="572" spans="1:19" ht="30">
      <c r="A572" s="123"/>
      <c r="B572" s="254" t="s">
        <v>976</v>
      </c>
      <c r="C572" s="42" t="s">
        <v>8</v>
      </c>
      <c r="D572" s="351">
        <v>15</v>
      </c>
      <c r="E572" s="124"/>
      <c r="F572" s="351">
        <v>15</v>
      </c>
      <c r="G572" s="351" t="s">
        <v>3028</v>
      </c>
      <c r="H572" s="351"/>
      <c r="I572" s="351" t="s">
        <v>2681</v>
      </c>
      <c r="J572" s="351" t="s">
        <v>2328</v>
      </c>
      <c r="K572" s="311">
        <v>25661.170000000002</v>
      </c>
      <c r="L572" s="311">
        <v>0</v>
      </c>
      <c r="M572" s="311">
        <v>24642.218181818182</v>
      </c>
      <c r="N572" s="311">
        <v>4451.6272727272726</v>
      </c>
      <c r="O572" s="311">
        <v>3116.1390909090906</v>
      </c>
      <c r="P572" s="68">
        <f t="shared" ref="P572:P575" si="128">SUM(K572:O572)</f>
        <v>57871.154545454548</v>
      </c>
      <c r="Q572" s="68">
        <f>D572*P572</f>
        <v>868067.31818181823</v>
      </c>
      <c r="R572" s="127">
        <f>F572*P572</f>
        <v>868067.31818181823</v>
      </c>
      <c r="S572" s="26"/>
    </row>
    <row r="573" spans="1:19">
      <c r="A573" s="123"/>
      <c r="B573" s="254" t="s">
        <v>978</v>
      </c>
      <c r="C573" s="42" t="s">
        <v>8</v>
      </c>
      <c r="D573" s="351">
        <v>508</v>
      </c>
      <c r="E573" s="124"/>
      <c r="F573" s="351">
        <v>508</v>
      </c>
      <c r="G573" s="351" t="s">
        <v>3030</v>
      </c>
      <c r="H573" s="351"/>
      <c r="I573" s="351"/>
      <c r="J573" s="351"/>
      <c r="K573" s="311">
        <v>11703.410000000002</v>
      </c>
      <c r="L573" s="311">
        <v>0</v>
      </c>
      <c r="M573" s="311">
        <v>16013.127272727274</v>
      </c>
      <c r="N573" s="311">
        <v>2452.7909090909088</v>
      </c>
      <c r="O573" s="311">
        <v>1716.9536363636364</v>
      </c>
      <c r="P573" s="68">
        <f t="shared" si="128"/>
        <v>31886.281818181822</v>
      </c>
      <c r="Q573" s="68">
        <f>D573*P573</f>
        <v>16198231.163636366</v>
      </c>
      <c r="R573" s="127">
        <f>F573*P573</f>
        <v>16198231.163636366</v>
      </c>
      <c r="S573" s="26"/>
    </row>
    <row r="574" spans="1:19">
      <c r="A574" s="123"/>
      <c r="B574" s="254" t="s">
        <v>912</v>
      </c>
      <c r="C574" s="42" t="s">
        <v>8</v>
      </c>
      <c r="D574" s="351">
        <v>407</v>
      </c>
      <c r="E574" s="124"/>
      <c r="F574" s="351">
        <v>407</v>
      </c>
      <c r="G574" s="351" t="s">
        <v>3029</v>
      </c>
      <c r="H574" s="351"/>
      <c r="I574" s="351" t="s">
        <v>2681</v>
      </c>
      <c r="J574" s="351" t="s">
        <v>2328</v>
      </c>
      <c r="K574" s="311">
        <v>6436.4800000000005</v>
      </c>
      <c r="L574" s="311">
        <v>0</v>
      </c>
      <c r="M574" s="311">
        <v>16013.127272727274</v>
      </c>
      <c r="N574" s="311">
        <v>1986.6909090909089</v>
      </c>
      <c r="O574" s="311">
        <v>1390.6836363636364</v>
      </c>
      <c r="P574" s="68">
        <f t="shared" si="128"/>
        <v>25826.981818181819</v>
      </c>
      <c r="Q574" s="68">
        <f>D574*P574</f>
        <v>10511581.6</v>
      </c>
      <c r="R574" s="127">
        <f>F574*P574</f>
        <v>10511581.6</v>
      </c>
      <c r="S574" s="26"/>
    </row>
    <row r="575" spans="1:19" s="131" customFormat="1">
      <c r="A575" s="126"/>
      <c r="B575" s="253" t="s">
        <v>1016</v>
      </c>
      <c r="C575" s="126" t="s">
        <v>8</v>
      </c>
      <c r="D575" s="352">
        <v>193</v>
      </c>
      <c r="E575" s="130"/>
      <c r="F575" s="352">
        <v>193</v>
      </c>
      <c r="G575" s="351" t="s">
        <v>3031</v>
      </c>
      <c r="H575" s="14"/>
      <c r="I575" s="351" t="s">
        <v>2681</v>
      </c>
      <c r="J575" s="351" t="s">
        <v>2328</v>
      </c>
      <c r="K575" s="311">
        <v>6637.62</v>
      </c>
      <c r="L575" s="311">
        <v>0</v>
      </c>
      <c r="M575" s="311">
        <v>16013.127272727274</v>
      </c>
      <c r="N575" s="311">
        <v>2004.4909090909089</v>
      </c>
      <c r="O575" s="311">
        <v>1403.1436363636362</v>
      </c>
      <c r="P575" s="68">
        <f t="shared" si="128"/>
        <v>26058.381818181817</v>
      </c>
      <c r="Q575" s="68">
        <f>D575*P575</f>
        <v>5029267.6909090905</v>
      </c>
      <c r="R575" s="127">
        <f>F575*P575</f>
        <v>5029267.6909090905</v>
      </c>
      <c r="S575" s="199"/>
    </row>
    <row r="576" spans="1:19">
      <c r="A576" s="123" t="s">
        <v>982</v>
      </c>
      <c r="B576" s="254" t="s">
        <v>942</v>
      </c>
      <c r="C576" s="42"/>
      <c r="D576" s="351"/>
      <c r="E576" s="124"/>
      <c r="F576" s="351"/>
      <c r="G576" s="26"/>
      <c r="H576" s="26"/>
      <c r="I576" s="26"/>
      <c r="J576" s="26"/>
      <c r="K576" s="127"/>
      <c r="L576" s="127"/>
      <c r="M576" s="127"/>
      <c r="N576" s="127"/>
      <c r="O576" s="127"/>
      <c r="P576" s="127"/>
      <c r="Q576" s="127"/>
      <c r="R576" s="127"/>
      <c r="S576" s="30"/>
    </row>
    <row r="577" spans="1:19">
      <c r="A577" s="123"/>
      <c r="B577" s="254" t="s">
        <v>785</v>
      </c>
      <c r="C577" s="42" t="s">
        <v>8</v>
      </c>
      <c r="D577" s="351">
        <v>771</v>
      </c>
      <c r="E577" s="124"/>
      <c r="F577" s="351">
        <v>771</v>
      </c>
      <c r="G577" s="351" t="s">
        <v>2907</v>
      </c>
      <c r="H577" s="351"/>
      <c r="I577" s="351" t="s">
        <v>2681</v>
      </c>
      <c r="J577" s="351" t="s">
        <v>2328</v>
      </c>
      <c r="K577" s="311">
        <v>17573.760000000002</v>
      </c>
      <c r="L577" s="311">
        <v>0</v>
      </c>
      <c r="M577" s="311">
        <v>12321.109090909091</v>
      </c>
      <c r="N577" s="311">
        <v>2645.5636363636363</v>
      </c>
      <c r="O577" s="311">
        <v>1851.8945454545453</v>
      </c>
      <c r="P577" s="68">
        <f t="shared" ref="P577:P581" si="129">SUM(K577:O577)</f>
        <v>34392.327272727278</v>
      </c>
      <c r="Q577" s="68">
        <f>D577*P577</f>
        <v>26516484.327272732</v>
      </c>
      <c r="R577" s="127">
        <f>F577*P577</f>
        <v>26516484.327272732</v>
      </c>
      <c r="S577" s="329"/>
    </row>
    <row r="578" spans="1:19">
      <c r="A578" s="123"/>
      <c r="B578" s="254" t="s">
        <v>787</v>
      </c>
      <c r="C578" s="42" t="s">
        <v>8</v>
      </c>
      <c r="D578" s="351">
        <v>2165</v>
      </c>
      <c r="E578" s="124"/>
      <c r="F578" s="351">
        <v>2165</v>
      </c>
      <c r="G578" s="351" t="s">
        <v>3017</v>
      </c>
      <c r="H578" s="351"/>
      <c r="I578" s="351" t="s">
        <v>2681</v>
      </c>
      <c r="J578" s="351" t="s">
        <v>2328</v>
      </c>
      <c r="K578" s="311">
        <v>9112.3200000000015</v>
      </c>
      <c r="L578" s="311">
        <v>0</v>
      </c>
      <c r="M578" s="311">
        <v>8006.5636363636368</v>
      </c>
      <c r="N578" s="311">
        <v>1514.9454545454546</v>
      </c>
      <c r="O578" s="311">
        <v>1060.4618181818182</v>
      </c>
      <c r="P578" s="68">
        <f t="shared" si="129"/>
        <v>19694.290909090909</v>
      </c>
      <c r="Q578" s="68">
        <f>D578*P578</f>
        <v>42638139.81818182</v>
      </c>
      <c r="R578" s="127">
        <f>F578*P578</f>
        <v>42638139.81818182</v>
      </c>
      <c r="S578" s="15"/>
    </row>
    <row r="579" spans="1:19" s="131" customFormat="1">
      <c r="A579" s="126"/>
      <c r="B579" s="253" t="s">
        <v>915</v>
      </c>
      <c r="C579" s="126" t="s">
        <v>8</v>
      </c>
      <c r="D579" s="352">
        <v>680</v>
      </c>
      <c r="E579" s="130"/>
      <c r="F579" s="352">
        <v>680</v>
      </c>
      <c r="G579" s="351" t="s">
        <v>3018</v>
      </c>
      <c r="H579" s="351"/>
      <c r="I579" s="351" t="s">
        <v>2681</v>
      </c>
      <c r="J579" s="351" t="s">
        <v>2328</v>
      </c>
      <c r="K579" s="311">
        <v>7234.2599999999993</v>
      </c>
      <c r="L579" s="311">
        <v>0</v>
      </c>
      <c r="M579" s="311">
        <v>7149.818181818182</v>
      </c>
      <c r="N579" s="311">
        <v>1272.9272727272728</v>
      </c>
      <c r="O579" s="311">
        <v>891.04909090909086</v>
      </c>
      <c r="P579" s="68">
        <f t="shared" si="129"/>
        <v>16548.054545454546</v>
      </c>
      <c r="Q579" s="68">
        <f>D579*P579</f>
        <v>11252677.090909092</v>
      </c>
      <c r="R579" s="127">
        <f>F579*P579</f>
        <v>11252677.090909092</v>
      </c>
      <c r="S579" s="338"/>
    </row>
    <row r="580" spans="1:19">
      <c r="A580" s="123"/>
      <c r="B580" s="254" t="s">
        <v>916</v>
      </c>
      <c r="C580" s="42" t="s">
        <v>8</v>
      </c>
      <c r="D580" s="351">
        <v>503</v>
      </c>
      <c r="E580" s="124"/>
      <c r="F580" s="351">
        <v>503</v>
      </c>
      <c r="G580" s="351" t="s">
        <v>3036</v>
      </c>
      <c r="H580" s="351"/>
      <c r="I580" s="351" t="s">
        <v>2681</v>
      </c>
      <c r="J580" s="351" t="s">
        <v>2328</v>
      </c>
      <c r="K580" s="311">
        <v>2241.92</v>
      </c>
      <c r="L580" s="311">
        <v>0</v>
      </c>
      <c r="M580" s="311">
        <v>6015.7090909090912</v>
      </c>
      <c r="N580" s="311">
        <v>730.76363636363635</v>
      </c>
      <c r="O580" s="311">
        <v>511.53454545454548</v>
      </c>
      <c r="P580" s="68">
        <f t="shared" si="129"/>
        <v>9499.9272727272728</v>
      </c>
      <c r="Q580" s="68">
        <f>D580*P580</f>
        <v>4778463.418181818</v>
      </c>
      <c r="R580" s="127">
        <f>F580*P580</f>
        <v>4778463.418181818</v>
      </c>
      <c r="S580" s="18"/>
    </row>
    <row r="581" spans="1:19">
      <c r="A581" s="123"/>
      <c r="B581" s="254" t="s">
        <v>917</v>
      </c>
      <c r="C581" s="42" t="s">
        <v>8</v>
      </c>
      <c r="D581" s="351">
        <v>772</v>
      </c>
      <c r="E581" s="124"/>
      <c r="F581" s="351">
        <v>772</v>
      </c>
      <c r="G581" s="351" t="s">
        <v>3035</v>
      </c>
      <c r="H581" s="15"/>
      <c r="I581" s="351" t="s">
        <v>2681</v>
      </c>
      <c r="J581" s="351" t="s">
        <v>2328</v>
      </c>
      <c r="K581" s="311">
        <v>1518.7200000000003</v>
      </c>
      <c r="L581" s="311">
        <v>0</v>
      </c>
      <c r="M581" s="311">
        <v>5689.0363636363636</v>
      </c>
      <c r="N581" s="311">
        <v>637.85454545454547</v>
      </c>
      <c r="O581" s="311">
        <v>446.49818181818182</v>
      </c>
      <c r="P581" s="68">
        <f t="shared" si="129"/>
        <v>8292.1090909090908</v>
      </c>
      <c r="Q581" s="68">
        <f>D581*P581</f>
        <v>6401508.2181818178</v>
      </c>
      <c r="R581" s="127">
        <f>F581*P581</f>
        <v>6401508.2181818178</v>
      </c>
      <c r="S581" s="15"/>
    </row>
    <row r="582" spans="1:19" s="131" customFormat="1">
      <c r="A582" s="187"/>
      <c r="B582" s="253" t="s">
        <v>1953</v>
      </c>
      <c r="C582" s="126"/>
      <c r="D582" s="352"/>
      <c r="E582" s="130"/>
      <c r="F582" s="352"/>
      <c r="G582" s="18"/>
      <c r="H582" s="18"/>
      <c r="I582" s="18"/>
      <c r="J582" s="18"/>
      <c r="K582" s="80"/>
      <c r="L582" s="80"/>
      <c r="M582" s="80"/>
      <c r="N582" s="80"/>
      <c r="O582" s="80"/>
      <c r="P582" s="80"/>
      <c r="Q582" s="80"/>
      <c r="R582" s="80"/>
      <c r="S582" s="200"/>
    </row>
    <row r="583" spans="1:19" s="131" customFormat="1">
      <c r="A583" s="126"/>
      <c r="B583" s="253" t="s">
        <v>785</v>
      </c>
      <c r="C583" s="126" t="s">
        <v>8</v>
      </c>
      <c r="D583" s="352">
        <v>893</v>
      </c>
      <c r="E583" s="130"/>
      <c r="F583" s="352">
        <v>893</v>
      </c>
      <c r="G583" s="330" t="s">
        <v>3037</v>
      </c>
      <c r="H583" s="330"/>
      <c r="I583" s="351" t="s">
        <v>2681</v>
      </c>
      <c r="J583" s="351" t="s">
        <v>2328</v>
      </c>
      <c r="K583" s="311">
        <v>23567.279999999999</v>
      </c>
      <c r="L583" s="311">
        <v>0</v>
      </c>
      <c r="M583" s="311">
        <v>12321.109090909091</v>
      </c>
      <c r="N583" s="311">
        <v>3175.9636363636364</v>
      </c>
      <c r="O583" s="311">
        <v>2223.1745454545453</v>
      </c>
      <c r="P583" s="68">
        <f t="shared" ref="P583:P591" si="130">SUM(K583:O583)</f>
        <v>41287.527272727275</v>
      </c>
      <c r="Q583" s="68">
        <f t="shared" ref="Q583:Q591" si="131">D583*P583</f>
        <v>36869761.854545459</v>
      </c>
      <c r="R583" s="127">
        <f t="shared" ref="R583:R591" si="132">F583*P583</f>
        <v>36869761.854545459</v>
      </c>
      <c r="S583" s="525"/>
    </row>
    <row r="584" spans="1:19" s="131" customFormat="1">
      <c r="A584" s="126"/>
      <c r="B584" s="253" t="s">
        <v>787</v>
      </c>
      <c r="C584" s="126" t="s">
        <v>8</v>
      </c>
      <c r="D584" s="352">
        <v>966</v>
      </c>
      <c r="E584" s="130"/>
      <c r="F584" s="352">
        <v>966</v>
      </c>
      <c r="G584" s="330" t="s">
        <v>3038</v>
      </c>
      <c r="H584" s="330"/>
      <c r="I584" s="351" t="s">
        <v>2681</v>
      </c>
      <c r="J584" s="351" t="s">
        <v>2328</v>
      </c>
      <c r="K584" s="311">
        <v>12156.539999999999</v>
      </c>
      <c r="L584" s="311">
        <v>0</v>
      </c>
      <c r="M584" s="311">
        <v>8006.5636363636368</v>
      </c>
      <c r="N584" s="311">
        <v>1784.3454545454545</v>
      </c>
      <c r="O584" s="311">
        <v>1249.0418181818181</v>
      </c>
      <c r="P584" s="68">
        <f t="shared" si="130"/>
        <v>23196.49090909091</v>
      </c>
      <c r="Q584" s="68">
        <f t="shared" si="131"/>
        <v>22407810.218181819</v>
      </c>
      <c r="R584" s="127">
        <f t="shared" si="132"/>
        <v>22407810.218181819</v>
      </c>
      <c r="S584" s="525"/>
    </row>
    <row r="585" spans="1:19">
      <c r="A585" s="123">
        <v>12</v>
      </c>
      <c r="B585" s="254" t="s">
        <v>983</v>
      </c>
      <c r="C585" s="42" t="s">
        <v>78</v>
      </c>
      <c r="D585" s="351">
        <v>1</v>
      </c>
      <c r="E585" s="124"/>
      <c r="F585" s="351">
        <v>1</v>
      </c>
      <c r="G585" s="15"/>
      <c r="H585" s="15"/>
      <c r="I585" s="15"/>
      <c r="J585" s="15" t="s">
        <v>2381</v>
      </c>
      <c r="K585" s="311">
        <v>389828486.80734009</v>
      </c>
      <c r="L585" s="311">
        <v>0</v>
      </c>
      <c r="M585" s="311">
        <v>237276037.660211</v>
      </c>
      <c r="N585" s="311">
        <v>53144451.226063646</v>
      </c>
      <c r="O585" s="311">
        <v>37201115.858244553</v>
      </c>
      <c r="P585" s="68">
        <f t="shared" si="130"/>
        <v>717450091.55185926</v>
      </c>
      <c r="Q585" s="68">
        <f t="shared" si="131"/>
        <v>717450091.55185926</v>
      </c>
      <c r="R585" s="127">
        <f t="shared" si="132"/>
        <v>717450091.55185926</v>
      </c>
      <c r="S585" s="15"/>
    </row>
    <row r="586" spans="1:19" s="131" customFormat="1" ht="30">
      <c r="A586" s="126"/>
      <c r="B586" s="253" t="s">
        <v>2306</v>
      </c>
      <c r="C586" s="126" t="s">
        <v>8</v>
      </c>
      <c r="D586" s="352">
        <v>845</v>
      </c>
      <c r="E586" s="130"/>
      <c r="F586" s="352">
        <v>845</v>
      </c>
      <c r="G586" s="26"/>
      <c r="H586" s="26"/>
      <c r="I586" s="26"/>
      <c r="J586" s="15" t="s">
        <v>2381</v>
      </c>
      <c r="K586" s="311">
        <v>107802</v>
      </c>
      <c r="L586" s="311">
        <v>0</v>
      </c>
      <c r="M586" s="311">
        <v>87836.237360215397</v>
      </c>
      <c r="N586" s="311">
        <v>17313.11835046154</v>
      </c>
      <c r="O586" s="311">
        <v>12119.182845323077</v>
      </c>
      <c r="P586" s="68">
        <f t="shared" si="130"/>
        <v>225070.53855600001</v>
      </c>
      <c r="Q586" s="68">
        <f t="shared" si="131"/>
        <v>190184605.07982001</v>
      </c>
      <c r="R586" s="127">
        <f t="shared" si="132"/>
        <v>190184605.07982001</v>
      </c>
      <c r="S586" s="30"/>
    </row>
    <row r="587" spans="1:19" s="131" customFormat="1">
      <c r="A587" s="126"/>
      <c r="B587" s="253" t="s">
        <v>2304</v>
      </c>
      <c r="C587" s="126" t="s">
        <v>8</v>
      </c>
      <c r="D587" s="352">
        <v>49</v>
      </c>
      <c r="E587" s="130"/>
      <c r="F587" s="352">
        <v>49</v>
      </c>
      <c r="G587" s="26"/>
      <c r="H587" s="26"/>
      <c r="I587" s="26"/>
      <c r="J587" s="15" t="s">
        <v>2381</v>
      </c>
      <c r="K587" s="311">
        <v>82207.500000000015</v>
      </c>
      <c r="L587" s="311">
        <v>0</v>
      </c>
      <c r="M587" s="311">
        <v>87836.237360215397</v>
      </c>
      <c r="N587" s="311">
        <v>15048.11835046154</v>
      </c>
      <c r="O587" s="311">
        <v>10533.682845323077</v>
      </c>
      <c r="P587" s="68">
        <f t="shared" si="130"/>
        <v>195625.53855600001</v>
      </c>
      <c r="Q587" s="68">
        <f t="shared" si="131"/>
        <v>9585651.3892440014</v>
      </c>
      <c r="R587" s="127">
        <f t="shared" si="132"/>
        <v>9585651.3892440014</v>
      </c>
      <c r="S587" s="30"/>
    </row>
    <row r="588" spans="1:19" s="131" customFormat="1" ht="30">
      <c r="A588" s="126"/>
      <c r="B588" s="253" t="s">
        <v>1941</v>
      </c>
      <c r="C588" s="126" t="s">
        <v>8</v>
      </c>
      <c r="D588" s="352">
        <v>2845</v>
      </c>
      <c r="E588" s="130"/>
      <c r="F588" s="352">
        <v>2845</v>
      </c>
      <c r="G588" s="26"/>
      <c r="H588" s="26"/>
      <c r="I588" s="26"/>
      <c r="J588" s="15" t="s">
        <v>2381</v>
      </c>
      <c r="K588" s="311">
        <v>45030.500000000007</v>
      </c>
      <c r="L588" s="311">
        <v>0</v>
      </c>
      <c r="M588" s="311">
        <v>49511.5467756</v>
      </c>
      <c r="N588" s="311">
        <v>8366.5528119999999</v>
      </c>
      <c r="O588" s="311">
        <v>5856.5869684000008</v>
      </c>
      <c r="P588" s="68">
        <f t="shared" si="130"/>
        <v>108765.186556</v>
      </c>
      <c r="Q588" s="68">
        <f t="shared" si="131"/>
        <v>309436955.75182003</v>
      </c>
      <c r="R588" s="127">
        <f t="shared" si="132"/>
        <v>309436955.75182003</v>
      </c>
      <c r="S588" s="30"/>
    </row>
    <row r="589" spans="1:19" s="131" customFormat="1">
      <c r="A589" s="187"/>
      <c r="B589" s="253" t="s">
        <v>2301</v>
      </c>
      <c r="C589" s="126" t="s">
        <v>8</v>
      </c>
      <c r="D589" s="352">
        <v>845</v>
      </c>
      <c r="E589" s="130"/>
      <c r="F589" s="352">
        <v>845</v>
      </c>
      <c r="G589" s="26"/>
      <c r="H589" s="26"/>
      <c r="I589" s="26"/>
      <c r="J589" s="15" t="s">
        <v>2381</v>
      </c>
      <c r="K589" s="311">
        <v>84750.000000000015</v>
      </c>
      <c r="L589" s="311">
        <v>0</v>
      </c>
      <c r="M589" s="311">
        <v>75130.875000000015</v>
      </c>
      <c r="N589" s="311">
        <v>14148.75</v>
      </c>
      <c r="O589" s="311">
        <v>9904.1250000000018</v>
      </c>
      <c r="P589" s="68">
        <f t="shared" si="130"/>
        <v>183933.75000000003</v>
      </c>
      <c r="Q589" s="68">
        <f t="shared" si="131"/>
        <v>155424018.75000003</v>
      </c>
      <c r="R589" s="127">
        <f t="shared" si="132"/>
        <v>155424018.75000003</v>
      </c>
      <c r="S589" s="30"/>
    </row>
    <row r="590" spans="1:19" s="131" customFormat="1">
      <c r="A590" s="187"/>
      <c r="B590" s="253" t="s">
        <v>2302</v>
      </c>
      <c r="C590" s="126" t="s">
        <v>8</v>
      </c>
      <c r="D590" s="352">
        <v>49</v>
      </c>
      <c r="E590" s="130"/>
      <c r="F590" s="352">
        <v>49</v>
      </c>
      <c r="G590" s="26"/>
      <c r="H590" s="26"/>
      <c r="I590" s="26"/>
      <c r="J590" s="15" t="s">
        <v>2381</v>
      </c>
      <c r="K590" s="311">
        <v>79100.000000000015</v>
      </c>
      <c r="L590" s="311">
        <v>0</v>
      </c>
      <c r="M590" s="311">
        <v>53637.333333333343</v>
      </c>
      <c r="N590" s="311">
        <v>11746.666666666668</v>
      </c>
      <c r="O590" s="311">
        <v>8222.6666666666679</v>
      </c>
      <c r="P590" s="68">
        <f t="shared" si="130"/>
        <v>152706.66666666669</v>
      </c>
      <c r="Q590" s="68">
        <f t="shared" si="131"/>
        <v>7482626.6666666679</v>
      </c>
      <c r="R590" s="127">
        <f t="shared" si="132"/>
        <v>7482626.6666666679</v>
      </c>
      <c r="S590" s="30"/>
    </row>
    <row r="591" spans="1:19" s="131" customFormat="1">
      <c r="A591" s="187"/>
      <c r="B591" s="253" t="s">
        <v>2305</v>
      </c>
      <c r="C591" s="126" t="s">
        <v>8</v>
      </c>
      <c r="D591" s="352">
        <v>2845</v>
      </c>
      <c r="E591" s="130"/>
      <c r="F591" s="352">
        <v>2845</v>
      </c>
      <c r="G591" s="26"/>
      <c r="H591" s="26"/>
      <c r="I591" s="26"/>
      <c r="J591" s="15" t="s">
        <v>2381</v>
      </c>
      <c r="K591" s="311">
        <v>70625</v>
      </c>
      <c r="L591" s="311">
        <v>0</v>
      </c>
      <c r="M591" s="311">
        <v>41158.366666666676</v>
      </c>
      <c r="N591" s="311">
        <v>9892.3333333333358</v>
      </c>
      <c r="O591" s="311">
        <v>6924.633333333335</v>
      </c>
      <c r="P591" s="68">
        <f t="shared" si="130"/>
        <v>128600.33333333334</v>
      </c>
      <c r="Q591" s="68">
        <f t="shared" si="131"/>
        <v>365867948.33333337</v>
      </c>
      <c r="R591" s="127">
        <f t="shared" si="132"/>
        <v>365867948.33333337</v>
      </c>
      <c r="S591" s="30"/>
    </row>
    <row r="592" spans="1:19">
      <c r="A592" s="119" t="s">
        <v>1798</v>
      </c>
      <c r="B592" s="1" t="s">
        <v>984</v>
      </c>
      <c r="C592" s="42"/>
      <c r="D592" s="351"/>
      <c r="E592" s="124"/>
      <c r="F592" s="351"/>
      <c r="G592" s="18"/>
      <c r="H592" s="18"/>
      <c r="I592" s="18"/>
      <c r="J592" s="18"/>
      <c r="K592" s="65"/>
      <c r="L592" s="65"/>
      <c r="M592" s="65"/>
      <c r="N592" s="65"/>
      <c r="O592" s="65"/>
      <c r="P592" s="65"/>
      <c r="Q592" s="65"/>
      <c r="R592" s="65"/>
      <c r="S592" s="18"/>
    </row>
    <row r="593" spans="1:19" ht="135">
      <c r="A593" s="123"/>
      <c r="B593" s="254" t="s">
        <v>1975</v>
      </c>
      <c r="C593" s="42" t="s">
        <v>17</v>
      </c>
      <c r="D593" s="351">
        <v>594</v>
      </c>
      <c r="E593" s="124"/>
      <c r="F593" s="351">
        <v>594</v>
      </c>
      <c r="G593" s="351" t="s">
        <v>2953</v>
      </c>
      <c r="H593" s="351" t="s">
        <v>2950</v>
      </c>
      <c r="I593" s="351" t="s">
        <v>2951</v>
      </c>
      <c r="J593" s="351" t="s">
        <v>2381</v>
      </c>
      <c r="K593" s="311">
        <v>1998200</v>
      </c>
      <c r="L593" s="311">
        <v>168750</v>
      </c>
      <c r="M593" s="311">
        <v>297981.00000000006</v>
      </c>
      <c r="N593" s="311">
        <v>220370</v>
      </c>
      <c r="O593" s="311">
        <v>154259.00000000003</v>
      </c>
      <c r="P593" s="68">
        <f t="shared" ref="P593:P596" si="133">SUM(K593:O593)</f>
        <v>2839560</v>
      </c>
      <c r="Q593" s="68">
        <f t="shared" ref="Q593:Q609" si="134">D593*P593</f>
        <v>1686698640</v>
      </c>
      <c r="R593" s="127">
        <f t="shared" ref="R593:R609" si="135">F593*P593</f>
        <v>1686698640</v>
      </c>
      <c r="S593" s="15"/>
    </row>
    <row r="594" spans="1:19" ht="135">
      <c r="A594" s="123"/>
      <c r="B594" s="254" t="s">
        <v>1976</v>
      </c>
      <c r="C594" s="42" t="s">
        <v>17</v>
      </c>
      <c r="D594" s="351">
        <v>177</v>
      </c>
      <c r="E594" s="124"/>
      <c r="F594" s="351">
        <v>177</v>
      </c>
      <c r="G594" s="351" t="s">
        <v>2954</v>
      </c>
      <c r="H594" s="351" t="s">
        <v>2952</v>
      </c>
      <c r="I594" s="351" t="s">
        <v>2951</v>
      </c>
      <c r="J594" s="351" t="s">
        <v>2381</v>
      </c>
      <c r="K594" s="311">
        <v>2651220</v>
      </c>
      <c r="L594" s="311">
        <v>236250.00000000003</v>
      </c>
      <c r="M594" s="311">
        <v>326683.00000000006</v>
      </c>
      <c r="N594" s="311">
        <v>286310</v>
      </c>
      <c r="O594" s="311">
        <v>200417.00000000003</v>
      </c>
      <c r="P594" s="68">
        <f t="shared" si="133"/>
        <v>3700880</v>
      </c>
      <c r="Q594" s="68">
        <f t="shared" si="134"/>
        <v>655055760</v>
      </c>
      <c r="R594" s="127">
        <f t="shared" si="135"/>
        <v>655055760</v>
      </c>
      <c r="S594" s="37"/>
    </row>
    <row r="595" spans="1:19" s="131" customFormat="1" ht="30">
      <c r="A595" s="126"/>
      <c r="B595" s="253" t="s">
        <v>2298</v>
      </c>
      <c r="C595" s="42" t="s">
        <v>17</v>
      </c>
      <c r="D595" s="352">
        <v>630</v>
      </c>
      <c r="E595" s="124"/>
      <c r="F595" s="352">
        <v>630</v>
      </c>
      <c r="G595" s="351" t="s">
        <v>2779</v>
      </c>
      <c r="H595" s="351" t="s">
        <v>2780</v>
      </c>
      <c r="I595" s="351" t="s">
        <v>2781</v>
      </c>
      <c r="J595" s="351" t="s">
        <v>2328</v>
      </c>
      <c r="K595" s="311">
        <v>159650</v>
      </c>
      <c r="L595" s="311">
        <v>0</v>
      </c>
      <c r="M595" s="311">
        <v>37629.000000000007</v>
      </c>
      <c r="N595" s="311">
        <v>18830</v>
      </c>
      <c r="O595" s="311">
        <v>13181.000000000002</v>
      </c>
      <c r="P595" s="68">
        <f t="shared" si="133"/>
        <v>229290</v>
      </c>
      <c r="Q595" s="68">
        <f t="shared" si="134"/>
        <v>144452700</v>
      </c>
      <c r="R595" s="127">
        <f t="shared" si="135"/>
        <v>144452700</v>
      </c>
      <c r="S595" s="525"/>
    </row>
    <row r="596" spans="1:19" s="131" customFormat="1" ht="30">
      <c r="A596" s="126"/>
      <c r="B596" s="253" t="s">
        <v>2299</v>
      </c>
      <c r="C596" s="42" t="s">
        <v>17</v>
      </c>
      <c r="D596" s="352">
        <v>503</v>
      </c>
      <c r="E596" s="124"/>
      <c r="F596" s="352">
        <v>503</v>
      </c>
      <c r="G596" s="351" t="s">
        <v>2779</v>
      </c>
      <c r="H596" s="351" t="s">
        <v>2780</v>
      </c>
      <c r="I596" s="351" t="s">
        <v>2781</v>
      </c>
      <c r="J596" s="351" t="s">
        <v>2328</v>
      </c>
      <c r="K596" s="311">
        <v>159650</v>
      </c>
      <c r="L596" s="311">
        <v>0</v>
      </c>
      <c r="M596" s="311">
        <v>37629.000000000007</v>
      </c>
      <c r="N596" s="311">
        <v>18830</v>
      </c>
      <c r="O596" s="311">
        <v>13181.000000000002</v>
      </c>
      <c r="P596" s="68">
        <f t="shared" si="133"/>
        <v>229290</v>
      </c>
      <c r="Q596" s="68">
        <f t="shared" si="134"/>
        <v>115332870</v>
      </c>
      <c r="R596" s="127">
        <f t="shared" si="135"/>
        <v>115332870</v>
      </c>
      <c r="S596" s="526"/>
    </row>
    <row r="597" spans="1:19" ht="30">
      <c r="A597" s="123"/>
      <c r="B597" s="254" t="s">
        <v>985</v>
      </c>
      <c r="C597" s="42" t="s">
        <v>17</v>
      </c>
      <c r="D597" s="351">
        <v>771</v>
      </c>
      <c r="E597" s="694" t="s">
        <v>1020</v>
      </c>
      <c r="F597" s="351">
        <v>771</v>
      </c>
      <c r="G597" s="37"/>
      <c r="H597" s="37"/>
      <c r="I597" s="37"/>
      <c r="J597" s="530" t="s">
        <v>3197</v>
      </c>
      <c r="K597" s="311">
        <v>0</v>
      </c>
      <c r="L597" s="311">
        <v>0</v>
      </c>
      <c r="M597" s="311">
        <v>166600</v>
      </c>
      <c r="N597" s="311">
        <v>149940</v>
      </c>
      <c r="O597" s="311">
        <v>99960</v>
      </c>
      <c r="P597" s="68">
        <f t="shared" ref="P597" si="136">SUM(K597:O597)</f>
        <v>416500</v>
      </c>
      <c r="Q597" s="68">
        <f t="shared" si="134"/>
        <v>321121500</v>
      </c>
      <c r="R597" s="127">
        <f t="shared" si="135"/>
        <v>321121500</v>
      </c>
      <c r="S597" s="37"/>
    </row>
    <row r="598" spans="1:19" ht="30">
      <c r="A598" s="123"/>
      <c r="B598" s="254" t="s">
        <v>986</v>
      </c>
      <c r="C598" s="42" t="s">
        <v>17</v>
      </c>
      <c r="D598" s="351">
        <v>771</v>
      </c>
      <c r="E598" s="695"/>
      <c r="F598" s="351">
        <v>771</v>
      </c>
      <c r="G598" s="37"/>
      <c r="H598" s="37"/>
      <c r="I598" s="37"/>
      <c r="J598" s="530" t="s">
        <v>3197</v>
      </c>
      <c r="K598" s="311">
        <v>0</v>
      </c>
      <c r="L598" s="311">
        <v>0</v>
      </c>
      <c r="M598" s="311">
        <v>399720</v>
      </c>
      <c r="N598" s="311">
        <v>359748</v>
      </c>
      <c r="O598" s="311">
        <v>239832</v>
      </c>
      <c r="P598" s="68">
        <f t="shared" ref="P598:P609" si="137">SUM(K598:O598)</f>
        <v>999300</v>
      </c>
      <c r="Q598" s="68">
        <f t="shared" si="134"/>
        <v>770460300</v>
      </c>
      <c r="R598" s="127">
        <f t="shared" si="135"/>
        <v>770460300</v>
      </c>
      <c r="S598" s="37"/>
    </row>
    <row r="599" spans="1:19" ht="30">
      <c r="A599" s="123"/>
      <c r="B599" s="254" t="s">
        <v>987</v>
      </c>
      <c r="C599" s="42" t="s">
        <v>17</v>
      </c>
      <c r="D599" s="351">
        <v>772</v>
      </c>
      <c r="E599" s="695"/>
      <c r="F599" s="351">
        <v>772</v>
      </c>
      <c r="G599" s="37"/>
      <c r="H599" s="37"/>
      <c r="I599" s="37"/>
      <c r="J599" s="530" t="s">
        <v>3197</v>
      </c>
      <c r="K599" s="311">
        <v>0</v>
      </c>
      <c r="L599" s="311">
        <v>0</v>
      </c>
      <c r="M599" s="311">
        <v>299850</v>
      </c>
      <c r="N599" s="311">
        <v>269865</v>
      </c>
      <c r="O599" s="311">
        <v>179910</v>
      </c>
      <c r="P599" s="68">
        <f t="shared" si="137"/>
        <v>749625</v>
      </c>
      <c r="Q599" s="68">
        <f t="shared" si="134"/>
        <v>578710500</v>
      </c>
      <c r="R599" s="127">
        <f t="shared" si="135"/>
        <v>578710500</v>
      </c>
      <c r="S599" s="37"/>
    </row>
    <row r="600" spans="1:19" ht="30">
      <c r="A600" s="123"/>
      <c r="B600" s="254" t="s">
        <v>988</v>
      </c>
      <c r="C600" s="42" t="s">
        <v>17</v>
      </c>
      <c r="D600" s="351">
        <v>503</v>
      </c>
      <c r="E600" s="695"/>
      <c r="F600" s="351">
        <v>503</v>
      </c>
      <c r="G600" s="37"/>
      <c r="H600" s="37"/>
      <c r="I600" s="37"/>
      <c r="J600" s="530" t="s">
        <v>3197</v>
      </c>
      <c r="K600" s="311">
        <v>0</v>
      </c>
      <c r="L600" s="311">
        <v>0</v>
      </c>
      <c r="M600" s="311">
        <v>333150</v>
      </c>
      <c r="N600" s="311">
        <v>299835</v>
      </c>
      <c r="O600" s="311">
        <v>199890</v>
      </c>
      <c r="P600" s="68">
        <f t="shared" si="137"/>
        <v>832875</v>
      </c>
      <c r="Q600" s="68">
        <f t="shared" si="134"/>
        <v>418936125</v>
      </c>
      <c r="R600" s="127">
        <f t="shared" si="135"/>
        <v>418936125</v>
      </c>
      <c r="S600" s="37"/>
    </row>
    <row r="601" spans="1:19" ht="30">
      <c r="A601" s="123"/>
      <c r="B601" s="254" t="s">
        <v>989</v>
      </c>
      <c r="C601" s="42" t="s">
        <v>17</v>
      </c>
      <c r="D601" s="351">
        <v>177</v>
      </c>
      <c r="E601" s="695"/>
      <c r="F601" s="351">
        <v>177</v>
      </c>
      <c r="G601" s="37"/>
      <c r="H601" s="37"/>
      <c r="I601" s="37"/>
      <c r="J601" s="530" t="s">
        <v>3197</v>
      </c>
      <c r="K601" s="311">
        <v>0</v>
      </c>
      <c r="L601" s="311">
        <v>0</v>
      </c>
      <c r="M601" s="311">
        <v>800000</v>
      </c>
      <c r="N601" s="311">
        <v>720000</v>
      </c>
      <c r="O601" s="311">
        <v>480000</v>
      </c>
      <c r="P601" s="68">
        <f t="shared" si="137"/>
        <v>2000000</v>
      </c>
      <c r="Q601" s="68">
        <f t="shared" si="134"/>
        <v>354000000</v>
      </c>
      <c r="R601" s="127">
        <f t="shared" si="135"/>
        <v>354000000</v>
      </c>
      <c r="S601" s="37"/>
    </row>
    <row r="602" spans="1:19" ht="30">
      <c r="A602" s="123"/>
      <c r="B602" s="254" t="s">
        <v>990</v>
      </c>
      <c r="C602" s="42" t="s">
        <v>8</v>
      </c>
      <c r="D602" s="351">
        <v>2165</v>
      </c>
      <c r="E602" s="695"/>
      <c r="F602" s="351">
        <v>2165</v>
      </c>
      <c r="G602" s="37"/>
      <c r="H602" s="37"/>
      <c r="I602" s="37"/>
      <c r="J602" s="530" t="s">
        <v>3197</v>
      </c>
      <c r="K602" s="311">
        <v>0</v>
      </c>
      <c r="L602" s="311">
        <v>0</v>
      </c>
      <c r="M602" s="311">
        <v>73846</v>
      </c>
      <c r="N602" s="311">
        <v>66461.400000000009</v>
      </c>
      <c r="O602" s="311">
        <v>44307.6</v>
      </c>
      <c r="P602" s="68">
        <f t="shared" si="137"/>
        <v>184615.00000000003</v>
      </c>
      <c r="Q602" s="68">
        <f t="shared" si="134"/>
        <v>399691475.00000006</v>
      </c>
      <c r="R602" s="127">
        <f t="shared" si="135"/>
        <v>399691475.00000006</v>
      </c>
      <c r="S602" s="37"/>
    </row>
    <row r="603" spans="1:19" s="131" customFormat="1" ht="30">
      <c r="A603" s="126"/>
      <c r="B603" s="253" t="s">
        <v>1954</v>
      </c>
      <c r="C603" s="126" t="s">
        <v>8</v>
      </c>
      <c r="D603" s="352">
        <v>772</v>
      </c>
      <c r="E603" s="695"/>
      <c r="F603" s="352">
        <v>772</v>
      </c>
      <c r="G603" s="12"/>
      <c r="H603" s="12"/>
      <c r="I603" s="12"/>
      <c r="J603" s="530" t="s">
        <v>3197</v>
      </c>
      <c r="K603" s="311">
        <v>0</v>
      </c>
      <c r="L603" s="311">
        <v>0</v>
      </c>
      <c r="M603" s="311">
        <v>131250</v>
      </c>
      <c r="N603" s="311">
        <v>118125</v>
      </c>
      <c r="O603" s="311">
        <v>78750</v>
      </c>
      <c r="P603" s="68">
        <f t="shared" si="137"/>
        <v>328125</v>
      </c>
      <c r="Q603" s="68">
        <f t="shared" si="134"/>
        <v>253312500</v>
      </c>
      <c r="R603" s="127">
        <f t="shared" si="135"/>
        <v>253312500</v>
      </c>
      <c r="S603" s="201"/>
    </row>
    <row r="604" spans="1:19" s="131" customFormat="1" ht="30">
      <c r="A604" s="126"/>
      <c r="B604" s="253" t="s">
        <v>1955</v>
      </c>
      <c r="C604" s="126" t="s">
        <v>17</v>
      </c>
      <c r="D604" s="352">
        <v>771</v>
      </c>
      <c r="E604" s="695"/>
      <c r="F604" s="352">
        <v>771</v>
      </c>
      <c r="G604" s="336"/>
      <c r="H604" s="336"/>
      <c r="I604" s="336"/>
      <c r="J604" s="530" t="s">
        <v>3197</v>
      </c>
      <c r="K604" s="311">
        <v>0</v>
      </c>
      <c r="L604" s="311">
        <v>0</v>
      </c>
      <c r="M604" s="311">
        <v>42750</v>
      </c>
      <c r="N604" s="311">
        <v>38475</v>
      </c>
      <c r="O604" s="311">
        <v>25650</v>
      </c>
      <c r="P604" s="68">
        <f t="shared" si="137"/>
        <v>106875</v>
      </c>
      <c r="Q604" s="68">
        <f t="shared" si="134"/>
        <v>82400625</v>
      </c>
      <c r="R604" s="127">
        <f t="shared" si="135"/>
        <v>82400625</v>
      </c>
      <c r="S604" s="527"/>
    </row>
    <row r="605" spans="1:19" s="131" customFormat="1" ht="30">
      <c r="A605" s="126"/>
      <c r="B605" s="253" t="s">
        <v>1956</v>
      </c>
      <c r="C605" s="126" t="s">
        <v>17</v>
      </c>
      <c r="D605" s="352">
        <v>772</v>
      </c>
      <c r="E605" s="695"/>
      <c r="F605" s="352">
        <v>772</v>
      </c>
      <c r="G605" s="335"/>
      <c r="H605" s="335"/>
      <c r="I605" s="335"/>
      <c r="J605" s="530" t="s">
        <v>3197</v>
      </c>
      <c r="K605" s="311">
        <v>0</v>
      </c>
      <c r="L605" s="311">
        <v>0</v>
      </c>
      <c r="M605" s="311">
        <v>42750</v>
      </c>
      <c r="N605" s="311">
        <v>38475</v>
      </c>
      <c r="O605" s="311">
        <v>25650</v>
      </c>
      <c r="P605" s="68">
        <f t="shared" si="137"/>
        <v>106875</v>
      </c>
      <c r="Q605" s="68">
        <f t="shared" si="134"/>
        <v>82507500</v>
      </c>
      <c r="R605" s="127">
        <f t="shared" si="135"/>
        <v>82507500</v>
      </c>
      <c r="S605" s="338"/>
    </row>
    <row r="606" spans="1:19" s="131" customFormat="1" ht="30">
      <c r="A606" s="126"/>
      <c r="B606" s="253" t="s">
        <v>1957</v>
      </c>
      <c r="C606" s="126" t="s">
        <v>17</v>
      </c>
      <c r="D606" s="352">
        <v>771</v>
      </c>
      <c r="E606" s="695"/>
      <c r="F606" s="352">
        <v>771</v>
      </c>
      <c r="G606" s="333"/>
      <c r="H606" s="333"/>
      <c r="I606" s="333"/>
      <c r="J606" s="530" t="s">
        <v>3197</v>
      </c>
      <c r="K606" s="311">
        <v>0</v>
      </c>
      <c r="L606" s="311">
        <v>0</v>
      </c>
      <c r="M606" s="311">
        <v>42750</v>
      </c>
      <c r="N606" s="311">
        <v>38475</v>
      </c>
      <c r="O606" s="311">
        <v>25650</v>
      </c>
      <c r="P606" s="68">
        <f t="shared" si="137"/>
        <v>106875</v>
      </c>
      <c r="Q606" s="68">
        <f t="shared" si="134"/>
        <v>82400625</v>
      </c>
      <c r="R606" s="127">
        <f t="shared" si="135"/>
        <v>82400625</v>
      </c>
      <c r="S606" s="526"/>
    </row>
    <row r="607" spans="1:19" s="131" customFormat="1" ht="30">
      <c r="A607" s="126"/>
      <c r="B607" s="253" t="s">
        <v>1958</v>
      </c>
      <c r="C607" s="126" t="s">
        <v>17</v>
      </c>
      <c r="D607" s="352">
        <v>772</v>
      </c>
      <c r="E607" s="695"/>
      <c r="F607" s="352">
        <v>772</v>
      </c>
      <c r="G607" s="335"/>
      <c r="H607" s="335"/>
      <c r="I607" s="335"/>
      <c r="J607" s="530" t="s">
        <v>3197</v>
      </c>
      <c r="K607" s="311">
        <v>0</v>
      </c>
      <c r="L607" s="311">
        <v>0</v>
      </c>
      <c r="M607" s="311">
        <v>42750</v>
      </c>
      <c r="N607" s="311">
        <v>38475</v>
      </c>
      <c r="O607" s="311">
        <v>25650</v>
      </c>
      <c r="P607" s="68">
        <f t="shared" si="137"/>
        <v>106875</v>
      </c>
      <c r="Q607" s="68">
        <f t="shared" si="134"/>
        <v>82507500</v>
      </c>
      <c r="R607" s="127">
        <f t="shared" si="135"/>
        <v>82507500</v>
      </c>
      <c r="S607" s="338"/>
    </row>
    <row r="608" spans="1:19" s="131" customFormat="1" ht="30">
      <c r="A608" s="126"/>
      <c r="B608" s="253" t="s">
        <v>1959</v>
      </c>
      <c r="C608" s="126" t="s">
        <v>17</v>
      </c>
      <c r="D608" s="352">
        <v>772</v>
      </c>
      <c r="E608" s="695"/>
      <c r="F608" s="352">
        <v>772</v>
      </c>
      <c r="G608" s="335"/>
      <c r="H608" s="335"/>
      <c r="I608" s="335"/>
      <c r="J608" s="530" t="s">
        <v>3197</v>
      </c>
      <c r="K608" s="311">
        <v>0</v>
      </c>
      <c r="L608" s="311">
        <v>0</v>
      </c>
      <c r="M608" s="311">
        <v>42750</v>
      </c>
      <c r="N608" s="311">
        <v>38475</v>
      </c>
      <c r="O608" s="311">
        <v>25650</v>
      </c>
      <c r="P608" s="68">
        <f t="shared" si="137"/>
        <v>106875</v>
      </c>
      <c r="Q608" s="68">
        <f t="shared" si="134"/>
        <v>82507500</v>
      </c>
      <c r="R608" s="127">
        <f t="shared" si="135"/>
        <v>82507500</v>
      </c>
      <c r="S608" s="338"/>
    </row>
    <row r="609" spans="1:19" s="131" customFormat="1" ht="30">
      <c r="A609" s="126"/>
      <c r="B609" s="253" t="s">
        <v>1960</v>
      </c>
      <c r="C609" s="126" t="s">
        <v>17</v>
      </c>
      <c r="D609" s="352">
        <v>771</v>
      </c>
      <c r="E609" s="696"/>
      <c r="F609" s="352">
        <v>771</v>
      </c>
      <c r="G609" s="335"/>
      <c r="H609" s="335"/>
      <c r="I609" s="335"/>
      <c r="J609" s="530" t="s">
        <v>3197</v>
      </c>
      <c r="K609" s="311">
        <v>0</v>
      </c>
      <c r="L609" s="311">
        <v>0</v>
      </c>
      <c r="M609" s="311">
        <v>42750</v>
      </c>
      <c r="N609" s="311">
        <v>38475</v>
      </c>
      <c r="O609" s="311">
        <v>25650</v>
      </c>
      <c r="P609" s="68">
        <f t="shared" si="137"/>
        <v>106875</v>
      </c>
      <c r="Q609" s="68">
        <f t="shared" si="134"/>
        <v>82400625</v>
      </c>
      <c r="R609" s="127">
        <f t="shared" si="135"/>
        <v>82400625</v>
      </c>
      <c r="S609" s="338"/>
    </row>
    <row r="610" spans="1:19" s="122" customFormat="1">
      <c r="A610" s="244" t="s">
        <v>633</v>
      </c>
      <c r="B610" s="245" t="s">
        <v>1857</v>
      </c>
      <c r="C610" s="246"/>
      <c r="D610" s="515"/>
      <c r="E610" s="248"/>
      <c r="F610" s="515"/>
      <c r="G610" s="256"/>
      <c r="H610" s="256"/>
      <c r="I610" s="256"/>
      <c r="J610" s="256"/>
      <c r="K610" s="528"/>
      <c r="L610" s="528"/>
      <c r="M610" s="528"/>
      <c r="N610" s="528"/>
      <c r="O610" s="528"/>
      <c r="P610" s="528"/>
      <c r="Q610" s="528"/>
      <c r="R610" s="528"/>
      <c r="S610" s="256"/>
    </row>
    <row r="611" spans="1:19" ht="75">
      <c r="A611" s="123">
        <v>1</v>
      </c>
      <c r="B611" s="254" t="s">
        <v>991</v>
      </c>
      <c r="C611" s="42" t="s">
        <v>17</v>
      </c>
      <c r="D611" s="351">
        <v>3</v>
      </c>
      <c r="E611" s="124" t="s">
        <v>1961</v>
      </c>
      <c r="F611" s="351">
        <v>3</v>
      </c>
      <c r="G611" s="363" t="s">
        <v>2957</v>
      </c>
      <c r="H611" s="363" t="s">
        <v>2958</v>
      </c>
      <c r="I611" s="356" t="s">
        <v>2959</v>
      </c>
      <c r="J611" s="363" t="s">
        <v>2374</v>
      </c>
      <c r="K611" s="311">
        <v>17416363.636363637</v>
      </c>
      <c r="L611" s="311">
        <v>0</v>
      </c>
      <c r="M611" s="311">
        <v>7524545.4545454541</v>
      </c>
      <c r="N611" s="311">
        <v>2681818.1818181816</v>
      </c>
      <c r="O611" s="311">
        <v>1877272.7272727273</v>
      </c>
      <c r="P611" s="68">
        <f t="shared" ref="P611:P623" si="138">SUM(K611:O611)</f>
        <v>29500000</v>
      </c>
      <c r="Q611" s="68">
        <f t="shared" ref="Q611:Q623" si="139">D611*P611</f>
        <v>88500000</v>
      </c>
      <c r="R611" s="127">
        <f t="shared" ref="R611:R623" si="140">F611*P611</f>
        <v>88500000</v>
      </c>
      <c r="S611" s="37"/>
    </row>
    <row r="612" spans="1:19" ht="90">
      <c r="A612" s="123">
        <v>2</v>
      </c>
      <c r="B612" s="254" t="s">
        <v>993</v>
      </c>
      <c r="C612" s="42" t="s">
        <v>17</v>
      </c>
      <c r="D612" s="351">
        <v>3</v>
      </c>
      <c r="E612" s="124" t="s">
        <v>992</v>
      </c>
      <c r="F612" s="351">
        <v>3</v>
      </c>
      <c r="G612" s="351" t="s">
        <v>2960</v>
      </c>
      <c r="H612" s="351" t="s">
        <v>2961</v>
      </c>
      <c r="I612" s="351" t="s">
        <v>2959</v>
      </c>
      <c r="J612" s="351" t="s">
        <v>2374</v>
      </c>
      <c r="K612" s="311">
        <v>15218181.818181816</v>
      </c>
      <c r="L612" s="311">
        <v>0</v>
      </c>
      <c r="M612" s="311">
        <v>6763636.3636363633</v>
      </c>
      <c r="N612" s="311">
        <v>2363636.3636363633</v>
      </c>
      <c r="O612" s="311">
        <v>1654545.4545454544</v>
      </c>
      <c r="P612" s="68">
        <f t="shared" si="138"/>
        <v>25999999.999999996</v>
      </c>
      <c r="Q612" s="68">
        <f t="shared" si="139"/>
        <v>77999999.999999985</v>
      </c>
      <c r="R612" s="127">
        <f t="shared" si="140"/>
        <v>77999999.999999985</v>
      </c>
      <c r="S612" s="37"/>
    </row>
    <row r="613" spans="1:19" ht="90">
      <c r="A613" s="123">
        <v>3</v>
      </c>
      <c r="B613" s="254" t="s">
        <v>994</v>
      </c>
      <c r="C613" s="42" t="s">
        <v>17</v>
      </c>
      <c r="D613" s="351">
        <v>2</v>
      </c>
      <c r="E613" s="124" t="s">
        <v>992</v>
      </c>
      <c r="F613" s="351">
        <v>2</v>
      </c>
      <c r="G613" s="351" t="s">
        <v>2962</v>
      </c>
      <c r="H613" s="351" t="s">
        <v>2963</v>
      </c>
      <c r="I613" s="351" t="s">
        <v>2959</v>
      </c>
      <c r="J613" s="351" t="s">
        <v>2374</v>
      </c>
      <c r="K613" s="311">
        <v>58336363.636363633</v>
      </c>
      <c r="L613" s="311">
        <v>0</v>
      </c>
      <c r="M613" s="311">
        <v>17500909.09090909</v>
      </c>
      <c r="N613" s="311">
        <v>8154545.4545454532</v>
      </c>
      <c r="O613" s="311">
        <v>5708181.8181818174</v>
      </c>
      <c r="P613" s="68">
        <f t="shared" si="138"/>
        <v>89699999.999999985</v>
      </c>
      <c r="Q613" s="68">
        <f t="shared" si="139"/>
        <v>179399999.99999997</v>
      </c>
      <c r="R613" s="127">
        <f t="shared" si="140"/>
        <v>179399999.99999997</v>
      </c>
      <c r="S613" s="37"/>
    </row>
    <row r="614" spans="1:19" ht="30">
      <c r="A614" s="123">
        <v>4</v>
      </c>
      <c r="B614" s="254" t="s">
        <v>995</v>
      </c>
      <c r="C614" s="42" t="s">
        <v>17</v>
      </c>
      <c r="D614" s="351">
        <v>2</v>
      </c>
      <c r="E614" s="124" t="s">
        <v>992</v>
      </c>
      <c r="F614" s="351">
        <v>2</v>
      </c>
      <c r="G614" s="351" t="s">
        <v>2964</v>
      </c>
      <c r="H614" s="351" t="s">
        <v>2965</v>
      </c>
      <c r="I614" s="351" t="s">
        <v>2959</v>
      </c>
      <c r="J614" s="351" t="s">
        <v>2374</v>
      </c>
      <c r="K614" s="311">
        <v>15387272.727272728</v>
      </c>
      <c r="L614" s="311">
        <v>0</v>
      </c>
      <c r="M614" s="311">
        <v>7017272.7272727275</v>
      </c>
      <c r="N614" s="311">
        <v>2409090.9090909092</v>
      </c>
      <c r="O614" s="311">
        <v>1686363.6363636365</v>
      </c>
      <c r="P614" s="68">
        <f t="shared" si="138"/>
        <v>26500000.000000004</v>
      </c>
      <c r="Q614" s="68">
        <f t="shared" si="139"/>
        <v>53000000.000000007</v>
      </c>
      <c r="R614" s="127">
        <f t="shared" si="140"/>
        <v>53000000.000000007</v>
      </c>
      <c r="S614" s="38"/>
    </row>
    <row r="615" spans="1:19" ht="45">
      <c r="A615" s="123">
        <v>5</v>
      </c>
      <c r="B615" s="254" t="s">
        <v>996</v>
      </c>
      <c r="C615" s="42" t="s">
        <v>17</v>
      </c>
      <c r="D615" s="351">
        <v>2</v>
      </c>
      <c r="E615" s="124" t="s">
        <v>992</v>
      </c>
      <c r="F615" s="351">
        <v>2</v>
      </c>
      <c r="G615" s="351" t="s">
        <v>2966</v>
      </c>
      <c r="H615" s="351"/>
      <c r="I615" s="351" t="s">
        <v>2967</v>
      </c>
      <c r="J615" s="351" t="s">
        <v>3355</v>
      </c>
      <c r="K615" s="311">
        <v>5495454.5454545449</v>
      </c>
      <c r="L615" s="311">
        <v>0</v>
      </c>
      <c r="M615" s="311">
        <v>2113636.3636363633</v>
      </c>
      <c r="N615" s="311">
        <v>818181.81818181812</v>
      </c>
      <c r="O615" s="311">
        <v>572727.27272727271</v>
      </c>
      <c r="P615" s="68">
        <f t="shared" si="138"/>
        <v>9000000</v>
      </c>
      <c r="Q615" s="68">
        <f t="shared" si="139"/>
        <v>18000000</v>
      </c>
      <c r="R615" s="127">
        <f t="shared" si="140"/>
        <v>18000000</v>
      </c>
      <c r="S615" s="36"/>
    </row>
    <row r="616" spans="1:19">
      <c r="A616" s="123">
        <v>6</v>
      </c>
      <c r="B616" s="254" t="s">
        <v>997</v>
      </c>
      <c r="C616" s="42" t="s">
        <v>8</v>
      </c>
      <c r="D616" s="351">
        <v>16</v>
      </c>
      <c r="E616" s="124"/>
      <c r="F616" s="351">
        <v>16</v>
      </c>
      <c r="G616" s="351" t="s">
        <v>2968</v>
      </c>
      <c r="H616" s="351" t="s">
        <v>2969</v>
      </c>
      <c r="I616" s="351" t="s">
        <v>2970</v>
      </c>
      <c r="J616" s="351" t="s">
        <v>2374</v>
      </c>
      <c r="K616" s="311">
        <v>84545.454545454544</v>
      </c>
      <c r="L616" s="311">
        <v>0</v>
      </c>
      <c r="M616" s="311">
        <v>84545.454545454544</v>
      </c>
      <c r="N616" s="311">
        <v>18181.81818181818</v>
      </c>
      <c r="O616" s="311">
        <v>12727.272727272726</v>
      </c>
      <c r="P616" s="68">
        <f t="shared" si="138"/>
        <v>200000</v>
      </c>
      <c r="Q616" s="68">
        <f t="shared" si="139"/>
        <v>3200000</v>
      </c>
      <c r="R616" s="127">
        <f t="shared" si="140"/>
        <v>3200000</v>
      </c>
      <c r="S616" s="15"/>
    </row>
    <row r="617" spans="1:19">
      <c r="A617" s="123">
        <v>7</v>
      </c>
      <c r="B617" s="254" t="s">
        <v>998</v>
      </c>
      <c r="C617" s="42" t="s">
        <v>8</v>
      </c>
      <c r="D617" s="351">
        <v>6</v>
      </c>
      <c r="E617" s="124"/>
      <c r="F617" s="351">
        <v>6</v>
      </c>
      <c r="G617" s="351" t="s">
        <v>2968</v>
      </c>
      <c r="H617" s="351" t="s">
        <v>2971</v>
      </c>
      <c r="I617" s="351" t="s">
        <v>2970</v>
      </c>
      <c r="J617" s="351" t="s">
        <v>2374</v>
      </c>
      <c r="K617" s="311">
        <v>84545.454545454544</v>
      </c>
      <c r="L617" s="311">
        <v>0</v>
      </c>
      <c r="M617" s="311">
        <v>84545.454545454544</v>
      </c>
      <c r="N617" s="311">
        <v>18181.81818181818</v>
      </c>
      <c r="O617" s="311">
        <v>12727.272727272726</v>
      </c>
      <c r="P617" s="68">
        <f t="shared" si="138"/>
        <v>200000</v>
      </c>
      <c r="Q617" s="68">
        <f t="shared" si="139"/>
        <v>1200000</v>
      </c>
      <c r="R617" s="127">
        <f t="shared" si="140"/>
        <v>1200000</v>
      </c>
      <c r="S617" s="18"/>
    </row>
    <row r="618" spans="1:19" ht="30">
      <c r="A618" s="123">
        <v>8</v>
      </c>
      <c r="B618" s="254" t="s">
        <v>999</v>
      </c>
      <c r="C618" s="42" t="s">
        <v>8</v>
      </c>
      <c r="D618" s="351">
        <v>11</v>
      </c>
      <c r="E618" s="124"/>
      <c r="F618" s="351">
        <v>11</v>
      </c>
      <c r="G618" s="351" t="s">
        <v>2972</v>
      </c>
      <c r="H618" s="351" t="s">
        <v>2973</v>
      </c>
      <c r="I618" s="351" t="s">
        <v>2970</v>
      </c>
      <c r="J618" s="351" t="s">
        <v>2374</v>
      </c>
      <c r="K618" s="311">
        <v>169090.90909090909</v>
      </c>
      <c r="L618" s="311">
        <v>0</v>
      </c>
      <c r="M618" s="311">
        <v>169090.90909090909</v>
      </c>
      <c r="N618" s="311">
        <v>36363.63636363636</v>
      </c>
      <c r="O618" s="311">
        <v>25454.545454545452</v>
      </c>
      <c r="P618" s="68">
        <f t="shared" si="138"/>
        <v>400000</v>
      </c>
      <c r="Q618" s="68">
        <f t="shared" si="139"/>
        <v>4400000</v>
      </c>
      <c r="R618" s="127">
        <f t="shared" si="140"/>
        <v>4400000</v>
      </c>
      <c r="S618" s="15"/>
    </row>
    <row r="619" spans="1:19" ht="30">
      <c r="A619" s="123">
        <v>9</v>
      </c>
      <c r="B619" s="254" t="s">
        <v>1000</v>
      </c>
      <c r="C619" s="42" t="s">
        <v>8</v>
      </c>
      <c r="D619" s="361">
        <v>4</v>
      </c>
      <c r="E619" s="124"/>
      <c r="F619" s="361">
        <v>4</v>
      </c>
      <c r="G619" s="351" t="s">
        <v>2974</v>
      </c>
      <c r="H619" s="351" t="s">
        <v>2975</v>
      </c>
      <c r="I619" s="351" t="s">
        <v>2970</v>
      </c>
      <c r="J619" s="351" t="s">
        <v>2374</v>
      </c>
      <c r="K619" s="311">
        <v>464999.99999999994</v>
      </c>
      <c r="L619" s="311">
        <v>0</v>
      </c>
      <c r="M619" s="311">
        <v>929999.99999999988</v>
      </c>
      <c r="N619" s="311">
        <v>149999.99999999997</v>
      </c>
      <c r="O619" s="311">
        <v>105000</v>
      </c>
      <c r="P619" s="68">
        <f t="shared" si="138"/>
        <v>1649999.9999999998</v>
      </c>
      <c r="Q619" s="68">
        <f t="shared" si="139"/>
        <v>6599999.9999999991</v>
      </c>
      <c r="R619" s="127">
        <f t="shared" si="140"/>
        <v>6599999.9999999991</v>
      </c>
      <c r="S619" s="15"/>
    </row>
    <row r="620" spans="1:19" ht="105">
      <c r="A620" s="123">
        <v>10</v>
      </c>
      <c r="B620" s="254" t="s">
        <v>1001</v>
      </c>
      <c r="C620" s="42" t="s">
        <v>8</v>
      </c>
      <c r="D620" s="361">
        <v>16</v>
      </c>
      <c r="E620" s="124"/>
      <c r="F620" s="361">
        <v>16</v>
      </c>
      <c r="G620" s="351" t="s">
        <v>3132</v>
      </c>
      <c r="H620" s="351" t="s">
        <v>3134</v>
      </c>
      <c r="I620" s="351" t="s">
        <v>2970</v>
      </c>
      <c r="J620" s="351" t="s">
        <v>2374</v>
      </c>
      <c r="K620" s="311">
        <v>2959090.9090909092</v>
      </c>
      <c r="L620" s="311">
        <v>0</v>
      </c>
      <c r="M620" s="311">
        <v>2367272.7272727275</v>
      </c>
      <c r="N620" s="311">
        <v>572727.27272727271</v>
      </c>
      <c r="O620" s="311">
        <v>400909.09090909088</v>
      </c>
      <c r="P620" s="68">
        <f t="shared" si="138"/>
        <v>6300000</v>
      </c>
      <c r="Q620" s="68">
        <f t="shared" si="139"/>
        <v>100800000</v>
      </c>
      <c r="R620" s="127">
        <f t="shared" si="140"/>
        <v>100800000</v>
      </c>
      <c r="S620" s="15"/>
    </row>
    <row r="621" spans="1:19" s="131" customFormat="1" ht="30">
      <c r="A621" s="123">
        <v>13</v>
      </c>
      <c r="B621" s="254" t="s">
        <v>1962</v>
      </c>
      <c r="C621" s="42" t="s">
        <v>117</v>
      </c>
      <c r="D621" s="361">
        <v>60</v>
      </c>
      <c r="E621" s="124"/>
      <c r="F621" s="361">
        <v>60</v>
      </c>
      <c r="G621" s="334" t="s">
        <v>3129</v>
      </c>
      <c r="H621" s="334"/>
      <c r="I621" s="334"/>
      <c r="J621" s="334" t="s">
        <v>2328</v>
      </c>
      <c r="K621" s="311">
        <v>338181.81818181818</v>
      </c>
      <c r="L621" s="311">
        <v>0</v>
      </c>
      <c r="M621" s="311">
        <v>16909.090909090908</v>
      </c>
      <c r="N621" s="311">
        <v>38181.818181818177</v>
      </c>
      <c r="O621" s="311">
        <v>26727.272727272724</v>
      </c>
      <c r="P621" s="68">
        <f t="shared" si="138"/>
        <v>419999.99999999994</v>
      </c>
      <c r="Q621" s="68">
        <f t="shared" si="139"/>
        <v>25199999.999999996</v>
      </c>
      <c r="R621" s="127">
        <f t="shared" si="140"/>
        <v>25199999.999999996</v>
      </c>
      <c r="S621" s="331"/>
    </row>
    <row r="622" spans="1:19" s="131" customFormat="1" ht="30">
      <c r="A622" s="123">
        <v>14</v>
      </c>
      <c r="B622" s="254" t="s">
        <v>1963</v>
      </c>
      <c r="C622" s="42" t="s">
        <v>535</v>
      </c>
      <c r="D622" s="361">
        <v>2</v>
      </c>
      <c r="E622" s="124"/>
      <c r="F622" s="361">
        <v>2</v>
      </c>
      <c r="G622" s="330" t="s">
        <v>3131</v>
      </c>
      <c r="H622" s="330" t="s">
        <v>3133</v>
      </c>
      <c r="I622" s="351" t="s">
        <v>2970</v>
      </c>
      <c r="J622" s="351" t="s">
        <v>2374</v>
      </c>
      <c r="K622" s="311">
        <v>1268181.8181818181</v>
      </c>
      <c r="L622" s="311">
        <v>0</v>
      </c>
      <c r="M622" s="311">
        <v>634090.90909090906</v>
      </c>
      <c r="N622" s="311">
        <v>204545.45454545456</v>
      </c>
      <c r="O622" s="311">
        <v>143181.81818181821</v>
      </c>
      <c r="P622" s="68">
        <f t="shared" si="138"/>
        <v>2250000</v>
      </c>
      <c r="Q622" s="68">
        <f t="shared" si="139"/>
        <v>4500000</v>
      </c>
      <c r="R622" s="127">
        <f t="shared" si="140"/>
        <v>4500000</v>
      </c>
      <c r="S622" s="525"/>
    </row>
    <row r="623" spans="1:19" s="131" customFormat="1" ht="30">
      <c r="A623" s="123">
        <v>15</v>
      </c>
      <c r="B623" s="254" t="s">
        <v>2300</v>
      </c>
      <c r="C623" s="42" t="s">
        <v>7</v>
      </c>
      <c r="D623" s="361">
        <v>1</v>
      </c>
      <c r="E623" s="124"/>
      <c r="F623" s="361">
        <v>1</v>
      </c>
      <c r="G623" s="337" t="s">
        <v>3130</v>
      </c>
      <c r="H623" s="337"/>
      <c r="I623" s="337"/>
      <c r="J623" s="334" t="s">
        <v>2328</v>
      </c>
      <c r="K623" s="311">
        <v>29590909.09090909</v>
      </c>
      <c r="L623" s="311">
        <v>0</v>
      </c>
      <c r="M623" s="311">
        <v>2536363.6363636362</v>
      </c>
      <c r="N623" s="311">
        <v>3454545.4545454551</v>
      </c>
      <c r="O623" s="311">
        <v>2418181.8181818184</v>
      </c>
      <c r="P623" s="68">
        <f t="shared" si="138"/>
        <v>38000000</v>
      </c>
      <c r="Q623" s="68">
        <f t="shared" si="139"/>
        <v>38000000</v>
      </c>
      <c r="R623" s="127">
        <f t="shared" si="140"/>
        <v>38000000</v>
      </c>
      <c r="S623" s="486"/>
    </row>
    <row r="624" spans="1:19">
      <c r="A624" s="123">
        <v>16</v>
      </c>
      <c r="B624" s="254" t="s">
        <v>1002</v>
      </c>
      <c r="C624" s="42"/>
      <c r="D624" s="361"/>
      <c r="E624" s="124"/>
      <c r="F624" s="361"/>
      <c r="G624" s="15"/>
      <c r="H624" s="15"/>
      <c r="I624" s="15"/>
      <c r="J624" s="15"/>
      <c r="K624" s="66"/>
      <c r="L624" s="66"/>
      <c r="M624" s="66"/>
      <c r="N624" s="66"/>
      <c r="O624" s="66"/>
      <c r="P624" s="66"/>
      <c r="Q624" s="66"/>
      <c r="R624" s="66"/>
      <c r="S624" s="15"/>
    </row>
    <row r="625" spans="1:19">
      <c r="A625" s="123"/>
      <c r="B625" s="254" t="s">
        <v>896</v>
      </c>
      <c r="C625" s="42" t="s">
        <v>117</v>
      </c>
      <c r="D625" s="361">
        <v>60</v>
      </c>
      <c r="E625" s="124" t="s">
        <v>1003</v>
      </c>
      <c r="F625" s="361">
        <v>60</v>
      </c>
      <c r="G625" s="351" t="s">
        <v>2976</v>
      </c>
      <c r="H625" s="351"/>
      <c r="I625" s="351" t="s">
        <v>2681</v>
      </c>
      <c r="J625" s="351" t="s">
        <v>2328</v>
      </c>
      <c r="K625" s="311">
        <v>275796.83999999997</v>
      </c>
      <c r="L625" s="311">
        <v>0</v>
      </c>
      <c r="M625" s="311">
        <v>66186.36</v>
      </c>
      <c r="N625" s="311">
        <v>30264</v>
      </c>
      <c r="O625" s="311">
        <v>21184.800000000003</v>
      </c>
      <c r="P625" s="68">
        <f t="shared" ref="P625:P631" si="141">SUM(K625:O625)</f>
        <v>393431.99999999994</v>
      </c>
      <c r="Q625" s="68">
        <f t="shared" ref="Q625:Q631" si="142">D625*P625</f>
        <v>23605919.999999996</v>
      </c>
      <c r="R625" s="127">
        <f t="shared" ref="R625:R631" si="143">F625*P625</f>
        <v>23605919.999999996</v>
      </c>
      <c r="S625" s="37"/>
    </row>
    <row r="626" spans="1:19">
      <c r="A626" s="123"/>
      <c r="B626" s="254" t="s">
        <v>902</v>
      </c>
      <c r="C626" s="42" t="s">
        <v>117</v>
      </c>
      <c r="D626" s="361">
        <v>36</v>
      </c>
      <c r="E626" s="124" t="s">
        <v>1003</v>
      </c>
      <c r="F626" s="361">
        <v>36</v>
      </c>
      <c r="G626" s="351" t="s">
        <v>2977</v>
      </c>
      <c r="H626" s="351"/>
      <c r="I626" s="351" t="s">
        <v>2681</v>
      </c>
      <c r="J626" s="351" t="s">
        <v>2328</v>
      </c>
      <c r="K626" s="311">
        <v>178171.62</v>
      </c>
      <c r="L626" s="311">
        <v>0</v>
      </c>
      <c r="M626" s="311">
        <v>50666.94</v>
      </c>
      <c r="N626" s="311">
        <v>20251.199999999997</v>
      </c>
      <c r="O626" s="311">
        <v>14175.84</v>
      </c>
      <c r="P626" s="68">
        <f t="shared" si="141"/>
        <v>263265.60000000003</v>
      </c>
      <c r="Q626" s="68">
        <f t="shared" si="142"/>
        <v>9477561.6000000015</v>
      </c>
      <c r="R626" s="127">
        <f t="shared" si="143"/>
        <v>9477561.6000000015</v>
      </c>
      <c r="S626" s="37"/>
    </row>
    <row r="627" spans="1:19">
      <c r="A627" s="123"/>
      <c r="B627" s="254" t="s">
        <v>783</v>
      </c>
      <c r="C627" s="42" t="s">
        <v>117</v>
      </c>
      <c r="D627" s="361">
        <v>72</v>
      </c>
      <c r="E627" s="124" t="s">
        <v>1003</v>
      </c>
      <c r="F627" s="361">
        <v>72</v>
      </c>
      <c r="G627" s="351" t="s">
        <v>2978</v>
      </c>
      <c r="H627" s="351"/>
      <c r="I627" s="351" t="s">
        <v>2681</v>
      </c>
      <c r="J627" s="351" t="s">
        <v>2328</v>
      </c>
      <c r="K627" s="311">
        <v>142298.63999999998</v>
      </c>
      <c r="L627" s="311">
        <v>0</v>
      </c>
      <c r="M627" s="311">
        <v>45819.240000000005</v>
      </c>
      <c r="N627" s="311">
        <v>16647.600000000002</v>
      </c>
      <c r="O627" s="311">
        <v>11653.320000000002</v>
      </c>
      <c r="P627" s="68">
        <f t="shared" si="141"/>
        <v>216418.80000000002</v>
      </c>
      <c r="Q627" s="68">
        <f t="shared" si="142"/>
        <v>15582153.600000001</v>
      </c>
      <c r="R627" s="127">
        <f t="shared" si="143"/>
        <v>15582153.600000001</v>
      </c>
      <c r="S627" s="15"/>
    </row>
    <row r="628" spans="1:19">
      <c r="A628" s="123"/>
      <c r="B628" s="254" t="s">
        <v>785</v>
      </c>
      <c r="C628" s="42" t="s">
        <v>117</v>
      </c>
      <c r="D628" s="361">
        <v>86</v>
      </c>
      <c r="E628" s="124" t="s">
        <v>1003</v>
      </c>
      <c r="F628" s="361">
        <v>86</v>
      </c>
      <c r="G628" s="351" t="s">
        <v>2815</v>
      </c>
      <c r="H628" s="351"/>
      <c r="I628" s="351" t="s">
        <v>2681</v>
      </c>
      <c r="J628" s="351" t="s">
        <v>2328</v>
      </c>
      <c r="K628" s="311">
        <v>86024.640000000014</v>
      </c>
      <c r="L628" s="311">
        <v>0</v>
      </c>
      <c r="M628" s="311">
        <v>36178.080000000002</v>
      </c>
      <c r="N628" s="311">
        <v>10814.400000000001</v>
      </c>
      <c r="O628" s="311">
        <v>7570.0800000000008</v>
      </c>
      <c r="P628" s="68">
        <f t="shared" si="141"/>
        <v>140587.20000000001</v>
      </c>
      <c r="Q628" s="68">
        <f t="shared" si="142"/>
        <v>12090499.200000001</v>
      </c>
      <c r="R628" s="127">
        <f t="shared" si="143"/>
        <v>12090499.200000001</v>
      </c>
      <c r="S628" s="308"/>
    </row>
    <row r="629" spans="1:19">
      <c r="A629" s="123"/>
      <c r="B629" s="254" t="s">
        <v>786</v>
      </c>
      <c r="C629" s="42" t="s">
        <v>117</v>
      </c>
      <c r="D629" s="361">
        <v>34</v>
      </c>
      <c r="E629" s="124" t="s">
        <v>1003</v>
      </c>
      <c r="F629" s="361">
        <v>34</v>
      </c>
      <c r="G629" s="351" t="s">
        <v>2816</v>
      </c>
      <c r="H629" s="351"/>
      <c r="I629" s="351" t="s">
        <v>2681</v>
      </c>
      <c r="J629" s="351" t="s">
        <v>2328</v>
      </c>
      <c r="K629" s="311">
        <v>54937.210000000006</v>
      </c>
      <c r="L629" s="311">
        <v>0</v>
      </c>
      <c r="M629" s="311">
        <v>29737.08</v>
      </c>
      <c r="N629" s="311">
        <v>7493.3</v>
      </c>
      <c r="O629" s="311">
        <v>5245.31</v>
      </c>
      <c r="P629" s="68">
        <f t="shared" si="141"/>
        <v>97412.900000000009</v>
      </c>
      <c r="Q629" s="68">
        <f t="shared" si="142"/>
        <v>3312038.6</v>
      </c>
      <c r="R629" s="127">
        <f t="shared" si="143"/>
        <v>3312038.6</v>
      </c>
      <c r="S629" s="38"/>
    </row>
    <row r="630" spans="1:19">
      <c r="A630" s="123"/>
      <c r="B630" s="254" t="s">
        <v>915</v>
      </c>
      <c r="C630" s="42" t="s">
        <v>117</v>
      </c>
      <c r="D630" s="361">
        <v>42</v>
      </c>
      <c r="E630" s="124" t="s">
        <v>1003</v>
      </c>
      <c r="F630" s="361">
        <v>42</v>
      </c>
      <c r="G630" s="351" t="s">
        <v>2921</v>
      </c>
      <c r="H630" s="351"/>
      <c r="I630" s="351" t="s">
        <v>2681</v>
      </c>
      <c r="J630" s="351" t="s">
        <v>2328</v>
      </c>
      <c r="K630" s="311">
        <v>26882.700000000004</v>
      </c>
      <c r="L630" s="311">
        <v>0</v>
      </c>
      <c r="M630" s="311">
        <v>24760.560000000001</v>
      </c>
      <c r="N630" s="311">
        <v>4570.2</v>
      </c>
      <c r="O630" s="311">
        <v>3199.1400000000003</v>
      </c>
      <c r="P630" s="68">
        <f t="shared" si="141"/>
        <v>59412.600000000006</v>
      </c>
      <c r="Q630" s="68">
        <f t="shared" si="142"/>
        <v>2495329.2000000002</v>
      </c>
      <c r="R630" s="127">
        <f t="shared" si="143"/>
        <v>2495329.2000000002</v>
      </c>
      <c r="S630" s="36"/>
    </row>
    <row r="631" spans="1:19">
      <c r="A631" s="123"/>
      <c r="B631" s="254" t="s">
        <v>916</v>
      </c>
      <c r="C631" s="42" t="s">
        <v>117</v>
      </c>
      <c r="D631" s="361">
        <v>32</v>
      </c>
      <c r="E631" s="124" t="s">
        <v>1003</v>
      </c>
      <c r="F631" s="361">
        <v>32</v>
      </c>
      <c r="G631" s="351" t="s">
        <v>2956</v>
      </c>
      <c r="H631" s="351"/>
      <c r="I631" s="351" t="s">
        <v>2681</v>
      </c>
      <c r="J631" s="351" t="s">
        <v>2328</v>
      </c>
      <c r="K631" s="311">
        <v>16336.410000000002</v>
      </c>
      <c r="L631" s="311">
        <v>0</v>
      </c>
      <c r="M631" s="311">
        <v>22685.88</v>
      </c>
      <c r="N631" s="311">
        <v>3453.3</v>
      </c>
      <c r="O631" s="311">
        <v>2417.3100000000004</v>
      </c>
      <c r="P631" s="68">
        <f t="shared" si="141"/>
        <v>44892.9</v>
      </c>
      <c r="Q631" s="68">
        <f t="shared" si="142"/>
        <v>1436572.8</v>
      </c>
      <c r="R631" s="127">
        <f t="shared" si="143"/>
        <v>1436572.8</v>
      </c>
      <c r="S631" s="15"/>
    </row>
    <row r="632" spans="1:19">
      <c r="A632" s="123">
        <v>17</v>
      </c>
      <c r="B632" s="254" t="s">
        <v>1004</v>
      </c>
      <c r="C632" s="42"/>
      <c r="D632" s="361"/>
      <c r="E632" s="124"/>
      <c r="F632" s="361"/>
      <c r="G632" s="18"/>
      <c r="H632" s="18"/>
      <c r="I632" s="18"/>
      <c r="J632" s="18"/>
      <c r="K632" s="65"/>
      <c r="L632" s="65"/>
      <c r="M632" s="65"/>
      <c r="N632" s="65"/>
      <c r="O632" s="65"/>
      <c r="P632" s="65"/>
      <c r="Q632" s="65"/>
      <c r="R632" s="65"/>
      <c r="S632" s="18"/>
    </row>
    <row r="633" spans="1:19">
      <c r="A633" s="123"/>
      <c r="B633" s="254" t="s">
        <v>896</v>
      </c>
      <c r="C633" s="42" t="s">
        <v>8</v>
      </c>
      <c r="D633" s="361">
        <v>10</v>
      </c>
      <c r="E633" s="124"/>
      <c r="F633" s="361">
        <v>10</v>
      </c>
      <c r="G633" s="351" t="s">
        <v>2979</v>
      </c>
      <c r="H633" s="351"/>
      <c r="I633" s="351" t="s">
        <v>2681</v>
      </c>
      <c r="J633" s="351" t="s">
        <v>2328</v>
      </c>
      <c r="K633" s="311">
        <v>530645.51400000008</v>
      </c>
      <c r="L633" s="311">
        <v>0</v>
      </c>
      <c r="M633" s="311">
        <v>70265.454545454544</v>
      </c>
      <c r="N633" s="311">
        <v>53177.961818181822</v>
      </c>
      <c r="O633" s="311">
        <v>37224.573272727277</v>
      </c>
      <c r="P633" s="68">
        <f t="shared" ref="P633:P637" si="144">SUM(K633:O633)</f>
        <v>691313.50363636378</v>
      </c>
      <c r="Q633" s="68">
        <f>D633*P633</f>
        <v>6913135.036363638</v>
      </c>
      <c r="R633" s="127">
        <f>F633*P633</f>
        <v>6913135.036363638</v>
      </c>
      <c r="S633" s="15"/>
    </row>
    <row r="634" spans="1:19">
      <c r="A634" s="123"/>
      <c r="B634" s="254" t="s">
        <v>907</v>
      </c>
      <c r="C634" s="42" t="s">
        <v>8</v>
      </c>
      <c r="D634" s="361">
        <v>22</v>
      </c>
      <c r="E634" s="124"/>
      <c r="F634" s="361">
        <v>22</v>
      </c>
      <c r="G634" s="351" t="s">
        <v>2980</v>
      </c>
      <c r="H634" s="351"/>
      <c r="I634" s="351" t="s">
        <v>2681</v>
      </c>
      <c r="J634" s="351" t="s">
        <v>2328</v>
      </c>
      <c r="K634" s="311">
        <v>185500.79999999999</v>
      </c>
      <c r="L634" s="311">
        <v>0</v>
      </c>
      <c r="M634" s="311">
        <v>42344.181818181823</v>
      </c>
      <c r="N634" s="311">
        <v>20163.272727272724</v>
      </c>
      <c r="O634" s="311">
        <v>14114.290909090907</v>
      </c>
      <c r="P634" s="68">
        <f t="shared" si="144"/>
        <v>262122.54545454544</v>
      </c>
      <c r="Q634" s="68">
        <f>D634*P634</f>
        <v>5766696</v>
      </c>
      <c r="R634" s="127">
        <f>F634*P634</f>
        <v>5766696</v>
      </c>
      <c r="S634" s="15"/>
    </row>
    <row r="635" spans="1:19">
      <c r="A635" s="123"/>
      <c r="B635" s="254" t="s">
        <v>785</v>
      </c>
      <c r="C635" s="42" t="s">
        <v>8</v>
      </c>
      <c r="D635" s="361">
        <v>28</v>
      </c>
      <c r="E635" s="124"/>
      <c r="F635" s="361">
        <v>28</v>
      </c>
      <c r="G635" s="351" t="s">
        <v>2981</v>
      </c>
      <c r="H635" s="351"/>
      <c r="I635" s="351" t="s">
        <v>2681</v>
      </c>
      <c r="J635" s="351" t="s">
        <v>2328</v>
      </c>
      <c r="K635" s="311">
        <v>90761.599999999991</v>
      </c>
      <c r="L635" s="311">
        <v>0</v>
      </c>
      <c r="M635" s="311">
        <v>36963.327272727271</v>
      </c>
      <c r="N635" s="311">
        <v>11303.090909090908</v>
      </c>
      <c r="O635" s="311">
        <v>7912.1636363636362</v>
      </c>
      <c r="P635" s="68">
        <f t="shared" si="144"/>
        <v>146940.18181818179</v>
      </c>
      <c r="Q635" s="68">
        <f>D635*P635</f>
        <v>4114325.0909090904</v>
      </c>
      <c r="R635" s="127">
        <f>F635*P635</f>
        <v>4114325.0909090904</v>
      </c>
      <c r="S635" s="15"/>
    </row>
    <row r="636" spans="1:19">
      <c r="A636" s="123"/>
      <c r="B636" s="254" t="s">
        <v>976</v>
      </c>
      <c r="C636" s="42" t="s">
        <v>8</v>
      </c>
      <c r="D636" s="361">
        <v>16</v>
      </c>
      <c r="E636" s="124"/>
      <c r="F636" s="361">
        <v>16</v>
      </c>
      <c r="G636" s="351" t="s">
        <v>2982</v>
      </c>
      <c r="H636" s="351"/>
      <c r="I636" s="351" t="s">
        <v>2681</v>
      </c>
      <c r="J636" s="351" t="s">
        <v>2328</v>
      </c>
      <c r="K636" s="311">
        <v>59302.400000000009</v>
      </c>
      <c r="L636" s="311">
        <v>0</v>
      </c>
      <c r="M636" s="311">
        <v>36963.327272727271</v>
      </c>
      <c r="N636" s="311">
        <v>8519.0909090909099</v>
      </c>
      <c r="O636" s="311">
        <v>5963.3636363636369</v>
      </c>
      <c r="P636" s="68">
        <f t="shared" si="144"/>
        <v>110748.18181818182</v>
      </c>
      <c r="Q636" s="68">
        <f>D636*P636</f>
        <v>1771970.9090909092</v>
      </c>
      <c r="R636" s="127">
        <f>F636*P636</f>
        <v>1771970.9090909092</v>
      </c>
      <c r="S636" s="15"/>
    </row>
    <row r="637" spans="1:19">
      <c r="A637" s="123"/>
      <c r="B637" s="254" t="s">
        <v>911</v>
      </c>
      <c r="C637" s="42" t="s">
        <v>8</v>
      </c>
      <c r="D637" s="361">
        <v>16</v>
      </c>
      <c r="E637" s="124"/>
      <c r="F637" s="361">
        <v>16</v>
      </c>
      <c r="G637" s="351" t="s">
        <v>2983</v>
      </c>
      <c r="H637" s="351"/>
      <c r="I637" s="351" t="s">
        <v>2681</v>
      </c>
      <c r="J637" s="351" t="s">
        <v>2328</v>
      </c>
      <c r="K637" s="311">
        <v>115639.68000000001</v>
      </c>
      <c r="L637" s="311">
        <v>0</v>
      </c>
      <c r="M637" s="311">
        <v>36963.327272727271</v>
      </c>
      <c r="N637" s="311">
        <v>13504.69090909091</v>
      </c>
      <c r="O637" s="311">
        <v>9453.2836363636379</v>
      </c>
      <c r="P637" s="68">
        <f t="shared" si="144"/>
        <v>175560.98181818181</v>
      </c>
      <c r="Q637" s="68">
        <f>D637*P637</f>
        <v>2808975.709090909</v>
      </c>
      <c r="R637" s="127">
        <f>F637*P637</f>
        <v>2808975.709090909</v>
      </c>
      <c r="S637" s="37"/>
    </row>
    <row r="638" spans="1:19">
      <c r="A638" s="123"/>
      <c r="B638" s="254" t="s">
        <v>786</v>
      </c>
      <c r="C638" s="42" t="s">
        <v>8</v>
      </c>
      <c r="D638" s="361">
        <v>0</v>
      </c>
      <c r="E638" s="124"/>
      <c r="F638" s="361">
        <v>0</v>
      </c>
      <c r="G638" s="351"/>
      <c r="H638" s="351"/>
      <c r="I638" s="351"/>
      <c r="J638" s="351"/>
      <c r="K638" s="66"/>
      <c r="L638" s="66"/>
      <c r="M638" s="66"/>
      <c r="N638" s="66"/>
      <c r="O638" s="66"/>
      <c r="P638" s="66"/>
      <c r="Q638" s="66"/>
      <c r="R638" s="66"/>
      <c r="S638" s="37"/>
    </row>
    <row r="639" spans="1:19">
      <c r="A639" s="123"/>
      <c r="B639" s="254" t="s">
        <v>977</v>
      </c>
      <c r="C639" s="42" t="s">
        <v>8</v>
      </c>
      <c r="D639" s="361">
        <v>2</v>
      </c>
      <c r="E639" s="124"/>
      <c r="F639" s="361">
        <v>2</v>
      </c>
      <c r="G639" s="351" t="s">
        <v>2984</v>
      </c>
      <c r="H639" s="351"/>
      <c r="I639" s="351" t="s">
        <v>2681</v>
      </c>
      <c r="J639" s="351" t="s">
        <v>2328</v>
      </c>
      <c r="K639" s="311">
        <v>39848.320000000007</v>
      </c>
      <c r="L639" s="311">
        <v>0</v>
      </c>
      <c r="M639" s="311">
        <v>30805.854545454546</v>
      </c>
      <c r="N639" s="311">
        <v>6252.5818181818177</v>
      </c>
      <c r="O639" s="311">
        <v>4376.8072727272729</v>
      </c>
      <c r="P639" s="68">
        <f>SUM(K639:O639)</f>
        <v>81283.563636363644</v>
      </c>
      <c r="Q639" s="68">
        <f>D639*P639</f>
        <v>162567.12727272729</v>
      </c>
      <c r="R639" s="127">
        <f>F639*P639</f>
        <v>162567.12727272729</v>
      </c>
      <c r="S639" s="37"/>
    </row>
    <row r="640" spans="1:19">
      <c r="A640" s="123">
        <v>18</v>
      </c>
      <c r="B640" s="254" t="s">
        <v>1005</v>
      </c>
      <c r="C640" s="42"/>
      <c r="D640" s="361"/>
      <c r="E640" s="124"/>
      <c r="F640" s="361"/>
      <c r="G640" s="37"/>
      <c r="H640" s="37"/>
      <c r="I640" s="37"/>
      <c r="J640" s="37"/>
      <c r="K640" s="66"/>
      <c r="L640" s="66"/>
      <c r="M640" s="66"/>
      <c r="N640" s="66"/>
      <c r="O640" s="66"/>
      <c r="P640" s="66"/>
      <c r="Q640" s="66"/>
      <c r="R640" s="66"/>
      <c r="S640" s="37"/>
    </row>
    <row r="641" spans="1:19">
      <c r="A641" s="123"/>
      <c r="B641" s="254" t="s">
        <v>896</v>
      </c>
      <c r="C641" s="42" t="s">
        <v>8</v>
      </c>
      <c r="D641" s="361">
        <v>24</v>
      </c>
      <c r="E641" s="124"/>
      <c r="F641" s="361">
        <v>24</v>
      </c>
      <c r="G641" s="351" t="s">
        <v>2985</v>
      </c>
      <c r="H641" s="351"/>
      <c r="I641" s="351" t="s">
        <v>2681</v>
      </c>
      <c r="J641" s="351" t="s">
        <v>2328</v>
      </c>
      <c r="K641" s="311">
        <v>302718.864</v>
      </c>
      <c r="L641" s="311">
        <v>0</v>
      </c>
      <c r="M641" s="311">
        <v>46843.63636363636</v>
      </c>
      <c r="N641" s="311">
        <v>30934.734545454547</v>
      </c>
      <c r="O641" s="311">
        <v>21654.314181818183</v>
      </c>
      <c r="P641" s="68">
        <f t="shared" ref="P641:P647" si="145">SUM(K641:O641)</f>
        <v>402151.54909090907</v>
      </c>
      <c r="Q641" s="68">
        <f t="shared" ref="Q641:Q647" si="146">D641*P641</f>
        <v>9651637.1781818178</v>
      </c>
      <c r="R641" s="127">
        <f t="shared" ref="R641:R647" si="147">F641*P641</f>
        <v>9651637.1781818178</v>
      </c>
      <c r="S641" s="15"/>
    </row>
    <row r="642" spans="1:19">
      <c r="A642" s="123"/>
      <c r="B642" s="254" t="s">
        <v>902</v>
      </c>
      <c r="C642" s="42" t="s">
        <v>8</v>
      </c>
      <c r="D642" s="361">
        <v>18</v>
      </c>
      <c r="E642" s="124"/>
      <c r="F642" s="361">
        <v>18</v>
      </c>
      <c r="G642" s="351" t="s">
        <v>2986</v>
      </c>
      <c r="H642" s="351"/>
      <c r="I642" s="351" t="s">
        <v>2681</v>
      </c>
      <c r="J642" s="351" t="s">
        <v>2328</v>
      </c>
      <c r="K642" s="311">
        <v>221068.68000000002</v>
      </c>
      <c r="L642" s="311">
        <v>0</v>
      </c>
      <c r="M642" s="311">
        <v>33875.345454545459</v>
      </c>
      <c r="N642" s="311">
        <v>22561.418181818182</v>
      </c>
      <c r="O642" s="311">
        <v>15792.992727272729</v>
      </c>
      <c r="P642" s="68">
        <f t="shared" si="145"/>
        <v>293298.4363636364</v>
      </c>
      <c r="Q642" s="68">
        <f t="shared" si="146"/>
        <v>5279371.8545454554</v>
      </c>
      <c r="R642" s="127">
        <f t="shared" si="147"/>
        <v>5279371.8545454554</v>
      </c>
      <c r="S642" s="308"/>
    </row>
    <row r="643" spans="1:19">
      <c r="A643" s="123"/>
      <c r="B643" s="254" t="s">
        <v>783</v>
      </c>
      <c r="C643" s="42" t="s">
        <v>8</v>
      </c>
      <c r="D643" s="361">
        <v>16</v>
      </c>
      <c r="E643" s="124"/>
      <c r="F643" s="361">
        <v>16</v>
      </c>
      <c r="G643" s="351" t="s">
        <v>2987</v>
      </c>
      <c r="H643" s="351"/>
      <c r="I643" s="351" t="s">
        <v>2681</v>
      </c>
      <c r="J643" s="351" t="s">
        <v>2328</v>
      </c>
      <c r="K643" s="311">
        <v>118170.88000000002</v>
      </c>
      <c r="L643" s="311">
        <v>0</v>
      </c>
      <c r="M643" s="311">
        <v>28229.454545454548</v>
      </c>
      <c r="N643" s="311">
        <v>12955.781818181818</v>
      </c>
      <c r="O643" s="311">
        <v>9069.0472727272736</v>
      </c>
      <c r="P643" s="68">
        <f t="shared" si="145"/>
        <v>168425.16363636366</v>
      </c>
      <c r="Q643" s="68">
        <f t="shared" si="146"/>
        <v>2694802.6181818186</v>
      </c>
      <c r="R643" s="127">
        <f t="shared" si="147"/>
        <v>2694802.6181818186</v>
      </c>
      <c r="S643" s="38"/>
    </row>
    <row r="644" spans="1:19">
      <c r="A644" s="123"/>
      <c r="B644" s="254" t="s">
        <v>785</v>
      </c>
      <c r="C644" s="42" t="s">
        <v>8</v>
      </c>
      <c r="D644" s="361">
        <v>28</v>
      </c>
      <c r="E644" s="124"/>
      <c r="F644" s="361">
        <v>28</v>
      </c>
      <c r="G644" s="351" t="s">
        <v>2988</v>
      </c>
      <c r="H644" s="351"/>
      <c r="I644" s="351" t="s">
        <v>2681</v>
      </c>
      <c r="J644" s="351" t="s">
        <v>2328</v>
      </c>
      <c r="K644" s="311">
        <v>64364.80000000001</v>
      </c>
      <c r="L644" s="311">
        <v>0</v>
      </c>
      <c r="M644" s="311">
        <v>24642.218181818182</v>
      </c>
      <c r="N644" s="311">
        <v>7876.7272727272721</v>
      </c>
      <c r="O644" s="311">
        <v>5513.7090909090912</v>
      </c>
      <c r="P644" s="68">
        <f t="shared" si="145"/>
        <v>102397.45454545454</v>
      </c>
      <c r="Q644" s="68">
        <f t="shared" si="146"/>
        <v>2867128.7272727271</v>
      </c>
      <c r="R644" s="127">
        <f t="shared" si="147"/>
        <v>2867128.7272727271</v>
      </c>
      <c r="S644" s="36"/>
    </row>
    <row r="645" spans="1:19">
      <c r="A645" s="123"/>
      <c r="B645" s="254" t="s">
        <v>786</v>
      </c>
      <c r="C645" s="42" t="s">
        <v>8</v>
      </c>
      <c r="D645" s="361">
        <v>16</v>
      </c>
      <c r="E645" s="124"/>
      <c r="F645" s="361">
        <v>16</v>
      </c>
      <c r="G645" s="351" t="s">
        <v>2989</v>
      </c>
      <c r="H645" s="351"/>
      <c r="I645" s="351" t="s">
        <v>2681</v>
      </c>
      <c r="J645" s="351" t="s">
        <v>2328</v>
      </c>
      <c r="K645" s="311">
        <v>39848.320000000007</v>
      </c>
      <c r="L645" s="311">
        <v>0</v>
      </c>
      <c r="M645" s="311">
        <v>20537.236363636363</v>
      </c>
      <c r="N645" s="311">
        <v>5343.8545454545456</v>
      </c>
      <c r="O645" s="311">
        <v>3740.6981818181821</v>
      </c>
      <c r="P645" s="68">
        <f t="shared" si="145"/>
        <v>69470.1090909091</v>
      </c>
      <c r="Q645" s="68">
        <f t="shared" si="146"/>
        <v>1111521.7454545456</v>
      </c>
      <c r="R645" s="127">
        <f t="shared" si="147"/>
        <v>1111521.7454545456</v>
      </c>
      <c r="S645" s="15"/>
    </row>
    <row r="646" spans="1:19">
      <c r="A646" s="123"/>
      <c r="B646" s="254" t="s">
        <v>915</v>
      </c>
      <c r="C646" s="42" t="s">
        <v>8</v>
      </c>
      <c r="D646" s="361">
        <v>18</v>
      </c>
      <c r="E646" s="124"/>
      <c r="F646" s="361">
        <v>18</v>
      </c>
      <c r="G646" s="351" t="s">
        <v>2990</v>
      </c>
      <c r="H646" s="351"/>
      <c r="I646" s="351" t="s">
        <v>2681</v>
      </c>
      <c r="J646" s="351" t="s">
        <v>2328</v>
      </c>
      <c r="K646" s="311">
        <v>10867.210000000001</v>
      </c>
      <c r="L646" s="311">
        <v>0</v>
      </c>
      <c r="M646" s="311">
        <v>14299.636363636364</v>
      </c>
      <c r="N646" s="311">
        <v>2227.1545454545458</v>
      </c>
      <c r="O646" s="311">
        <v>1559.008181818182</v>
      </c>
      <c r="P646" s="68">
        <f t="shared" si="145"/>
        <v>28953.009090909094</v>
      </c>
      <c r="Q646" s="68">
        <f t="shared" si="146"/>
        <v>521154.16363636369</v>
      </c>
      <c r="R646" s="127">
        <f t="shared" si="147"/>
        <v>521154.16363636369</v>
      </c>
      <c r="S646" s="18"/>
    </row>
    <row r="647" spans="1:19">
      <c r="A647" s="123"/>
      <c r="B647" s="254" t="s">
        <v>916</v>
      </c>
      <c r="C647" s="42" t="s">
        <v>8</v>
      </c>
      <c r="D647" s="361">
        <v>12</v>
      </c>
      <c r="E647" s="124"/>
      <c r="F647" s="361">
        <v>12</v>
      </c>
      <c r="G647" s="351" t="s">
        <v>2991</v>
      </c>
      <c r="H647" s="351"/>
      <c r="I647" s="351" t="s">
        <v>2681</v>
      </c>
      <c r="J647" s="351" t="s">
        <v>2328</v>
      </c>
      <c r="K647" s="311">
        <v>5333.6</v>
      </c>
      <c r="L647" s="311">
        <v>0</v>
      </c>
      <c r="M647" s="311">
        <v>12031.418181818182</v>
      </c>
      <c r="N647" s="311">
        <v>1536.7272727272727</v>
      </c>
      <c r="O647" s="311">
        <v>1075.7090909090909</v>
      </c>
      <c r="P647" s="68">
        <f t="shared" si="145"/>
        <v>19977.454545454544</v>
      </c>
      <c r="Q647" s="68">
        <f t="shared" si="146"/>
        <v>239729.45454545453</v>
      </c>
      <c r="R647" s="127">
        <f t="shared" si="147"/>
        <v>239729.45454545453</v>
      </c>
      <c r="S647" s="15"/>
    </row>
    <row r="648" spans="1:19">
      <c r="A648" s="123">
        <v>19</v>
      </c>
      <c r="B648" s="254" t="s">
        <v>1006</v>
      </c>
      <c r="C648" s="42"/>
      <c r="D648" s="361"/>
      <c r="E648" s="124"/>
      <c r="F648" s="361"/>
      <c r="G648" s="15"/>
      <c r="H648" s="15"/>
      <c r="I648" s="15"/>
      <c r="J648" s="15"/>
      <c r="K648" s="66"/>
      <c r="L648" s="66"/>
      <c r="M648" s="66"/>
      <c r="N648" s="66"/>
      <c r="O648" s="66"/>
      <c r="P648" s="66"/>
      <c r="Q648" s="66"/>
      <c r="R648" s="66"/>
      <c r="S648" s="15"/>
    </row>
    <row r="649" spans="1:19">
      <c r="A649" s="123"/>
      <c r="B649" s="254" t="s">
        <v>896</v>
      </c>
      <c r="C649" s="42" t="s">
        <v>8</v>
      </c>
      <c r="D649" s="361">
        <v>16</v>
      </c>
      <c r="E649" s="124"/>
      <c r="F649" s="361">
        <v>16</v>
      </c>
      <c r="G649" s="351" t="s">
        <v>2859</v>
      </c>
      <c r="H649" s="351"/>
      <c r="I649" s="351" t="s">
        <v>2681</v>
      </c>
      <c r="J649" s="351" t="s">
        <v>2328</v>
      </c>
      <c r="K649" s="311">
        <v>227926.65000000002</v>
      </c>
      <c r="L649" s="311">
        <v>0</v>
      </c>
      <c r="M649" s="311">
        <v>46843.63636363636</v>
      </c>
      <c r="N649" s="311">
        <v>24315.954545454544</v>
      </c>
      <c r="O649" s="311">
        <v>17021.168181818182</v>
      </c>
      <c r="P649" s="68">
        <f t="shared" ref="P649:P655" si="148">SUM(K649:O649)</f>
        <v>316107.40909090906</v>
      </c>
      <c r="Q649" s="68">
        <f t="shared" ref="Q649:Q655" si="149">D649*P649</f>
        <v>5057718.5454545449</v>
      </c>
      <c r="R649" s="127">
        <f t="shared" ref="R649:R655" si="150">F649*P649</f>
        <v>5057718.5454545449</v>
      </c>
      <c r="S649" s="15"/>
    </row>
    <row r="650" spans="1:19">
      <c r="A650" s="123"/>
      <c r="B650" s="254" t="s">
        <v>902</v>
      </c>
      <c r="C650" s="42" t="s">
        <v>8</v>
      </c>
      <c r="D650" s="361">
        <v>18</v>
      </c>
      <c r="E650" s="124"/>
      <c r="F650" s="361">
        <v>18</v>
      </c>
      <c r="G650" s="351" t="s">
        <v>2861</v>
      </c>
      <c r="H650" s="351"/>
      <c r="I650" s="351" t="s">
        <v>2681</v>
      </c>
      <c r="J650" s="351" t="s">
        <v>2328</v>
      </c>
      <c r="K650" s="311">
        <v>123766.18800000002</v>
      </c>
      <c r="L650" s="311">
        <v>0</v>
      </c>
      <c r="M650" s="311">
        <v>33875.345454545459</v>
      </c>
      <c r="N650" s="311">
        <v>13950.578181818184</v>
      </c>
      <c r="O650" s="311">
        <v>9765.4047272727294</v>
      </c>
      <c r="P650" s="68">
        <f t="shared" si="148"/>
        <v>181357.51636363639</v>
      </c>
      <c r="Q650" s="68">
        <f t="shared" si="149"/>
        <v>3264435.2945454549</v>
      </c>
      <c r="R650" s="127">
        <f t="shared" si="150"/>
        <v>3264435.2945454549</v>
      </c>
      <c r="S650" s="15"/>
    </row>
    <row r="651" spans="1:19">
      <c r="A651" s="123"/>
      <c r="B651" s="254" t="s">
        <v>783</v>
      </c>
      <c r="C651" s="42" t="s">
        <v>8</v>
      </c>
      <c r="D651" s="361">
        <v>12</v>
      </c>
      <c r="E651" s="124"/>
      <c r="F651" s="361">
        <v>12</v>
      </c>
      <c r="G651" s="351" t="s">
        <v>2862</v>
      </c>
      <c r="H651" s="351"/>
      <c r="I651" s="351" t="s">
        <v>2681</v>
      </c>
      <c r="J651" s="351" t="s">
        <v>2328</v>
      </c>
      <c r="K651" s="311">
        <v>77374.038000000015</v>
      </c>
      <c r="L651" s="311">
        <v>0</v>
      </c>
      <c r="M651" s="311">
        <v>28229.454545454548</v>
      </c>
      <c r="N651" s="311">
        <v>9345.4418181818182</v>
      </c>
      <c r="O651" s="311">
        <v>6541.8092727272733</v>
      </c>
      <c r="P651" s="68">
        <f t="shared" si="148"/>
        <v>121490.74363636365</v>
      </c>
      <c r="Q651" s="68">
        <f t="shared" si="149"/>
        <v>1457888.9236363638</v>
      </c>
      <c r="R651" s="127">
        <f t="shared" si="150"/>
        <v>1457888.9236363638</v>
      </c>
      <c r="S651" s="37"/>
    </row>
    <row r="652" spans="1:19">
      <c r="A652" s="123"/>
      <c r="B652" s="254" t="s">
        <v>785</v>
      </c>
      <c r="C652" s="42" t="s">
        <v>8</v>
      </c>
      <c r="D652" s="361">
        <v>16</v>
      </c>
      <c r="E652" s="124"/>
      <c r="F652" s="361">
        <v>16</v>
      </c>
      <c r="G652" s="351" t="s">
        <v>2864</v>
      </c>
      <c r="H652" s="351"/>
      <c r="I652" s="351" t="s">
        <v>2681</v>
      </c>
      <c r="J652" s="351" t="s">
        <v>2328</v>
      </c>
      <c r="K652" s="311">
        <v>50407.040000000008</v>
      </c>
      <c r="L652" s="311">
        <v>0</v>
      </c>
      <c r="M652" s="311">
        <v>24642.218181818182</v>
      </c>
      <c r="N652" s="311">
        <v>6641.5272727272722</v>
      </c>
      <c r="O652" s="311">
        <v>4649.0690909090908</v>
      </c>
      <c r="P652" s="68">
        <f t="shared" si="148"/>
        <v>86339.854545454553</v>
      </c>
      <c r="Q652" s="68">
        <f t="shared" si="149"/>
        <v>1381437.6727272728</v>
      </c>
      <c r="R652" s="127">
        <f t="shared" si="150"/>
        <v>1381437.6727272728</v>
      </c>
      <c r="S652" s="37"/>
    </row>
    <row r="653" spans="1:19">
      <c r="A653" s="123"/>
      <c r="B653" s="254" t="s">
        <v>786</v>
      </c>
      <c r="C653" s="42" t="s">
        <v>8</v>
      </c>
      <c r="D653" s="361">
        <v>28</v>
      </c>
      <c r="E653" s="124"/>
      <c r="F653" s="361">
        <v>28</v>
      </c>
      <c r="G653" s="351" t="s">
        <v>2865</v>
      </c>
      <c r="H653" s="351"/>
      <c r="I653" s="351" t="s">
        <v>2681</v>
      </c>
      <c r="J653" s="351" t="s">
        <v>2328</v>
      </c>
      <c r="K653" s="311">
        <v>29651.200000000004</v>
      </c>
      <c r="L653" s="311">
        <v>0</v>
      </c>
      <c r="M653" s="311">
        <v>20537.236363636363</v>
      </c>
      <c r="N653" s="311">
        <v>4441.454545454546</v>
      </c>
      <c r="O653" s="311">
        <v>3109.0181818181823</v>
      </c>
      <c r="P653" s="68">
        <f t="shared" si="148"/>
        <v>57738.909090909096</v>
      </c>
      <c r="Q653" s="68">
        <f t="shared" si="149"/>
        <v>1616689.4545454546</v>
      </c>
      <c r="R653" s="127">
        <f t="shared" si="150"/>
        <v>1616689.4545454546</v>
      </c>
      <c r="S653" s="37"/>
    </row>
    <row r="654" spans="1:19">
      <c r="A654" s="123"/>
      <c r="B654" s="254" t="s">
        <v>915</v>
      </c>
      <c r="C654" s="42" t="s">
        <v>8</v>
      </c>
      <c r="D654" s="361">
        <v>14</v>
      </c>
      <c r="E654" s="124"/>
      <c r="F654" s="361">
        <v>14</v>
      </c>
      <c r="G654" s="351" t="s">
        <v>2931</v>
      </c>
      <c r="H654" s="351"/>
      <c r="I654" s="351" t="s">
        <v>2681</v>
      </c>
      <c r="J654" s="351" t="s">
        <v>2328</v>
      </c>
      <c r="K654" s="311">
        <v>9467.1400000000012</v>
      </c>
      <c r="L654" s="311">
        <v>0</v>
      </c>
      <c r="M654" s="311">
        <v>14299.636363636364</v>
      </c>
      <c r="N654" s="311">
        <v>2103.2545454545457</v>
      </c>
      <c r="O654" s="311">
        <v>1472.278181818182</v>
      </c>
      <c r="P654" s="68">
        <f t="shared" si="148"/>
        <v>27342.309090909097</v>
      </c>
      <c r="Q654" s="68">
        <f t="shared" si="149"/>
        <v>382792.32727272739</v>
      </c>
      <c r="R654" s="127">
        <f t="shared" si="150"/>
        <v>382792.32727272739</v>
      </c>
      <c r="S654" s="37"/>
    </row>
    <row r="655" spans="1:19">
      <c r="A655" s="123"/>
      <c r="B655" s="254" t="s">
        <v>916</v>
      </c>
      <c r="C655" s="42" t="s">
        <v>8</v>
      </c>
      <c r="D655" s="361">
        <v>12</v>
      </c>
      <c r="E655" s="124"/>
      <c r="F655" s="361">
        <v>12</v>
      </c>
      <c r="G655" s="351" t="s">
        <v>2992</v>
      </c>
      <c r="H655" s="351"/>
      <c r="I655" s="351" t="s">
        <v>2681</v>
      </c>
      <c r="J655" s="351" t="s">
        <v>2328</v>
      </c>
      <c r="K655" s="311">
        <v>4133.5400000000009</v>
      </c>
      <c r="L655" s="311">
        <v>0</v>
      </c>
      <c r="M655" s="311">
        <v>12031.418181818182</v>
      </c>
      <c r="N655" s="311">
        <v>1430.5272727272727</v>
      </c>
      <c r="O655" s="311">
        <v>1001.3690909090909</v>
      </c>
      <c r="P655" s="68">
        <f t="shared" si="148"/>
        <v>18596.854545454546</v>
      </c>
      <c r="Q655" s="68">
        <f t="shared" si="149"/>
        <v>223162.25454545455</v>
      </c>
      <c r="R655" s="127">
        <f t="shared" si="150"/>
        <v>223162.25454545455</v>
      </c>
      <c r="S655" s="37"/>
    </row>
    <row r="656" spans="1:19">
      <c r="A656" s="123">
        <v>20</v>
      </c>
      <c r="B656" s="254" t="s">
        <v>1007</v>
      </c>
      <c r="C656" s="42"/>
      <c r="D656" s="361"/>
      <c r="E656" s="124"/>
      <c r="F656" s="361"/>
      <c r="G656" s="37"/>
      <c r="H656" s="37"/>
      <c r="I656" s="37"/>
      <c r="J656" s="37"/>
      <c r="K656" s="66"/>
      <c r="L656" s="66"/>
      <c r="M656" s="66"/>
      <c r="N656" s="66"/>
      <c r="O656" s="66"/>
      <c r="P656" s="66"/>
      <c r="Q656" s="66"/>
      <c r="R656" s="66"/>
      <c r="S656" s="37"/>
    </row>
    <row r="657" spans="1:19">
      <c r="A657" s="123"/>
      <c r="B657" s="254" t="s">
        <v>896</v>
      </c>
      <c r="C657" s="42" t="s">
        <v>8</v>
      </c>
      <c r="D657" s="361">
        <v>15</v>
      </c>
      <c r="E657" s="124"/>
      <c r="F657" s="361">
        <v>15</v>
      </c>
      <c r="G657" s="351" t="s">
        <v>2887</v>
      </c>
      <c r="H657" s="351"/>
      <c r="I657" s="351" t="s">
        <v>2681</v>
      </c>
      <c r="J657" s="351" t="s">
        <v>2328</v>
      </c>
      <c r="K657" s="311">
        <v>159508.31400000004</v>
      </c>
      <c r="L657" s="311">
        <v>0</v>
      </c>
      <c r="M657" s="311">
        <v>46843.63636363636</v>
      </c>
      <c r="N657" s="311">
        <v>18261.234545454547</v>
      </c>
      <c r="O657" s="311">
        <v>12782.864181818184</v>
      </c>
      <c r="P657" s="68">
        <f t="shared" ref="P657:P667" si="151">SUM(K657:O657)</f>
        <v>237396.04909090913</v>
      </c>
      <c r="Q657" s="68">
        <f t="shared" ref="Q657:Q667" si="152">D657*P657</f>
        <v>3560940.7363636368</v>
      </c>
      <c r="R657" s="127">
        <f t="shared" ref="R657:R667" si="153">F657*P657</f>
        <v>3560940.7363636368</v>
      </c>
      <c r="S657" s="36"/>
    </row>
    <row r="658" spans="1:19">
      <c r="A658" s="123"/>
      <c r="B658" s="254" t="s">
        <v>902</v>
      </c>
      <c r="C658" s="42" t="s">
        <v>8</v>
      </c>
      <c r="D658" s="361">
        <v>9</v>
      </c>
      <c r="E658" s="124"/>
      <c r="F658" s="361">
        <v>9</v>
      </c>
      <c r="G658" s="351" t="s">
        <v>2889</v>
      </c>
      <c r="H658" s="351"/>
      <c r="I658" s="351" t="s">
        <v>2681</v>
      </c>
      <c r="J658" s="351" t="s">
        <v>2328</v>
      </c>
      <c r="K658" s="311">
        <v>97924.896000000022</v>
      </c>
      <c r="L658" s="311">
        <v>0</v>
      </c>
      <c r="M658" s="311">
        <v>33875.345454545459</v>
      </c>
      <c r="N658" s="311">
        <v>11663.738181818184</v>
      </c>
      <c r="O658" s="311">
        <v>8164.6167272727289</v>
      </c>
      <c r="P658" s="68">
        <f t="shared" si="151"/>
        <v>151628.59636363637</v>
      </c>
      <c r="Q658" s="68">
        <f t="shared" si="152"/>
        <v>1364657.3672727274</v>
      </c>
      <c r="R658" s="127">
        <f t="shared" si="153"/>
        <v>1364657.3672727274</v>
      </c>
      <c r="S658" s="37"/>
    </row>
    <row r="659" spans="1:19">
      <c r="A659" s="123"/>
      <c r="B659" s="254" t="s">
        <v>783</v>
      </c>
      <c r="C659" s="42" t="s">
        <v>8</v>
      </c>
      <c r="D659" s="361">
        <v>18</v>
      </c>
      <c r="E659" s="124"/>
      <c r="F659" s="361">
        <v>18</v>
      </c>
      <c r="G659" s="351" t="s">
        <v>2890</v>
      </c>
      <c r="H659" s="351"/>
      <c r="I659" s="351" t="s">
        <v>2681</v>
      </c>
      <c r="J659" s="351" t="s">
        <v>2328</v>
      </c>
      <c r="K659" s="311">
        <v>60350.136000000013</v>
      </c>
      <c r="L659" s="311">
        <v>0</v>
      </c>
      <c r="M659" s="311">
        <v>28229.454545454548</v>
      </c>
      <c r="N659" s="311">
        <v>7838.9018181818192</v>
      </c>
      <c r="O659" s="311">
        <v>5487.2312727272738</v>
      </c>
      <c r="P659" s="68">
        <f t="shared" si="151"/>
        <v>101905.72363636366</v>
      </c>
      <c r="Q659" s="68">
        <f t="shared" si="152"/>
        <v>1834303.0254545459</v>
      </c>
      <c r="R659" s="127">
        <f t="shared" si="153"/>
        <v>1834303.0254545459</v>
      </c>
      <c r="S659" s="37"/>
    </row>
    <row r="660" spans="1:19">
      <c r="A660" s="123"/>
      <c r="B660" s="254" t="s">
        <v>785</v>
      </c>
      <c r="C660" s="42" t="s">
        <v>8</v>
      </c>
      <c r="D660" s="361">
        <v>21.5</v>
      </c>
      <c r="E660" s="124"/>
      <c r="F660" s="361">
        <v>21.5</v>
      </c>
      <c r="G660" s="351" t="s">
        <v>2892</v>
      </c>
      <c r="H660" s="351"/>
      <c r="I660" s="351" t="s">
        <v>2681</v>
      </c>
      <c r="J660" s="351" t="s">
        <v>2328</v>
      </c>
      <c r="K660" s="311">
        <v>44983.039999999994</v>
      </c>
      <c r="L660" s="311">
        <v>0</v>
      </c>
      <c r="M660" s="311">
        <v>24642.218181818182</v>
      </c>
      <c r="N660" s="311">
        <v>6161.5272727272722</v>
      </c>
      <c r="O660" s="311">
        <v>4313.0690909090908</v>
      </c>
      <c r="P660" s="68">
        <f t="shared" si="151"/>
        <v>80099.854545454538</v>
      </c>
      <c r="Q660" s="68">
        <f t="shared" si="152"/>
        <v>1722146.8727272726</v>
      </c>
      <c r="R660" s="127">
        <f t="shared" si="153"/>
        <v>1722146.8727272726</v>
      </c>
      <c r="S660" s="37"/>
    </row>
    <row r="661" spans="1:19">
      <c r="A661" s="123"/>
      <c r="B661" s="254" t="s">
        <v>786</v>
      </c>
      <c r="C661" s="42" t="s">
        <v>8</v>
      </c>
      <c r="D661" s="361">
        <v>8.5</v>
      </c>
      <c r="E661" s="124"/>
      <c r="F661" s="361">
        <v>8.5</v>
      </c>
      <c r="G661" s="351" t="s">
        <v>2893</v>
      </c>
      <c r="H661" s="351"/>
      <c r="I661" s="351" t="s">
        <v>2681</v>
      </c>
      <c r="J661" s="351" t="s">
        <v>2328</v>
      </c>
      <c r="K661" s="311">
        <v>21912.959999999999</v>
      </c>
      <c r="L661" s="311">
        <v>0</v>
      </c>
      <c r="M661" s="311">
        <v>20537.236363636363</v>
      </c>
      <c r="N661" s="311">
        <v>3756.6545454545449</v>
      </c>
      <c r="O661" s="311">
        <v>2629.6581818181817</v>
      </c>
      <c r="P661" s="68">
        <f t="shared" si="151"/>
        <v>48836.509090909087</v>
      </c>
      <c r="Q661" s="68">
        <f t="shared" si="152"/>
        <v>415110.32727272721</v>
      </c>
      <c r="R661" s="127">
        <f t="shared" si="153"/>
        <v>415110.32727272721</v>
      </c>
      <c r="S661" s="37"/>
    </row>
    <row r="662" spans="1:19">
      <c r="A662" s="123"/>
      <c r="B662" s="254" t="s">
        <v>915</v>
      </c>
      <c r="C662" s="42" t="s">
        <v>8</v>
      </c>
      <c r="D662" s="361">
        <v>10.5</v>
      </c>
      <c r="E662" s="124"/>
      <c r="F662" s="361">
        <v>10.5</v>
      </c>
      <c r="G662" s="351" t="s">
        <v>2993</v>
      </c>
      <c r="H662" s="351"/>
      <c r="I662" s="351" t="s">
        <v>2681</v>
      </c>
      <c r="J662" s="351" t="s">
        <v>2328</v>
      </c>
      <c r="K662" s="311">
        <v>4666.9000000000005</v>
      </c>
      <c r="L662" s="311">
        <v>0</v>
      </c>
      <c r="M662" s="311">
        <v>14299.636363636364</v>
      </c>
      <c r="N662" s="311">
        <v>1678.4545454545457</v>
      </c>
      <c r="O662" s="311">
        <v>1174.9181818181821</v>
      </c>
      <c r="P662" s="68">
        <f t="shared" si="151"/>
        <v>21819.909090909092</v>
      </c>
      <c r="Q662" s="68">
        <f t="shared" si="152"/>
        <v>229109.04545454547</v>
      </c>
      <c r="R662" s="127">
        <f t="shared" si="153"/>
        <v>229109.04545454547</v>
      </c>
      <c r="S662" s="38"/>
    </row>
    <row r="663" spans="1:19">
      <c r="A663" s="123"/>
      <c r="B663" s="254" t="s">
        <v>916</v>
      </c>
      <c r="C663" s="42" t="s">
        <v>8</v>
      </c>
      <c r="D663" s="361">
        <v>8</v>
      </c>
      <c r="E663" s="124"/>
      <c r="F663" s="361">
        <v>8</v>
      </c>
      <c r="G663" s="351" t="s">
        <v>2994</v>
      </c>
      <c r="H663" s="351"/>
      <c r="I663" s="351" t="s">
        <v>2681</v>
      </c>
      <c r="J663" s="351" t="s">
        <v>2328</v>
      </c>
      <c r="K663" s="311">
        <v>2666.8</v>
      </c>
      <c r="L663" s="311">
        <v>0</v>
      </c>
      <c r="M663" s="311">
        <v>12031.418181818182</v>
      </c>
      <c r="N663" s="311">
        <v>1300.7272727272727</v>
      </c>
      <c r="O663" s="311">
        <v>910.5090909090909</v>
      </c>
      <c r="P663" s="68">
        <f t="shared" si="151"/>
        <v>16909.454545454544</v>
      </c>
      <c r="Q663" s="68">
        <f t="shared" si="152"/>
        <v>135275.63636363635</v>
      </c>
      <c r="R663" s="127">
        <f t="shared" si="153"/>
        <v>135275.63636363635</v>
      </c>
      <c r="S663" s="36"/>
    </row>
    <row r="664" spans="1:19" s="131" customFormat="1">
      <c r="A664" s="42">
        <v>21</v>
      </c>
      <c r="B664" s="254" t="s">
        <v>1964</v>
      </c>
      <c r="C664" s="42" t="s">
        <v>1965</v>
      </c>
      <c r="D664" s="361">
        <v>15</v>
      </c>
      <c r="E664" s="124"/>
      <c r="F664" s="361">
        <v>15</v>
      </c>
      <c r="G664" s="335"/>
      <c r="H664" s="335"/>
      <c r="I664" s="335"/>
      <c r="J664" s="15" t="s">
        <v>2381</v>
      </c>
      <c r="K664" s="311">
        <v>208937</v>
      </c>
      <c r="L664" s="311">
        <v>0</v>
      </c>
      <c r="M664" s="311">
        <v>161861.55499384616</v>
      </c>
      <c r="N664" s="311">
        <v>32814.031415384612</v>
      </c>
      <c r="O664" s="311">
        <v>22969.821990769229</v>
      </c>
      <c r="P664" s="68">
        <f t="shared" si="151"/>
        <v>426582.40840000001</v>
      </c>
      <c r="Q664" s="68">
        <f t="shared" si="152"/>
        <v>6398736.1260000002</v>
      </c>
      <c r="R664" s="127">
        <f t="shared" si="153"/>
        <v>6398736.1260000002</v>
      </c>
      <c r="S664" s="338"/>
    </row>
    <row r="665" spans="1:19" s="131" customFormat="1">
      <c r="A665" s="42">
        <v>22</v>
      </c>
      <c r="B665" s="254" t="s">
        <v>1966</v>
      </c>
      <c r="C665" s="42" t="s">
        <v>1965</v>
      </c>
      <c r="D665" s="361">
        <v>12</v>
      </c>
      <c r="E665" s="124"/>
      <c r="F665" s="361">
        <v>12</v>
      </c>
      <c r="G665" s="335"/>
      <c r="H665" s="335"/>
      <c r="I665" s="335"/>
      <c r="J665" s="15" t="s">
        <v>2381</v>
      </c>
      <c r="K665" s="311">
        <v>107802</v>
      </c>
      <c r="L665" s="311">
        <v>0</v>
      </c>
      <c r="M665" s="311">
        <v>87836.237360215397</v>
      </c>
      <c r="N665" s="311">
        <v>17313.11835046154</v>
      </c>
      <c r="O665" s="311">
        <v>12119.182845323077</v>
      </c>
      <c r="P665" s="68">
        <f t="shared" si="151"/>
        <v>225070.53855600001</v>
      </c>
      <c r="Q665" s="68">
        <f t="shared" si="152"/>
        <v>2700846.4626720003</v>
      </c>
      <c r="R665" s="127">
        <f t="shared" si="153"/>
        <v>2700846.4626720003</v>
      </c>
      <c r="S665" s="338"/>
    </row>
    <row r="666" spans="1:19" s="131" customFormat="1">
      <c r="A666" s="42">
        <v>23</v>
      </c>
      <c r="B666" s="254" t="s">
        <v>1967</v>
      </c>
      <c r="C666" s="42" t="s">
        <v>1965</v>
      </c>
      <c r="D666" s="361">
        <v>10</v>
      </c>
      <c r="E666" s="124"/>
      <c r="F666" s="361">
        <v>10</v>
      </c>
      <c r="G666" s="335"/>
      <c r="H666" s="335"/>
      <c r="I666" s="335"/>
      <c r="J666" s="15" t="s">
        <v>2381</v>
      </c>
      <c r="K666" s="311">
        <v>82207.500000000015</v>
      </c>
      <c r="L666" s="311">
        <v>0</v>
      </c>
      <c r="M666" s="311">
        <v>87836.237360215397</v>
      </c>
      <c r="N666" s="311">
        <v>15048.11835046154</v>
      </c>
      <c r="O666" s="311">
        <v>10533.682845323077</v>
      </c>
      <c r="P666" s="68">
        <f t="shared" si="151"/>
        <v>195625.53855600001</v>
      </c>
      <c r="Q666" s="68">
        <f t="shared" si="152"/>
        <v>1956255.3855600001</v>
      </c>
      <c r="R666" s="127">
        <f t="shared" si="153"/>
        <v>1956255.3855600001</v>
      </c>
      <c r="S666" s="338"/>
    </row>
    <row r="667" spans="1:19">
      <c r="A667" s="123">
        <v>24</v>
      </c>
      <c r="B667" s="254" t="s">
        <v>852</v>
      </c>
      <c r="C667" s="42" t="s">
        <v>78</v>
      </c>
      <c r="D667" s="361">
        <v>1</v>
      </c>
      <c r="E667" s="124"/>
      <c r="F667" s="361">
        <v>1</v>
      </c>
      <c r="G667" s="15"/>
      <c r="H667" s="15"/>
      <c r="I667" s="15"/>
      <c r="J667" s="15" t="s">
        <v>2381</v>
      </c>
      <c r="K667" s="311">
        <v>18582072.5616</v>
      </c>
      <c r="L667" s="311">
        <v>0</v>
      </c>
      <c r="M667" s="311">
        <v>5843701.9854545463</v>
      </c>
      <c r="N667" s="311">
        <v>2069980.8938181819</v>
      </c>
      <c r="O667" s="311">
        <v>1448986.6256727274</v>
      </c>
      <c r="P667" s="68">
        <f t="shared" si="151"/>
        <v>27944742.066545453</v>
      </c>
      <c r="Q667" s="68">
        <f t="shared" si="152"/>
        <v>27944742.066545453</v>
      </c>
      <c r="R667" s="127">
        <f t="shared" si="153"/>
        <v>27944742.066545453</v>
      </c>
      <c r="S667" s="15"/>
    </row>
    <row r="668" spans="1:19" s="122" customFormat="1">
      <c r="A668" s="244" t="s">
        <v>713</v>
      </c>
      <c r="B668" s="245" t="s">
        <v>1858</v>
      </c>
      <c r="C668" s="246"/>
      <c r="D668" s="515"/>
      <c r="E668" s="248"/>
      <c r="F668" s="515"/>
      <c r="G668" s="257"/>
      <c r="H668" s="257"/>
      <c r="I668" s="257"/>
      <c r="J668" s="257"/>
      <c r="K668" s="528"/>
      <c r="L668" s="528"/>
      <c r="M668" s="528"/>
      <c r="N668" s="528"/>
      <c r="O668" s="528"/>
      <c r="P668" s="528"/>
      <c r="Q668" s="528"/>
      <c r="R668" s="528"/>
      <c r="S668" s="257"/>
    </row>
    <row r="669" spans="1:19">
      <c r="A669" s="119" t="s">
        <v>1758</v>
      </c>
      <c r="B669" s="1" t="s">
        <v>950</v>
      </c>
      <c r="C669" s="42"/>
      <c r="D669" s="351"/>
      <c r="E669" s="124"/>
      <c r="F669" s="351"/>
      <c r="G669" s="15"/>
      <c r="H669" s="15"/>
      <c r="I669" s="15"/>
      <c r="J669" s="15"/>
      <c r="K669" s="66"/>
      <c r="L669" s="66"/>
      <c r="M669" s="66"/>
      <c r="N669" s="66"/>
      <c r="O669" s="66"/>
      <c r="P669" s="66"/>
      <c r="Q669" s="66"/>
      <c r="R669" s="66"/>
      <c r="S669" s="15"/>
    </row>
    <row r="670" spans="1:19">
      <c r="A670" s="123">
        <v>1</v>
      </c>
      <c r="B670" s="254" t="s">
        <v>951</v>
      </c>
      <c r="C670" s="42"/>
      <c r="D670" s="351"/>
      <c r="E670" s="124"/>
      <c r="F670" s="351"/>
      <c r="G670" s="15"/>
      <c r="H670" s="15"/>
      <c r="I670" s="15"/>
      <c r="J670" s="15"/>
      <c r="K670" s="66"/>
      <c r="L670" s="66"/>
      <c r="M670" s="66"/>
      <c r="N670" s="66"/>
      <c r="O670" s="66"/>
      <c r="P670" s="66"/>
      <c r="Q670" s="66"/>
      <c r="R670" s="66"/>
      <c r="S670" s="15"/>
    </row>
    <row r="671" spans="1:19">
      <c r="A671" s="123"/>
      <c r="B671" s="254" t="s">
        <v>790</v>
      </c>
      <c r="C671" s="42" t="s">
        <v>117</v>
      </c>
      <c r="D671" s="351">
        <v>66.837000000000003</v>
      </c>
      <c r="E671" s="124"/>
      <c r="F671" s="351">
        <v>66.837000000000003</v>
      </c>
      <c r="G671" s="351" t="s">
        <v>2685</v>
      </c>
      <c r="H671" s="351"/>
      <c r="I671" s="351" t="s">
        <v>2681</v>
      </c>
      <c r="J671" s="351" t="s">
        <v>2328</v>
      </c>
      <c r="K671" s="311">
        <v>25318.78</v>
      </c>
      <c r="L671" s="311">
        <v>0</v>
      </c>
      <c r="M671" s="311">
        <v>32991.480000000003</v>
      </c>
      <c r="N671" s="311">
        <v>5160.2000000000007</v>
      </c>
      <c r="O671" s="311">
        <v>3612.1400000000003</v>
      </c>
      <c r="P671" s="68">
        <f t="shared" ref="P671:P674" si="154">SUM(K671:O671)</f>
        <v>67082.600000000006</v>
      </c>
      <c r="Q671" s="68">
        <f>D671*P671</f>
        <v>4483599.7362000002</v>
      </c>
      <c r="R671" s="127">
        <f>F671*P671</f>
        <v>4483599.7362000002</v>
      </c>
      <c r="S671" s="15"/>
    </row>
    <row r="672" spans="1:19">
      <c r="A672" s="123"/>
      <c r="B672" s="254" t="s">
        <v>791</v>
      </c>
      <c r="C672" s="42" t="s">
        <v>117</v>
      </c>
      <c r="D672" s="351">
        <v>58.929999999999993</v>
      </c>
      <c r="E672" s="124" t="s">
        <v>784</v>
      </c>
      <c r="F672" s="351">
        <v>58.929999999999993</v>
      </c>
      <c r="G672" s="351" t="s">
        <v>2686</v>
      </c>
      <c r="H672" s="351"/>
      <c r="I672" s="351" t="s">
        <v>2681</v>
      </c>
      <c r="J672" s="351" t="s">
        <v>2328</v>
      </c>
      <c r="K672" s="311">
        <v>18864.22</v>
      </c>
      <c r="L672" s="311">
        <v>0</v>
      </c>
      <c r="M672" s="311">
        <v>29520.120000000003</v>
      </c>
      <c r="N672" s="311">
        <v>4281.8</v>
      </c>
      <c r="O672" s="311">
        <v>2997.26</v>
      </c>
      <c r="P672" s="68">
        <f t="shared" si="154"/>
        <v>55663.400000000009</v>
      </c>
      <c r="Q672" s="68">
        <f>D672*P672</f>
        <v>3280244.162</v>
      </c>
      <c r="R672" s="127">
        <f>F672*P672</f>
        <v>3280244.162</v>
      </c>
      <c r="S672" s="15"/>
    </row>
    <row r="673" spans="1:19">
      <c r="A673" s="123"/>
      <c r="B673" s="254" t="s">
        <v>792</v>
      </c>
      <c r="C673" s="42" t="s">
        <v>117</v>
      </c>
      <c r="D673" s="351">
        <v>128.09200000000001</v>
      </c>
      <c r="E673" s="124" t="s">
        <v>784</v>
      </c>
      <c r="F673" s="351">
        <v>128.09200000000001</v>
      </c>
      <c r="G673" s="351" t="s">
        <v>2687</v>
      </c>
      <c r="H673" s="351"/>
      <c r="I673" s="351" t="s">
        <v>2681</v>
      </c>
      <c r="J673" s="351" t="s">
        <v>2328</v>
      </c>
      <c r="K673" s="311">
        <v>14561.18</v>
      </c>
      <c r="L673" s="311">
        <v>0</v>
      </c>
      <c r="M673" s="311">
        <v>28109.880000000005</v>
      </c>
      <c r="N673" s="311">
        <v>3776.2000000000003</v>
      </c>
      <c r="O673" s="311">
        <v>2643.34</v>
      </c>
      <c r="P673" s="68">
        <f t="shared" si="154"/>
        <v>49090.600000000006</v>
      </c>
      <c r="Q673" s="68">
        <f>D673*P673</f>
        <v>6288113.1352000013</v>
      </c>
      <c r="R673" s="127">
        <f>F673*P673</f>
        <v>6288113.1352000013</v>
      </c>
      <c r="S673" s="37"/>
    </row>
    <row r="674" spans="1:19">
      <c r="A674" s="123"/>
      <c r="B674" s="254" t="s">
        <v>530</v>
      </c>
      <c r="C674" s="42" t="s">
        <v>117</v>
      </c>
      <c r="D674" s="351">
        <v>615.44100000000003</v>
      </c>
      <c r="E674" s="124" t="s">
        <v>784</v>
      </c>
      <c r="F674" s="351">
        <v>615.44100000000003</v>
      </c>
      <c r="G674" s="351" t="s">
        <v>2688</v>
      </c>
      <c r="H674" s="351"/>
      <c r="I674" s="351" t="s">
        <v>2681</v>
      </c>
      <c r="J674" s="351" t="s">
        <v>2328</v>
      </c>
      <c r="K674" s="311">
        <v>8145.04</v>
      </c>
      <c r="L674" s="311">
        <v>0</v>
      </c>
      <c r="M674" s="311">
        <v>25831.800000000003</v>
      </c>
      <c r="N674" s="311">
        <v>3006.8</v>
      </c>
      <c r="O674" s="311">
        <v>2104.7600000000002</v>
      </c>
      <c r="P674" s="68">
        <f t="shared" si="154"/>
        <v>39088.400000000009</v>
      </c>
      <c r="Q674" s="68">
        <f>D674*P674</f>
        <v>24056603.984400008</v>
      </c>
      <c r="R674" s="127">
        <f>F674*P674</f>
        <v>24056603.984400008</v>
      </c>
      <c r="S674" s="37"/>
    </row>
    <row r="675" spans="1:19">
      <c r="A675" s="123"/>
      <c r="B675" s="254" t="s">
        <v>952</v>
      </c>
      <c r="C675" s="42"/>
      <c r="D675" s="351"/>
      <c r="E675" s="124"/>
      <c r="F675" s="351"/>
      <c r="G675" s="37"/>
      <c r="H675" s="37"/>
      <c r="I675" s="37"/>
      <c r="J675" s="37"/>
      <c r="K675" s="66"/>
      <c r="L675" s="66"/>
      <c r="M675" s="66"/>
      <c r="N675" s="66"/>
      <c r="O675" s="66"/>
      <c r="P675" s="66"/>
      <c r="Q675" s="66"/>
      <c r="R675" s="66"/>
      <c r="S675" s="37"/>
    </row>
    <row r="676" spans="1:19">
      <c r="A676" s="123"/>
      <c r="B676" s="254" t="s">
        <v>792</v>
      </c>
      <c r="C676" s="42" t="s">
        <v>117</v>
      </c>
      <c r="D676" s="351">
        <v>26</v>
      </c>
      <c r="E676" s="124" t="s">
        <v>953</v>
      </c>
      <c r="F676" s="351">
        <v>26</v>
      </c>
      <c r="G676" s="351" t="s">
        <v>2995</v>
      </c>
      <c r="H676" s="351"/>
      <c r="I676" s="351" t="s">
        <v>2681</v>
      </c>
      <c r="J676" s="351" t="s">
        <v>2328</v>
      </c>
      <c r="K676" s="311">
        <v>17673.2</v>
      </c>
      <c r="L676" s="311">
        <v>0</v>
      </c>
      <c r="M676" s="311">
        <v>28109.880000000005</v>
      </c>
      <c r="N676" s="311">
        <v>4051.6000000000004</v>
      </c>
      <c r="O676" s="311">
        <v>2836.1200000000003</v>
      </c>
      <c r="P676" s="68">
        <f t="shared" ref="P676:P677" si="155">SUM(K676:O676)</f>
        <v>52670.8</v>
      </c>
      <c r="Q676" s="68">
        <f>D676*P676</f>
        <v>1369440.8</v>
      </c>
      <c r="R676" s="127">
        <f>F676*P676</f>
        <v>1369440.8</v>
      </c>
      <c r="S676" s="38"/>
    </row>
    <row r="677" spans="1:19">
      <c r="A677" s="123"/>
      <c r="B677" s="254" t="s">
        <v>530</v>
      </c>
      <c r="C677" s="42" t="s">
        <v>117</v>
      </c>
      <c r="D677" s="351">
        <v>72</v>
      </c>
      <c r="E677" s="124" t="s">
        <v>953</v>
      </c>
      <c r="F677" s="351">
        <v>72</v>
      </c>
      <c r="G677" s="351" t="s">
        <v>2941</v>
      </c>
      <c r="H677" s="351"/>
      <c r="I677" s="351" t="s">
        <v>2681</v>
      </c>
      <c r="J677" s="351" t="s">
        <v>2328</v>
      </c>
      <c r="K677" s="311">
        <v>10066.040000000001</v>
      </c>
      <c r="L677" s="311">
        <v>0</v>
      </c>
      <c r="M677" s="311">
        <v>25831.800000000003</v>
      </c>
      <c r="N677" s="311">
        <v>3176.8</v>
      </c>
      <c r="O677" s="311">
        <v>2223.7600000000002</v>
      </c>
      <c r="P677" s="68">
        <f t="shared" si="155"/>
        <v>41298.400000000009</v>
      </c>
      <c r="Q677" s="68">
        <f>D677*P677</f>
        <v>2973484.8000000007</v>
      </c>
      <c r="R677" s="127">
        <f>F677*P677</f>
        <v>2973484.8000000007</v>
      </c>
      <c r="S677" s="36"/>
    </row>
    <row r="678" spans="1:19">
      <c r="A678" s="123" t="s">
        <v>735</v>
      </c>
      <c r="B678" s="254" t="s">
        <v>955</v>
      </c>
      <c r="C678" s="42"/>
      <c r="D678" s="351"/>
      <c r="E678" s="124"/>
      <c r="F678" s="351"/>
      <c r="G678" s="15"/>
      <c r="H678" s="15"/>
      <c r="I678" s="15"/>
      <c r="J678" s="15"/>
      <c r="K678" s="66"/>
      <c r="L678" s="66"/>
      <c r="M678" s="66"/>
      <c r="N678" s="66"/>
      <c r="O678" s="66"/>
      <c r="P678" s="66"/>
      <c r="Q678" s="66"/>
      <c r="R678" s="66"/>
      <c r="S678" s="15"/>
    </row>
    <row r="679" spans="1:19">
      <c r="A679" s="123"/>
      <c r="B679" s="254" t="s">
        <v>790</v>
      </c>
      <c r="C679" s="42" t="s">
        <v>8</v>
      </c>
      <c r="D679" s="351">
        <v>6</v>
      </c>
      <c r="E679" s="124"/>
      <c r="F679" s="351">
        <v>6</v>
      </c>
      <c r="G679" s="351" t="s">
        <v>2718</v>
      </c>
      <c r="H679" s="351"/>
      <c r="I679" s="351" t="s">
        <v>2681</v>
      </c>
      <c r="J679" s="351" t="s">
        <v>2328</v>
      </c>
      <c r="K679" s="311">
        <v>9412.9000000000015</v>
      </c>
      <c r="L679" s="311">
        <v>0</v>
      </c>
      <c r="M679" s="311">
        <v>24909.72</v>
      </c>
      <c r="N679" s="311">
        <v>3037.4</v>
      </c>
      <c r="O679" s="311">
        <v>2126.1800000000003</v>
      </c>
      <c r="P679" s="68">
        <f t="shared" ref="P679:P687" si="156">SUM(K679:O679)</f>
        <v>39486.200000000004</v>
      </c>
      <c r="Q679" s="68">
        <f t="shared" ref="Q679:Q687" si="157">D679*P679</f>
        <v>236917.2</v>
      </c>
      <c r="R679" s="127">
        <f t="shared" ref="R679:R687" si="158">F679*P679</f>
        <v>236917.2</v>
      </c>
      <c r="S679" s="18"/>
    </row>
    <row r="680" spans="1:19">
      <c r="A680" s="123"/>
      <c r="B680" s="254" t="s">
        <v>816</v>
      </c>
      <c r="C680" s="42" t="s">
        <v>8</v>
      </c>
      <c r="D680" s="351">
        <v>3</v>
      </c>
      <c r="E680" s="124"/>
      <c r="F680" s="351">
        <v>3</v>
      </c>
      <c r="G680" s="351" t="s">
        <v>2709</v>
      </c>
      <c r="H680" s="351"/>
      <c r="I680" s="351" t="s">
        <v>2681</v>
      </c>
      <c r="J680" s="351" t="s">
        <v>2328</v>
      </c>
      <c r="K680" s="311">
        <v>14215.4</v>
      </c>
      <c r="L680" s="311">
        <v>0</v>
      </c>
      <c r="M680" s="311">
        <v>24909.72</v>
      </c>
      <c r="N680" s="311">
        <v>3462.4</v>
      </c>
      <c r="O680" s="311">
        <v>2423.6800000000003</v>
      </c>
      <c r="P680" s="68">
        <f t="shared" si="156"/>
        <v>45011.200000000004</v>
      </c>
      <c r="Q680" s="68">
        <f t="shared" si="157"/>
        <v>135033.60000000001</v>
      </c>
      <c r="R680" s="127">
        <f t="shared" si="158"/>
        <v>135033.60000000001</v>
      </c>
      <c r="S680" s="15"/>
    </row>
    <row r="681" spans="1:19">
      <c r="A681" s="123"/>
      <c r="B681" s="254" t="s">
        <v>817</v>
      </c>
      <c r="C681" s="42" t="s">
        <v>8</v>
      </c>
      <c r="D681" s="351">
        <v>6</v>
      </c>
      <c r="E681" s="124"/>
      <c r="F681" s="351">
        <v>6</v>
      </c>
      <c r="G681" s="351" t="s">
        <v>2710</v>
      </c>
      <c r="H681" s="351"/>
      <c r="I681" s="351" t="s">
        <v>2681</v>
      </c>
      <c r="J681" s="351" t="s">
        <v>2328</v>
      </c>
      <c r="K681" s="311">
        <v>14215.4</v>
      </c>
      <c r="L681" s="311">
        <v>0</v>
      </c>
      <c r="M681" s="311">
        <v>24909.72</v>
      </c>
      <c r="N681" s="311">
        <v>3462.4</v>
      </c>
      <c r="O681" s="311">
        <v>2423.6800000000003</v>
      </c>
      <c r="P681" s="68">
        <f t="shared" si="156"/>
        <v>45011.200000000004</v>
      </c>
      <c r="Q681" s="68">
        <f t="shared" si="157"/>
        <v>270067.20000000001</v>
      </c>
      <c r="R681" s="127">
        <f t="shared" si="158"/>
        <v>270067.20000000001</v>
      </c>
      <c r="S681" s="15"/>
    </row>
    <row r="682" spans="1:19">
      <c r="A682" s="123"/>
      <c r="B682" s="254" t="s">
        <v>791</v>
      </c>
      <c r="C682" s="42" t="s">
        <v>8</v>
      </c>
      <c r="D682" s="351">
        <v>6</v>
      </c>
      <c r="E682" s="124"/>
      <c r="F682" s="351">
        <v>6</v>
      </c>
      <c r="G682" s="351" t="s">
        <v>2712</v>
      </c>
      <c r="H682" s="351"/>
      <c r="I682" s="351" t="s">
        <v>2681</v>
      </c>
      <c r="J682" s="351" t="s">
        <v>2328</v>
      </c>
      <c r="K682" s="311">
        <v>6031.94</v>
      </c>
      <c r="L682" s="311">
        <v>0</v>
      </c>
      <c r="M682" s="311">
        <v>22035.000000000004</v>
      </c>
      <c r="N682" s="311">
        <v>2483.8000000000002</v>
      </c>
      <c r="O682" s="311">
        <v>1738.66</v>
      </c>
      <c r="P682" s="68">
        <f t="shared" si="156"/>
        <v>32289.4</v>
      </c>
      <c r="Q682" s="68">
        <f t="shared" si="157"/>
        <v>193736.40000000002</v>
      </c>
      <c r="R682" s="127">
        <f t="shared" si="158"/>
        <v>193736.40000000002</v>
      </c>
      <c r="S682" s="15"/>
    </row>
    <row r="683" spans="1:19">
      <c r="A683" s="123"/>
      <c r="B683" s="254" t="s">
        <v>819</v>
      </c>
      <c r="C683" s="42" t="s">
        <v>8</v>
      </c>
      <c r="D683" s="351">
        <v>4</v>
      </c>
      <c r="E683" s="124"/>
      <c r="F683" s="351">
        <v>4</v>
      </c>
      <c r="G683" s="351" t="s">
        <v>2713</v>
      </c>
      <c r="H683" s="351"/>
      <c r="I683" s="351" t="s">
        <v>2681</v>
      </c>
      <c r="J683" s="351" t="s">
        <v>2328</v>
      </c>
      <c r="K683" s="311">
        <v>6454.5599999999995</v>
      </c>
      <c r="L683" s="311">
        <v>0</v>
      </c>
      <c r="M683" s="311">
        <v>22035.000000000004</v>
      </c>
      <c r="N683" s="311">
        <v>2521.2000000000003</v>
      </c>
      <c r="O683" s="311">
        <v>1764.8400000000001</v>
      </c>
      <c r="P683" s="68">
        <f t="shared" si="156"/>
        <v>32775.600000000006</v>
      </c>
      <c r="Q683" s="68">
        <f t="shared" si="157"/>
        <v>131102.40000000002</v>
      </c>
      <c r="R683" s="127">
        <f t="shared" si="158"/>
        <v>131102.40000000002</v>
      </c>
      <c r="S683" s="15"/>
    </row>
    <row r="684" spans="1:19">
      <c r="A684" s="123"/>
      <c r="B684" s="254" t="s">
        <v>820</v>
      </c>
      <c r="C684" s="42" t="s">
        <v>8</v>
      </c>
      <c r="D684" s="351">
        <v>25</v>
      </c>
      <c r="E684" s="124"/>
      <c r="F684" s="351">
        <v>25</v>
      </c>
      <c r="G684" s="351" t="s">
        <v>2714</v>
      </c>
      <c r="H684" s="351"/>
      <c r="I684" s="351" t="s">
        <v>2681</v>
      </c>
      <c r="J684" s="351" t="s">
        <v>2328</v>
      </c>
      <c r="K684" s="311">
        <v>6454.5599999999995</v>
      </c>
      <c r="L684" s="311">
        <v>0</v>
      </c>
      <c r="M684" s="311">
        <v>22035.000000000004</v>
      </c>
      <c r="N684" s="311">
        <v>2521.2000000000003</v>
      </c>
      <c r="O684" s="311">
        <v>1764.8400000000001</v>
      </c>
      <c r="P684" s="68">
        <f t="shared" si="156"/>
        <v>32775.600000000006</v>
      </c>
      <c r="Q684" s="68">
        <f t="shared" si="157"/>
        <v>819390.00000000012</v>
      </c>
      <c r="R684" s="127">
        <f t="shared" si="158"/>
        <v>819390.00000000012</v>
      </c>
      <c r="S684" s="37"/>
    </row>
    <row r="685" spans="1:19">
      <c r="A685" s="123"/>
      <c r="B685" s="254" t="s">
        <v>792</v>
      </c>
      <c r="C685" s="42" t="s">
        <v>8</v>
      </c>
      <c r="D685" s="351">
        <v>33</v>
      </c>
      <c r="E685" s="124"/>
      <c r="F685" s="351">
        <v>33</v>
      </c>
      <c r="G685" s="351" t="s">
        <v>2715</v>
      </c>
      <c r="H685" s="351"/>
      <c r="I685" s="351" t="s">
        <v>2681</v>
      </c>
      <c r="J685" s="351" t="s">
        <v>2328</v>
      </c>
      <c r="K685" s="311">
        <v>3649.8999999999996</v>
      </c>
      <c r="L685" s="311">
        <v>0</v>
      </c>
      <c r="M685" s="311">
        <v>18183.960000000003</v>
      </c>
      <c r="N685" s="311">
        <v>1932.2</v>
      </c>
      <c r="O685" s="311">
        <v>1352.5400000000002</v>
      </c>
      <c r="P685" s="68">
        <f t="shared" si="156"/>
        <v>25118.600000000002</v>
      </c>
      <c r="Q685" s="68">
        <f t="shared" si="157"/>
        <v>828913.8</v>
      </c>
      <c r="R685" s="127">
        <f t="shared" si="158"/>
        <v>828913.8</v>
      </c>
      <c r="S685" s="37"/>
    </row>
    <row r="686" spans="1:19">
      <c r="A686" s="123"/>
      <c r="B686" s="254" t="s">
        <v>821</v>
      </c>
      <c r="C686" s="42" t="s">
        <v>8</v>
      </c>
      <c r="D686" s="351">
        <v>76</v>
      </c>
      <c r="E686" s="124"/>
      <c r="F686" s="351">
        <v>76</v>
      </c>
      <c r="G686" s="351" t="s">
        <v>2716</v>
      </c>
      <c r="H686" s="351"/>
      <c r="I686" s="351" t="s">
        <v>2681</v>
      </c>
      <c r="J686" s="351" t="s">
        <v>2328</v>
      </c>
      <c r="K686" s="311">
        <v>3649.8999999999996</v>
      </c>
      <c r="L686" s="311">
        <v>0</v>
      </c>
      <c r="M686" s="311">
        <v>18183.960000000003</v>
      </c>
      <c r="N686" s="311">
        <v>1932.2</v>
      </c>
      <c r="O686" s="311">
        <v>1352.5400000000002</v>
      </c>
      <c r="P686" s="68">
        <f t="shared" si="156"/>
        <v>25118.600000000002</v>
      </c>
      <c r="Q686" s="68">
        <f t="shared" si="157"/>
        <v>1909013.6</v>
      </c>
      <c r="R686" s="127">
        <f t="shared" si="158"/>
        <v>1909013.6</v>
      </c>
      <c r="S686" s="37"/>
    </row>
    <row r="687" spans="1:19">
      <c r="A687" s="123"/>
      <c r="B687" s="254" t="s">
        <v>530</v>
      </c>
      <c r="C687" s="42" t="s">
        <v>8</v>
      </c>
      <c r="D687" s="351">
        <v>13</v>
      </c>
      <c r="E687" s="124"/>
      <c r="F687" s="351">
        <v>13</v>
      </c>
      <c r="G687" s="351" t="s">
        <v>2942</v>
      </c>
      <c r="H687" s="351"/>
      <c r="I687" s="351" t="s">
        <v>2681</v>
      </c>
      <c r="J687" s="351" t="s">
        <v>2328</v>
      </c>
      <c r="K687" s="311">
        <v>2343.6200000000003</v>
      </c>
      <c r="L687" s="311">
        <v>0</v>
      </c>
      <c r="M687" s="311">
        <v>15648.240000000002</v>
      </c>
      <c r="N687" s="311">
        <v>1592.2</v>
      </c>
      <c r="O687" s="311">
        <v>1114.5400000000002</v>
      </c>
      <c r="P687" s="68">
        <f t="shared" si="156"/>
        <v>20698.600000000002</v>
      </c>
      <c r="Q687" s="68">
        <f t="shared" si="157"/>
        <v>269081.80000000005</v>
      </c>
      <c r="R687" s="127">
        <f t="shared" si="158"/>
        <v>269081.80000000005</v>
      </c>
      <c r="S687" s="37"/>
    </row>
    <row r="688" spans="1:19">
      <c r="A688" s="123">
        <v>3</v>
      </c>
      <c r="B688" s="254" t="s">
        <v>956</v>
      </c>
      <c r="C688" s="42"/>
      <c r="D688" s="351"/>
      <c r="E688" s="124"/>
      <c r="F688" s="351"/>
      <c r="G688" s="37"/>
      <c r="H688" s="37"/>
      <c r="I688" s="37"/>
      <c r="J688" s="37"/>
      <c r="K688" s="66"/>
      <c r="L688" s="66"/>
      <c r="M688" s="66"/>
      <c r="N688" s="66"/>
      <c r="O688" s="66"/>
      <c r="P688" s="66"/>
      <c r="Q688" s="66"/>
      <c r="R688" s="66"/>
      <c r="S688" s="37"/>
    </row>
    <row r="689" spans="1:19">
      <c r="A689" s="123"/>
      <c r="B689" s="254" t="s">
        <v>790</v>
      </c>
      <c r="C689" s="42" t="s">
        <v>8</v>
      </c>
      <c r="D689" s="351">
        <v>27</v>
      </c>
      <c r="E689" s="124"/>
      <c r="F689" s="351">
        <v>27</v>
      </c>
      <c r="G689" s="351" t="s">
        <v>2724</v>
      </c>
      <c r="H689" s="351"/>
      <c r="I689" s="351" t="s">
        <v>2681</v>
      </c>
      <c r="J689" s="351" t="s">
        <v>2328</v>
      </c>
      <c r="K689" s="311">
        <v>7684</v>
      </c>
      <c r="L689" s="311">
        <v>0</v>
      </c>
      <c r="M689" s="311">
        <v>16606.480000000003</v>
      </c>
      <c r="N689" s="311">
        <v>2149.6</v>
      </c>
      <c r="O689" s="311">
        <v>1504.7200000000003</v>
      </c>
      <c r="P689" s="68">
        <f t="shared" ref="P689:P692" si="159">SUM(K689:O689)</f>
        <v>27944.800000000003</v>
      </c>
      <c r="Q689" s="68">
        <f>D689*P689</f>
        <v>754509.60000000009</v>
      </c>
      <c r="R689" s="127">
        <f>F689*P689</f>
        <v>754509.60000000009</v>
      </c>
      <c r="S689" s="36"/>
    </row>
    <row r="690" spans="1:19">
      <c r="A690" s="123"/>
      <c r="B690" s="254" t="s">
        <v>791</v>
      </c>
      <c r="C690" s="42" t="s">
        <v>8</v>
      </c>
      <c r="D690" s="351">
        <v>16</v>
      </c>
      <c r="E690" s="124"/>
      <c r="F690" s="351">
        <v>16</v>
      </c>
      <c r="G690" s="351" t="s">
        <v>2725</v>
      </c>
      <c r="H690" s="351"/>
      <c r="I690" s="351" t="s">
        <v>2681</v>
      </c>
      <c r="J690" s="351" t="s">
        <v>2328</v>
      </c>
      <c r="K690" s="311">
        <v>4687.2400000000007</v>
      </c>
      <c r="L690" s="311">
        <v>0</v>
      </c>
      <c r="M690" s="311">
        <v>14690.000000000002</v>
      </c>
      <c r="N690" s="311">
        <v>1714.8000000000002</v>
      </c>
      <c r="O690" s="311">
        <v>1200.3600000000001</v>
      </c>
      <c r="P690" s="68">
        <f t="shared" si="159"/>
        <v>22292.400000000001</v>
      </c>
      <c r="Q690" s="68">
        <f>D690*P690</f>
        <v>356678.40000000002</v>
      </c>
      <c r="R690" s="127">
        <f>F690*P690</f>
        <v>356678.40000000002</v>
      </c>
      <c r="S690" s="37"/>
    </row>
    <row r="691" spans="1:19">
      <c r="A691" s="123"/>
      <c r="B691" s="254" t="s">
        <v>792</v>
      </c>
      <c r="C691" s="42" t="s">
        <v>8</v>
      </c>
      <c r="D691" s="351">
        <v>47</v>
      </c>
      <c r="E691" s="124"/>
      <c r="F691" s="351">
        <v>47</v>
      </c>
      <c r="G691" s="351" t="s">
        <v>2726</v>
      </c>
      <c r="H691" s="351"/>
      <c r="I691" s="351" t="s">
        <v>2681</v>
      </c>
      <c r="J691" s="351" t="s">
        <v>2328</v>
      </c>
      <c r="K691" s="311">
        <v>2689.4</v>
      </c>
      <c r="L691" s="311">
        <v>0</v>
      </c>
      <c r="M691" s="311">
        <v>12122.640000000001</v>
      </c>
      <c r="N691" s="311">
        <v>1310.8000000000002</v>
      </c>
      <c r="O691" s="311">
        <v>917.56000000000006</v>
      </c>
      <c r="P691" s="68">
        <f t="shared" si="159"/>
        <v>17040.400000000001</v>
      </c>
      <c r="Q691" s="68">
        <f>D691*P691</f>
        <v>800898.8</v>
      </c>
      <c r="R691" s="127">
        <f>F691*P691</f>
        <v>800898.8</v>
      </c>
      <c r="S691" s="37"/>
    </row>
    <row r="692" spans="1:19">
      <c r="A692" s="123"/>
      <c r="B692" s="254" t="s">
        <v>530</v>
      </c>
      <c r="C692" s="42" t="s">
        <v>8</v>
      </c>
      <c r="D692" s="351">
        <v>320</v>
      </c>
      <c r="E692" s="124"/>
      <c r="F692" s="351">
        <v>320</v>
      </c>
      <c r="G692" s="351" t="s">
        <v>2727</v>
      </c>
      <c r="H692" s="351"/>
      <c r="I692" s="351" t="s">
        <v>2681</v>
      </c>
      <c r="J692" s="351" t="s">
        <v>2328</v>
      </c>
      <c r="K692" s="311">
        <v>1997.84</v>
      </c>
      <c r="L692" s="311">
        <v>0</v>
      </c>
      <c r="M692" s="311">
        <v>10432.160000000002</v>
      </c>
      <c r="N692" s="311">
        <v>1100</v>
      </c>
      <c r="O692" s="311">
        <v>770.00000000000011</v>
      </c>
      <c r="P692" s="68">
        <f t="shared" si="159"/>
        <v>14300.000000000002</v>
      </c>
      <c r="Q692" s="68">
        <f>D692*P692</f>
        <v>4576000.0000000009</v>
      </c>
      <c r="R692" s="127">
        <f>F692*P692</f>
        <v>4576000.0000000009</v>
      </c>
      <c r="S692" s="37"/>
    </row>
    <row r="693" spans="1:19">
      <c r="A693" s="123" t="s">
        <v>954</v>
      </c>
      <c r="B693" s="254" t="s">
        <v>958</v>
      </c>
      <c r="C693" s="42"/>
      <c r="D693" s="351"/>
      <c r="E693" s="124"/>
      <c r="F693" s="351"/>
      <c r="G693" s="37"/>
      <c r="H693" s="37"/>
      <c r="I693" s="37"/>
      <c r="J693" s="37"/>
      <c r="K693" s="66"/>
      <c r="L693" s="66"/>
      <c r="M693" s="66"/>
      <c r="N693" s="66"/>
      <c r="O693" s="66"/>
      <c r="P693" s="66"/>
      <c r="Q693" s="66"/>
      <c r="R693" s="66"/>
      <c r="S693" s="37"/>
    </row>
    <row r="694" spans="1:19">
      <c r="A694" s="123"/>
      <c r="B694" s="254" t="s">
        <v>816</v>
      </c>
      <c r="C694" s="42" t="s">
        <v>8</v>
      </c>
      <c r="D694" s="351">
        <v>8</v>
      </c>
      <c r="E694" s="124"/>
      <c r="F694" s="351">
        <v>8</v>
      </c>
      <c r="G694" s="351" t="s">
        <v>2732</v>
      </c>
      <c r="H694" s="351"/>
      <c r="I694" s="351" t="s">
        <v>2681</v>
      </c>
      <c r="J694" s="351" t="s">
        <v>2328</v>
      </c>
      <c r="K694" s="311">
        <v>3649.8999999999996</v>
      </c>
      <c r="L694" s="311">
        <v>0</v>
      </c>
      <c r="M694" s="311">
        <v>16606.480000000003</v>
      </c>
      <c r="N694" s="311">
        <v>1792.6000000000001</v>
      </c>
      <c r="O694" s="311">
        <v>1254.8200000000002</v>
      </c>
      <c r="P694" s="68">
        <f t="shared" ref="P694:P698" si="160">SUM(K694:O694)</f>
        <v>23303.800000000003</v>
      </c>
      <c r="Q694" s="68">
        <f>D694*P694</f>
        <v>186430.40000000002</v>
      </c>
      <c r="R694" s="127">
        <f>F694*P694</f>
        <v>186430.40000000002</v>
      </c>
      <c r="S694" s="38"/>
    </row>
    <row r="695" spans="1:19">
      <c r="A695" s="123"/>
      <c r="B695" s="254" t="s">
        <v>817</v>
      </c>
      <c r="C695" s="42" t="s">
        <v>8</v>
      </c>
      <c r="D695" s="351">
        <v>9</v>
      </c>
      <c r="E695" s="124"/>
      <c r="F695" s="351">
        <v>9</v>
      </c>
      <c r="G695" s="351" t="s">
        <v>2733</v>
      </c>
      <c r="H695" s="351"/>
      <c r="I695" s="351" t="s">
        <v>2681</v>
      </c>
      <c r="J695" s="351" t="s">
        <v>2328</v>
      </c>
      <c r="K695" s="311">
        <v>3649.8999999999996</v>
      </c>
      <c r="L695" s="311">
        <v>0</v>
      </c>
      <c r="M695" s="311">
        <v>16606.480000000003</v>
      </c>
      <c r="N695" s="311">
        <v>1792.6000000000001</v>
      </c>
      <c r="O695" s="311">
        <v>1254.8200000000002</v>
      </c>
      <c r="P695" s="68">
        <f t="shared" si="160"/>
        <v>23303.800000000003</v>
      </c>
      <c r="Q695" s="68">
        <f>D695*P695</f>
        <v>209734.2</v>
      </c>
      <c r="R695" s="127">
        <f>F695*P695</f>
        <v>209734.2</v>
      </c>
      <c r="S695" s="36"/>
    </row>
    <row r="696" spans="1:19">
      <c r="A696" s="123"/>
      <c r="B696" s="254" t="s">
        <v>819</v>
      </c>
      <c r="C696" s="42" t="s">
        <v>8</v>
      </c>
      <c r="D696" s="351">
        <v>16</v>
      </c>
      <c r="E696" s="124"/>
      <c r="F696" s="351">
        <v>16</v>
      </c>
      <c r="G696" s="351" t="s">
        <v>2734</v>
      </c>
      <c r="H696" s="351"/>
      <c r="I696" s="351" t="s">
        <v>2681</v>
      </c>
      <c r="J696" s="351" t="s">
        <v>2328</v>
      </c>
      <c r="K696" s="311">
        <v>2343.6200000000003</v>
      </c>
      <c r="L696" s="311">
        <v>0</v>
      </c>
      <c r="M696" s="311">
        <v>14690.000000000002</v>
      </c>
      <c r="N696" s="311">
        <v>1507.4</v>
      </c>
      <c r="O696" s="311">
        <v>1055.18</v>
      </c>
      <c r="P696" s="68">
        <f t="shared" si="160"/>
        <v>19596.200000000004</v>
      </c>
      <c r="Q696" s="68">
        <f>D696*P696</f>
        <v>313539.20000000007</v>
      </c>
      <c r="R696" s="127">
        <f>F696*P696</f>
        <v>313539.20000000007</v>
      </c>
      <c r="S696" s="15"/>
    </row>
    <row r="697" spans="1:19">
      <c r="A697" s="123"/>
      <c r="B697" s="254" t="s">
        <v>820</v>
      </c>
      <c r="C697" s="42" t="s">
        <v>8</v>
      </c>
      <c r="D697" s="351">
        <v>6</v>
      </c>
      <c r="E697" s="124"/>
      <c r="F697" s="351">
        <v>6</v>
      </c>
      <c r="G697" s="351" t="s">
        <v>2735</v>
      </c>
      <c r="H697" s="351"/>
      <c r="I697" s="351" t="s">
        <v>2681</v>
      </c>
      <c r="J697" s="351" t="s">
        <v>2328</v>
      </c>
      <c r="K697" s="311">
        <v>2343.6200000000003</v>
      </c>
      <c r="L697" s="311">
        <v>0</v>
      </c>
      <c r="M697" s="311">
        <v>14690.000000000002</v>
      </c>
      <c r="N697" s="311">
        <v>1507.4</v>
      </c>
      <c r="O697" s="311">
        <v>1055.18</v>
      </c>
      <c r="P697" s="68">
        <f t="shared" si="160"/>
        <v>19596.200000000004</v>
      </c>
      <c r="Q697" s="68">
        <f>D697*P697</f>
        <v>117577.20000000003</v>
      </c>
      <c r="R697" s="127">
        <f>F697*P697</f>
        <v>117577.20000000003</v>
      </c>
      <c r="S697" s="18"/>
    </row>
    <row r="698" spans="1:19">
      <c r="A698" s="123"/>
      <c r="B698" s="254" t="s">
        <v>821</v>
      </c>
      <c r="C698" s="42" t="s">
        <v>8</v>
      </c>
      <c r="D698" s="351">
        <v>82</v>
      </c>
      <c r="E698" s="124"/>
      <c r="F698" s="351">
        <v>82</v>
      </c>
      <c r="G698" s="351" t="s">
        <v>2736</v>
      </c>
      <c r="H698" s="351"/>
      <c r="I698" s="351" t="s">
        <v>2681</v>
      </c>
      <c r="J698" s="351" t="s">
        <v>2328</v>
      </c>
      <c r="K698" s="311">
        <v>1652.06</v>
      </c>
      <c r="L698" s="311">
        <v>0</v>
      </c>
      <c r="M698" s="311">
        <v>12122.640000000001</v>
      </c>
      <c r="N698" s="311">
        <v>1219</v>
      </c>
      <c r="O698" s="311">
        <v>853.30000000000007</v>
      </c>
      <c r="P698" s="68">
        <f t="shared" si="160"/>
        <v>15847</v>
      </c>
      <c r="Q698" s="68">
        <f>D698*P698</f>
        <v>1299454</v>
      </c>
      <c r="R698" s="127">
        <f>F698*P698</f>
        <v>1299454</v>
      </c>
      <c r="S698" s="15"/>
    </row>
    <row r="699" spans="1:19">
      <c r="A699" s="123" t="s">
        <v>736</v>
      </c>
      <c r="B699" s="254" t="s">
        <v>1008</v>
      </c>
      <c r="C699" s="42"/>
      <c r="D699" s="351"/>
      <c r="E699" s="124"/>
      <c r="F699" s="351"/>
      <c r="G699" s="15"/>
      <c r="H699" s="15"/>
      <c r="I699" s="15"/>
      <c r="J699" s="15"/>
      <c r="K699" s="66"/>
      <c r="L699" s="66"/>
      <c r="M699" s="66"/>
      <c r="N699" s="66"/>
      <c r="O699" s="66"/>
      <c r="P699" s="66"/>
      <c r="Q699" s="66"/>
      <c r="R699" s="66"/>
      <c r="S699" s="15"/>
    </row>
    <row r="700" spans="1:19">
      <c r="A700" s="123"/>
      <c r="B700" s="254" t="s">
        <v>790</v>
      </c>
      <c r="C700" s="42" t="s">
        <v>8</v>
      </c>
      <c r="D700" s="351">
        <v>10</v>
      </c>
      <c r="E700" s="124"/>
      <c r="F700" s="351">
        <v>10</v>
      </c>
      <c r="G700" s="351" t="s">
        <v>2943</v>
      </c>
      <c r="H700" s="351"/>
      <c r="I700" s="351" t="s">
        <v>2681</v>
      </c>
      <c r="J700" s="351" t="s">
        <v>2328</v>
      </c>
      <c r="K700" s="311">
        <v>226994.40000000002</v>
      </c>
      <c r="L700" s="311">
        <v>0</v>
      </c>
      <c r="M700" s="311">
        <v>33212.960000000006</v>
      </c>
      <c r="N700" s="311">
        <v>23027.200000000001</v>
      </c>
      <c r="O700" s="311">
        <v>16119.04</v>
      </c>
      <c r="P700" s="68">
        <f t="shared" ref="P700:P703" si="161">SUM(K700:O700)</f>
        <v>299353.60000000003</v>
      </c>
      <c r="Q700" s="68">
        <f>D700*P700</f>
        <v>2993536.0000000005</v>
      </c>
      <c r="R700" s="127">
        <f>F700*P700</f>
        <v>2993536.0000000005</v>
      </c>
      <c r="S700" s="15"/>
    </row>
    <row r="701" spans="1:19">
      <c r="A701" s="123"/>
      <c r="B701" s="254" t="s">
        <v>791</v>
      </c>
      <c r="C701" s="42" t="s">
        <v>8</v>
      </c>
      <c r="D701" s="351">
        <v>8</v>
      </c>
      <c r="E701" s="124"/>
      <c r="F701" s="351">
        <v>8</v>
      </c>
      <c r="G701" s="351" t="s">
        <v>2944</v>
      </c>
      <c r="H701" s="351"/>
      <c r="I701" s="351" t="s">
        <v>2681</v>
      </c>
      <c r="J701" s="351" t="s">
        <v>2328</v>
      </c>
      <c r="K701" s="311">
        <v>115260</v>
      </c>
      <c r="L701" s="311">
        <v>0</v>
      </c>
      <c r="M701" s="311">
        <v>29380.000000000004</v>
      </c>
      <c r="N701" s="311">
        <v>12800</v>
      </c>
      <c r="O701" s="311">
        <v>8960</v>
      </c>
      <c r="P701" s="68">
        <f t="shared" si="161"/>
        <v>166400</v>
      </c>
      <c r="Q701" s="68">
        <f>D701*P701</f>
        <v>1331200</v>
      </c>
      <c r="R701" s="127">
        <f>F701*P701</f>
        <v>1331200</v>
      </c>
      <c r="S701" s="15"/>
    </row>
    <row r="702" spans="1:19">
      <c r="A702" s="123"/>
      <c r="B702" s="254" t="s">
        <v>792</v>
      </c>
      <c r="C702" s="42" t="s">
        <v>8</v>
      </c>
      <c r="D702" s="351">
        <v>19</v>
      </c>
      <c r="E702" s="124"/>
      <c r="F702" s="351">
        <v>19</v>
      </c>
      <c r="G702" s="351" t="s">
        <v>2945</v>
      </c>
      <c r="H702" s="351"/>
      <c r="I702" s="351" t="s">
        <v>2681</v>
      </c>
      <c r="J702" s="351" t="s">
        <v>2328</v>
      </c>
      <c r="K702" s="311">
        <v>80682.000000000015</v>
      </c>
      <c r="L702" s="311">
        <v>0</v>
      </c>
      <c r="M702" s="311">
        <v>24245.280000000002</v>
      </c>
      <c r="N702" s="311">
        <v>9285.6</v>
      </c>
      <c r="O702" s="311">
        <v>6499.920000000001</v>
      </c>
      <c r="P702" s="68">
        <f t="shared" si="161"/>
        <v>120712.80000000002</v>
      </c>
      <c r="Q702" s="68">
        <f>D702*P702</f>
        <v>2293543.2000000002</v>
      </c>
      <c r="R702" s="127">
        <f>F702*P702</f>
        <v>2293543.2000000002</v>
      </c>
      <c r="S702" s="37"/>
    </row>
    <row r="703" spans="1:19">
      <c r="A703" s="123"/>
      <c r="B703" s="254" t="s">
        <v>530</v>
      </c>
      <c r="C703" s="42" t="s">
        <v>8</v>
      </c>
      <c r="D703" s="351">
        <v>9</v>
      </c>
      <c r="E703" s="124"/>
      <c r="F703" s="351">
        <v>9</v>
      </c>
      <c r="G703" s="351" t="s">
        <v>2946</v>
      </c>
      <c r="H703" s="351"/>
      <c r="I703" s="351" t="s">
        <v>2681</v>
      </c>
      <c r="J703" s="351" t="s">
        <v>2328</v>
      </c>
      <c r="K703" s="311">
        <v>69924.399999999994</v>
      </c>
      <c r="L703" s="311">
        <v>0</v>
      </c>
      <c r="M703" s="311">
        <v>20864.320000000003</v>
      </c>
      <c r="N703" s="311">
        <v>8034.4000000000005</v>
      </c>
      <c r="O703" s="311">
        <v>5624.0800000000008</v>
      </c>
      <c r="P703" s="68">
        <f t="shared" si="161"/>
        <v>104447.2</v>
      </c>
      <c r="Q703" s="68">
        <f>D703*P703</f>
        <v>940024.79999999993</v>
      </c>
      <c r="R703" s="127">
        <f>F703*P703</f>
        <v>940024.79999999993</v>
      </c>
      <c r="S703" s="37"/>
    </row>
    <row r="704" spans="1:19">
      <c r="A704" s="123" t="s">
        <v>957</v>
      </c>
      <c r="B704" s="254" t="s">
        <v>937</v>
      </c>
      <c r="C704" s="42"/>
      <c r="D704" s="351"/>
      <c r="E704" s="124"/>
      <c r="F704" s="351"/>
      <c r="G704" s="37"/>
      <c r="H704" s="37"/>
      <c r="I704" s="37"/>
      <c r="J704" s="37"/>
      <c r="K704" s="66"/>
      <c r="L704" s="66"/>
      <c r="M704" s="66"/>
      <c r="N704" s="66"/>
      <c r="O704" s="66"/>
      <c r="P704" s="66"/>
      <c r="Q704" s="66"/>
      <c r="R704" s="66"/>
      <c r="S704" s="37"/>
    </row>
    <row r="705" spans="1:19">
      <c r="A705" s="123"/>
      <c r="B705" s="254" t="s">
        <v>790</v>
      </c>
      <c r="C705" s="42" t="s">
        <v>8</v>
      </c>
      <c r="D705" s="351">
        <v>2</v>
      </c>
      <c r="E705" s="124"/>
      <c r="F705" s="351">
        <v>2</v>
      </c>
      <c r="G705" s="351" t="s">
        <v>2759</v>
      </c>
      <c r="H705" s="351"/>
      <c r="I705" s="351" t="s">
        <v>2681</v>
      </c>
      <c r="J705" s="351" t="s">
        <v>2328</v>
      </c>
      <c r="K705" s="311">
        <v>4456.72</v>
      </c>
      <c r="L705" s="311">
        <v>0</v>
      </c>
      <c r="M705" s="311">
        <v>16606.480000000003</v>
      </c>
      <c r="N705" s="311">
        <v>1864</v>
      </c>
      <c r="O705" s="311">
        <v>1304.8000000000002</v>
      </c>
      <c r="P705" s="68">
        <f t="shared" ref="P705:P710" si="162">SUM(K705:O705)</f>
        <v>24232.000000000004</v>
      </c>
      <c r="Q705" s="68">
        <f t="shared" ref="Q705:Q710" si="163">D705*P705</f>
        <v>48464.000000000007</v>
      </c>
      <c r="R705" s="127">
        <f t="shared" ref="R705:R710" si="164">F705*P705</f>
        <v>48464.000000000007</v>
      </c>
      <c r="S705" s="37"/>
    </row>
    <row r="706" spans="1:19">
      <c r="A706" s="123"/>
      <c r="B706" s="254" t="s">
        <v>791</v>
      </c>
      <c r="C706" s="42" t="s">
        <v>8</v>
      </c>
      <c r="D706" s="351">
        <v>1</v>
      </c>
      <c r="E706" s="124"/>
      <c r="F706" s="351">
        <v>1</v>
      </c>
      <c r="G706" s="351" t="s">
        <v>2760</v>
      </c>
      <c r="H706" s="351"/>
      <c r="I706" s="351" t="s">
        <v>2681</v>
      </c>
      <c r="J706" s="351" t="s">
        <v>2328</v>
      </c>
      <c r="K706" s="311">
        <v>2766.2400000000002</v>
      </c>
      <c r="L706" s="311">
        <v>0</v>
      </c>
      <c r="M706" s="311">
        <v>14690.000000000002</v>
      </c>
      <c r="N706" s="311">
        <v>1544.8000000000002</v>
      </c>
      <c r="O706" s="311">
        <v>1081.3600000000001</v>
      </c>
      <c r="P706" s="68">
        <f t="shared" si="162"/>
        <v>20082.400000000001</v>
      </c>
      <c r="Q706" s="68">
        <f t="shared" si="163"/>
        <v>20082.400000000001</v>
      </c>
      <c r="R706" s="127">
        <f t="shared" si="164"/>
        <v>20082.400000000001</v>
      </c>
      <c r="S706" s="37"/>
    </row>
    <row r="707" spans="1:19">
      <c r="A707" s="123"/>
      <c r="B707" s="254" t="s">
        <v>792</v>
      </c>
      <c r="C707" s="42" t="s">
        <v>8</v>
      </c>
      <c r="D707" s="351">
        <v>1</v>
      </c>
      <c r="E707" s="124"/>
      <c r="F707" s="351">
        <v>1</v>
      </c>
      <c r="G707" s="351" t="s">
        <v>2761</v>
      </c>
      <c r="H707" s="351"/>
      <c r="I707" s="351" t="s">
        <v>2681</v>
      </c>
      <c r="J707" s="351" t="s">
        <v>2328</v>
      </c>
      <c r="K707" s="311">
        <v>1805.74</v>
      </c>
      <c r="L707" s="311">
        <v>0</v>
      </c>
      <c r="M707" s="311">
        <v>12122.640000000001</v>
      </c>
      <c r="N707" s="311">
        <v>1232.6000000000001</v>
      </c>
      <c r="O707" s="311">
        <v>862.82</v>
      </c>
      <c r="P707" s="68">
        <f t="shared" si="162"/>
        <v>16023.800000000001</v>
      </c>
      <c r="Q707" s="68">
        <f t="shared" si="163"/>
        <v>16023.800000000001</v>
      </c>
      <c r="R707" s="127">
        <f t="shared" si="164"/>
        <v>16023.800000000001</v>
      </c>
      <c r="S707" s="36"/>
    </row>
    <row r="708" spans="1:19">
      <c r="A708" s="123" t="s">
        <v>960</v>
      </c>
      <c r="B708" s="254" t="s">
        <v>962</v>
      </c>
      <c r="C708" s="42" t="s">
        <v>8</v>
      </c>
      <c r="D708" s="351">
        <v>209</v>
      </c>
      <c r="E708" s="124"/>
      <c r="F708" s="351">
        <v>209</v>
      </c>
      <c r="G708" s="351" t="s">
        <v>2947</v>
      </c>
      <c r="H708" s="351"/>
      <c r="I708" s="351" t="s">
        <v>2681</v>
      </c>
      <c r="J708" s="351" t="s">
        <v>2328</v>
      </c>
      <c r="K708" s="311">
        <v>14753.279999999999</v>
      </c>
      <c r="L708" s="311">
        <v>0</v>
      </c>
      <c r="M708" s="311">
        <v>10432.160000000002</v>
      </c>
      <c r="N708" s="311">
        <v>2228.8000000000002</v>
      </c>
      <c r="O708" s="311">
        <v>1560.16</v>
      </c>
      <c r="P708" s="68">
        <f t="shared" si="162"/>
        <v>28974.400000000001</v>
      </c>
      <c r="Q708" s="68">
        <f t="shared" si="163"/>
        <v>6055649.6000000006</v>
      </c>
      <c r="R708" s="127">
        <f t="shared" si="164"/>
        <v>6055649.6000000006</v>
      </c>
      <c r="S708" s="37"/>
    </row>
    <row r="709" spans="1:19">
      <c r="A709" s="123" t="s">
        <v>961</v>
      </c>
      <c r="B709" s="254" t="s">
        <v>1009</v>
      </c>
      <c r="C709" s="42" t="s">
        <v>8</v>
      </c>
      <c r="D709" s="351">
        <v>209</v>
      </c>
      <c r="E709" s="124"/>
      <c r="F709" s="351">
        <v>209</v>
      </c>
      <c r="G709" s="351" t="s">
        <v>2948</v>
      </c>
      <c r="H709" s="351"/>
      <c r="I709" s="351" t="s">
        <v>2681</v>
      </c>
      <c r="J709" s="351" t="s">
        <v>2328</v>
      </c>
      <c r="K709" s="311">
        <v>820.38</v>
      </c>
      <c r="L709" s="311">
        <v>0</v>
      </c>
      <c r="M709" s="311">
        <v>3685.8545454545456</v>
      </c>
      <c r="N709" s="311">
        <v>398.78181818181815</v>
      </c>
      <c r="O709" s="311">
        <v>279.14727272727271</v>
      </c>
      <c r="P709" s="68">
        <f t="shared" si="162"/>
        <v>5184.1636363636371</v>
      </c>
      <c r="Q709" s="68">
        <f t="shared" si="163"/>
        <v>1083490.2000000002</v>
      </c>
      <c r="R709" s="127">
        <f t="shared" si="164"/>
        <v>1083490.2000000002</v>
      </c>
      <c r="S709" s="37"/>
    </row>
    <row r="710" spans="1:19">
      <c r="A710" s="123" t="s">
        <v>963</v>
      </c>
      <c r="B710" s="254" t="s">
        <v>966</v>
      </c>
      <c r="C710" s="42" t="s">
        <v>8</v>
      </c>
      <c r="D710" s="351">
        <v>12</v>
      </c>
      <c r="E710" s="124"/>
      <c r="F710" s="351">
        <v>12</v>
      </c>
      <c r="G710" s="351" t="s">
        <v>2949</v>
      </c>
      <c r="H710" s="351"/>
      <c r="I710" s="351"/>
      <c r="J710" s="351" t="s">
        <v>2374</v>
      </c>
      <c r="K710" s="311">
        <v>15820.000000000002</v>
      </c>
      <c r="L710" s="311">
        <v>0</v>
      </c>
      <c r="M710" s="311">
        <v>13175.8</v>
      </c>
      <c r="N710" s="311">
        <v>2566</v>
      </c>
      <c r="O710" s="311">
        <v>1796.2000000000003</v>
      </c>
      <c r="P710" s="68">
        <f t="shared" si="162"/>
        <v>33358</v>
      </c>
      <c r="Q710" s="68">
        <f t="shared" si="163"/>
        <v>400296</v>
      </c>
      <c r="R710" s="127">
        <f t="shared" si="164"/>
        <v>400296</v>
      </c>
      <c r="S710" s="37"/>
    </row>
    <row r="711" spans="1:19">
      <c r="A711" s="123">
        <v>10</v>
      </c>
      <c r="B711" s="254" t="s">
        <v>1010</v>
      </c>
      <c r="C711" s="42"/>
      <c r="D711" s="351"/>
      <c r="E711" s="124"/>
      <c r="F711" s="351"/>
      <c r="G711" s="37"/>
      <c r="H711" s="37"/>
      <c r="I711" s="37"/>
      <c r="J711" s="37"/>
      <c r="K711" s="66"/>
      <c r="L711" s="66"/>
      <c r="M711" s="66"/>
      <c r="N711" s="66"/>
      <c r="O711" s="66"/>
      <c r="P711" s="66"/>
      <c r="Q711" s="66"/>
      <c r="R711" s="66"/>
      <c r="S711" s="37"/>
    </row>
    <row r="712" spans="1:19">
      <c r="A712" s="123"/>
      <c r="B712" s="254" t="s">
        <v>1011</v>
      </c>
      <c r="C712" s="42" t="s">
        <v>78</v>
      </c>
      <c r="D712" s="351">
        <v>1</v>
      </c>
      <c r="E712" s="124"/>
      <c r="F712" s="351">
        <v>1</v>
      </c>
      <c r="G712" s="37"/>
      <c r="H712" s="37"/>
      <c r="I712" s="37"/>
      <c r="J712" s="37" t="s">
        <v>2381</v>
      </c>
      <c r="K712" s="311">
        <v>4555424.3337520007</v>
      </c>
      <c r="L712" s="311">
        <v>0</v>
      </c>
      <c r="M712" s="311">
        <v>8341408.2528640013</v>
      </c>
      <c r="N712" s="311">
        <v>1092951.9141200001</v>
      </c>
      <c r="O712" s="311">
        <v>765066.33988400013</v>
      </c>
      <c r="P712" s="68">
        <f>SUM(K712:O712)</f>
        <v>14754850.840620002</v>
      </c>
      <c r="Q712" s="68">
        <f>D712*P712</f>
        <v>14754850.840620002</v>
      </c>
      <c r="R712" s="127">
        <f>F712*P712</f>
        <v>14754850.840620002</v>
      </c>
      <c r="S712" s="37"/>
    </row>
    <row r="713" spans="1:19">
      <c r="A713" s="119" t="s">
        <v>1763</v>
      </c>
      <c r="B713" s="1" t="s">
        <v>968</v>
      </c>
      <c r="C713" s="42"/>
      <c r="D713" s="351"/>
      <c r="E713" s="124"/>
      <c r="F713" s="351"/>
      <c r="G713" s="36"/>
      <c r="H713" s="36"/>
      <c r="I713" s="36"/>
      <c r="J713" s="36"/>
      <c r="K713" s="65"/>
      <c r="L713" s="65"/>
      <c r="M713" s="65"/>
      <c r="N713" s="65"/>
      <c r="O713" s="65"/>
      <c r="P713" s="65"/>
      <c r="Q713" s="65"/>
      <c r="R713" s="65"/>
      <c r="S713" s="36"/>
    </row>
    <row r="714" spans="1:19">
      <c r="A714" s="123">
        <v>1</v>
      </c>
      <c r="B714" s="254" t="s">
        <v>1012</v>
      </c>
      <c r="C714" s="42"/>
      <c r="D714" s="351"/>
      <c r="E714" s="124"/>
      <c r="F714" s="351"/>
      <c r="G714" s="37"/>
      <c r="H714" s="37"/>
      <c r="I714" s="37"/>
      <c r="J714" s="37"/>
      <c r="K714" s="66"/>
      <c r="L714" s="66"/>
      <c r="M714" s="66"/>
      <c r="N714" s="66"/>
      <c r="O714" s="66"/>
      <c r="P714" s="66"/>
      <c r="Q714" s="66"/>
      <c r="R714" s="66"/>
      <c r="S714" s="37"/>
    </row>
    <row r="715" spans="1:19">
      <c r="A715" s="123"/>
      <c r="B715" s="254" t="s">
        <v>783</v>
      </c>
      <c r="C715" s="42" t="s">
        <v>117</v>
      </c>
      <c r="D715" s="351">
        <v>7.2720000000000002</v>
      </c>
      <c r="E715" s="124"/>
      <c r="F715" s="351">
        <v>7.2720000000000002</v>
      </c>
      <c r="G715" s="351" t="s">
        <v>2978</v>
      </c>
      <c r="H715" s="351"/>
      <c r="I715" s="351" t="s">
        <v>2681</v>
      </c>
      <c r="J715" s="351" t="s">
        <v>2328</v>
      </c>
      <c r="K715" s="311">
        <v>142298.63999999998</v>
      </c>
      <c r="L715" s="311">
        <v>0</v>
      </c>
      <c r="M715" s="311">
        <v>45819.240000000005</v>
      </c>
      <c r="N715" s="311">
        <v>16647.600000000002</v>
      </c>
      <c r="O715" s="311">
        <v>11653.320000000002</v>
      </c>
      <c r="P715" s="68">
        <f t="shared" ref="P715:P721" si="165">SUM(K715:O715)</f>
        <v>216418.80000000002</v>
      </c>
      <c r="Q715" s="68">
        <f t="shared" ref="Q715:Q721" si="166">D715*P715</f>
        <v>1573797.5136000002</v>
      </c>
      <c r="R715" s="127">
        <f t="shared" ref="R715:R721" si="167">F715*P715</f>
        <v>1573797.5136000002</v>
      </c>
      <c r="S715" s="37"/>
    </row>
    <row r="716" spans="1:19">
      <c r="A716" s="123"/>
      <c r="B716" s="254" t="s">
        <v>908</v>
      </c>
      <c r="C716" s="42" t="s">
        <v>117</v>
      </c>
      <c r="D716" s="351">
        <v>135.81099999999998</v>
      </c>
      <c r="E716" s="124"/>
      <c r="F716" s="351">
        <v>135.81099999999998</v>
      </c>
      <c r="G716" s="351" t="s">
        <v>2813</v>
      </c>
      <c r="H716" s="351"/>
      <c r="I716" s="351" t="s">
        <v>2681</v>
      </c>
      <c r="J716" s="351" t="s">
        <v>2328</v>
      </c>
      <c r="K716" s="311">
        <v>108513.9</v>
      </c>
      <c r="L716" s="311">
        <v>0</v>
      </c>
      <c r="M716" s="311">
        <v>45819.240000000005</v>
      </c>
      <c r="N716" s="311">
        <v>13657.800000000001</v>
      </c>
      <c r="O716" s="311">
        <v>9560.4600000000009</v>
      </c>
      <c r="P716" s="68">
        <f t="shared" si="165"/>
        <v>177551.4</v>
      </c>
      <c r="Q716" s="68">
        <f t="shared" si="166"/>
        <v>24113433.185399994</v>
      </c>
      <c r="R716" s="127">
        <f t="shared" si="167"/>
        <v>24113433.185399994</v>
      </c>
      <c r="S716" s="37"/>
    </row>
    <row r="717" spans="1:19">
      <c r="A717" s="123"/>
      <c r="B717" s="254" t="s">
        <v>785</v>
      </c>
      <c r="C717" s="42" t="s">
        <v>117</v>
      </c>
      <c r="D717" s="351">
        <v>178.42</v>
      </c>
      <c r="E717" s="124" t="s">
        <v>876</v>
      </c>
      <c r="F717" s="351">
        <v>178.42</v>
      </c>
      <c r="G717" s="351" t="s">
        <v>2815</v>
      </c>
      <c r="H717" s="351"/>
      <c r="I717" s="351" t="s">
        <v>2681</v>
      </c>
      <c r="J717" s="351" t="s">
        <v>2328</v>
      </c>
      <c r="K717" s="311">
        <v>86024.640000000014</v>
      </c>
      <c r="L717" s="311">
        <v>0</v>
      </c>
      <c r="M717" s="311">
        <v>36178.080000000002</v>
      </c>
      <c r="N717" s="311">
        <v>10814.400000000001</v>
      </c>
      <c r="O717" s="311">
        <v>7570.0800000000008</v>
      </c>
      <c r="P717" s="68">
        <f t="shared" si="165"/>
        <v>140587.20000000001</v>
      </c>
      <c r="Q717" s="68">
        <f t="shared" si="166"/>
        <v>25083568.223999999</v>
      </c>
      <c r="R717" s="127">
        <f t="shared" si="167"/>
        <v>25083568.223999999</v>
      </c>
      <c r="S717" s="37"/>
    </row>
    <row r="718" spans="1:19">
      <c r="A718" s="123"/>
      <c r="B718" s="254" t="s">
        <v>786</v>
      </c>
      <c r="C718" s="42" t="s">
        <v>117</v>
      </c>
      <c r="D718" s="351">
        <v>229.87199999999999</v>
      </c>
      <c r="E718" s="124" t="s">
        <v>876</v>
      </c>
      <c r="F718" s="351">
        <v>229.87199999999999</v>
      </c>
      <c r="G718" s="351" t="s">
        <v>2816</v>
      </c>
      <c r="H718" s="351"/>
      <c r="I718" s="351" t="s">
        <v>2681</v>
      </c>
      <c r="J718" s="351" t="s">
        <v>2328</v>
      </c>
      <c r="K718" s="311">
        <v>54937.210000000006</v>
      </c>
      <c r="L718" s="311">
        <v>0</v>
      </c>
      <c r="M718" s="311">
        <v>29737.08</v>
      </c>
      <c r="N718" s="311">
        <v>7493.3</v>
      </c>
      <c r="O718" s="311">
        <v>5245.31</v>
      </c>
      <c r="P718" s="68">
        <f t="shared" si="165"/>
        <v>97412.900000000009</v>
      </c>
      <c r="Q718" s="68">
        <f t="shared" si="166"/>
        <v>22392498.148800001</v>
      </c>
      <c r="R718" s="127">
        <f t="shared" si="167"/>
        <v>22392498.148800001</v>
      </c>
      <c r="S718" s="38"/>
    </row>
    <row r="719" spans="1:19">
      <c r="A719" s="123"/>
      <c r="B719" s="254" t="s">
        <v>787</v>
      </c>
      <c r="C719" s="42" t="s">
        <v>117</v>
      </c>
      <c r="D719" s="351">
        <v>35.120999999999995</v>
      </c>
      <c r="E719" s="124" t="s">
        <v>876</v>
      </c>
      <c r="F719" s="351">
        <v>35.120999999999995</v>
      </c>
      <c r="G719" s="351" t="s">
        <v>2920</v>
      </c>
      <c r="H719" s="351"/>
      <c r="I719" s="351" t="s">
        <v>2681</v>
      </c>
      <c r="J719" s="351" t="s">
        <v>2328</v>
      </c>
      <c r="K719" s="311">
        <v>38256.15</v>
      </c>
      <c r="L719" s="311">
        <v>0</v>
      </c>
      <c r="M719" s="311">
        <v>25465.680000000004</v>
      </c>
      <c r="N719" s="311">
        <v>5639.1</v>
      </c>
      <c r="O719" s="311">
        <v>3947.3700000000003</v>
      </c>
      <c r="P719" s="68">
        <f t="shared" si="165"/>
        <v>73308.3</v>
      </c>
      <c r="Q719" s="68">
        <f t="shared" si="166"/>
        <v>2574660.8043</v>
      </c>
      <c r="R719" s="127">
        <f t="shared" si="167"/>
        <v>2574660.8043</v>
      </c>
      <c r="S719" s="36"/>
    </row>
    <row r="720" spans="1:19">
      <c r="A720" s="123"/>
      <c r="B720" s="254" t="s">
        <v>915</v>
      </c>
      <c r="C720" s="42" t="s">
        <v>117</v>
      </c>
      <c r="D720" s="351">
        <v>25.948999999999998</v>
      </c>
      <c r="E720" s="124"/>
      <c r="F720" s="351">
        <v>25.948999999999998</v>
      </c>
      <c r="G720" s="351" t="s">
        <v>2921</v>
      </c>
      <c r="H720" s="351"/>
      <c r="I720" s="351" t="s">
        <v>2681</v>
      </c>
      <c r="J720" s="351" t="s">
        <v>2328</v>
      </c>
      <c r="K720" s="311">
        <v>26882.700000000004</v>
      </c>
      <c r="L720" s="311">
        <v>0</v>
      </c>
      <c r="M720" s="311">
        <v>24760.560000000001</v>
      </c>
      <c r="N720" s="311">
        <v>4570.2</v>
      </c>
      <c r="O720" s="311">
        <v>3199.1400000000003</v>
      </c>
      <c r="P720" s="68">
        <f t="shared" si="165"/>
        <v>59412.600000000006</v>
      </c>
      <c r="Q720" s="68">
        <f t="shared" si="166"/>
        <v>1541697.5574</v>
      </c>
      <c r="R720" s="127">
        <f t="shared" si="167"/>
        <v>1541697.5574</v>
      </c>
      <c r="S720" s="15"/>
    </row>
    <row r="721" spans="1:19">
      <c r="A721" s="123"/>
      <c r="B721" s="254" t="s">
        <v>917</v>
      </c>
      <c r="C721" s="42" t="s">
        <v>117</v>
      </c>
      <c r="D721" s="351">
        <v>122.55900000000001</v>
      </c>
      <c r="E721" s="124" t="s">
        <v>876</v>
      </c>
      <c r="F721" s="351">
        <v>122.55900000000001</v>
      </c>
      <c r="G721" s="351" t="s">
        <v>2955</v>
      </c>
      <c r="H721" s="351"/>
      <c r="I721" s="351" t="s">
        <v>2681</v>
      </c>
      <c r="J721" s="351" t="s">
        <v>2328</v>
      </c>
      <c r="K721" s="311">
        <v>13717.070000000002</v>
      </c>
      <c r="L721" s="311">
        <v>0</v>
      </c>
      <c r="M721" s="311">
        <v>18129.72</v>
      </c>
      <c r="N721" s="311">
        <v>2818.3</v>
      </c>
      <c r="O721" s="311">
        <v>1972.8100000000002</v>
      </c>
      <c r="P721" s="68">
        <f t="shared" si="165"/>
        <v>36637.9</v>
      </c>
      <c r="Q721" s="68">
        <f t="shared" si="166"/>
        <v>4490304.3861000007</v>
      </c>
      <c r="R721" s="127">
        <f t="shared" si="167"/>
        <v>4490304.3861000007</v>
      </c>
      <c r="S721" s="18"/>
    </row>
    <row r="722" spans="1:19">
      <c r="A722" s="123">
        <v>2</v>
      </c>
      <c r="B722" s="254" t="s">
        <v>970</v>
      </c>
      <c r="C722" s="42"/>
      <c r="D722" s="351"/>
      <c r="E722" s="124"/>
      <c r="F722" s="351"/>
      <c r="G722" s="15"/>
      <c r="H722" s="15"/>
      <c r="I722" s="15"/>
      <c r="J722" s="15"/>
      <c r="K722" s="66"/>
      <c r="L722" s="66"/>
      <c r="M722" s="66"/>
      <c r="N722" s="66"/>
      <c r="O722" s="66"/>
      <c r="P722" s="66"/>
      <c r="Q722" s="66"/>
      <c r="R722" s="66"/>
      <c r="S722" s="15"/>
    </row>
    <row r="723" spans="1:19" s="131" customFormat="1">
      <c r="A723" s="129"/>
      <c r="B723" s="253" t="s">
        <v>787</v>
      </c>
      <c r="C723" s="126" t="s">
        <v>117</v>
      </c>
      <c r="D723" s="352">
        <v>85</v>
      </c>
      <c r="E723" s="130" t="s">
        <v>882</v>
      </c>
      <c r="F723" s="352">
        <v>85</v>
      </c>
      <c r="G723" s="351" t="s">
        <v>2822</v>
      </c>
      <c r="H723" s="351"/>
      <c r="I723" s="351" t="s">
        <v>2681</v>
      </c>
      <c r="J723" s="351" t="s">
        <v>2328</v>
      </c>
      <c r="K723" s="311">
        <v>29364.180000000004</v>
      </c>
      <c r="L723" s="311">
        <v>0</v>
      </c>
      <c r="M723" s="311">
        <v>25465.680000000004</v>
      </c>
      <c r="N723" s="311">
        <v>4852.2</v>
      </c>
      <c r="O723" s="311">
        <v>3396.5400000000004</v>
      </c>
      <c r="P723" s="68">
        <f t="shared" ref="P723:P724" si="168">SUM(K723:O723)</f>
        <v>63078.600000000006</v>
      </c>
      <c r="Q723" s="68">
        <f>D723*P723</f>
        <v>5361681.0000000009</v>
      </c>
      <c r="R723" s="127">
        <f>F723*P723</f>
        <v>5361681.0000000009</v>
      </c>
      <c r="S723" s="30"/>
    </row>
    <row r="724" spans="1:19">
      <c r="A724" s="123"/>
      <c r="B724" s="254" t="s">
        <v>916</v>
      </c>
      <c r="C724" s="42" t="s">
        <v>117</v>
      </c>
      <c r="D724" s="351">
        <v>28.856999999999999</v>
      </c>
      <c r="E724" s="124" t="s">
        <v>882</v>
      </c>
      <c r="F724" s="351">
        <v>28.856999999999999</v>
      </c>
      <c r="G724" s="351" t="s">
        <v>2823</v>
      </c>
      <c r="H724" s="351"/>
      <c r="I724" s="351" t="s">
        <v>2681</v>
      </c>
      <c r="J724" s="351" t="s">
        <v>2328</v>
      </c>
      <c r="K724" s="311">
        <v>14268.510000000002</v>
      </c>
      <c r="L724" s="311">
        <v>0</v>
      </c>
      <c r="M724" s="311">
        <v>22685.88</v>
      </c>
      <c r="N724" s="311">
        <v>3270.3</v>
      </c>
      <c r="O724" s="311">
        <v>2289.21</v>
      </c>
      <c r="P724" s="68">
        <f t="shared" si="168"/>
        <v>42513.9</v>
      </c>
      <c r="Q724" s="68">
        <f>D724*P724</f>
        <v>1226823.6122999999</v>
      </c>
      <c r="R724" s="127">
        <f>F724*P724</f>
        <v>1226823.6122999999</v>
      </c>
      <c r="S724" s="15"/>
    </row>
    <row r="725" spans="1:19">
      <c r="A725" s="123" t="s">
        <v>738</v>
      </c>
      <c r="B725" s="254" t="s">
        <v>890</v>
      </c>
      <c r="C725" s="42"/>
      <c r="D725" s="351"/>
      <c r="E725" s="124"/>
      <c r="F725" s="351"/>
      <c r="G725" s="15"/>
      <c r="H725" s="15"/>
      <c r="I725" s="15"/>
      <c r="J725" s="15"/>
      <c r="K725" s="66"/>
      <c r="L725" s="66"/>
      <c r="M725" s="66"/>
      <c r="N725" s="66"/>
      <c r="O725" s="66"/>
      <c r="P725" s="66"/>
      <c r="Q725" s="66"/>
      <c r="R725" s="66"/>
      <c r="S725" s="15"/>
    </row>
    <row r="726" spans="1:19">
      <c r="A726" s="123"/>
      <c r="B726" s="254" t="s">
        <v>907</v>
      </c>
      <c r="C726" s="42" t="s">
        <v>8</v>
      </c>
      <c r="D726" s="351">
        <v>3</v>
      </c>
      <c r="E726" s="124"/>
      <c r="F726" s="351">
        <v>3</v>
      </c>
      <c r="G726" s="351" t="s">
        <v>2855</v>
      </c>
      <c r="H726" s="351"/>
      <c r="I726" s="351" t="s">
        <v>2681</v>
      </c>
      <c r="J726" s="351" t="s">
        <v>2328</v>
      </c>
      <c r="K726" s="311">
        <v>120296.86200000002</v>
      </c>
      <c r="L726" s="311">
        <v>0</v>
      </c>
      <c r="M726" s="311">
        <v>42344.181818181823</v>
      </c>
      <c r="N726" s="311">
        <v>14393.01272727273</v>
      </c>
      <c r="O726" s="311">
        <v>10075.108909090912</v>
      </c>
      <c r="P726" s="68">
        <f t="shared" ref="P726:P739" si="169">SUM(K726:O726)</f>
        <v>187109.16545454549</v>
      </c>
      <c r="Q726" s="68">
        <f t="shared" ref="Q726:Q739" si="170">D726*P726</f>
        <v>561327.49636363646</v>
      </c>
      <c r="R726" s="127">
        <f t="shared" ref="R726:R739" si="171">F726*P726</f>
        <v>561327.49636363646</v>
      </c>
      <c r="S726" s="15"/>
    </row>
    <row r="727" spans="1:19">
      <c r="A727" s="123"/>
      <c r="B727" s="254" t="s">
        <v>798</v>
      </c>
      <c r="C727" s="42" t="s">
        <v>8</v>
      </c>
      <c r="D727" s="351">
        <v>11</v>
      </c>
      <c r="E727" s="124"/>
      <c r="F727" s="351">
        <v>11</v>
      </c>
      <c r="G727" s="351" t="s">
        <v>2846</v>
      </c>
      <c r="H727" s="351"/>
      <c r="I727" s="351" t="s">
        <v>2681</v>
      </c>
      <c r="J727" s="351" t="s">
        <v>2328</v>
      </c>
      <c r="K727" s="311">
        <v>113519.57400000001</v>
      </c>
      <c r="L727" s="311">
        <v>0</v>
      </c>
      <c r="M727" s="311">
        <v>42344.181818181823</v>
      </c>
      <c r="N727" s="311">
        <v>13793.252727272729</v>
      </c>
      <c r="O727" s="311">
        <v>9655.2769090909114</v>
      </c>
      <c r="P727" s="68">
        <f t="shared" si="169"/>
        <v>179312.28545454546</v>
      </c>
      <c r="Q727" s="68">
        <f t="shared" si="170"/>
        <v>1972435.1400000001</v>
      </c>
      <c r="R727" s="127">
        <f t="shared" si="171"/>
        <v>1972435.1400000001</v>
      </c>
      <c r="S727" s="15"/>
    </row>
    <row r="728" spans="1:19" ht="30">
      <c r="A728" s="123"/>
      <c r="B728" s="254" t="s">
        <v>1013</v>
      </c>
      <c r="C728" s="42" t="s">
        <v>8</v>
      </c>
      <c r="D728" s="351">
        <v>9</v>
      </c>
      <c r="E728" s="124"/>
      <c r="F728" s="351">
        <v>9</v>
      </c>
      <c r="G728" s="351" t="s">
        <v>2996</v>
      </c>
      <c r="H728" s="351"/>
      <c r="I728" s="351" t="s">
        <v>2681</v>
      </c>
      <c r="J728" s="351" t="s">
        <v>2328</v>
      </c>
      <c r="K728" s="311">
        <v>123499.73400000001</v>
      </c>
      <c r="L728" s="311">
        <v>0</v>
      </c>
      <c r="M728" s="311">
        <v>42344.181818181823</v>
      </c>
      <c r="N728" s="311">
        <v>14676.452727272728</v>
      </c>
      <c r="O728" s="311">
        <v>10273.516909090911</v>
      </c>
      <c r="P728" s="68">
        <f t="shared" si="169"/>
        <v>190793.88545454547</v>
      </c>
      <c r="Q728" s="68">
        <f t="shared" si="170"/>
        <v>1717144.9690909092</v>
      </c>
      <c r="R728" s="127">
        <f t="shared" si="171"/>
        <v>1717144.9690909092</v>
      </c>
      <c r="S728" s="37"/>
    </row>
    <row r="729" spans="1:19">
      <c r="A729" s="123"/>
      <c r="B729" s="254" t="s">
        <v>909</v>
      </c>
      <c r="C729" s="42" t="s">
        <v>8</v>
      </c>
      <c r="D729" s="351">
        <v>11</v>
      </c>
      <c r="E729" s="124"/>
      <c r="F729" s="351">
        <v>11</v>
      </c>
      <c r="G729" s="351" t="s">
        <v>2997</v>
      </c>
      <c r="H729" s="351"/>
      <c r="I729" s="351" t="s">
        <v>2681</v>
      </c>
      <c r="J729" s="351" t="s">
        <v>2328</v>
      </c>
      <c r="K729" s="311">
        <v>92569.600000000006</v>
      </c>
      <c r="L729" s="311">
        <v>0</v>
      </c>
      <c r="M729" s="311">
        <v>42344.181818181823</v>
      </c>
      <c r="N729" s="311">
        <v>11939.272727272728</v>
      </c>
      <c r="O729" s="311">
        <v>8357.4909090909096</v>
      </c>
      <c r="P729" s="68">
        <f t="shared" si="169"/>
        <v>155210.54545454547</v>
      </c>
      <c r="Q729" s="68">
        <f t="shared" si="170"/>
        <v>1707316.0000000002</v>
      </c>
      <c r="R729" s="127">
        <f t="shared" si="171"/>
        <v>1707316.0000000002</v>
      </c>
      <c r="S729" s="37"/>
    </row>
    <row r="730" spans="1:19">
      <c r="A730" s="123"/>
      <c r="B730" s="254" t="s">
        <v>1014</v>
      </c>
      <c r="C730" s="42" t="s">
        <v>8</v>
      </c>
      <c r="D730" s="351">
        <v>10</v>
      </c>
      <c r="E730" s="124"/>
      <c r="F730" s="351">
        <v>10</v>
      </c>
      <c r="G730" s="351" t="s">
        <v>2998</v>
      </c>
      <c r="H730" s="351"/>
      <c r="I730" s="351" t="s">
        <v>2681</v>
      </c>
      <c r="J730" s="351" t="s">
        <v>2328</v>
      </c>
      <c r="K730" s="311">
        <v>75212.800000000003</v>
      </c>
      <c r="L730" s="311">
        <v>0</v>
      </c>
      <c r="M730" s="311">
        <v>42344.181818181823</v>
      </c>
      <c r="N730" s="311">
        <v>10403.272727272728</v>
      </c>
      <c r="O730" s="311">
        <v>7282.2909090909088</v>
      </c>
      <c r="P730" s="68">
        <f t="shared" si="169"/>
        <v>135242.54545454547</v>
      </c>
      <c r="Q730" s="68">
        <f t="shared" si="170"/>
        <v>1352425.4545454546</v>
      </c>
      <c r="R730" s="127">
        <f t="shared" si="171"/>
        <v>1352425.4545454546</v>
      </c>
      <c r="S730" s="37"/>
    </row>
    <row r="731" spans="1:19" s="131" customFormat="1">
      <c r="A731" s="129"/>
      <c r="B731" s="253" t="s">
        <v>908</v>
      </c>
      <c r="C731" s="126" t="s">
        <v>8</v>
      </c>
      <c r="D731" s="352">
        <v>4</v>
      </c>
      <c r="E731" s="130"/>
      <c r="F731" s="352">
        <v>4</v>
      </c>
      <c r="G731" s="26" t="s">
        <v>2847</v>
      </c>
      <c r="H731" s="26"/>
      <c r="I731" s="351" t="s">
        <v>2681</v>
      </c>
      <c r="J731" s="351" t="s">
        <v>2328</v>
      </c>
      <c r="K731" s="311">
        <v>106276.5</v>
      </c>
      <c r="L731" s="311">
        <v>0</v>
      </c>
      <c r="M731" s="311">
        <v>42344.181818181823</v>
      </c>
      <c r="N731" s="311">
        <v>13152.272727272728</v>
      </c>
      <c r="O731" s="311">
        <v>9206.5909090909099</v>
      </c>
      <c r="P731" s="68">
        <f t="shared" si="169"/>
        <v>170979.54545454547</v>
      </c>
      <c r="Q731" s="68">
        <f t="shared" si="170"/>
        <v>683918.18181818188</v>
      </c>
      <c r="R731" s="127">
        <f t="shared" si="171"/>
        <v>683918.18181818188</v>
      </c>
      <c r="S731" s="30"/>
    </row>
    <row r="732" spans="1:19">
      <c r="A732" s="123"/>
      <c r="B732" s="254" t="s">
        <v>785</v>
      </c>
      <c r="C732" s="42" t="s">
        <v>8</v>
      </c>
      <c r="D732" s="351">
        <v>71</v>
      </c>
      <c r="E732" s="124"/>
      <c r="F732" s="351">
        <v>71</v>
      </c>
      <c r="G732" s="351" t="s">
        <v>2853</v>
      </c>
      <c r="H732" s="351"/>
      <c r="I732" s="351" t="s">
        <v>2681</v>
      </c>
      <c r="J732" s="351" t="s">
        <v>2328</v>
      </c>
      <c r="K732" s="311">
        <v>142181.12000000002</v>
      </c>
      <c r="L732" s="311">
        <v>0</v>
      </c>
      <c r="M732" s="311">
        <v>36963.327272727271</v>
      </c>
      <c r="N732" s="311">
        <v>15853.49090909091</v>
      </c>
      <c r="O732" s="311">
        <v>11097.443636363638</v>
      </c>
      <c r="P732" s="68">
        <f t="shared" si="169"/>
        <v>206095.38181818184</v>
      </c>
      <c r="Q732" s="68">
        <f t="shared" si="170"/>
        <v>14632772.109090909</v>
      </c>
      <c r="R732" s="127">
        <f t="shared" si="171"/>
        <v>14632772.109090909</v>
      </c>
      <c r="S732" s="37"/>
    </row>
    <row r="733" spans="1:19">
      <c r="A733" s="123"/>
      <c r="B733" s="254" t="s">
        <v>799</v>
      </c>
      <c r="C733" s="42" t="s">
        <v>8</v>
      </c>
      <c r="D733" s="351">
        <v>12</v>
      </c>
      <c r="E733" s="124"/>
      <c r="F733" s="351">
        <v>12</v>
      </c>
      <c r="G733" s="351" t="s">
        <v>2999</v>
      </c>
      <c r="H733" s="351"/>
      <c r="I733" s="351" t="s">
        <v>2681</v>
      </c>
      <c r="J733" s="351" t="s">
        <v>2328</v>
      </c>
      <c r="K733" s="311">
        <v>43735.520000000011</v>
      </c>
      <c r="L733" s="311">
        <v>0</v>
      </c>
      <c r="M733" s="311">
        <v>36963.327272727271</v>
      </c>
      <c r="N733" s="311">
        <v>7141.4909090909096</v>
      </c>
      <c r="O733" s="311">
        <v>4999.0436363636363</v>
      </c>
      <c r="P733" s="68">
        <f t="shared" si="169"/>
        <v>92839.381818181835</v>
      </c>
      <c r="Q733" s="68">
        <f t="shared" si="170"/>
        <v>1114072.581818182</v>
      </c>
      <c r="R733" s="127">
        <f t="shared" si="171"/>
        <v>1114072.581818182</v>
      </c>
      <c r="S733" s="37"/>
    </row>
    <row r="734" spans="1:19">
      <c r="A734" s="123"/>
      <c r="B734" s="254" t="s">
        <v>911</v>
      </c>
      <c r="C734" s="42" t="s">
        <v>8</v>
      </c>
      <c r="D734" s="351">
        <v>1</v>
      </c>
      <c r="E734" s="124"/>
      <c r="F734" s="351">
        <v>1</v>
      </c>
      <c r="G734" s="351" t="s">
        <v>3000</v>
      </c>
      <c r="H734" s="351"/>
      <c r="I734" s="351" t="s">
        <v>2681</v>
      </c>
      <c r="J734" s="351" t="s">
        <v>2328</v>
      </c>
      <c r="K734" s="311">
        <v>32534.960000000006</v>
      </c>
      <c r="L734" s="311">
        <v>0</v>
      </c>
      <c r="M734" s="311">
        <v>36963.327272727271</v>
      </c>
      <c r="N734" s="311">
        <v>6150.2909090909088</v>
      </c>
      <c r="O734" s="311">
        <v>4305.2036363636362</v>
      </c>
      <c r="P734" s="68">
        <f t="shared" si="169"/>
        <v>79953.781818181829</v>
      </c>
      <c r="Q734" s="68">
        <f t="shared" si="170"/>
        <v>79953.781818181829</v>
      </c>
      <c r="R734" s="127">
        <f t="shared" si="171"/>
        <v>79953.781818181829</v>
      </c>
      <c r="S734" s="37"/>
    </row>
    <row r="735" spans="1:19">
      <c r="A735" s="123"/>
      <c r="B735" s="254" t="s">
        <v>786</v>
      </c>
      <c r="C735" s="42" t="s">
        <v>8</v>
      </c>
      <c r="D735" s="351">
        <v>100</v>
      </c>
      <c r="E735" s="124"/>
      <c r="F735" s="351">
        <v>100</v>
      </c>
      <c r="G735" s="351" t="s">
        <v>2928</v>
      </c>
      <c r="H735" s="351"/>
      <c r="I735" s="351" t="s">
        <v>2681</v>
      </c>
      <c r="J735" s="351" t="s">
        <v>2328</v>
      </c>
      <c r="K735" s="311">
        <v>85988.479999999996</v>
      </c>
      <c r="L735" s="311">
        <v>0</v>
      </c>
      <c r="M735" s="311">
        <v>30805.854545454546</v>
      </c>
      <c r="N735" s="311">
        <v>10335.781818181817</v>
      </c>
      <c r="O735" s="311">
        <v>7235.0472727272718</v>
      </c>
      <c r="P735" s="68">
        <f t="shared" si="169"/>
        <v>134365.16363636364</v>
      </c>
      <c r="Q735" s="68">
        <f t="shared" si="170"/>
        <v>13436516.363636363</v>
      </c>
      <c r="R735" s="127">
        <f t="shared" si="171"/>
        <v>13436516.363636363</v>
      </c>
      <c r="S735" s="37"/>
    </row>
    <row r="736" spans="1:19">
      <c r="A736" s="123"/>
      <c r="B736" s="254" t="s">
        <v>972</v>
      </c>
      <c r="C736" s="42" t="s">
        <v>8</v>
      </c>
      <c r="D736" s="351">
        <v>7</v>
      </c>
      <c r="E736" s="124"/>
      <c r="F736" s="351">
        <v>7</v>
      </c>
      <c r="G736" s="351" t="s">
        <v>3001</v>
      </c>
      <c r="H736" s="351"/>
      <c r="I736" s="351" t="s">
        <v>2681</v>
      </c>
      <c r="J736" s="351" t="s">
        <v>2328</v>
      </c>
      <c r="K736" s="311">
        <v>29801.490000000009</v>
      </c>
      <c r="L736" s="311">
        <v>0</v>
      </c>
      <c r="M736" s="311">
        <v>30805.854545454546</v>
      </c>
      <c r="N736" s="311">
        <v>5363.4818181818191</v>
      </c>
      <c r="O736" s="311">
        <v>3754.437272727273</v>
      </c>
      <c r="P736" s="68">
        <f t="shared" si="169"/>
        <v>69725.263636363656</v>
      </c>
      <c r="Q736" s="68">
        <f t="shared" si="170"/>
        <v>488076.84545454558</v>
      </c>
      <c r="R736" s="127">
        <f t="shared" si="171"/>
        <v>488076.84545454558</v>
      </c>
      <c r="S736" s="37"/>
    </row>
    <row r="737" spans="1:19">
      <c r="A737" s="123"/>
      <c r="B737" s="254" t="s">
        <v>973</v>
      </c>
      <c r="C737" s="42" t="s">
        <v>8</v>
      </c>
      <c r="D737" s="351">
        <v>31</v>
      </c>
      <c r="E737" s="124"/>
      <c r="F737" s="351">
        <v>31</v>
      </c>
      <c r="G737" s="351" t="s">
        <v>3002</v>
      </c>
      <c r="H737" s="351"/>
      <c r="I737" s="351" t="s">
        <v>2681</v>
      </c>
      <c r="J737" s="351" t="s">
        <v>2328</v>
      </c>
      <c r="K737" s="311">
        <v>18600.93</v>
      </c>
      <c r="L737" s="311">
        <v>0</v>
      </c>
      <c r="M737" s="311">
        <v>30805.854545454546</v>
      </c>
      <c r="N737" s="311">
        <v>4372.2818181818175</v>
      </c>
      <c r="O737" s="311">
        <v>3060.5972727272729</v>
      </c>
      <c r="P737" s="68">
        <f t="shared" si="169"/>
        <v>56839.663636363635</v>
      </c>
      <c r="Q737" s="68">
        <f t="shared" si="170"/>
        <v>1762029.5727272728</v>
      </c>
      <c r="R737" s="127">
        <f t="shared" si="171"/>
        <v>1762029.5727272728</v>
      </c>
      <c r="S737" s="37"/>
    </row>
    <row r="738" spans="1:19">
      <c r="A738" s="123"/>
      <c r="B738" s="254" t="s">
        <v>787</v>
      </c>
      <c r="C738" s="42" t="s">
        <v>8</v>
      </c>
      <c r="D738" s="351">
        <v>7</v>
      </c>
      <c r="E738" s="124"/>
      <c r="F738" s="351">
        <v>7</v>
      </c>
      <c r="G738" s="351" t="s">
        <v>3003</v>
      </c>
      <c r="H738" s="351"/>
      <c r="I738" s="351" t="s">
        <v>2681</v>
      </c>
      <c r="J738" s="351" t="s">
        <v>2328</v>
      </c>
      <c r="K738" s="311">
        <v>51057.920000000006</v>
      </c>
      <c r="L738" s="311">
        <v>0</v>
      </c>
      <c r="M738" s="311">
        <v>24019.69090909091</v>
      </c>
      <c r="N738" s="311">
        <v>6644.0363636363636</v>
      </c>
      <c r="O738" s="311">
        <v>4650.8254545454547</v>
      </c>
      <c r="P738" s="68">
        <f t="shared" si="169"/>
        <v>86372.472727272732</v>
      </c>
      <c r="Q738" s="68">
        <f t="shared" si="170"/>
        <v>604607.30909090908</v>
      </c>
      <c r="R738" s="127">
        <f t="shared" si="171"/>
        <v>604607.30909090908</v>
      </c>
      <c r="S738" s="37"/>
    </row>
    <row r="739" spans="1:19" ht="30">
      <c r="A739" s="123"/>
      <c r="B739" s="254" t="s">
        <v>974</v>
      </c>
      <c r="C739" s="42" t="s">
        <v>8</v>
      </c>
      <c r="D739" s="351">
        <v>26</v>
      </c>
      <c r="E739" s="124"/>
      <c r="F739" s="351">
        <v>26</v>
      </c>
      <c r="G739" s="351" t="s">
        <v>3004</v>
      </c>
      <c r="H739" s="351"/>
      <c r="I739" s="351" t="s">
        <v>2681</v>
      </c>
      <c r="J739" s="351" t="s">
        <v>2328</v>
      </c>
      <c r="K739" s="311">
        <v>51057.920000000006</v>
      </c>
      <c r="L739" s="311">
        <v>0</v>
      </c>
      <c r="M739" s="311">
        <v>24019.69090909091</v>
      </c>
      <c r="N739" s="311">
        <v>6644.0363636363636</v>
      </c>
      <c r="O739" s="311">
        <v>4650.8254545454547</v>
      </c>
      <c r="P739" s="68">
        <f t="shared" si="169"/>
        <v>86372.472727272732</v>
      </c>
      <c r="Q739" s="68">
        <f t="shared" si="170"/>
        <v>2245684.290909091</v>
      </c>
      <c r="R739" s="127">
        <f t="shared" si="171"/>
        <v>2245684.290909091</v>
      </c>
      <c r="S739" s="37"/>
    </row>
    <row r="740" spans="1:19">
      <c r="A740" s="123">
        <v>4</v>
      </c>
      <c r="B740" s="254" t="s">
        <v>975</v>
      </c>
      <c r="C740" s="42"/>
      <c r="D740" s="351"/>
      <c r="E740" s="124"/>
      <c r="F740" s="351"/>
      <c r="G740" s="37"/>
      <c r="H740" s="37"/>
      <c r="I740" s="37"/>
      <c r="J740" s="37"/>
      <c r="K740" s="66"/>
      <c r="L740" s="66"/>
      <c r="M740" s="66"/>
      <c r="N740" s="66"/>
      <c r="O740" s="66"/>
      <c r="P740" s="66"/>
      <c r="Q740" s="66"/>
      <c r="R740" s="66"/>
      <c r="S740" s="37"/>
    </row>
    <row r="741" spans="1:19">
      <c r="A741" s="123"/>
      <c r="B741" s="254" t="s">
        <v>783</v>
      </c>
      <c r="C741" s="42" t="s">
        <v>8</v>
      </c>
      <c r="D741" s="351">
        <v>6</v>
      </c>
      <c r="E741" s="124"/>
      <c r="F741" s="351">
        <v>6</v>
      </c>
      <c r="G741" s="351" t="s">
        <v>2862</v>
      </c>
      <c r="H741" s="351"/>
      <c r="I741" s="351" t="s">
        <v>2681</v>
      </c>
      <c r="J741" s="351" t="s">
        <v>2328</v>
      </c>
      <c r="K741" s="311">
        <v>77374.038000000015</v>
      </c>
      <c r="L741" s="311">
        <v>0</v>
      </c>
      <c r="M741" s="311">
        <v>28229.454545454548</v>
      </c>
      <c r="N741" s="311">
        <v>9345.4418181818182</v>
      </c>
      <c r="O741" s="311">
        <v>6541.8092727272733</v>
      </c>
      <c r="P741" s="68">
        <f t="shared" ref="P741:P747" si="172">SUM(K741:O741)</f>
        <v>121490.74363636365</v>
      </c>
      <c r="Q741" s="68">
        <f t="shared" ref="Q741:Q747" si="173">D741*P741</f>
        <v>728944.46181818191</v>
      </c>
      <c r="R741" s="127">
        <f t="shared" ref="R741:R747" si="174">F741*P741</f>
        <v>728944.46181818191</v>
      </c>
      <c r="S741" s="37"/>
    </row>
    <row r="742" spans="1:19">
      <c r="A742" s="123"/>
      <c r="B742" s="254" t="s">
        <v>908</v>
      </c>
      <c r="C742" s="42" t="s">
        <v>8</v>
      </c>
      <c r="D742" s="351">
        <v>57</v>
      </c>
      <c r="E742" s="124"/>
      <c r="F742" s="351">
        <v>57</v>
      </c>
      <c r="G742" s="351" t="s">
        <v>2863</v>
      </c>
      <c r="H742" s="351"/>
      <c r="I742" s="351" t="s">
        <v>2681</v>
      </c>
      <c r="J742" s="351" t="s">
        <v>2328</v>
      </c>
      <c r="K742" s="311">
        <v>60170.240000000005</v>
      </c>
      <c r="L742" s="311">
        <v>0</v>
      </c>
      <c r="M742" s="311">
        <v>28229.454545454548</v>
      </c>
      <c r="N742" s="311">
        <v>7822.9818181818182</v>
      </c>
      <c r="O742" s="311">
        <v>5476.0872727272726</v>
      </c>
      <c r="P742" s="68">
        <f t="shared" si="172"/>
        <v>101698.76363636364</v>
      </c>
      <c r="Q742" s="68">
        <f t="shared" si="173"/>
        <v>5796829.5272727273</v>
      </c>
      <c r="R742" s="127">
        <f t="shared" si="174"/>
        <v>5796829.5272727273</v>
      </c>
      <c r="S742" s="37"/>
    </row>
    <row r="743" spans="1:19">
      <c r="A743" s="123"/>
      <c r="B743" s="254" t="s">
        <v>785</v>
      </c>
      <c r="C743" s="42" t="s">
        <v>8</v>
      </c>
      <c r="D743" s="351">
        <v>225</v>
      </c>
      <c r="E743" s="124"/>
      <c r="F743" s="351">
        <v>225</v>
      </c>
      <c r="G743" s="351" t="s">
        <v>2864</v>
      </c>
      <c r="H743" s="351"/>
      <c r="I743" s="351" t="s">
        <v>2681</v>
      </c>
      <c r="J743" s="351" t="s">
        <v>2328</v>
      </c>
      <c r="K743" s="311">
        <v>50407.040000000008</v>
      </c>
      <c r="L743" s="311">
        <v>0</v>
      </c>
      <c r="M743" s="311">
        <v>24642.218181818182</v>
      </c>
      <c r="N743" s="311">
        <v>6641.5272727272722</v>
      </c>
      <c r="O743" s="311">
        <v>4649.0690909090908</v>
      </c>
      <c r="P743" s="68">
        <f t="shared" si="172"/>
        <v>86339.854545454553</v>
      </c>
      <c r="Q743" s="68">
        <f t="shared" si="173"/>
        <v>19426467.272727273</v>
      </c>
      <c r="R743" s="127">
        <f t="shared" si="174"/>
        <v>19426467.272727273</v>
      </c>
      <c r="S743" s="37"/>
    </row>
    <row r="744" spans="1:19">
      <c r="A744" s="123"/>
      <c r="B744" s="254" t="s">
        <v>786</v>
      </c>
      <c r="C744" s="42" t="s">
        <v>8</v>
      </c>
      <c r="D744" s="351">
        <v>152</v>
      </c>
      <c r="E744" s="124"/>
      <c r="F744" s="351">
        <v>152</v>
      </c>
      <c r="G744" s="351" t="s">
        <v>2865</v>
      </c>
      <c r="H744" s="351"/>
      <c r="I744" s="351" t="s">
        <v>2681</v>
      </c>
      <c r="J744" s="351" t="s">
        <v>2328</v>
      </c>
      <c r="K744" s="311">
        <v>29651.200000000004</v>
      </c>
      <c r="L744" s="311">
        <v>0</v>
      </c>
      <c r="M744" s="311">
        <v>20537.236363636363</v>
      </c>
      <c r="N744" s="311">
        <v>4441.454545454546</v>
      </c>
      <c r="O744" s="311">
        <v>3109.0181818181823</v>
      </c>
      <c r="P744" s="68">
        <f t="shared" si="172"/>
        <v>57738.909090909096</v>
      </c>
      <c r="Q744" s="68">
        <f t="shared" si="173"/>
        <v>8776314.1818181816</v>
      </c>
      <c r="R744" s="127">
        <f t="shared" si="174"/>
        <v>8776314.1818181816</v>
      </c>
      <c r="S744" s="37"/>
    </row>
    <row r="745" spans="1:19">
      <c r="A745" s="123"/>
      <c r="B745" s="254" t="s">
        <v>787</v>
      </c>
      <c r="C745" s="42" t="s">
        <v>8</v>
      </c>
      <c r="D745" s="351">
        <v>35</v>
      </c>
      <c r="E745" s="124"/>
      <c r="F745" s="351">
        <v>35</v>
      </c>
      <c r="G745" s="351" t="s">
        <v>3005</v>
      </c>
      <c r="H745" s="351"/>
      <c r="I745" s="351" t="s">
        <v>2681</v>
      </c>
      <c r="J745" s="351" t="s">
        <v>2328</v>
      </c>
      <c r="K745" s="311">
        <v>26324.480000000003</v>
      </c>
      <c r="L745" s="311">
        <v>0</v>
      </c>
      <c r="M745" s="311">
        <v>16013.127272727274</v>
      </c>
      <c r="N745" s="311">
        <v>3746.6909090909089</v>
      </c>
      <c r="O745" s="311">
        <v>2622.6836363636367</v>
      </c>
      <c r="P745" s="68">
        <f t="shared" si="172"/>
        <v>48706.981818181826</v>
      </c>
      <c r="Q745" s="68">
        <f t="shared" si="173"/>
        <v>1704744.363636364</v>
      </c>
      <c r="R745" s="127">
        <f t="shared" si="174"/>
        <v>1704744.363636364</v>
      </c>
      <c r="S745" s="37"/>
    </row>
    <row r="746" spans="1:19">
      <c r="A746" s="123"/>
      <c r="B746" s="254" t="s">
        <v>916</v>
      </c>
      <c r="C746" s="42" t="s">
        <v>8</v>
      </c>
      <c r="D746" s="351">
        <v>61</v>
      </c>
      <c r="E746" s="124"/>
      <c r="F746" s="351">
        <v>61</v>
      </c>
      <c r="G746" s="351" t="s">
        <v>2992</v>
      </c>
      <c r="H746" s="351"/>
      <c r="I746" s="351" t="s">
        <v>2681</v>
      </c>
      <c r="J746" s="351" t="s">
        <v>2328</v>
      </c>
      <c r="K746" s="311">
        <v>4133.5400000000009</v>
      </c>
      <c r="L746" s="311">
        <v>0</v>
      </c>
      <c r="M746" s="311">
        <v>12031.418181818182</v>
      </c>
      <c r="N746" s="311">
        <v>1430.5272727272727</v>
      </c>
      <c r="O746" s="311">
        <v>1001.3690909090909</v>
      </c>
      <c r="P746" s="68">
        <f t="shared" si="172"/>
        <v>18596.854545454546</v>
      </c>
      <c r="Q746" s="68">
        <f t="shared" si="173"/>
        <v>1134408.1272727272</v>
      </c>
      <c r="R746" s="127">
        <f t="shared" si="174"/>
        <v>1134408.1272727272</v>
      </c>
      <c r="S746" s="37"/>
    </row>
    <row r="747" spans="1:19">
      <c r="A747" s="123"/>
      <c r="B747" s="254" t="s">
        <v>917</v>
      </c>
      <c r="C747" s="42" t="s">
        <v>8</v>
      </c>
      <c r="D747" s="351">
        <v>193</v>
      </c>
      <c r="E747" s="124"/>
      <c r="F747" s="351">
        <v>193</v>
      </c>
      <c r="G747" s="351" t="s">
        <v>3006</v>
      </c>
      <c r="H747" s="351"/>
      <c r="I747" s="351" t="s">
        <v>2681</v>
      </c>
      <c r="J747" s="351" t="s">
        <v>2328</v>
      </c>
      <c r="K747" s="311">
        <v>2600.13</v>
      </c>
      <c r="L747" s="311">
        <v>0</v>
      </c>
      <c r="M747" s="311">
        <v>11378.072727272727</v>
      </c>
      <c r="N747" s="311">
        <v>1237.0090909090909</v>
      </c>
      <c r="O747" s="311">
        <v>865.90636363636361</v>
      </c>
      <c r="P747" s="68">
        <f t="shared" si="172"/>
        <v>16081.118181818183</v>
      </c>
      <c r="Q747" s="68">
        <f t="shared" si="173"/>
        <v>3103655.8090909095</v>
      </c>
      <c r="R747" s="127">
        <f t="shared" si="174"/>
        <v>3103655.8090909095</v>
      </c>
      <c r="S747" s="37"/>
    </row>
    <row r="748" spans="1:19">
      <c r="A748" s="123">
        <v>5</v>
      </c>
      <c r="B748" s="254" t="s">
        <v>920</v>
      </c>
      <c r="C748" s="42"/>
      <c r="D748" s="351"/>
      <c r="E748" s="124"/>
      <c r="F748" s="351"/>
      <c r="G748" s="37"/>
      <c r="H748" s="37"/>
      <c r="I748" s="37"/>
      <c r="J748" s="37"/>
      <c r="K748" s="66"/>
      <c r="L748" s="66"/>
      <c r="M748" s="66"/>
      <c r="N748" s="66"/>
      <c r="O748" s="66"/>
      <c r="P748" s="66"/>
      <c r="Q748" s="66"/>
      <c r="R748" s="66"/>
      <c r="S748" s="37"/>
    </row>
    <row r="749" spans="1:19">
      <c r="A749" s="123"/>
      <c r="B749" s="254" t="s">
        <v>915</v>
      </c>
      <c r="C749" s="42" t="s">
        <v>8</v>
      </c>
      <c r="D749" s="351">
        <v>48</v>
      </c>
      <c r="E749" s="124"/>
      <c r="F749" s="351">
        <v>48</v>
      </c>
      <c r="G749" s="351" t="s">
        <v>2990</v>
      </c>
      <c r="H749" s="351"/>
      <c r="I749" s="351" t="s">
        <v>2681</v>
      </c>
      <c r="J749" s="351" t="s">
        <v>2328</v>
      </c>
      <c r="K749" s="311">
        <v>10867.210000000001</v>
      </c>
      <c r="L749" s="311">
        <v>0</v>
      </c>
      <c r="M749" s="311">
        <v>14299.636363636364</v>
      </c>
      <c r="N749" s="311">
        <v>2227.1545454545458</v>
      </c>
      <c r="O749" s="311">
        <v>1559.008181818182</v>
      </c>
      <c r="P749" s="68">
        <f t="shared" ref="P749:P752" si="175">SUM(K749:O749)</f>
        <v>28953.009090909094</v>
      </c>
      <c r="Q749" s="68">
        <f>D749*P749</f>
        <v>1389744.4363636365</v>
      </c>
      <c r="R749" s="127">
        <f>F749*P749</f>
        <v>1389744.4363636365</v>
      </c>
      <c r="S749" s="37"/>
    </row>
    <row r="750" spans="1:19" s="131" customFormat="1">
      <c r="A750" s="129"/>
      <c r="B750" s="253" t="s">
        <v>787</v>
      </c>
      <c r="C750" s="126" t="s">
        <v>8</v>
      </c>
      <c r="D750" s="352">
        <v>47</v>
      </c>
      <c r="E750" s="130"/>
      <c r="F750" s="352">
        <v>47</v>
      </c>
      <c r="G750" s="351" t="s">
        <v>3156</v>
      </c>
      <c r="H750" s="26"/>
      <c r="I750" s="351" t="s">
        <v>2681</v>
      </c>
      <c r="J750" s="351" t="s">
        <v>2328</v>
      </c>
      <c r="K750" s="311">
        <v>24835.14</v>
      </c>
      <c r="L750" s="311">
        <v>0</v>
      </c>
      <c r="M750" s="311">
        <v>16013.127272727274</v>
      </c>
      <c r="N750" s="311">
        <v>3614.8909090909092</v>
      </c>
      <c r="O750" s="311">
        <v>2530.4236363636364</v>
      </c>
      <c r="P750" s="68">
        <f t="shared" si="175"/>
        <v>46993.581818181818</v>
      </c>
      <c r="Q750" s="68">
        <f>D750*P750</f>
        <v>2208698.3454545452</v>
      </c>
      <c r="R750" s="127">
        <f>F750*P750</f>
        <v>2208698.3454545452</v>
      </c>
      <c r="S750" s="30"/>
    </row>
    <row r="751" spans="1:19" s="131" customFormat="1">
      <c r="A751" s="129"/>
      <c r="B751" s="253" t="s">
        <v>917</v>
      </c>
      <c r="C751" s="126" t="s">
        <v>8</v>
      </c>
      <c r="D751" s="352">
        <v>70</v>
      </c>
      <c r="E751" s="130"/>
      <c r="F751" s="352">
        <v>70</v>
      </c>
      <c r="G751" s="351" t="s">
        <v>3026</v>
      </c>
      <c r="H751" s="26"/>
      <c r="I751" s="351" t="s">
        <v>2681</v>
      </c>
      <c r="J751" s="351" t="s">
        <v>2328</v>
      </c>
      <c r="K751" s="311">
        <v>3515.4300000000003</v>
      </c>
      <c r="L751" s="311">
        <v>0</v>
      </c>
      <c r="M751" s="311">
        <v>11378.072727272727</v>
      </c>
      <c r="N751" s="311">
        <v>1318.0090909090909</v>
      </c>
      <c r="O751" s="311">
        <v>922.60636363636365</v>
      </c>
      <c r="P751" s="68">
        <f t="shared" si="175"/>
        <v>17134.118181818183</v>
      </c>
      <c r="Q751" s="68">
        <f>D751*P751</f>
        <v>1199388.2727272727</v>
      </c>
      <c r="R751" s="127">
        <f>F751*P751</f>
        <v>1199388.2727272727</v>
      </c>
      <c r="S751" s="30"/>
    </row>
    <row r="752" spans="1:19">
      <c r="A752" s="123"/>
      <c r="B752" s="254" t="s">
        <v>916</v>
      </c>
      <c r="C752" s="42" t="s">
        <v>8</v>
      </c>
      <c r="D752" s="351">
        <v>49</v>
      </c>
      <c r="E752" s="124" t="s">
        <v>1968</v>
      </c>
      <c r="F752" s="351">
        <v>49</v>
      </c>
      <c r="G752" s="351" t="s">
        <v>2991</v>
      </c>
      <c r="H752" s="351"/>
      <c r="I752" s="351" t="s">
        <v>2681</v>
      </c>
      <c r="J752" s="351" t="s">
        <v>2328</v>
      </c>
      <c r="K752" s="311">
        <v>5333.6</v>
      </c>
      <c r="L752" s="311">
        <v>0</v>
      </c>
      <c r="M752" s="311">
        <v>12031.418181818182</v>
      </c>
      <c r="N752" s="311">
        <v>1536.7272727272727</v>
      </c>
      <c r="O752" s="311">
        <v>1075.7090909090909</v>
      </c>
      <c r="P752" s="68">
        <f t="shared" si="175"/>
        <v>19977.454545454544</v>
      </c>
      <c r="Q752" s="68">
        <f>D752*P752</f>
        <v>978895.27272727271</v>
      </c>
      <c r="R752" s="127">
        <f>F752*P752</f>
        <v>978895.27272727271</v>
      </c>
      <c r="S752" s="37"/>
    </row>
    <row r="753" spans="1:19">
      <c r="A753" s="123">
        <v>6</v>
      </c>
      <c r="B753" s="254" t="s">
        <v>958</v>
      </c>
      <c r="C753" s="42"/>
      <c r="D753" s="351"/>
      <c r="E753" s="124"/>
      <c r="F753" s="351"/>
      <c r="G753" s="37"/>
      <c r="H753" s="37"/>
      <c r="I753" s="37"/>
      <c r="J753" s="37"/>
      <c r="K753" s="66"/>
      <c r="L753" s="66"/>
      <c r="M753" s="66"/>
      <c r="N753" s="66"/>
      <c r="O753" s="66"/>
      <c r="P753" s="66"/>
      <c r="Q753" s="66"/>
      <c r="R753" s="66"/>
      <c r="S753" s="37"/>
    </row>
    <row r="754" spans="1:19">
      <c r="A754" s="123"/>
      <c r="B754" s="254" t="s">
        <v>1015</v>
      </c>
      <c r="C754" s="42" t="s">
        <v>8</v>
      </c>
      <c r="D754" s="351">
        <v>54</v>
      </c>
      <c r="E754" s="124"/>
      <c r="F754" s="351">
        <v>54</v>
      </c>
      <c r="G754" s="351" t="s">
        <v>3007</v>
      </c>
      <c r="H754" s="351"/>
      <c r="I754" s="351" t="s">
        <v>2681</v>
      </c>
      <c r="J754" s="351" t="s">
        <v>2328</v>
      </c>
      <c r="K754" s="311">
        <v>4466.8900000000012</v>
      </c>
      <c r="L754" s="311">
        <v>0</v>
      </c>
      <c r="M754" s="311">
        <v>14299.636363636364</v>
      </c>
      <c r="N754" s="311">
        <v>1660.7545454545457</v>
      </c>
      <c r="O754" s="311">
        <v>1162.528181818182</v>
      </c>
      <c r="P754" s="68">
        <f t="shared" ref="P754:P755" si="176">SUM(K754:O754)</f>
        <v>21589.809090909097</v>
      </c>
      <c r="Q754" s="68">
        <f>D754*P754</f>
        <v>1165849.6909090912</v>
      </c>
      <c r="R754" s="127">
        <f>F754*P754</f>
        <v>1165849.6909090912</v>
      </c>
      <c r="S754" s="37"/>
    </row>
    <row r="755" spans="1:19">
      <c r="A755" s="123"/>
      <c r="B755" s="254" t="s">
        <v>1016</v>
      </c>
      <c r="C755" s="42" t="s">
        <v>8</v>
      </c>
      <c r="D755" s="351">
        <v>1</v>
      </c>
      <c r="E755" s="124"/>
      <c r="F755" s="351">
        <v>1</v>
      </c>
      <c r="G755" s="351" t="s">
        <v>3008</v>
      </c>
      <c r="H755" s="351"/>
      <c r="I755" s="351" t="s">
        <v>2681</v>
      </c>
      <c r="J755" s="351" t="s">
        <v>2328</v>
      </c>
      <c r="K755" s="311">
        <v>15765.760000000002</v>
      </c>
      <c r="L755" s="311">
        <v>0</v>
      </c>
      <c r="M755" s="311">
        <v>16013.127272727274</v>
      </c>
      <c r="N755" s="311">
        <v>2812.2909090909088</v>
      </c>
      <c r="O755" s="311">
        <v>1968.6036363636363</v>
      </c>
      <c r="P755" s="68">
        <f t="shared" si="176"/>
        <v>36559.781818181822</v>
      </c>
      <c r="Q755" s="68">
        <f>D755*P755</f>
        <v>36559.781818181822</v>
      </c>
      <c r="R755" s="127">
        <f>F755*P755</f>
        <v>36559.781818181822</v>
      </c>
      <c r="S755" s="37"/>
    </row>
    <row r="756" spans="1:19">
      <c r="A756" s="123">
        <v>7</v>
      </c>
      <c r="B756" s="254" t="s">
        <v>927</v>
      </c>
      <c r="C756" s="42"/>
      <c r="D756" s="351"/>
      <c r="E756" s="124"/>
      <c r="F756" s="351"/>
      <c r="G756" s="37"/>
      <c r="H756" s="37"/>
      <c r="I756" s="37"/>
      <c r="J756" s="37"/>
      <c r="K756" s="66"/>
      <c r="L756" s="66"/>
      <c r="M756" s="66"/>
      <c r="N756" s="66"/>
      <c r="O756" s="66"/>
      <c r="P756" s="66"/>
      <c r="Q756" s="66"/>
      <c r="R756" s="66"/>
      <c r="S756" s="37"/>
    </row>
    <row r="757" spans="1:19" ht="30">
      <c r="A757" s="123"/>
      <c r="B757" s="254" t="s">
        <v>1017</v>
      </c>
      <c r="C757" s="42" t="s">
        <v>8</v>
      </c>
      <c r="D757" s="351">
        <v>4</v>
      </c>
      <c r="E757" s="124"/>
      <c r="F757" s="351">
        <v>4</v>
      </c>
      <c r="G757" s="351" t="s">
        <v>3009</v>
      </c>
      <c r="H757" s="351"/>
      <c r="I757" s="351" t="s">
        <v>2681</v>
      </c>
      <c r="J757" s="351" t="s">
        <v>2328</v>
      </c>
      <c r="K757" s="311">
        <v>167999.36000000002</v>
      </c>
      <c r="L757" s="311">
        <v>0</v>
      </c>
      <c r="M757" s="311">
        <v>42344.181818181823</v>
      </c>
      <c r="N757" s="311">
        <v>18614.472727272729</v>
      </c>
      <c r="O757" s="311">
        <v>13030.130909090909</v>
      </c>
      <c r="P757" s="68">
        <f t="shared" ref="P757:P766" si="177">SUM(K757:O757)</f>
        <v>241988.14545454548</v>
      </c>
      <c r="Q757" s="68">
        <f t="shared" ref="Q757:Q766" si="178">D757*P757</f>
        <v>967952.5818181819</v>
      </c>
      <c r="R757" s="127">
        <f t="shared" ref="R757:R766" si="179">F757*P757</f>
        <v>967952.5818181819</v>
      </c>
      <c r="S757" s="37"/>
    </row>
    <row r="758" spans="1:19" ht="45">
      <c r="A758" s="123"/>
      <c r="B758" s="254" t="s">
        <v>1018</v>
      </c>
      <c r="C758" s="42" t="s">
        <v>8</v>
      </c>
      <c r="D758" s="351">
        <v>22</v>
      </c>
      <c r="E758" s="124"/>
      <c r="F758" s="351">
        <v>22</v>
      </c>
      <c r="G758" s="351" t="s">
        <v>3010</v>
      </c>
      <c r="H758" s="351"/>
      <c r="I758" s="351" t="s">
        <v>2681</v>
      </c>
      <c r="J758" s="351" t="s">
        <v>2328</v>
      </c>
      <c r="K758" s="311">
        <v>132417.92000000001</v>
      </c>
      <c r="L758" s="311">
        <v>0</v>
      </c>
      <c r="M758" s="311">
        <v>42344.181818181823</v>
      </c>
      <c r="N758" s="311">
        <v>15465.672727272728</v>
      </c>
      <c r="O758" s="311">
        <v>10825.970909090909</v>
      </c>
      <c r="P758" s="68">
        <f t="shared" si="177"/>
        <v>201053.74545454548</v>
      </c>
      <c r="Q758" s="68">
        <f t="shared" si="178"/>
        <v>4423182.4000000004</v>
      </c>
      <c r="R758" s="127">
        <f t="shared" si="179"/>
        <v>4423182.4000000004</v>
      </c>
      <c r="S758" s="37"/>
    </row>
    <row r="759" spans="1:19">
      <c r="A759" s="123"/>
      <c r="B759" s="254" t="s">
        <v>976</v>
      </c>
      <c r="C759" s="42" t="s">
        <v>8</v>
      </c>
      <c r="D759" s="351">
        <v>4</v>
      </c>
      <c r="E759" s="124"/>
      <c r="F759" s="351">
        <v>4</v>
      </c>
      <c r="G759" s="351" t="s">
        <v>2982</v>
      </c>
      <c r="H759" s="351"/>
      <c r="I759" s="351" t="s">
        <v>2681</v>
      </c>
      <c r="J759" s="351" t="s">
        <v>2328</v>
      </c>
      <c r="K759" s="311">
        <v>59302.400000000009</v>
      </c>
      <c r="L759" s="311">
        <v>0</v>
      </c>
      <c r="M759" s="311">
        <v>36963.327272727271</v>
      </c>
      <c r="N759" s="311">
        <v>8519.0909090909099</v>
      </c>
      <c r="O759" s="311">
        <v>5963.3636363636369</v>
      </c>
      <c r="P759" s="68">
        <f t="shared" si="177"/>
        <v>110748.18181818182</v>
      </c>
      <c r="Q759" s="68">
        <f t="shared" si="178"/>
        <v>442992.72727272729</v>
      </c>
      <c r="R759" s="127">
        <f t="shared" si="179"/>
        <v>442992.72727272729</v>
      </c>
      <c r="S759" s="37"/>
    </row>
    <row r="760" spans="1:19">
      <c r="A760" s="123"/>
      <c r="B760" s="254" t="s">
        <v>977</v>
      </c>
      <c r="C760" s="42" t="s">
        <v>8</v>
      </c>
      <c r="D760" s="351">
        <v>8</v>
      </c>
      <c r="E760" s="124"/>
      <c r="F760" s="351">
        <v>8</v>
      </c>
      <c r="G760" s="351" t="s">
        <v>2984</v>
      </c>
      <c r="H760" s="351"/>
      <c r="I760" s="351" t="s">
        <v>2681</v>
      </c>
      <c r="J760" s="351" t="s">
        <v>2328</v>
      </c>
      <c r="K760" s="311">
        <v>39848.320000000007</v>
      </c>
      <c r="L760" s="311">
        <v>0</v>
      </c>
      <c r="M760" s="311">
        <v>30805.854545454546</v>
      </c>
      <c r="N760" s="311">
        <v>6252.5818181818177</v>
      </c>
      <c r="O760" s="311">
        <v>4376.8072727272729</v>
      </c>
      <c r="P760" s="68">
        <f t="shared" si="177"/>
        <v>81283.563636363644</v>
      </c>
      <c r="Q760" s="68">
        <f t="shared" si="178"/>
        <v>650268.50909090915</v>
      </c>
      <c r="R760" s="127">
        <f t="shared" si="179"/>
        <v>650268.50909090915</v>
      </c>
      <c r="S760" s="37"/>
    </row>
    <row r="761" spans="1:19">
      <c r="A761" s="123"/>
      <c r="B761" s="254" t="s">
        <v>978</v>
      </c>
      <c r="C761" s="42" t="s">
        <v>8</v>
      </c>
      <c r="D761" s="351">
        <v>1</v>
      </c>
      <c r="E761" s="124"/>
      <c r="F761" s="351">
        <v>1</v>
      </c>
      <c r="G761" s="351" t="s">
        <v>3011</v>
      </c>
      <c r="H761" s="351"/>
      <c r="I761" s="351" t="s">
        <v>2681</v>
      </c>
      <c r="J761" s="351" t="s">
        <v>2328</v>
      </c>
      <c r="K761" s="311">
        <v>28855.680000000004</v>
      </c>
      <c r="L761" s="311">
        <v>0</v>
      </c>
      <c r="M761" s="311">
        <v>24019.69090909091</v>
      </c>
      <c r="N761" s="311">
        <v>4679.2363636363634</v>
      </c>
      <c r="O761" s="311">
        <v>3275.4654545454546</v>
      </c>
      <c r="P761" s="68">
        <f t="shared" si="177"/>
        <v>60830.072727272731</v>
      </c>
      <c r="Q761" s="68">
        <f t="shared" si="178"/>
        <v>60830.072727272731</v>
      </c>
      <c r="R761" s="127">
        <f t="shared" si="179"/>
        <v>60830.072727272731</v>
      </c>
      <c r="S761" s="38"/>
    </row>
    <row r="762" spans="1:19">
      <c r="A762" s="123"/>
      <c r="B762" s="254" t="s">
        <v>916</v>
      </c>
      <c r="C762" s="42" t="s">
        <v>8</v>
      </c>
      <c r="D762" s="351">
        <v>29</v>
      </c>
      <c r="E762" s="124"/>
      <c r="F762" s="351">
        <v>29</v>
      </c>
      <c r="G762" s="351" t="s">
        <v>3012</v>
      </c>
      <c r="H762" s="351"/>
      <c r="I762" s="351" t="s">
        <v>2681</v>
      </c>
      <c r="J762" s="351" t="s">
        <v>2328</v>
      </c>
      <c r="K762" s="311">
        <v>6667.0000000000018</v>
      </c>
      <c r="L762" s="311">
        <v>0</v>
      </c>
      <c r="M762" s="311">
        <v>18047.127272727274</v>
      </c>
      <c r="N762" s="311">
        <v>2187.0909090909095</v>
      </c>
      <c r="O762" s="311">
        <v>1530.9636363636366</v>
      </c>
      <c r="P762" s="68">
        <f t="shared" si="177"/>
        <v>28432.18181818182</v>
      </c>
      <c r="Q762" s="68">
        <f t="shared" si="178"/>
        <v>824533.27272727282</v>
      </c>
      <c r="R762" s="127">
        <f t="shared" si="179"/>
        <v>824533.27272727282</v>
      </c>
      <c r="S762" s="36"/>
    </row>
    <row r="763" spans="1:19" s="131" customFormat="1" ht="30">
      <c r="A763" s="129"/>
      <c r="B763" s="253" t="s">
        <v>1969</v>
      </c>
      <c r="C763" s="126" t="s">
        <v>8</v>
      </c>
      <c r="D763" s="352">
        <v>3</v>
      </c>
      <c r="E763" s="130"/>
      <c r="F763" s="352">
        <v>3</v>
      </c>
      <c r="G763" s="315" t="s">
        <v>3157</v>
      </c>
      <c r="H763" s="26"/>
      <c r="I763" s="351" t="s">
        <v>2681</v>
      </c>
      <c r="J763" s="351" t="s">
        <v>2328</v>
      </c>
      <c r="K763" s="311">
        <v>124101.12</v>
      </c>
      <c r="L763" s="311">
        <v>0</v>
      </c>
      <c r="M763" s="311">
        <v>42344.181818181823</v>
      </c>
      <c r="N763" s="311">
        <v>14729.672727272728</v>
      </c>
      <c r="O763" s="311">
        <v>10310.77090909091</v>
      </c>
      <c r="P763" s="68">
        <f t="shared" si="177"/>
        <v>191485.74545454545</v>
      </c>
      <c r="Q763" s="68">
        <f t="shared" si="178"/>
        <v>574457.23636363633</v>
      </c>
      <c r="R763" s="127">
        <f t="shared" si="179"/>
        <v>574457.23636363633</v>
      </c>
      <c r="S763" s="30"/>
    </row>
    <row r="764" spans="1:19" s="131" customFormat="1">
      <c r="A764" s="129"/>
      <c r="B764" s="253" t="s">
        <v>800</v>
      </c>
      <c r="C764" s="126" t="s">
        <v>8</v>
      </c>
      <c r="D764" s="352">
        <v>8</v>
      </c>
      <c r="E764" s="130"/>
      <c r="F764" s="352">
        <v>8</v>
      </c>
      <c r="G764" s="26" t="s">
        <v>3039</v>
      </c>
      <c r="H764" s="26"/>
      <c r="I764" s="351" t="s">
        <v>2681</v>
      </c>
      <c r="J764" s="351" t="s">
        <v>2328</v>
      </c>
      <c r="K764" s="311">
        <v>73759.62</v>
      </c>
      <c r="L764" s="311">
        <v>0</v>
      </c>
      <c r="M764" s="311">
        <v>36963.327272727271</v>
      </c>
      <c r="N764" s="311">
        <v>9798.4909090909096</v>
      </c>
      <c r="O764" s="311">
        <v>6858.9436363636369</v>
      </c>
      <c r="P764" s="68">
        <f t="shared" si="177"/>
        <v>127380.38181818181</v>
      </c>
      <c r="Q764" s="68">
        <f t="shared" si="178"/>
        <v>1019043.0545454544</v>
      </c>
      <c r="R764" s="127">
        <f t="shared" si="179"/>
        <v>1019043.0545454544</v>
      </c>
      <c r="S764" s="30"/>
    </row>
    <row r="765" spans="1:19" s="131" customFormat="1">
      <c r="A765" s="129"/>
      <c r="B765" s="253" t="s">
        <v>802</v>
      </c>
      <c r="C765" s="126" t="s">
        <v>8</v>
      </c>
      <c r="D765" s="352">
        <v>19</v>
      </c>
      <c r="E765" s="130"/>
      <c r="F765" s="352">
        <v>19</v>
      </c>
      <c r="G765" s="26" t="s">
        <v>3158</v>
      </c>
      <c r="H765" s="26"/>
      <c r="I765" s="351" t="s">
        <v>2681</v>
      </c>
      <c r="J765" s="351" t="s">
        <v>2328</v>
      </c>
      <c r="K765" s="311">
        <v>56084.159999999996</v>
      </c>
      <c r="L765" s="311">
        <v>0</v>
      </c>
      <c r="M765" s="311">
        <v>30805.854545454546</v>
      </c>
      <c r="N765" s="311">
        <v>7689.3818181818178</v>
      </c>
      <c r="O765" s="311">
        <v>5382.5672727272731</v>
      </c>
      <c r="P765" s="68">
        <f t="shared" si="177"/>
        <v>99961.963636363638</v>
      </c>
      <c r="Q765" s="68">
        <f t="shared" si="178"/>
        <v>1899277.3090909091</v>
      </c>
      <c r="R765" s="127">
        <f t="shared" si="179"/>
        <v>1899277.3090909091</v>
      </c>
      <c r="S765" s="30"/>
    </row>
    <row r="766" spans="1:19" s="131" customFormat="1">
      <c r="A766" s="129"/>
      <c r="B766" s="253" t="s">
        <v>787</v>
      </c>
      <c r="C766" s="126" t="s">
        <v>8</v>
      </c>
      <c r="D766" s="352">
        <v>22</v>
      </c>
      <c r="E766" s="130"/>
      <c r="F766" s="352">
        <v>22</v>
      </c>
      <c r="G766" s="26" t="s">
        <v>3159</v>
      </c>
      <c r="H766" s="26"/>
      <c r="I766" s="351" t="s">
        <v>2681</v>
      </c>
      <c r="J766" s="351" t="s">
        <v>2328</v>
      </c>
      <c r="K766" s="311">
        <v>33561</v>
      </c>
      <c r="L766" s="311">
        <v>0</v>
      </c>
      <c r="M766" s="311">
        <v>24019.69090909091</v>
      </c>
      <c r="N766" s="311">
        <v>5095.636363636364</v>
      </c>
      <c r="O766" s="311">
        <v>3566.9454545454546</v>
      </c>
      <c r="P766" s="68">
        <f t="shared" si="177"/>
        <v>66243.272727272721</v>
      </c>
      <c r="Q766" s="68">
        <f t="shared" si="178"/>
        <v>1457351.9999999998</v>
      </c>
      <c r="R766" s="127">
        <f t="shared" si="179"/>
        <v>1457351.9999999998</v>
      </c>
      <c r="S766" s="30"/>
    </row>
    <row r="767" spans="1:19">
      <c r="A767" s="123">
        <v>8</v>
      </c>
      <c r="B767" s="254" t="s">
        <v>937</v>
      </c>
      <c r="C767" s="42"/>
      <c r="D767" s="351"/>
      <c r="E767" s="124"/>
      <c r="F767" s="351"/>
      <c r="G767" s="15"/>
      <c r="H767" s="15"/>
      <c r="I767" s="15"/>
      <c r="J767" s="15"/>
      <c r="K767" s="66"/>
      <c r="L767" s="66"/>
      <c r="M767" s="66"/>
      <c r="N767" s="66"/>
      <c r="O767" s="66"/>
      <c r="P767" s="66"/>
      <c r="Q767" s="66"/>
      <c r="R767" s="66"/>
      <c r="S767" s="15"/>
    </row>
    <row r="768" spans="1:19">
      <c r="A768" s="123"/>
      <c r="B768" s="254" t="s">
        <v>783</v>
      </c>
      <c r="C768" s="42" t="s">
        <v>8</v>
      </c>
      <c r="D768" s="351">
        <v>5</v>
      </c>
      <c r="E768" s="124"/>
      <c r="F768" s="351">
        <v>5</v>
      </c>
      <c r="G768" s="351" t="s">
        <v>2890</v>
      </c>
      <c r="H768" s="351"/>
      <c r="I768" s="351" t="s">
        <v>2681</v>
      </c>
      <c r="J768" s="351" t="s">
        <v>2328</v>
      </c>
      <c r="K768" s="311">
        <v>60350.136000000013</v>
      </c>
      <c r="L768" s="311">
        <v>0</v>
      </c>
      <c r="M768" s="311">
        <v>28229.454545454548</v>
      </c>
      <c r="N768" s="311">
        <v>7838.9018181818192</v>
      </c>
      <c r="O768" s="311">
        <v>5487.2312727272738</v>
      </c>
      <c r="P768" s="68">
        <f t="shared" ref="P768:P774" si="180">SUM(K768:O768)</f>
        <v>101905.72363636366</v>
      </c>
      <c r="Q768" s="68">
        <f t="shared" ref="Q768:Q774" si="181">D768*P768</f>
        <v>509528.61818181828</v>
      </c>
      <c r="R768" s="127">
        <f t="shared" ref="R768:R774" si="182">F768*P768</f>
        <v>509528.61818181828</v>
      </c>
      <c r="S768" s="18"/>
    </row>
    <row r="769" spans="1:19">
      <c r="A769" s="123"/>
      <c r="B769" s="254" t="s">
        <v>908</v>
      </c>
      <c r="C769" s="42" t="s">
        <v>8</v>
      </c>
      <c r="D769" s="351">
        <v>4</v>
      </c>
      <c r="E769" s="124"/>
      <c r="F769" s="351">
        <v>4</v>
      </c>
      <c r="G769" s="351" t="s">
        <v>2891</v>
      </c>
      <c r="H769" s="351"/>
      <c r="I769" s="351" t="s">
        <v>2681</v>
      </c>
      <c r="J769" s="351" t="s">
        <v>2328</v>
      </c>
      <c r="K769" s="311">
        <v>61255.040000000008</v>
      </c>
      <c r="L769" s="311">
        <v>0</v>
      </c>
      <c r="M769" s="311">
        <v>28229.454545454548</v>
      </c>
      <c r="N769" s="311">
        <v>7918.9818181818182</v>
      </c>
      <c r="O769" s="311">
        <v>5543.2872727272725</v>
      </c>
      <c r="P769" s="68">
        <f t="shared" si="180"/>
        <v>102946.76363636364</v>
      </c>
      <c r="Q769" s="68">
        <f t="shared" si="181"/>
        <v>411787.05454545456</v>
      </c>
      <c r="R769" s="127">
        <f t="shared" si="182"/>
        <v>411787.05454545456</v>
      </c>
      <c r="S769" s="15"/>
    </row>
    <row r="770" spans="1:19">
      <c r="A770" s="123"/>
      <c r="B770" s="254" t="s">
        <v>785</v>
      </c>
      <c r="C770" s="42" t="s">
        <v>8</v>
      </c>
      <c r="D770" s="351">
        <v>32</v>
      </c>
      <c r="E770" s="124"/>
      <c r="F770" s="351">
        <v>32</v>
      </c>
      <c r="G770" s="351" t="s">
        <v>2892</v>
      </c>
      <c r="H770" s="351"/>
      <c r="I770" s="351" t="s">
        <v>2681</v>
      </c>
      <c r="J770" s="351" t="s">
        <v>2328</v>
      </c>
      <c r="K770" s="311">
        <v>44983.039999999994</v>
      </c>
      <c r="L770" s="311">
        <v>0</v>
      </c>
      <c r="M770" s="311">
        <v>24642.218181818182</v>
      </c>
      <c r="N770" s="311">
        <v>6161.5272727272722</v>
      </c>
      <c r="O770" s="311">
        <v>4313.0690909090908</v>
      </c>
      <c r="P770" s="68">
        <f t="shared" si="180"/>
        <v>80099.854545454538</v>
      </c>
      <c r="Q770" s="68">
        <f t="shared" si="181"/>
        <v>2563195.3454545452</v>
      </c>
      <c r="R770" s="127">
        <f t="shared" si="182"/>
        <v>2563195.3454545452</v>
      </c>
      <c r="S770" s="15"/>
    </row>
    <row r="771" spans="1:19">
      <c r="A771" s="123"/>
      <c r="B771" s="254" t="s">
        <v>786</v>
      </c>
      <c r="C771" s="42" t="s">
        <v>8</v>
      </c>
      <c r="D771" s="351">
        <v>42</v>
      </c>
      <c r="E771" s="124"/>
      <c r="F771" s="351">
        <v>42</v>
      </c>
      <c r="G771" s="351" t="s">
        <v>2893</v>
      </c>
      <c r="H771" s="351"/>
      <c r="I771" s="351" t="s">
        <v>2681</v>
      </c>
      <c r="J771" s="351" t="s">
        <v>2328</v>
      </c>
      <c r="K771" s="311">
        <v>21912.959999999999</v>
      </c>
      <c r="L771" s="311">
        <v>0</v>
      </c>
      <c r="M771" s="311">
        <v>20537.236363636363</v>
      </c>
      <c r="N771" s="311">
        <v>3756.6545454545449</v>
      </c>
      <c r="O771" s="311">
        <v>2629.6581818181817</v>
      </c>
      <c r="P771" s="68">
        <f t="shared" si="180"/>
        <v>48836.509090909087</v>
      </c>
      <c r="Q771" s="68">
        <f t="shared" si="181"/>
        <v>2051133.3818181816</v>
      </c>
      <c r="R771" s="127">
        <f t="shared" si="182"/>
        <v>2051133.3818181816</v>
      </c>
      <c r="S771" s="15"/>
    </row>
    <row r="772" spans="1:19">
      <c r="A772" s="123"/>
      <c r="B772" s="254" t="s">
        <v>787</v>
      </c>
      <c r="C772" s="42" t="s">
        <v>8</v>
      </c>
      <c r="D772" s="351">
        <v>6</v>
      </c>
      <c r="E772" s="124"/>
      <c r="F772" s="351">
        <v>6</v>
      </c>
      <c r="G772" s="351" t="s">
        <v>3013</v>
      </c>
      <c r="H772" s="351"/>
      <c r="I772" s="351" t="s">
        <v>2681</v>
      </c>
      <c r="J772" s="351" t="s">
        <v>2328</v>
      </c>
      <c r="K772" s="311">
        <v>20249.599999999999</v>
      </c>
      <c r="L772" s="311">
        <v>0</v>
      </c>
      <c r="M772" s="311">
        <v>16013.127272727274</v>
      </c>
      <c r="N772" s="311">
        <v>3209.090909090909</v>
      </c>
      <c r="O772" s="311">
        <v>2246.3636363636365</v>
      </c>
      <c r="P772" s="68">
        <f t="shared" si="180"/>
        <v>41718.181818181823</v>
      </c>
      <c r="Q772" s="68">
        <f t="shared" si="181"/>
        <v>250309.09090909094</v>
      </c>
      <c r="R772" s="127">
        <f t="shared" si="182"/>
        <v>250309.09090909094</v>
      </c>
      <c r="S772" s="15"/>
    </row>
    <row r="773" spans="1:19">
      <c r="A773" s="123"/>
      <c r="B773" s="254" t="s">
        <v>915</v>
      </c>
      <c r="C773" s="42" t="s">
        <v>8</v>
      </c>
      <c r="D773" s="351">
        <v>7</v>
      </c>
      <c r="E773" s="124"/>
      <c r="F773" s="351">
        <v>7</v>
      </c>
      <c r="G773" s="351" t="s">
        <v>2993</v>
      </c>
      <c r="H773" s="351"/>
      <c r="I773" s="351" t="s">
        <v>2681</v>
      </c>
      <c r="J773" s="351" t="s">
        <v>2328</v>
      </c>
      <c r="K773" s="311">
        <v>4666.9000000000005</v>
      </c>
      <c r="L773" s="311">
        <v>0</v>
      </c>
      <c r="M773" s="311">
        <v>14299.636363636364</v>
      </c>
      <c r="N773" s="311">
        <v>1678.4545454545457</v>
      </c>
      <c r="O773" s="311">
        <v>1174.9181818181821</v>
      </c>
      <c r="P773" s="68">
        <f t="shared" si="180"/>
        <v>21819.909090909092</v>
      </c>
      <c r="Q773" s="68">
        <f t="shared" si="181"/>
        <v>152739.36363636365</v>
      </c>
      <c r="R773" s="127">
        <f t="shared" si="182"/>
        <v>152739.36363636365</v>
      </c>
      <c r="S773" s="37"/>
    </row>
    <row r="774" spans="1:19">
      <c r="A774" s="123"/>
      <c r="B774" s="254" t="s">
        <v>917</v>
      </c>
      <c r="C774" s="42" t="s">
        <v>8</v>
      </c>
      <c r="D774" s="351">
        <v>13</v>
      </c>
      <c r="E774" s="124"/>
      <c r="F774" s="351">
        <v>13</v>
      </c>
      <c r="G774" s="351" t="s">
        <v>3014</v>
      </c>
      <c r="H774" s="351"/>
      <c r="I774" s="351" t="s">
        <v>2681</v>
      </c>
      <c r="J774" s="351" t="s">
        <v>2328</v>
      </c>
      <c r="K774" s="311">
        <v>2066.7700000000004</v>
      </c>
      <c r="L774" s="311">
        <v>0</v>
      </c>
      <c r="M774" s="311">
        <v>11378.072727272727</v>
      </c>
      <c r="N774" s="311">
        <v>1189.8090909090909</v>
      </c>
      <c r="O774" s="311">
        <v>832.86636363636364</v>
      </c>
      <c r="P774" s="68">
        <f t="shared" si="180"/>
        <v>15467.518181818183</v>
      </c>
      <c r="Q774" s="68">
        <f t="shared" si="181"/>
        <v>201077.73636363639</v>
      </c>
      <c r="R774" s="127">
        <f t="shared" si="182"/>
        <v>201077.73636363639</v>
      </c>
      <c r="S774" s="37"/>
    </row>
    <row r="775" spans="1:19">
      <c r="A775" s="123">
        <v>9</v>
      </c>
      <c r="B775" s="254" t="s">
        <v>979</v>
      </c>
      <c r="C775" s="42"/>
      <c r="D775" s="351"/>
      <c r="E775" s="124"/>
      <c r="F775" s="351"/>
      <c r="G775" s="39"/>
      <c r="H775" s="39"/>
      <c r="I775" s="39"/>
      <c r="J775" s="39"/>
      <c r="K775" s="65"/>
      <c r="L775" s="65"/>
      <c r="M775" s="65"/>
      <c r="N775" s="65"/>
      <c r="O775" s="65"/>
      <c r="P775" s="65"/>
      <c r="Q775" s="65"/>
      <c r="R775" s="65"/>
      <c r="S775" s="39"/>
    </row>
    <row r="776" spans="1:19">
      <c r="A776" s="123"/>
      <c r="B776" s="254" t="s">
        <v>917</v>
      </c>
      <c r="C776" s="42" t="s">
        <v>8</v>
      </c>
      <c r="D776" s="351">
        <v>70</v>
      </c>
      <c r="E776" s="124"/>
      <c r="F776" s="351">
        <v>70</v>
      </c>
      <c r="G776" s="351" t="s">
        <v>3015</v>
      </c>
      <c r="H776" s="351"/>
      <c r="I776" s="351" t="s">
        <v>2681</v>
      </c>
      <c r="J776" s="351" t="s">
        <v>2328</v>
      </c>
      <c r="K776" s="311">
        <v>30265.920000000002</v>
      </c>
      <c r="L776" s="311">
        <v>0</v>
      </c>
      <c r="M776" s="311">
        <v>17067.109090909093</v>
      </c>
      <c r="N776" s="311">
        <v>4188.7636363636366</v>
      </c>
      <c r="O776" s="311">
        <v>2932.1345454545453</v>
      </c>
      <c r="P776" s="68">
        <f>SUM(K776:O776)</f>
        <v>54453.927272727276</v>
      </c>
      <c r="Q776" s="68">
        <f>D776*P776</f>
        <v>3811774.9090909092</v>
      </c>
      <c r="R776" s="127">
        <f>F776*P776</f>
        <v>3811774.9090909092</v>
      </c>
      <c r="S776" s="36"/>
    </row>
    <row r="777" spans="1:19">
      <c r="A777" s="123">
        <v>10</v>
      </c>
      <c r="B777" s="254" t="s">
        <v>980</v>
      </c>
      <c r="C777" s="42"/>
      <c r="D777" s="351"/>
      <c r="E777" s="124"/>
      <c r="F777" s="351"/>
      <c r="G777" s="351"/>
      <c r="H777" s="351"/>
      <c r="I777" s="351"/>
      <c r="J777" s="351"/>
      <c r="K777" s="66"/>
      <c r="L777" s="66"/>
      <c r="M777" s="66"/>
      <c r="N777" s="66"/>
      <c r="O777" s="66"/>
      <c r="P777" s="66"/>
      <c r="Q777" s="66"/>
      <c r="R777" s="66"/>
      <c r="S777" s="15"/>
    </row>
    <row r="778" spans="1:19">
      <c r="A778" s="123"/>
      <c r="B778" s="254" t="s">
        <v>786</v>
      </c>
      <c r="C778" s="42" t="s">
        <v>8</v>
      </c>
      <c r="D778" s="351">
        <v>91</v>
      </c>
      <c r="E778" s="124"/>
      <c r="F778" s="351">
        <v>91</v>
      </c>
      <c r="G778" s="351" t="s">
        <v>3016</v>
      </c>
      <c r="H778" s="351"/>
      <c r="I778" s="351" t="s">
        <v>2681</v>
      </c>
      <c r="J778" s="351" t="s">
        <v>2328</v>
      </c>
      <c r="K778" s="311">
        <v>84903.679999999993</v>
      </c>
      <c r="L778" s="311">
        <v>0</v>
      </c>
      <c r="M778" s="311">
        <v>30805.854545454546</v>
      </c>
      <c r="N778" s="311">
        <v>10239.781818181817</v>
      </c>
      <c r="O778" s="311">
        <v>7167.847272727272</v>
      </c>
      <c r="P778" s="68">
        <f>SUM(K778:O778)</f>
        <v>133117.16363636364</v>
      </c>
      <c r="Q778" s="68">
        <f>D778*P778</f>
        <v>12113661.890909091</v>
      </c>
      <c r="R778" s="127">
        <f>F778*P778</f>
        <v>12113661.890909091</v>
      </c>
      <c r="S778" s="18"/>
    </row>
    <row r="779" spans="1:19">
      <c r="A779" s="123">
        <v>11</v>
      </c>
      <c r="B779" s="254" t="s">
        <v>942</v>
      </c>
      <c r="C779" s="42"/>
      <c r="D779" s="351"/>
      <c r="E779" s="124"/>
      <c r="F779" s="351"/>
      <c r="G779" s="351"/>
      <c r="H779" s="351"/>
      <c r="I779" s="351"/>
      <c r="J779" s="351"/>
      <c r="K779" s="66"/>
      <c r="L779" s="66"/>
      <c r="M779" s="66"/>
      <c r="N779" s="66"/>
      <c r="O779" s="66"/>
      <c r="P779" s="66"/>
      <c r="Q779" s="66"/>
      <c r="R779" s="66"/>
      <c r="S779" s="15"/>
    </row>
    <row r="780" spans="1:19">
      <c r="A780" s="123"/>
      <c r="B780" s="254" t="s">
        <v>783</v>
      </c>
      <c r="C780" s="42" t="s">
        <v>8</v>
      </c>
      <c r="D780" s="351">
        <v>41</v>
      </c>
      <c r="E780" s="124"/>
      <c r="F780" s="351">
        <v>41</v>
      </c>
      <c r="G780" s="351" t="s">
        <v>2904</v>
      </c>
      <c r="H780" s="351"/>
      <c r="I780" s="351" t="s">
        <v>2681</v>
      </c>
      <c r="J780" s="351" t="s">
        <v>2328</v>
      </c>
      <c r="K780" s="311">
        <v>23431.679999999997</v>
      </c>
      <c r="L780" s="311">
        <v>0</v>
      </c>
      <c r="M780" s="311">
        <v>14114.727272727274</v>
      </c>
      <c r="N780" s="311">
        <v>3322.6909090909089</v>
      </c>
      <c r="O780" s="311">
        <v>2325.8836363636365</v>
      </c>
      <c r="P780" s="68">
        <f t="shared" ref="P780:P786" si="183">SUM(K780:O780)</f>
        <v>43194.981818181819</v>
      </c>
      <c r="Q780" s="68">
        <f t="shared" ref="Q780:Q786" si="184">D780*P780</f>
        <v>1770994.2545454546</v>
      </c>
      <c r="R780" s="127">
        <f t="shared" ref="R780:R786" si="185">F780*P780</f>
        <v>1770994.2545454546</v>
      </c>
      <c r="S780" s="15"/>
    </row>
    <row r="781" spans="1:19">
      <c r="A781" s="123"/>
      <c r="B781" s="254" t="s">
        <v>908</v>
      </c>
      <c r="C781" s="42" t="s">
        <v>8</v>
      </c>
      <c r="D781" s="351">
        <v>51</v>
      </c>
      <c r="E781" s="124"/>
      <c r="F781" s="351">
        <v>51</v>
      </c>
      <c r="G781" s="351" t="s">
        <v>2905</v>
      </c>
      <c r="H781" s="351"/>
      <c r="I781" s="351" t="s">
        <v>2681</v>
      </c>
      <c r="J781" s="351" t="s">
        <v>2328</v>
      </c>
      <c r="K781" s="311">
        <v>41728.639999999999</v>
      </c>
      <c r="L781" s="311">
        <v>0</v>
      </c>
      <c r="M781" s="311">
        <v>14114.727272727274</v>
      </c>
      <c r="N781" s="311">
        <v>4941.8909090909083</v>
      </c>
      <c r="O781" s="311">
        <v>3459.3236363636361</v>
      </c>
      <c r="P781" s="68">
        <f t="shared" si="183"/>
        <v>64244.581818181818</v>
      </c>
      <c r="Q781" s="68">
        <f t="shared" si="184"/>
        <v>3276473.6727272728</v>
      </c>
      <c r="R781" s="127">
        <f t="shared" si="185"/>
        <v>3276473.6727272728</v>
      </c>
      <c r="S781" s="15"/>
    </row>
    <row r="782" spans="1:19">
      <c r="A782" s="123"/>
      <c r="B782" s="254" t="s">
        <v>785</v>
      </c>
      <c r="C782" s="42" t="s">
        <v>8</v>
      </c>
      <c r="D782" s="351">
        <v>74</v>
      </c>
      <c r="E782" s="124"/>
      <c r="F782" s="351">
        <v>74</v>
      </c>
      <c r="G782" s="351" t="s">
        <v>2907</v>
      </c>
      <c r="H782" s="351"/>
      <c r="I782" s="351" t="s">
        <v>2681</v>
      </c>
      <c r="J782" s="351" t="s">
        <v>2328</v>
      </c>
      <c r="K782" s="311">
        <v>17573.760000000002</v>
      </c>
      <c r="L782" s="311">
        <v>0</v>
      </c>
      <c r="M782" s="311">
        <v>12321.109090909091</v>
      </c>
      <c r="N782" s="311">
        <v>2645.5636363636363</v>
      </c>
      <c r="O782" s="311">
        <v>1851.8945454545453</v>
      </c>
      <c r="P782" s="68">
        <f t="shared" si="183"/>
        <v>34392.327272727278</v>
      </c>
      <c r="Q782" s="68">
        <f t="shared" si="184"/>
        <v>2545032.2181818187</v>
      </c>
      <c r="R782" s="127">
        <f t="shared" si="185"/>
        <v>2545032.2181818187</v>
      </c>
      <c r="S782" s="15"/>
    </row>
    <row r="783" spans="1:19">
      <c r="A783" s="123"/>
      <c r="B783" s="254" t="s">
        <v>786</v>
      </c>
      <c r="C783" s="42" t="s">
        <v>8</v>
      </c>
      <c r="D783" s="351">
        <v>93</v>
      </c>
      <c r="E783" s="124"/>
      <c r="F783" s="351">
        <v>93</v>
      </c>
      <c r="G783" s="351" t="s">
        <v>2906</v>
      </c>
      <c r="H783" s="351"/>
      <c r="I783" s="351" t="s">
        <v>2681</v>
      </c>
      <c r="J783" s="351" t="s">
        <v>2328</v>
      </c>
      <c r="K783" s="311">
        <v>15476.480000000001</v>
      </c>
      <c r="L783" s="311">
        <v>0</v>
      </c>
      <c r="M783" s="311">
        <v>10268.618181818181</v>
      </c>
      <c r="N783" s="311">
        <v>2278.3272727272729</v>
      </c>
      <c r="O783" s="311">
        <v>1594.8290909090911</v>
      </c>
      <c r="P783" s="68">
        <f t="shared" si="183"/>
        <v>29618.254545454547</v>
      </c>
      <c r="Q783" s="68">
        <f t="shared" si="184"/>
        <v>2754497.6727272728</v>
      </c>
      <c r="R783" s="127">
        <f t="shared" si="185"/>
        <v>2754497.6727272728</v>
      </c>
      <c r="S783" s="37"/>
    </row>
    <row r="784" spans="1:19">
      <c r="A784" s="123"/>
      <c r="B784" s="254" t="s">
        <v>787</v>
      </c>
      <c r="C784" s="42" t="s">
        <v>8</v>
      </c>
      <c r="D784" s="351">
        <v>1</v>
      </c>
      <c r="E784" s="124"/>
      <c r="F784" s="351">
        <v>1</v>
      </c>
      <c r="G784" s="351" t="s">
        <v>3017</v>
      </c>
      <c r="H784" s="351"/>
      <c r="I784" s="351" t="s">
        <v>2681</v>
      </c>
      <c r="J784" s="351" t="s">
        <v>2328</v>
      </c>
      <c r="K784" s="311">
        <v>9112.3200000000015</v>
      </c>
      <c r="L784" s="311">
        <v>0</v>
      </c>
      <c r="M784" s="311">
        <v>8006.5636363636368</v>
      </c>
      <c r="N784" s="311">
        <v>1514.9454545454546</v>
      </c>
      <c r="O784" s="311">
        <v>1060.4618181818182</v>
      </c>
      <c r="P784" s="68">
        <f t="shared" si="183"/>
        <v>19694.290909090909</v>
      </c>
      <c r="Q784" s="68">
        <f t="shared" si="184"/>
        <v>19694.290909090909</v>
      </c>
      <c r="R784" s="127">
        <f t="shared" si="185"/>
        <v>19694.290909090909</v>
      </c>
      <c r="S784" s="39"/>
    </row>
    <row r="785" spans="1:19">
      <c r="A785" s="123"/>
      <c r="B785" s="254" t="s">
        <v>915</v>
      </c>
      <c r="C785" s="42" t="s">
        <v>8</v>
      </c>
      <c r="D785" s="351">
        <v>19</v>
      </c>
      <c r="E785" s="124"/>
      <c r="F785" s="351">
        <v>19</v>
      </c>
      <c r="G785" s="351" t="s">
        <v>3018</v>
      </c>
      <c r="H785" s="351"/>
      <c r="I785" s="351" t="s">
        <v>2681</v>
      </c>
      <c r="J785" s="351" t="s">
        <v>2328</v>
      </c>
      <c r="K785" s="311">
        <v>7015.0400000000009</v>
      </c>
      <c r="L785" s="311">
        <v>0</v>
      </c>
      <c r="M785" s="311">
        <v>7149.818181818182</v>
      </c>
      <c r="N785" s="311">
        <v>1253.5272727272729</v>
      </c>
      <c r="O785" s="311">
        <v>877.46909090909105</v>
      </c>
      <c r="P785" s="68">
        <f t="shared" si="183"/>
        <v>16295.854545454547</v>
      </c>
      <c r="Q785" s="68">
        <f t="shared" si="184"/>
        <v>309621.23636363639</v>
      </c>
      <c r="R785" s="127">
        <f t="shared" si="185"/>
        <v>309621.23636363639</v>
      </c>
      <c r="S785" s="36"/>
    </row>
    <row r="786" spans="1:19">
      <c r="A786" s="123"/>
      <c r="B786" s="254" t="s">
        <v>917</v>
      </c>
      <c r="C786" s="42" t="s">
        <v>8</v>
      </c>
      <c r="D786" s="351">
        <v>95</v>
      </c>
      <c r="E786" s="124"/>
      <c r="F786" s="351">
        <v>95</v>
      </c>
      <c r="G786" s="351" t="s">
        <v>3019</v>
      </c>
      <c r="H786" s="351"/>
      <c r="I786" s="351" t="s">
        <v>2681</v>
      </c>
      <c r="J786" s="351" t="s">
        <v>2328</v>
      </c>
      <c r="K786" s="311">
        <v>1518.7200000000003</v>
      </c>
      <c r="L786" s="311">
        <v>0</v>
      </c>
      <c r="M786" s="311">
        <v>5689.0363636363636</v>
      </c>
      <c r="N786" s="311">
        <v>637.85454545454547</v>
      </c>
      <c r="O786" s="311">
        <v>446.49818181818182</v>
      </c>
      <c r="P786" s="68">
        <f t="shared" si="183"/>
        <v>8292.1090909090908</v>
      </c>
      <c r="Q786" s="68">
        <f t="shared" si="184"/>
        <v>787750.36363636365</v>
      </c>
      <c r="R786" s="127">
        <f t="shared" si="185"/>
        <v>787750.36363636365</v>
      </c>
      <c r="S786" s="15"/>
    </row>
    <row r="787" spans="1:19">
      <c r="A787" s="123">
        <v>12</v>
      </c>
      <c r="B787" s="254" t="s">
        <v>1019</v>
      </c>
      <c r="C787" s="42"/>
      <c r="D787" s="351"/>
      <c r="E787" s="124"/>
      <c r="F787" s="351"/>
      <c r="G787" s="351"/>
      <c r="H787" s="351"/>
      <c r="I787" s="351"/>
      <c r="J787" s="351"/>
      <c r="K787" s="65"/>
      <c r="L787" s="65"/>
      <c r="M787" s="65"/>
      <c r="N787" s="65"/>
      <c r="O787" s="65"/>
      <c r="P787" s="65"/>
      <c r="Q787" s="65"/>
      <c r="R787" s="65"/>
      <c r="S787" s="18"/>
    </row>
    <row r="788" spans="1:19">
      <c r="A788" s="123"/>
      <c r="B788" s="254" t="s">
        <v>783</v>
      </c>
      <c r="C788" s="42" t="s">
        <v>8</v>
      </c>
      <c r="D788" s="351">
        <v>1</v>
      </c>
      <c r="E788" s="124"/>
      <c r="F788" s="351">
        <v>1</v>
      </c>
      <c r="G788" s="351" t="s">
        <v>3020</v>
      </c>
      <c r="H788" s="351"/>
      <c r="I788" s="351" t="s">
        <v>2681</v>
      </c>
      <c r="J788" s="351" t="s">
        <v>2328</v>
      </c>
      <c r="K788" s="311">
        <v>43464.32</v>
      </c>
      <c r="L788" s="311">
        <v>0</v>
      </c>
      <c r="M788" s="311">
        <v>14114.727272727274</v>
      </c>
      <c r="N788" s="311">
        <v>5095.4909090909086</v>
      </c>
      <c r="O788" s="311">
        <v>3566.8436363636361</v>
      </c>
      <c r="P788" s="68">
        <f t="shared" ref="P788:P792" si="186">SUM(K788:O788)</f>
        <v>66241.381818181821</v>
      </c>
      <c r="Q788" s="68">
        <f>D788*P788</f>
        <v>66241.381818181821</v>
      </c>
      <c r="R788" s="127">
        <f>F788*P788</f>
        <v>66241.381818181821</v>
      </c>
      <c r="S788" s="15"/>
    </row>
    <row r="789" spans="1:19">
      <c r="A789" s="123"/>
      <c r="B789" s="254" t="s">
        <v>908</v>
      </c>
      <c r="C789" s="42" t="s">
        <v>8</v>
      </c>
      <c r="D789" s="351">
        <v>13</v>
      </c>
      <c r="E789" s="124"/>
      <c r="F789" s="351">
        <v>13</v>
      </c>
      <c r="G789" s="351" t="s">
        <v>3021</v>
      </c>
      <c r="H789" s="351"/>
      <c r="I789" s="351" t="s">
        <v>2681</v>
      </c>
      <c r="J789" s="351" t="s">
        <v>2328</v>
      </c>
      <c r="K789" s="311">
        <v>48888.320000000007</v>
      </c>
      <c r="L789" s="311">
        <v>0</v>
      </c>
      <c r="M789" s="311">
        <v>14114.727272727274</v>
      </c>
      <c r="N789" s="311">
        <v>5575.4909090909096</v>
      </c>
      <c r="O789" s="311">
        <v>3902.8436363636365</v>
      </c>
      <c r="P789" s="68">
        <f t="shared" si="186"/>
        <v>72481.381818181835</v>
      </c>
      <c r="Q789" s="68">
        <f>D789*P789</f>
        <v>942257.96363636386</v>
      </c>
      <c r="R789" s="127">
        <f>F789*P789</f>
        <v>942257.96363636386</v>
      </c>
      <c r="S789" s="15"/>
    </row>
    <row r="790" spans="1:19">
      <c r="A790" s="123"/>
      <c r="B790" s="254" t="s">
        <v>785</v>
      </c>
      <c r="C790" s="42" t="s">
        <v>8</v>
      </c>
      <c r="D790" s="351">
        <v>20</v>
      </c>
      <c r="E790" s="124"/>
      <c r="F790" s="351">
        <v>20</v>
      </c>
      <c r="G790" s="351" t="s">
        <v>3022</v>
      </c>
      <c r="H790" s="351"/>
      <c r="I790" s="351" t="s">
        <v>2681</v>
      </c>
      <c r="J790" s="351" t="s">
        <v>2328</v>
      </c>
      <c r="K790" s="311">
        <v>22853.119999999999</v>
      </c>
      <c r="L790" s="311">
        <v>0</v>
      </c>
      <c r="M790" s="311">
        <v>12321.109090909091</v>
      </c>
      <c r="N790" s="311">
        <v>3112.7636363636361</v>
      </c>
      <c r="O790" s="311">
        <v>2178.9345454545455</v>
      </c>
      <c r="P790" s="68">
        <f t="shared" si="186"/>
        <v>40465.927272727269</v>
      </c>
      <c r="Q790" s="68">
        <f>D790*P790</f>
        <v>809318.54545454541</v>
      </c>
      <c r="R790" s="127">
        <f>F790*P790</f>
        <v>809318.54545454541</v>
      </c>
      <c r="S790" s="15"/>
    </row>
    <row r="791" spans="1:19">
      <c r="A791" s="123"/>
      <c r="B791" s="254" t="s">
        <v>786</v>
      </c>
      <c r="C791" s="42" t="s">
        <v>8</v>
      </c>
      <c r="D791" s="351">
        <v>36</v>
      </c>
      <c r="E791" s="124"/>
      <c r="F791" s="351">
        <v>36</v>
      </c>
      <c r="G791" s="351" t="s">
        <v>3023</v>
      </c>
      <c r="H791" s="351"/>
      <c r="I791" s="351" t="s">
        <v>2681</v>
      </c>
      <c r="J791" s="351" t="s">
        <v>2328</v>
      </c>
      <c r="K791" s="311">
        <v>17212.160000000003</v>
      </c>
      <c r="L791" s="311">
        <v>0</v>
      </c>
      <c r="M791" s="311">
        <v>10268.618181818181</v>
      </c>
      <c r="N791" s="311">
        <v>2431.9272727272728</v>
      </c>
      <c r="O791" s="311">
        <v>1702.349090909091</v>
      </c>
      <c r="P791" s="68">
        <f t="shared" si="186"/>
        <v>31615.054545454546</v>
      </c>
      <c r="Q791" s="68">
        <f>D791*P791</f>
        <v>1138141.9636363636</v>
      </c>
      <c r="R791" s="127">
        <f>F791*P791</f>
        <v>1138141.9636363636</v>
      </c>
      <c r="S791" s="26"/>
    </row>
    <row r="792" spans="1:19">
      <c r="A792" s="123"/>
      <c r="B792" s="254" t="s">
        <v>787</v>
      </c>
      <c r="C792" s="42" t="s">
        <v>8</v>
      </c>
      <c r="D792" s="351">
        <v>14</v>
      </c>
      <c r="E792" s="124"/>
      <c r="F792" s="351">
        <v>14</v>
      </c>
      <c r="G792" s="351" t="s">
        <v>3024</v>
      </c>
      <c r="H792" s="351"/>
      <c r="I792" s="351" t="s">
        <v>2681</v>
      </c>
      <c r="J792" s="351" t="s">
        <v>2328</v>
      </c>
      <c r="K792" s="311">
        <v>11788.16</v>
      </c>
      <c r="L792" s="311">
        <v>0</v>
      </c>
      <c r="M792" s="311">
        <v>8006.5636363636368</v>
      </c>
      <c r="N792" s="311">
        <v>1751.7454545454545</v>
      </c>
      <c r="O792" s="311">
        <v>1226.2218181818182</v>
      </c>
      <c r="P792" s="68">
        <f t="shared" si="186"/>
        <v>22772.690909090907</v>
      </c>
      <c r="Q792" s="68">
        <f>D792*P792</f>
        <v>318817.67272727267</v>
      </c>
      <c r="R792" s="127">
        <f>F792*P792</f>
        <v>318817.67272727267</v>
      </c>
      <c r="S792" s="40"/>
    </row>
    <row r="793" spans="1:19">
      <c r="A793" s="123">
        <v>13</v>
      </c>
      <c r="B793" s="254" t="s">
        <v>1010</v>
      </c>
      <c r="C793" s="42"/>
      <c r="D793" s="351"/>
      <c r="E793" s="124"/>
      <c r="F793" s="351"/>
      <c r="G793" s="40"/>
      <c r="H793" s="40"/>
      <c r="I793" s="40"/>
      <c r="J793" s="40"/>
      <c r="K793" s="66"/>
      <c r="L793" s="66"/>
      <c r="M793" s="66"/>
      <c r="N793" s="66"/>
      <c r="O793" s="66"/>
      <c r="P793" s="66"/>
      <c r="Q793" s="66"/>
      <c r="R793" s="66"/>
      <c r="S793" s="40"/>
    </row>
    <row r="794" spans="1:19">
      <c r="A794" s="123"/>
      <c r="B794" s="254" t="s">
        <v>1011</v>
      </c>
      <c r="C794" s="42" t="s">
        <v>78</v>
      </c>
      <c r="D794" s="351">
        <v>1</v>
      </c>
      <c r="E794" s="124"/>
      <c r="F794" s="351">
        <v>1</v>
      </c>
      <c r="G794" s="15"/>
      <c r="H794" s="15"/>
      <c r="I794" s="15"/>
      <c r="J794" s="15" t="s">
        <v>2381</v>
      </c>
      <c r="K794" s="311">
        <v>26938754.430260006</v>
      </c>
      <c r="L794" s="311">
        <v>0</v>
      </c>
      <c r="M794" s="311">
        <v>14359644.738680732</v>
      </c>
      <c r="N794" s="311">
        <v>3499864.3363509099</v>
      </c>
      <c r="O794" s="311">
        <v>2449905.0354456371</v>
      </c>
      <c r="P794" s="68">
        <f t="shared" ref="P794:P800" si="187">SUM(K794:O794)</f>
        <v>47248168.540737286</v>
      </c>
      <c r="Q794" s="68">
        <f t="shared" ref="Q794:Q800" si="188">D794*P794</f>
        <v>47248168.540737286</v>
      </c>
      <c r="R794" s="127">
        <f t="shared" ref="R794:R800" si="189">F794*P794</f>
        <v>47248168.540737286</v>
      </c>
      <c r="S794" s="15"/>
    </row>
    <row r="795" spans="1:19" s="131" customFormat="1">
      <c r="A795" s="129"/>
      <c r="B795" s="253" t="s">
        <v>2307</v>
      </c>
      <c r="C795" s="126" t="s">
        <v>8</v>
      </c>
      <c r="D795" s="352">
        <v>74</v>
      </c>
      <c r="E795" s="130"/>
      <c r="F795" s="352">
        <v>74</v>
      </c>
      <c r="G795" s="26"/>
      <c r="H795" s="26"/>
      <c r="I795" s="26"/>
      <c r="J795" s="15" t="s">
        <v>2381</v>
      </c>
      <c r="K795" s="311">
        <v>107802</v>
      </c>
      <c r="L795" s="311">
        <v>0</v>
      </c>
      <c r="M795" s="311">
        <v>87836.237360215397</v>
      </c>
      <c r="N795" s="311">
        <v>17313.11835046154</v>
      </c>
      <c r="O795" s="311">
        <v>12119.182845323077</v>
      </c>
      <c r="P795" s="68">
        <f t="shared" si="187"/>
        <v>225070.53855600001</v>
      </c>
      <c r="Q795" s="68">
        <f t="shared" si="188"/>
        <v>16655219.853144001</v>
      </c>
      <c r="R795" s="127">
        <f t="shared" si="189"/>
        <v>16655219.853144001</v>
      </c>
      <c r="S795" s="30"/>
    </row>
    <row r="796" spans="1:19" s="131" customFormat="1">
      <c r="A796" s="129"/>
      <c r="B796" s="253" t="s">
        <v>2308</v>
      </c>
      <c r="C796" s="126" t="s">
        <v>8</v>
      </c>
      <c r="D796" s="352">
        <v>98</v>
      </c>
      <c r="E796" s="130"/>
      <c r="F796" s="352">
        <v>98</v>
      </c>
      <c r="G796" s="26"/>
      <c r="H796" s="26"/>
      <c r="I796" s="26"/>
      <c r="J796" s="15" t="s">
        <v>2381</v>
      </c>
      <c r="K796" s="311">
        <v>82207.500000000015</v>
      </c>
      <c r="L796" s="311">
        <v>0</v>
      </c>
      <c r="M796" s="311">
        <v>87836.237360215397</v>
      </c>
      <c r="N796" s="311">
        <v>15048.11835046154</v>
      </c>
      <c r="O796" s="311">
        <v>10533.682845323077</v>
      </c>
      <c r="P796" s="68">
        <f t="shared" si="187"/>
        <v>195625.53855600001</v>
      </c>
      <c r="Q796" s="68">
        <f t="shared" si="188"/>
        <v>19171302.778488003</v>
      </c>
      <c r="R796" s="127">
        <f t="shared" si="189"/>
        <v>19171302.778488003</v>
      </c>
      <c r="S796" s="30"/>
    </row>
    <row r="797" spans="1:19" s="131" customFormat="1">
      <c r="A797" s="291"/>
      <c r="B797" s="253" t="s">
        <v>2309</v>
      </c>
      <c r="C797" s="126" t="s">
        <v>8</v>
      </c>
      <c r="D797" s="352">
        <v>95</v>
      </c>
      <c r="E797" s="130"/>
      <c r="F797" s="352">
        <v>95</v>
      </c>
      <c r="G797" s="26"/>
      <c r="H797" s="26"/>
      <c r="I797" s="26"/>
      <c r="J797" s="15" t="s">
        <v>2381</v>
      </c>
      <c r="K797" s="311">
        <v>45030.500000000007</v>
      </c>
      <c r="L797" s="311">
        <v>0</v>
      </c>
      <c r="M797" s="311">
        <v>49511.5467756</v>
      </c>
      <c r="N797" s="311">
        <v>8366.5528119999999</v>
      </c>
      <c r="O797" s="311">
        <v>5856.5869684000008</v>
      </c>
      <c r="P797" s="68">
        <f t="shared" si="187"/>
        <v>108765.186556</v>
      </c>
      <c r="Q797" s="68">
        <f t="shared" si="188"/>
        <v>10332692.722820001</v>
      </c>
      <c r="R797" s="127">
        <f t="shared" si="189"/>
        <v>10332692.722820001</v>
      </c>
      <c r="S797" s="30"/>
    </row>
    <row r="798" spans="1:19" s="131" customFormat="1">
      <c r="A798" s="291"/>
      <c r="B798" s="253" t="s">
        <v>2301</v>
      </c>
      <c r="C798" s="126" t="s">
        <v>8</v>
      </c>
      <c r="D798" s="352">
        <v>74</v>
      </c>
      <c r="E798" s="130"/>
      <c r="F798" s="352">
        <v>74</v>
      </c>
      <c r="G798" s="26"/>
      <c r="H798" s="26"/>
      <c r="I798" s="26"/>
      <c r="J798" s="15" t="s">
        <v>2381</v>
      </c>
      <c r="K798" s="311">
        <v>84750.000000000015</v>
      </c>
      <c r="L798" s="311">
        <v>0</v>
      </c>
      <c r="M798" s="311">
        <v>75130.875000000015</v>
      </c>
      <c r="N798" s="311">
        <v>14148.75</v>
      </c>
      <c r="O798" s="311">
        <v>9904.1250000000018</v>
      </c>
      <c r="P798" s="68">
        <f t="shared" si="187"/>
        <v>183933.75000000003</v>
      </c>
      <c r="Q798" s="68">
        <f t="shared" si="188"/>
        <v>13611097.500000002</v>
      </c>
      <c r="R798" s="127">
        <f t="shared" si="189"/>
        <v>13611097.500000002</v>
      </c>
      <c r="S798" s="30"/>
    </row>
    <row r="799" spans="1:19" s="131" customFormat="1">
      <c r="A799" s="291"/>
      <c r="B799" s="253" t="s">
        <v>2302</v>
      </c>
      <c r="C799" s="126" t="s">
        <v>8</v>
      </c>
      <c r="D799" s="352">
        <v>98</v>
      </c>
      <c r="E799" s="130"/>
      <c r="F799" s="352">
        <v>98</v>
      </c>
      <c r="G799" s="26"/>
      <c r="H799" s="26"/>
      <c r="I799" s="26"/>
      <c r="J799" s="15" t="s">
        <v>2381</v>
      </c>
      <c r="K799" s="311">
        <v>79100.000000000015</v>
      </c>
      <c r="L799" s="311">
        <v>0</v>
      </c>
      <c r="M799" s="311">
        <v>53637.333333333343</v>
      </c>
      <c r="N799" s="311">
        <v>11746.666666666668</v>
      </c>
      <c r="O799" s="311">
        <v>8222.6666666666679</v>
      </c>
      <c r="P799" s="68">
        <f t="shared" si="187"/>
        <v>152706.66666666669</v>
      </c>
      <c r="Q799" s="68">
        <f t="shared" si="188"/>
        <v>14965253.333333336</v>
      </c>
      <c r="R799" s="127">
        <f t="shared" si="189"/>
        <v>14965253.333333336</v>
      </c>
      <c r="S799" s="30"/>
    </row>
    <row r="800" spans="1:19" s="131" customFormat="1">
      <c r="A800" s="291"/>
      <c r="B800" s="253" t="s">
        <v>2305</v>
      </c>
      <c r="C800" s="126" t="s">
        <v>8</v>
      </c>
      <c r="D800" s="352">
        <v>95</v>
      </c>
      <c r="E800" s="130"/>
      <c r="F800" s="352">
        <v>95</v>
      </c>
      <c r="G800" s="26"/>
      <c r="H800" s="26"/>
      <c r="I800" s="26"/>
      <c r="J800" s="15" t="s">
        <v>2381</v>
      </c>
      <c r="K800" s="311">
        <v>70625</v>
      </c>
      <c r="L800" s="311">
        <v>0</v>
      </c>
      <c r="M800" s="311">
        <v>41158.366666666676</v>
      </c>
      <c r="N800" s="311">
        <v>9892.3333333333358</v>
      </c>
      <c r="O800" s="311">
        <v>6924.633333333335</v>
      </c>
      <c r="P800" s="68">
        <f t="shared" si="187"/>
        <v>128600.33333333334</v>
      </c>
      <c r="Q800" s="68">
        <f t="shared" si="188"/>
        <v>12217031.666666668</v>
      </c>
      <c r="R800" s="127">
        <f t="shared" si="189"/>
        <v>12217031.666666668</v>
      </c>
      <c r="S800" s="30"/>
    </row>
    <row r="801" spans="1:19">
      <c r="A801" s="119" t="s">
        <v>1798</v>
      </c>
      <c r="B801" s="1" t="s">
        <v>984</v>
      </c>
      <c r="C801" s="42"/>
      <c r="D801" s="351"/>
      <c r="E801" s="124"/>
      <c r="F801" s="351"/>
      <c r="G801" s="36"/>
      <c r="H801" s="36"/>
      <c r="I801" s="36"/>
      <c r="J801" s="36"/>
      <c r="K801" s="65"/>
      <c r="L801" s="65"/>
      <c r="M801" s="65"/>
      <c r="N801" s="65"/>
      <c r="O801" s="65"/>
      <c r="P801" s="65"/>
      <c r="Q801" s="65"/>
      <c r="R801" s="65"/>
      <c r="S801" s="36"/>
    </row>
    <row r="802" spans="1:19" ht="30">
      <c r="A802" s="123"/>
      <c r="B802" s="254" t="s">
        <v>985</v>
      </c>
      <c r="C802" s="42" t="s">
        <v>17</v>
      </c>
      <c r="D802" s="351">
        <v>19</v>
      </c>
      <c r="E802" s="697" t="s">
        <v>1020</v>
      </c>
      <c r="F802" s="351">
        <v>19</v>
      </c>
      <c r="G802" s="37"/>
      <c r="H802" s="37"/>
      <c r="I802" s="37"/>
      <c r="J802" s="530" t="s">
        <v>3197</v>
      </c>
      <c r="K802" s="311">
        <v>0</v>
      </c>
      <c r="L802" s="311">
        <v>0</v>
      </c>
      <c r="M802" s="311">
        <v>166600</v>
      </c>
      <c r="N802" s="311">
        <v>149940</v>
      </c>
      <c r="O802" s="311">
        <v>99960</v>
      </c>
      <c r="P802" s="68">
        <f t="shared" ref="P802:P806" si="190">SUM(K802:O802)</f>
        <v>416500</v>
      </c>
      <c r="Q802" s="68">
        <f t="shared" ref="Q802:Q813" si="191">D802*P802</f>
        <v>7913500</v>
      </c>
      <c r="R802" s="127">
        <f t="shared" ref="R802:R813" si="192">F802*P802</f>
        <v>7913500</v>
      </c>
      <c r="S802" s="37"/>
    </row>
    <row r="803" spans="1:19" ht="30">
      <c r="A803" s="123"/>
      <c r="B803" s="254" t="s">
        <v>1021</v>
      </c>
      <c r="C803" s="42" t="s">
        <v>17</v>
      </c>
      <c r="D803" s="351">
        <v>74</v>
      </c>
      <c r="E803" s="698"/>
      <c r="F803" s="351">
        <v>74</v>
      </c>
      <c r="G803" s="37"/>
      <c r="H803" s="37"/>
      <c r="I803" s="37"/>
      <c r="J803" s="530" t="s">
        <v>3197</v>
      </c>
      <c r="K803" s="311">
        <v>0</v>
      </c>
      <c r="L803" s="311">
        <v>0</v>
      </c>
      <c r="M803" s="311">
        <v>399720</v>
      </c>
      <c r="N803" s="311">
        <v>359748</v>
      </c>
      <c r="O803" s="311">
        <v>239832</v>
      </c>
      <c r="P803" s="68">
        <f t="shared" si="190"/>
        <v>999300</v>
      </c>
      <c r="Q803" s="68">
        <f t="shared" si="191"/>
        <v>73948200</v>
      </c>
      <c r="R803" s="127">
        <f t="shared" si="192"/>
        <v>73948200</v>
      </c>
      <c r="S803" s="37"/>
    </row>
    <row r="804" spans="1:19" ht="30">
      <c r="A804" s="123"/>
      <c r="B804" s="254" t="s">
        <v>1022</v>
      </c>
      <c r="C804" s="42" t="s">
        <v>17</v>
      </c>
      <c r="D804" s="351">
        <v>70</v>
      </c>
      <c r="E804" s="698"/>
      <c r="F804" s="351">
        <v>70</v>
      </c>
      <c r="G804" s="37"/>
      <c r="H804" s="37"/>
      <c r="I804" s="37"/>
      <c r="J804" s="530" t="s">
        <v>3197</v>
      </c>
      <c r="K804" s="311">
        <v>0</v>
      </c>
      <c r="L804" s="311">
        <v>0</v>
      </c>
      <c r="M804" s="311">
        <v>299850</v>
      </c>
      <c r="N804" s="311">
        <v>269865</v>
      </c>
      <c r="O804" s="311">
        <v>179910</v>
      </c>
      <c r="P804" s="68">
        <f t="shared" si="190"/>
        <v>749625</v>
      </c>
      <c r="Q804" s="68">
        <f t="shared" si="191"/>
        <v>52473750</v>
      </c>
      <c r="R804" s="127">
        <f t="shared" si="192"/>
        <v>52473750</v>
      </c>
      <c r="S804" s="37"/>
    </row>
    <row r="805" spans="1:19" ht="30">
      <c r="A805" s="123"/>
      <c r="B805" s="254" t="s">
        <v>1023</v>
      </c>
      <c r="C805" s="42" t="s">
        <v>8</v>
      </c>
      <c r="D805" s="351">
        <v>25</v>
      </c>
      <c r="E805" s="698"/>
      <c r="F805" s="351">
        <v>25</v>
      </c>
      <c r="G805" s="37"/>
      <c r="H805" s="37"/>
      <c r="I805" s="37"/>
      <c r="J805" s="530" t="s">
        <v>3197</v>
      </c>
      <c r="K805" s="311">
        <v>0</v>
      </c>
      <c r="L805" s="311">
        <v>0</v>
      </c>
      <c r="M805" s="311">
        <v>399720</v>
      </c>
      <c r="N805" s="311">
        <v>359748</v>
      </c>
      <c r="O805" s="311">
        <v>239832</v>
      </c>
      <c r="P805" s="68">
        <f t="shared" si="190"/>
        <v>999300</v>
      </c>
      <c r="Q805" s="68">
        <f t="shared" si="191"/>
        <v>24982500</v>
      </c>
      <c r="R805" s="127">
        <f t="shared" si="192"/>
        <v>24982500</v>
      </c>
      <c r="S805" s="37"/>
    </row>
    <row r="806" spans="1:19" ht="30">
      <c r="A806" s="123"/>
      <c r="B806" s="254" t="s">
        <v>1024</v>
      </c>
      <c r="C806" s="42" t="s">
        <v>8</v>
      </c>
      <c r="D806" s="351">
        <v>93</v>
      </c>
      <c r="E806" s="698"/>
      <c r="F806" s="351">
        <v>93</v>
      </c>
      <c r="G806" s="37"/>
      <c r="H806" s="37"/>
      <c r="I806" s="37"/>
      <c r="J806" s="530" t="s">
        <v>3197</v>
      </c>
      <c r="K806" s="311">
        <v>0</v>
      </c>
      <c r="L806" s="311">
        <v>0</v>
      </c>
      <c r="M806" s="311">
        <v>83981.818181818177</v>
      </c>
      <c r="N806" s="311">
        <v>75583.636363636368</v>
      </c>
      <c r="O806" s="311">
        <v>50389.090909090904</v>
      </c>
      <c r="P806" s="68">
        <f t="shared" si="190"/>
        <v>209954.54545454544</v>
      </c>
      <c r="Q806" s="68">
        <f t="shared" si="191"/>
        <v>19525772.727272727</v>
      </c>
      <c r="R806" s="127">
        <f t="shared" si="192"/>
        <v>19525772.727272727</v>
      </c>
      <c r="S806" s="37"/>
    </row>
    <row r="807" spans="1:19" ht="135">
      <c r="A807" s="123"/>
      <c r="B807" s="254" t="s">
        <v>1025</v>
      </c>
      <c r="C807" s="42" t="s">
        <v>17</v>
      </c>
      <c r="D807" s="351">
        <v>6</v>
      </c>
      <c r="E807" s="698"/>
      <c r="F807" s="351">
        <v>6</v>
      </c>
      <c r="G807" s="351" t="s">
        <v>2954</v>
      </c>
      <c r="H807" s="351" t="s">
        <v>2952</v>
      </c>
      <c r="I807" s="351" t="s">
        <v>2951</v>
      </c>
      <c r="J807" s="351" t="s">
        <v>2381</v>
      </c>
      <c r="K807" s="311">
        <v>2651220</v>
      </c>
      <c r="L807" s="311">
        <v>236250.00000000003</v>
      </c>
      <c r="M807" s="311">
        <v>326683.00000000006</v>
      </c>
      <c r="N807" s="311">
        <v>286310</v>
      </c>
      <c r="O807" s="311">
        <v>200417.00000000003</v>
      </c>
      <c r="P807" s="68">
        <f>SUM(K807:O807)</f>
        <v>3700880</v>
      </c>
      <c r="Q807" s="68">
        <f t="shared" si="191"/>
        <v>22205280</v>
      </c>
      <c r="R807" s="127">
        <f t="shared" si="192"/>
        <v>22205280</v>
      </c>
      <c r="S807" s="37"/>
    </row>
    <row r="808" spans="1:19" s="131" customFormat="1" ht="30">
      <c r="A808" s="129"/>
      <c r="B808" s="253" t="s">
        <v>1970</v>
      </c>
      <c r="C808" s="126" t="s">
        <v>8</v>
      </c>
      <c r="D808" s="352">
        <v>14</v>
      </c>
      <c r="E808" s="698"/>
      <c r="F808" s="352">
        <v>14</v>
      </c>
      <c r="G808" s="26"/>
      <c r="H808" s="26"/>
      <c r="I808" s="26"/>
      <c r="J808" s="530" t="s">
        <v>3197</v>
      </c>
      <c r="K808" s="311">
        <v>0</v>
      </c>
      <c r="L808" s="311">
        <v>0</v>
      </c>
      <c r="M808" s="311">
        <v>75000</v>
      </c>
      <c r="N808" s="311">
        <v>67500</v>
      </c>
      <c r="O808" s="311">
        <v>45000</v>
      </c>
      <c r="P808" s="68">
        <f t="shared" ref="P808:P813" si="193">SUM(K808:O808)</f>
        <v>187500</v>
      </c>
      <c r="Q808" s="68">
        <f t="shared" si="191"/>
        <v>2625000</v>
      </c>
      <c r="R808" s="127">
        <f t="shared" si="192"/>
        <v>2625000</v>
      </c>
      <c r="S808" s="30"/>
    </row>
    <row r="809" spans="1:19" s="131" customFormat="1" ht="30">
      <c r="A809" s="129"/>
      <c r="B809" s="253" t="s">
        <v>1954</v>
      </c>
      <c r="C809" s="126" t="s">
        <v>8</v>
      </c>
      <c r="D809" s="352">
        <v>62</v>
      </c>
      <c r="E809" s="698"/>
      <c r="F809" s="352">
        <v>62</v>
      </c>
      <c r="G809" s="26"/>
      <c r="H809" s="26"/>
      <c r="I809" s="26"/>
      <c r="J809" s="530" t="s">
        <v>3197</v>
      </c>
      <c r="K809" s="311">
        <v>0</v>
      </c>
      <c r="L809" s="311">
        <v>0</v>
      </c>
      <c r="M809" s="311">
        <v>131250</v>
      </c>
      <c r="N809" s="311">
        <v>118125</v>
      </c>
      <c r="O809" s="311">
        <v>78750</v>
      </c>
      <c r="P809" s="68">
        <f t="shared" si="193"/>
        <v>328125</v>
      </c>
      <c r="Q809" s="68">
        <f t="shared" si="191"/>
        <v>20343750</v>
      </c>
      <c r="R809" s="127">
        <f t="shared" si="192"/>
        <v>20343750</v>
      </c>
      <c r="S809" s="30"/>
    </row>
    <row r="810" spans="1:19" s="131" customFormat="1" ht="30">
      <c r="A810" s="129"/>
      <c r="B810" s="253" t="s">
        <v>1971</v>
      </c>
      <c r="C810" s="126" t="s">
        <v>8</v>
      </c>
      <c r="D810" s="352">
        <v>10</v>
      </c>
      <c r="E810" s="698"/>
      <c r="F810" s="352">
        <v>10</v>
      </c>
      <c r="G810" s="26"/>
      <c r="H810" s="26"/>
      <c r="I810" s="26"/>
      <c r="J810" s="530" t="s">
        <v>3197</v>
      </c>
      <c r="K810" s="311">
        <v>0</v>
      </c>
      <c r="L810" s="311">
        <v>0</v>
      </c>
      <c r="M810" s="311">
        <v>64125</v>
      </c>
      <c r="N810" s="311">
        <v>57712.5</v>
      </c>
      <c r="O810" s="311">
        <v>38475</v>
      </c>
      <c r="P810" s="68">
        <f t="shared" si="193"/>
        <v>160312.5</v>
      </c>
      <c r="Q810" s="68">
        <f t="shared" si="191"/>
        <v>1603125</v>
      </c>
      <c r="R810" s="127">
        <f t="shared" si="192"/>
        <v>1603125</v>
      </c>
      <c r="S810" s="30"/>
    </row>
    <row r="811" spans="1:19" s="131" customFormat="1" ht="30">
      <c r="A811" s="129"/>
      <c r="B811" s="253" t="s">
        <v>1955</v>
      </c>
      <c r="C811" s="126" t="s">
        <v>8</v>
      </c>
      <c r="D811" s="352">
        <v>74</v>
      </c>
      <c r="E811" s="698"/>
      <c r="F811" s="352">
        <v>74</v>
      </c>
      <c r="G811" s="329"/>
      <c r="H811" s="329"/>
      <c r="I811" s="329"/>
      <c r="J811" s="530" t="s">
        <v>3197</v>
      </c>
      <c r="K811" s="311">
        <v>0</v>
      </c>
      <c r="L811" s="311">
        <v>0</v>
      </c>
      <c r="M811" s="311">
        <v>42750</v>
      </c>
      <c r="N811" s="311">
        <v>38475</v>
      </c>
      <c r="O811" s="311">
        <v>25650</v>
      </c>
      <c r="P811" s="68">
        <f t="shared" si="193"/>
        <v>106875</v>
      </c>
      <c r="Q811" s="68">
        <f t="shared" si="191"/>
        <v>7908750</v>
      </c>
      <c r="R811" s="127">
        <f t="shared" si="192"/>
        <v>7908750</v>
      </c>
      <c r="S811" s="522"/>
    </row>
    <row r="812" spans="1:19" s="131" customFormat="1" ht="30">
      <c r="A812" s="129"/>
      <c r="B812" s="253" t="s">
        <v>1956</v>
      </c>
      <c r="C812" s="126" t="s">
        <v>8</v>
      </c>
      <c r="D812" s="352">
        <v>40</v>
      </c>
      <c r="E812" s="698"/>
      <c r="F812" s="352">
        <v>40</v>
      </c>
      <c r="G812" s="36"/>
      <c r="H812" s="36"/>
      <c r="I812" s="36"/>
      <c r="J812" s="530" t="s">
        <v>3197</v>
      </c>
      <c r="K812" s="311">
        <v>0</v>
      </c>
      <c r="L812" s="311">
        <v>0</v>
      </c>
      <c r="M812" s="311">
        <v>42750</v>
      </c>
      <c r="N812" s="311">
        <v>38475</v>
      </c>
      <c r="O812" s="311">
        <v>25650</v>
      </c>
      <c r="P812" s="68">
        <f t="shared" si="193"/>
        <v>106875</v>
      </c>
      <c r="Q812" s="68">
        <f t="shared" si="191"/>
        <v>4275000</v>
      </c>
      <c r="R812" s="127">
        <f t="shared" si="192"/>
        <v>4275000</v>
      </c>
      <c r="S812" s="202"/>
    </row>
    <row r="813" spans="1:19" s="131" customFormat="1" ht="30">
      <c r="A813" s="516"/>
      <c r="B813" s="517" t="s">
        <v>1957</v>
      </c>
      <c r="C813" s="295" t="s">
        <v>8</v>
      </c>
      <c r="D813" s="518">
        <v>19</v>
      </c>
      <c r="E813" s="698"/>
      <c r="F813" s="518">
        <v>19</v>
      </c>
      <c r="G813" s="529"/>
      <c r="H813" s="529"/>
      <c r="I813" s="529"/>
      <c r="J813" s="530" t="s">
        <v>3197</v>
      </c>
      <c r="K813" s="311">
        <v>0</v>
      </c>
      <c r="L813" s="311">
        <v>0</v>
      </c>
      <c r="M813" s="311">
        <v>42750</v>
      </c>
      <c r="N813" s="311">
        <v>38475</v>
      </c>
      <c r="O813" s="311">
        <v>25650</v>
      </c>
      <c r="P813" s="68">
        <f t="shared" si="193"/>
        <v>106875</v>
      </c>
      <c r="Q813" s="68">
        <f t="shared" si="191"/>
        <v>2030625</v>
      </c>
      <c r="R813" s="127">
        <f t="shared" si="192"/>
        <v>2030625</v>
      </c>
      <c r="S813" s="519"/>
    </row>
    <row r="814" spans="1:19" s="531" customFormat="1" ht="14.25">
      <c r="A814" s="606" t="s">
        <v>1124</v>
      </c>
      <c r="B814" s="607" t="s">
        <v>1882</v>
      </c>
      <c r="C814" s="608"/>
      <c r="D814" s="606"/>
      <c r="E814" s="609"/>
      <c r="F814" s="606"/>
      <c r="G814" s="606"/>
      <c r="H814" s="606"/>
      <c r="I814" s="606"/>
      <c r="J814" s="606"/>
      <c r="K814" s="606"/>
      <c r="L814" s="606"/>
      <c r="M814" s="606"/>
      <c r="N814" s="606"/>
      <c r="O814" s="606"/>
      <c r="P814" s="606"/>
      <c r="Q814" s="606">
        <f>SUBTOTAL(9,Q815:Q843)</f>
        <v>0</v>
      </c>
      <c r="R814" s="606">
        <f>SUBTOTAL(9,R815:R843)</f>
        <v>55735678.389772713</v>
      </c>
      <c r="S814" s="606"/>
    </row>
    <row r="815" spans="1:19" s="97" customFormat="1">
      <c r="A815" s="610" t="s">
        <v>2219</v>
      </c>
      <c r="B815" s="611" t="s">
        <v>3361</v>
      </c>
      <c r="C815" s="610"/>
      <c r="D815" s="361"/>
      <c r="E815" s="105"/>
      <c r="F815" s="327"/>
      <c r="G815" s="327"/>
      <c r="H815" s="327"/>
      <c r="I815" s="327"/>
      <c r="J815" s="327"/>
      <c r="K815" s="66"/>
      <c r="L815" s="66"/>
      <c r="M815" s="66"/>
      <c r="N815" s="66"/>
      <c r="O815" s="66"/>
      <c r="P815" s="66"/>
      <c r="Q815" s="66"/>
      <c r="R815" s="66"/>
      <c r="S815" s="26"/>
    </row>
    <row r="816" spans="1:19" s="97" customFormat="1">
      <c r="A816" s="610" t="s">
        <v>113</v>
      </c>
      <c r="B816" s="611" t="s">
        <v>775</v>
      </c>
      <c r="C816" s="599"/>
      <c r="D816" s="361"/>
      <c r="E816" s="105"/>
      <c r="F816" s="327"/>
      <c r="G816" s="327"/>
      <c r="H816" s="327"/>
      <c r="I816" s="327"/>
      <c r="J816" s="327"/>
      <c r="K816" s="66"/>
      <c r="L816" s="66"/>
      <c r="M816" s="66"/>
      <c r="N816" s="66"/>
      <c r="O816" s="66"/>
      <c r="P816" s="66"/>
      <c r="Q816" s="66"/>
      <c r="R816" s="66"/>
      <c r="S816" s="26"/>
    </row>
    <row r="817" spans="1:19" s="97" customFormat="1">
      <c r="A817" s="597">
        <v>11</v>
      </c>
      <c r="B817" s="598" t="s">
        <v>831</v>
      </c>
      <c r="C817" s="599"/>
      <c r="D817" s="361"/>
      <c r="E817" s="105"/>
      <c r="F817" s="327"/>
      <c r="G817" s="327"/>
      <c r="H817" s="327"/>
      <c r="I817" s="327"/>
      <c r="J817" s="327"/>
      <c r="K817" s="66"/>
      <c r="L817" s="66"/>
      <c r="M817" s="66"/>
      <c r="N817" s="66"/>
      <c r="O817" s="66"/>
      <c r="P817" s="66"/>
      <c r="Q817" s="66"/>
      <c r="R817" s="66"/>
      <c r="S817" s="26"/>
    </row>
    <row r="818" spans="1:19" s="97" customFormat="1">
      <c r="A818" s="600"/>
      <c r="B818" s="601" t="s">
        <v>780</v>
      </c>
      <c r="C818" s="599" t="s">
        <v>8</v>
      </c>
      <c r="D818" s="361"/>
      <c r="E818" s="105"/>
      <c r="F818" s="327">
        <v>4</v>
      </c>
      <c r="G818" s="327" t="s">
        <v>2801</v>
      </c>
      <c r="H818" s="327"/>
      <c r="I818" s="327"/>
      <c r="J818" s="327" t="s">
        <v>2374</v>
      </c>
      <c r="K818" s="311">
        <v>406800.00000000006</v>
      </c>
      <c r="L818" s="311">
        <v>0</v>
      </c>
      <c r="M818" s="311">
        <v>84046.318181818177</v>
      </c>
      <c r="N818" s="311">
        <v>43437.727272727272</v>
      </c>
      <c r="O818" s="311">
        <v>30406.409090909092</v>
      </c>
      <c r="P818" s="68">
        <f t="shared" ref="P818:P819" si="194">SUM(K818:O818)</f>
        <v>564690.45454545459</v>
      </c>
      <c r="Q818" s="68">
        <f>D818*P818</f>
        <v>0</v>
      </c>
      <c r="R818" s="127">
        <f>F818*P818</f>
        <v>2258761.8181818184</v>
      </c>
      <c r="S818" s="26"/>
    </row>
    <row r="819" spans="1:19" s="97" customFormat="1">
      <c r="A819" s="600"/>
      <c r="B819" s="601" t="s">
        <v>781</v>
      </c>
      <c r="C819" s="599" t="s">
        <v>8</v>
      </c>
      <c r="D819" s="361"/>
      <c r="E819" s="105"/>
      <c r="F819" s="327">
        <v>22</v>
      </c>
      <c r="G819" s="327" t="s">
        <v>2801</v>
      </c>
      <c r="H819" s="327"/>
      <c r="I819" s="327"/>
      <c r="J819" s="327" t="s">
        <v>2374</v>
      </c>
      <c r="K819" s="311">
        <v>311880.00000000006</v>
      </c>
      <c r="L819" s="311">
        <v>0</v>
      </c>
      <c r="M819" s="311">
        <v>48934.13636363636</v>
      </c>
      <c r="N819" s="311">
        <v>31930.454545454548</v>
      </c>
      <c r="O819" s="311">
        <v>22351.318181818184</v>
      </c>
      <c r="P819" s="68">
        <f t="shared" si="194"/>
        <v>415095.90909090912</v>
      </c>
      <c r="Q819" s="68">
        <f>D819*P819</f>
        <v>0</v>
      </c>
      <c r="R819" s="127">
        <f>F819*P819</f>
        <v>9132110</v>
      </c>
      <c r="S819" s="26"/>
    </row>
    <row r="820" spans="1:19" s="97" customFormat="1">
      <c r="A820" s="610" t="s">
        <v>3362</v>
      </c>
      <c r="B820" s="611" t="s">
        <v>853</v>
      </c>
      <c r="C820" s="610"/>
      <c r="D820" s="361"/>
      <c r="E820" s="105"/>
      <c r="F820" s="327"/>
      <c r="G820" s="327"/>
      <c r="H820" s="327"/>
      <c r="I820" s="327"/>
      <c r="J820" s="327"/>
      <c r="K820" s="66"/>
      <c r="L820" s="66"/>
      <c r="M820" s="66"/>
      <c r="N820" s="66"/>
      <c r="O820" s="66"/>
      <c r="P820" s="66"/>
      <c r="Q820" s="66"/>
      <c r="R820" s="66"/>
      <c r="S820" s="26"/>
    </row>
    <row r="821" spans="1:19" s="97" customFormat="1">
      <c r="A821" s="610" t="s">
        <v>113</v>
      </c>
      <c r="B821" s="611" t="s">
        <v>775</v>
      </c>
      <c r="C821" s="610"/>
      <c r="D821" s="361"/>
      <c r="E821" s="105"/>
      <c r="F821" s="327"/>
      <c r="G821" s="327"/>
      <c r="H821" s="327"/>
      <c r="I821" s="327"/>
      <c r="J821" s="327"/>
      <c r="K821" s="66"/>
      <c r="L821" s="66"/>
      <c r="M821" s="66"/>
      <c r="N821" s="66"/>
      <c r="O821" s="66"/>
      <c r="P821" s="66"/>
      <c r="Q821" s="66"/>
      <c r="R821" s="66"/>
      <c r="S821" s="26"/>
    </row>
    <row r="822" spans="1:19" s="97" customFormat="1">
      <c r="A822" s="597"/>
      <c r="B822" s="598" t="s">
        <v>3363</v>
      </c>
      <c r="C822" s="602"/>
      <c r="D822" s="361"/>
      <c r="E822" s="105"/>
      <c r="F822" s="327"/>
      <c r="G822" s="327"/>
      <c r="H822" s="327"/>
      <c r="I822" s="327"/>
      <c r="J822" s="327"/>
      <c r="K822" s="66"/>
      <c r="L822" s="66"/>
      <c r="M822" s="66"/>
      <c r="N822" s="66"/>
      <c r="O822" s="66"/>
      <c r="P822" s="66"/>
      <c r="Q822" s="66"/>
      <c r="R822" s="66"/>
      <c r="S822" s="26"/>
    </row>
    <row r="823" spans="1:19" s="97" customFormat="1">
      <c r="A823" s="600"/>
      <c r="B823" s="601" t="s">
        <v>3364</v>
      </c>
      <c r="C823" s="599" t="s">
        <v>8</v>
      </c>
      <c r="D823" s="361"/>
      <c r="E823" s="105"/>
      <c r="F823" s="327">
        <v>10</v>
      </c>
      <c r="G823" s="327" t="s">
        <v>2805</v>
      </c>
      <c r="H823" s="327"/>
      <c r="I823" s="327"/>
      <c r="J823" s="327" t="s">
        <v>2374</v>
      </c>
      <c r="K823" s="311">
        <v>384200.00000000006</v>
      </c>
      <c r="L823" s="311">
        <v>0</v>
      </c>
      <c r="M823" s="311">
        <v>84046.318181818177</v>
      </c>
      <c r="N823" s="311">
        <v>41437.727272727272</v>
      </c>
      <c r="O823" s="311">
        <v>29006.409090909092</v>
      </c>
      <c r="P823" s="68">
        <f t="shared" ref="P823:P824" si="195">SUM(K823:O823)</f>
        <v>538690.45454545459</v>
      </c>
      <c r="Q823" s="68">
        <f>D823*P823</f>
        <v>0</v>
      </c>
      <c r="R823" s="127">
        <f>F823*P823</f>
        <v>5386904.5454545459</v>
      </c>
      <c r="S823" s="26"/>
    </row>
    <row r="824" spans="1:19" s="97" customFormat="1">
      <c r="A824" s="600"/>
      <c r="B824" s="601" t="s">
        <v>3365</v>
      </c>
      <c r="C824" s="599" t="s">
        <v>8</v>
      </c>
      <c r="D824" s="361"/>
      <c r="E824" s="105"/>
      <c r="F824" s="327">
        <v>10</v>
      </c>
      <c r="G824" s="327" t="s">
        <v>2805</v>
      </c>
      <c r="H824" s="327"/>
      <c r="I824" s="327"/>
      <c r="J824" s="327" t="s">
        <v>2374</v>
      </c>
      <c r="K824" s="311">
        <v>355950.00000000006</v>
      </c>
      <c r="L824" s="311">
        <v>0</v>
      </c>
      <c r="M824" s="311">
        <v>48934.13636363636</v>
      </c>
      <c r="N824" s="311">
        <v>35830.454545454551</v>
      </c>
      <c r="O824" s="311">
        <v>25081.318181818184</v>
      </c>
      <c r="P824" s="68">
        <f t="shared" si="195"/>
        <v>465795.90909090912</v>
      </c>
      <c r="Q824" s="68">
        <f>D824*P824</f>
        <v>0</v>
      </c>
      <c r="R824" s="127">
        <f>F824*P824</f>
        <v>4657959.0909090908</v>
      </c>
      <c r="S824" s="26"/>
    </row>
    <row r="825" spans="1:19" s="97" customFormat="1">
      <c r="A825" s="597">
        <v>9</v>
      </c>
      <c r="B825" s="598" t="s">
        <v>863</v>
      </c>
      <c r="C825" s="602"/>
      <c r="D825" s="361"/>
      <c r="E825" s="105"/>
      <c r="F825" s="327"/>
      <c r="G825" s="327"/>
      <c r="H825" s="327"/>
      <c r="I825" s="327"/>
      <c r="J825" s="327"/>
      <c r="K825" s="66"/>
      <c r="L825" s="66"/>
      <c r="M825" s="66"/>
      <c r="N825" s="66"/>
      <c r="O825" s="66"/>
      <c r="P825" s="66"/>
      <c r="Q825" s="66"/>
      <c r="R825" s="66"/>
      <c r="S825" s="26"/>
    </row>
    <row r="826" spans="1:19" s="97" customFormat="1">
      <c r="A826" s="603"/>
      <c r="B826" s="254" t="s">
        <v>841</v>
      </c>
      <c r="C826" s="42" t="s">
        <v>8</v>
      </c>
      <c r="D826" s="361"/>
      <c r="E826" s="105"/>
      <c r="F826" s="327">
        <v>10</v>
      </c>
      <c r="G826" s="327" t="s">
        <v>3380</v>
      </c>
      <c r="H826" s="327"/>
      <c r="I826" s="327"/>
      <c r="J826" s="327" t="s">
        <v>2374</v>
      </c>
      <c r="K826" s="311">
        <v>271200</v>
      </c>
      <c r="L826" s="311">
        <v>0</v>
      </c>
      <c r="M826" s="311">
        <v>46929.927272727276</v>
      </c>
      <c r="N826" s="311">
        <v>28153.090909090908</v>
      </c>
      <c r="O826" s="311">
        <v>19707.163636363635</v>
      </c>
      <c r="P826" s="68">
        <f t="shared" ref="P826:P828" si="196">SUM(K826:O826)</f>
        <v>365990.18181818177</v>
      </c>
      <c r="Q826" s="68">
        <f>D826*P826</f>
        <v>0</v>
      </c>
      <c r="R826" s="127">
        <f>F826*P826</f>
        <v>3659901.8181818174</v>
      </c>
      <c r="S826" s="26"/>
    </row>
    <row r="827" spans="1:19" s="97" customFormat="1">
      <c r="A827" s="603"/>
      <c r="B827" s="254" t="s">
        <v>842</v>
      </c>
      <c r="C827" s="42" t="s">
        <v>8</v>
      </c>
      <c r="D827" s="361"/>
      <c r="E827" s="105"/>
      <c r="F827" s="327">
        <v>10</v>
      </c>
      <c r="G827" s="327" t="s">
        <v>3380</v>
      </c>
      <c r="H827" s="327"/>
      <c r="I827" s="327"/>
      <c r="J827" s="327" t="s">
        <v>2374</v>
      </c>
      <c r="K827" s="311">
        <v>226000.00000000003</v>
      </c>
      <c r="L827" s="311">
        <v>0</v>
      </c>
      <c r="M827" s="311">
        <v>31995.436363636363</v>
      </c>
      <c r="N827" s="311">
        <v>22831.454545454544</v>
      </c>
      <c r="O827" s="311">
        <v>15982.018181818183</v>
      </c>
      <c r="P827" s="68">
        <f t="shared" si="196"/>
        <v>296808.90909090912</v>
      </c>
      <c r="Q827" s="68">
        <f>D827*P827</f>
        <v>0</v>
      </c>
      <c r="R827" s="127">
        <f>F827*P827</f>
        <v>2968089.0909090913</v>
      </c>
      <c r="S827" s="26"/>
    </row>
    <row r="828" spans="1:19" s="97" customFormat="1">
      <c r="A828" s="597"/>
      <c r="B828" s="598" t="s">
        <v>3366</v>
      </c>
      <c r="C828" s="599" t="s">
        <v>8</v>
      </c>
      <c r="D828" s="361"/>
      <c r="E828" s="105"/>
      <c r="F828" s="327">
        <v>6</v>
      </c>
      <c r="G828" s="327" t="s">
        <v>3381</v>
      </c>
      <c r="H828" s="327" t="s">
        <v>3382</v>
      </c>
      <c r="I828" s="327" t="s">
        <v>2662</v>
      </c>
      <c r="J828" s="327" t="s">
        <v>2374</v>
      </c>
      <c r="K828" s="311">
        <v>2383420</v>
      </c>
      <c r="L828" s="311">
        <v>0</v>
      </c>
      <c r="M828" s="311">
        <v>164528.00000000003</v>
      </c>
      <c r="N828" s="311">
        <v>245960</v>
      </c>
      <c r="O828" s="311">
        <v>172172.00000000003</v>
      </c>
      <c r="P828" s="68">
        <f t="shared" si="196"/>
        <v>2966080</v>
      </c>
      <c r="Q828" s="68">
        <f>D828*P828</f>
        <v>0</v>
      </c>
      <c r="R828" s="127">
        <f>F828*P828</f>
        <v>17796480</v>
      </c>
      <c r="S828" s="26"/>
    </row>
    <row r="829" spans="1:19" s="97" customFormat="1">
      <c r="A829" s="610" t="s">
        <v>2322</v>
      </c>
      <c r="B829" s="611" t="s">
        <v>3367</v>
      </c>
      <c r="C829" s="610"/>
      <c r="D829" s="361"/>
      <c r="E829" s="105"/>
      <c r="F829" s="327"/>
      <c r="G829" s="327"/>
      <c r="H829" s="327"/>
      <c r="I829" s="327"/>
      <c r="J829" s="327"/>
      <c r="K829" s="66"/>
      <c r="L829" s="66"/>
      <c r="M829" s="66"/>
      <c r="N829" s="66"/>
      <c r="O829" s="66"/>
      <c r="P829" s="66"/>
      <c r="Q829" s="66"/>
      <c r="R829" s="66"/>
      <c r="S829" s="26"/>
    </row>
    <row r="830" spans="1:19" s="97" customFormat="1">
      <c r="A830" s="597">
        <v>12</v>
      </c>
      <c r="B830" s="598" t="s">
        <v>1004</v>
      </c>
      <c r="C830" s="602"/>
      <c r="D830" s="361"/>
      <c r="E830" s="105"/>
      <c r="F830" s="327"/>
      <c r="G830" s="327"/>
      <c r="H830" s="327"/>
      <c r="I830" s="327"/>
      <c r="J830" s="327"/>
      <c r="K830" s="66"/>
      <c r="L830" s="66"/>
      <c r="M830" s="66"/>
      <c r="N830" s="66"/>
      <c r="O830" s="66"/>
      <c r="P830" s="66"/>
      <c r="Q830" s="66"/>
      <c r="R830" s="66"/>
      <c r="S830" s="26"/>
    </row>
    <row r="831" spans="1:19" s="97" customFormat="1">
      <c r="A831" s="600"/>
      <c r="B831" s="601" t="s">
        <v>3368</v>
      </c>
      <c r="C831" s="599" t="s">
        <v>8</v>
      </c>
      <c r="D831" s="361"/>
      <c r="E831" s="105"/>
      <c r="F831" s="327">
        <v>10</v>
      </c>
      <c r="G831" s="327"/>
      <c r="H831" s="327"/>
      <c r="I831" s="327"/>
      <c r="J831" s="327"/>
      <c r="K831" s="311">
        <v>664666.00000000012</v>
      </c>
      <c r="L831" s="311">
        <v>0</v>
      </c>
      <c r="M831" s="311">
        <v>70265.454545454544</v>
      </c>
      <c r="N831" s="311">
        <v>65038.181818181816</v>
      </c>
      <c r="O831" s="311">
        <v>45526.727272727272</v>
      </c>
      <c r="P831" s="68">
        <f t="shared" ref="P831:P832" si="197">SUM(K831:O831)</f>
        <v>845496.36363636376</v>
      </c>
      <c r="Q831" s="68">
        <f>D831*P831</f>
        <v>0</v>
      </c>
      <c r="R831" s="127">
        <f>F831*P831</f>
        <v>8454963.6363636367</v>
      </c>
      <c r="S831" s="26"/>
    </row>
    <row r="832" spans="1:19" s="97" customFormat="1">
      <c r="A832" s="600"/>
      <c r="B832" s="601" t="s">
        <v>3369</v>
      </c>
      <c r="C832" s="599" t="s">
        <v>8</v>
      </c>
      <c r="D832" s="361"/>
      <c r="E832" s="105"/>
      <c r="F832" s="327">
        <v>3</v>
      </c>
      <c r="G832" s="327"/>
      <c r="H832" s="327"/>
      <c r="I832" s="327"/>
      <c r="J832" s="327"/>
      <c r="K832" s="311">
        <v>42876.72</v>
      </c>
      <c r="L832" s="311">
        <v>0</v>
      </c>
      <c r="M832" s="311">
        <v>30805.854545454546</v>
      </c>
      <c r="N832" s="311">
        <v>6520.5818181818177</v>
      </c>
      <c r="O832" s="311">
        <v>4564.4072727272724</v>
      </c>
      <c r="P832" s="68">
        <f t="shared" si="197"/>
        <v>84767.563636363644</v>
      </c>
      <c r="Q832" s="68">
        <f>D832*P832</f>
        <v>0</v>
      </c>
      <c r="R832" s="127">
        <f>F832*P832</f>
        <v>254302.69090909092</v>
      </c>
      <c r="S832" s="26"/>
    </row>
    <row r="833" spans="1:19" s="97" customFormat="1">
      <c r="A833" s="103"/>
      <c r="B833" s="611" t="s">
        <v>3370</v>
      </c>
      <c r="C833" s="610"/>
      <c r="D833" s="361"/>
      <c r="E833" s="105"/>
      <c r="F833" s="327"/>
      <c r="G833" s="327"/>
      <c r="H833" s="327"/>
      <c r="I833" s="327"/>
      <c r="J833" s="327"/>
      <c r="K833" s="66"/>
      <c r="L833" s="66"/>
      <c r="M833" s="66"/>
      <c r="N833" s="66"/>
      <c r="O833" s="66"/>
      <c r="P833" s="66"/>
      <c r="Q833" s="66"/>
      <c r="R833" s="66"/>
      <c r="S833" s="26"/>
    </row>
    <row r="834" spans="1:19" s="97" customFormat="1">
      <c r="A834" s="103"/>
      <c r="B834" s="612" t="s">
        <v>3371</v>
      </c>
      <c r="C834" s="613"/>
      <c r="D834" s="361"/>
      <c r="E834" s="105"/>
      <c r="F834" s="327"/>
      <c r="G834" s="327"/>
      <c r="H834" s="327"/>
      <c r="I834" s="327"/>
      <c r="J834" s="327"/>
      <c r="K834" s="66"/>
      <c r="L834" s="66"/>
      <c r="M834" s="66"/>
      <c r="N834" s="66"/>
      <c r="O834" s="66"/>
      <c r="P834" s="66"/>
      <c r="Q834" s="66"/>
      <c r="R834" s="66"/>
      <c r="S834" s="26"/>
    </row>
    <row r="835" spans="1:19" s="97" customFormat="1" ht="45">
      <c r="A835" s="103"/>
      <c r="B835" s="604" t="s">
        <v>3372</v>
      </c>
      <c r="C835" s="605" t="s">
        <v>8</v>
      </c>
      <c r="D835" s="361"/>
      <c r="E835" s="105"/>
      <c r="F835" s="327">
        <v>1</v>
      </c>
      <c r="G835" s="351" t="s">
        <v>3383</v>
      </c>
      <c r="H835" s="351"/>
      <c r="I835" s="351" t="s">
        <v>2681</v>
      </c>
      <c r="J835" s="351" t="s">
        <v>2328</v>
      </c>
      <c r="K835" s="311">
        <v>21297.11</v>
      </c>
      <c r="L835" s="311">
        <v>0</v>
      </c>
      <c r="M835" s="311">
        <v>58893.716666666674</v>
      </c>
      <c r="N835" s="311">
        <v>7096.5333333333347</v>
      </c>
      <c r="O835" s="311">
        <v>4967.5733333333346</v>
      </c>
      <c r="P835" s="68">
        <f t="shared" ref="P835:P842" si="198">SUM(K835:O835)</f>
        <v>92254.933333333349</v>
      </c>
      <c r="Q835" s="68">
        <f t="shared" ref="Q835:Q842" si="199">D835*P835</f>
        <v>0</v>
      </c>
      <c r="R835" s="127">
        <f t="shared" ref="R835:R842" si="200">F835*P835</f>
        <v>92254.933333333349</v>
      </c>
      <c r="S835" s="26" t="s">
        <v>3391</v>
      </c>
    </row>
    <row r="836" spans="1:19" s="97" customFormat="1" ht="30">
      <c r="A836" s="103"/>
      <c r="B836" s="604" t="s">
        <v>3373</v>
      </c>
      <c r="C836" s="605" t="s">
        <v>8</v>
      </c>
      <c r="D836" s="361"/>
      <c r="E836" s="105"/>
      <c r="F836" s="327">
        <v>1</v>
      </c>
      <c r="G836" s="351" t="s">
        <v>3384</v>
      </c>
      <c r="H836" s="351"/>
      <c r="I836" s="351" t="s">
        <v>2681</v>
      </c>
      <c r="J836" s="351" t="s">
        <v>2328</v>
      </c>
      <c r="K836" s="311">
        <v>2644.2000000000003</v>
      </c>
      <c r="L836" s="311">
        <v>0</v>
      </c>
      <c r="M836" s="311">
        <v>12031.418181818182</v>
      </c>
      <c r="N836" s="311">
        <v>1298.7272727272727</v>
      </c>
      <c r="O836" s="311">
        <v>909.10909090909092</v>
      </c>
      <c r="P836" s="68">
        <f t="shared" si="198"/>
        <v>16883.454545454548</v>
      </c>
      <c r="Q836" s="68">
        <f t="shared" si="199"/>
        <v>0</v>
      </c>
      <c r="R836" s="127">
        <f t="shared" si="200"/>
        <v>16883.454545454548</v>
      </c>
      <c r="S836" s="26" t="s">
        <v>3391</v>
      </c>
    </row>
    <row r="837" spans="1:19" s="97" customFormat="1" ht="30">
      <c r="A837" s="103"/>
      <c r="B837" s="604" t="s">
        <v>3374</v>
      </c>
      <c r="C837" s="605" t="s">
        <v>8</v>
      </c>
      <c r="D837" s="361"/>
      <c r="E837" s="105"/>
      <c r="F837" s="327">
        <v>1</v>
      </c>
      <c r="G837" s="351" t="s">
        <v>3385</v>
      </c>
      <c r="H837" s="351"/>
      <c r="I837" s="351" t="s">
        <v>2681</v>
      </c>
      <c r="J837" s="351" t="s">
        <v>2328</v>
      </c>
      <c r="K837" s="311">
        <v>37117.675000000003</v>
      </c>
      <c r="L837" s="311">
        <v>0</v>
      </c>
      <c r="M837" s="311">
        <v>65853.386666666673</v>
      </c>
      <c r="N837" s="311">
        <v>9112.4833333333354</v>
      </c>
      <c r="O837" s="311">
        <v>6378.7383333333346</v>
      </c>
      <c r="P837" s="68">
        <f t="shared" si="198"/>
        <v>118462.28333333335</v>
      </c>
      <c r="Q837" s="68">
        <f t="shared" si="199"/>
        <v>0</v>
      </c>
      <c r="R837" s="127">
        <f t="shared" si="200"/>
        <v>118462.28333333335</v>
      </c>
      <c r="S837" s="26" t="s">
        <v>3391</v>
      </c>
    </row>
    <row r="838" spans="1:19" s="97" customFormat="1" ht="30">
      <c r="A838" s="103"/>
      <c r="B838" s="604" t="s">
        <v>3375</v>
      </c>
      <c r="C838" s="605" t="s">
        <v>8</v>
      </c>
      <c r="D838" s="361"/>
      <c r="E838" s="105"/>
      <c r="F838" s="327">
        <v>1</v>
      </c>
      <c r="G838" s="351" t="s">
        <v>3386</v>
      </c>
      <c r="H838" s="351"/>
      <c r="I838" s="351" t="s">
        <v>2681</v>
      </c>
      <c r="J838" s="351" t="s">
        <v>2328</v>
      </c>
      <c r="K838" s="311">
        <v>42884.206250000003</v>
      </c>
      <c r="L838" s="311">
        <v>0</v>
      </c>
      <c r="M838" s="311">
        <v>73763.386666666673</v>
      </c>
      <c r="N838" s="311">
        <v>10322.795833333335</v>
      </c>
      <c r="O838" s="311">
        <v>7225.9570833333346</v>
      </c>
      <c r="P838" s="68">
        <f t="shared" si="198"/>
        <v>134196.34583333335</v>
      </c>
      <c r="Q838" s="68">
        <f t="shared" si="199"/>
        <v>0</v>
      </c>
      <c r="R838" s="127">
        <f t="shared" si="200"/>
        <v>134196.34583333335</v>
      </c>
      <c r="S838" s="26" t="s">
        <v>3391</v>
      </c>
    </row>
    <row r="839" spans="1:19" s="97" customFormat="1" ht="30">
      <c r="A839" s="103"/>
      <c r="B839" s="604" t="s">
        <v>3376</v>
      </c>
      <c r="C839" s="605" t="s">
        <v>8</v>
      </c>
      <c r="D839" s="361"/>
      <c r="E839" s="105"/>
      <c r="F839" s="327">
        <v>1</v>
      </c>
      <c r="G839" s="351" t="s">
        <v>3387</v>
      </c>
      <c r="H839" s="351"/>
      <c r="I839" s="351" t="s">
        <v>2681</v>
      </c>
      <c r="J839" s="351" t="s">
        <v>2328</v>
      </c>
      <c r="K839" s="311">
        <v>6237.6</v>
      </c>
      <c r="L839" s="311">
        <v>0</v>
      </c>
      <c r="M839" s="311">
        <v>16013.127272727274</v>
      </c>
      <c r="N839" s="311">
        <v>1969.090909090909</v>
      </c>
      <c r="O839" s="311">
        <v>1378.3636363636363</v>
      </c>
      <c r="P839" s="68">
        <f t="shared" si="198"/>
        <v>25598.181818181816</v>
      </c>
      <c r="Q839" s="68">
        <f t="shared" si="199"/>
        <v>0</v>
      </c>
      <c r="R839" s="127">
        <f t="shared" si="200"/>
        <v>25598.181818181816</v>
      </c>
      <c r="S839" s="26" t="s">
        <v>3391</v>
      </c>
    </row>
    <row r="840" spans="1:19" s="97" customFormat="1" ht="30">
      <c r="A840" s="103"/>
      <c r="B840" s="604" t="s">
        <v>3377</v>
      </c>
      <c r="C840" s="605" t="s">
        <v>8</v>
      </c>
      <c r="D840" s="361"/>
      <c r="E840" s="105"/>
      <c r="F840" s="327">
        <v>1</v>
      </c>
      <c r="G840" s="351" t="s">
        <v>3388</v>
      </c>
      <c r="H840" s="351"/>
      <c r="I840" s="351" t="s">
        <v>2681</v>
      </c>
      <c r="J840" s="351" t="s">
        <v>2328</v>
      </c>
      <c r="K840" s="311">
        <v>69835.977500000008</v>
      </c>
      <c r="L840" s="311">
        <v>0</v>
      </c>
      <c r="M840" s="311">
        <v>80456.000000000015</v>
      </c>
      <c r="N840" s="311">
        <v>13300.175000000001</v>
      </c>
      <c r="O840" s="311">
        <v>9310.1225000000013</v>
      </c>
      <c r="P840" s="68">
        <f t="shared" si="198"/>
        <v>172902.27500000002</v>
      </c>
      <c r="Q840" s="68">
        <f t="shared" si="199"/>
        <v>0</v>
      </c>
      <c r="R840" s="127">
        <f t="shared" si="200"/>
        <v>172902.27500000002</v>
      </c>
      <c r="S840" s="26" t="s">
        <v>3391</v>
      </c>
    </row>
    <row r="841" spans="1:19" s="97" customFormat="1" ht="30">
      <c r="A841" s="103"/>
      <c r="B841" s="604" t="s">
        <v>3378</v>
      </c>
      <c r="C841" s="605" t="s">
        <v>8</v>
      </c>
      <c r="D841" s="361"/>
      <c r="E841" s="105"/>
      <c r="F841" s="327">
        <v>1</v>
      </c>
      <c r="G841" s="351" t="s">
        <v>3389</v>
      </c>
      <c r="H841" s="351"/>
      <c r="I841" s="351" t="s">
        <v>2681</v>
      </c>
      <c r="J841" s="351" t="s">
        <v>2328</v>
      </c>
      <c r="K841" s="311">
        <v>78917.222500000003</v>
      </c>
      <c r="L841" s="311">
        <v>0</v>
      </c>
      <c r="M841" s="311">
        <v>90157.05</v>
      </c>
      <c r="N841" s="311">
        <v>14962.325000000001</v>
      </c>
      <c r="O841" s="311">
        <v>10473.627500000001</v>
      </c>
      <c r="P841" s="68">
        <f t="shared" si="198"/>
        <v>194510.22500000003</v>
      </c>
      <c r="Q841" s="68">
        <f t="shared" si="199"/>
        <v>0</v>
      </c>
      <c r="R841" s="127">
        <f t="shared" si="200"/>
        <v>194510.22500000003</v>
      </c>
      <c r="S841" s="26" t="s">
        <v>3391</v>
      </c>
    </row>
    <row r="842" spans="1:19" s="97" customFormat="1" ht="30">
      <c r="A842" s="103"/>
      <c r="B842" s="604" t="s">
        <v>3379</v>
      </c>
      <c r="C842" s="605" t="s">
        <v>8</v>
      </c>
      <c r="D842" s="361"/>
      <c r="E842" s="105"/>
      <c r="F842" s="327">
        <v>1</v>
      </c>
      <c r="G842" s="351" t="s">
        <v>3390</v>
      </c>
      <c r="H842" s="351"/>
      <c r="I842" s="351" t="s">
        <v>2681</v>
      </c>
      <c r="J842" s="351" t="s">
        <v>2328</v>
      </c>
      <c r="K842" s="311">
        <v>219095.7</v>
      </c>
      <c r="L842" s="311">
        <v>0</v>
      </c>
      <c r="M842" s="311">
        <v>138504.1</v>
      </c>
      <c r="N842" s="311">
        <v>31646</v>
      </c>
      <c r="O842" s="311">
        <v>22152.2</v>
      </c>
      <c r="P842" s="68">
        <f t="shared" si="198"/>
        <v>411398.00000000006</v>
      </c>
      <c r="Q842" s="68">
        <f t="shared" si="199"/>
        <v>0</v>
      </c>
      <c r="R842" s="127">
        <f t="shared" si="200"/>
        <v>411398.00000000006</v>
      </c>
      <c r="S842" s="26" t="s">
        <v>3391</v>
      </c>
    </row>
    <row r="843" spans="1:19" s="97" customFormat="1">
      <c r="A843" s="103"/>
      <c r="B843" s="107" t="s">
        <v>2296</v>
      </c>
      <c r="C843" s="105"/>
      <c r="D843" s="361"/>
      <c r="E843" s="105"/>
      <c r="F843" s="327"/>
      <c r="G843" s="327"/>
      <c r="H843" s="327"/>
      <c r="I843" s="327"/>
      <c r="J843" s="327"/>
      <c r="K843" s="66"/>
      <c r="L843" s="66"/>
      <c r="M843" s="66"/>
      <c r="N843" s="66"/>
      <c r="O843" s="66"/>
      <c r="P843" s="66"/>
      <c r="Q843" s="66"/>
      <c r="R843" s="287"/>
      <c r="S843" s="377"/>
    </row>
    <row r="844" spans="1:19" s="531" customFormat="1" ht="14.25">
      <c r="A844" s="390" t="s">
        <v>2291</v>
      </c>
      <c r="B844" s="532" t="s">
        <v>2292</v>
      </c>
      <c r="C844" s="533"/>
      <c r="D844" s="390"/>
      <c r="E844" s="534"/>
      <c r="F844" s="390"/>
      <c r="G844" s="390"/>
      <c r="H844" s="390"/>
      <c r="I844" s="390"/>
      <c r="J844" s="390"/>
      <c r="K844" s="390"/>
      <c r="L844" s="390"/>
      <c r="M844" s="390"/>
      <c r="N844" s="390"/>
      <c r="O844" s="390"/>
      <c r="P844" s="390"/>
      <c r="Q844" s="390">
        <f>Q9+Q814</f>
        <v>28952307779.670803</v>
      </c>
      <c r="R844" s="390">
        <f>R9+R814</f>
        <v>29008043458.060577</v>
      </c>
      <c r="S844" s="390"/>
    </row>
  </sheetData>
  <autoFilter ref="A8:S844" xr:uid="{FE016A25-A6CE-4BED-8920-F2985020F3A3}"/>
  <mergeCells count="14">
    <mergeCell ref="E597:E609"/>
    <mergeCell ref="E802:E813"/>
    <mergeCell ref="A5:E5"/>
    <mergeCell ref="F6:F7"/>
    <mergeCell ref="A6:A7"/>
    <mergeCell ref="B6:B7"/>
    <mergeCell ref="C6:C7"/>
    <mergeCell ref="E6:E7"/>
    <mergeCell ref="D6:D7"/>
    <mergeCell ref="F5:S5"/>
    <mergeCell ref="G6:J6"/>
    <mergeCell ref="K6:P6"/>
    <mergeCell ref="Q6:R6"/>
    <mergeCell ref="S6:S7"/>
  </mergeCells>
  <phoneticPr fontId="22" type="noConversion"/>
  <conditionalFormatting sqref="C1:C1048576">
    <cfRule type="cellIs" dxfId="4" priority="1" operator="equal">
      <formula>0</formula>
    </cfRule>
  </conditionalFormatting>
  <printOptions horizontalCentered="1"/>
  <pageMargins left="0.39370078740157483" right="0.39370078740157483" top="0.59055118110236227" bottom="0.39370078740157483" header="0.19685039370078741" footer="0.19685039370078741"/>
  <pageSetup scale="36" fitToHeight="100" orientation="landscape" horizontalDpi="1200" verticalDpi="1200" r:id="rId1"/>
  <headerFooter>
    <oddFooter>Page &amp;P&amp;R&amp;A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927-F9D5-4533-AF04-2A3454D9690F}">
  <sheetPr>
    <tabColor theme="5" tint="0.79998168889431442"/>
    <outlinePr summaryBelow="0"/>
    <pageSetUpPr fitToPage="1"/>
  </sheetPr>
  <dimension ref="A1:AH54"/>
  <sheetViews>
    <sheetView topLeftCell="T1" zoomScaleNormal="100" zoomScaleSheetLayoutView="55" workbookViewId="0">
      <pane ySplit="8" topLeftCell="A39" activePane="bottomLeft" state="frozen"/>
      <selection activeCell="N70" sqref="N70"/>
      <selection pane="bottomLeft" activeCell="AH54" sqref="AH54"/>
    </sheetView>
  </sheetViews>
  <sheetFormatPr defaultColWidth="9.140625" defaultRowHeight="15"/>
  <cols>
    <col min="1" max="1" width="5.7109375" style="89" customWidth="1"/>
    <col min="2" max="2" width="53.140625" style="89" customWidth="1"/>
    <col min="3" max="3" width="12.42578125" style="89" hidden="1" customWidth="1"/>
    <col min="4" max="8" width="9.42578125" style="89" hidden="1" customWidth="1"/>
    <col min="9" max="10" width="10" style="89" hidden="1" customWidth="1"/>
    <col min="11" max="11" width="10" style="343" customWidth="1"/>
    <col min="12" max="12" width="10.7109375" style="343" customWidth="1"/>
    <col min="13" max="13" width="10.7109375" style="89" customWidth="1"/>
    <col min="14" max="18" width="10.7109375" style="463" hidden="1" customWidth="1"/>
    <col min="19" max="20" width="20.7109375" style="89" customWidth="1"/>
    <col min="21" max="21" width="10.7109375" style="343" customWidth="1"/>
    <col min="22" max="22" width="40.7109375" style="343" customWidth="1"/>
    <col min="23" max="33" width="15.7109375" style="343" customWidth="1"/>
    <col min="34" max="34" width="20.7109375" style="343" customWidth="1"/>
    <col min="35" max="16384" width="9.140625" style="69"/>
  </cols>
  <sheetData>
    <row r="1" spans="1:34">
      <c r="A1" s="391" t="s">
        <v>0</v>
      </c>
      <c r="B1" s="133"/>
      <c r="C1" s="133"/>
      <c r="D1" s="133"/>
      <c r="E1" s="133"/>
      <c r="F1" s="133"/>
      <c r="G1" s="133"/>
      <c r="H1" s="133"/>
      <c r="I1" s="133"/>
      <c r="J1" s="133"/>
      <c r="M1" s="139"/>
      <c r="N1" s="139"/>
      <c r="O1" s="139"/>
      <c r="P1" s="139"/>
      <c r="Q1" s="139"/>
      <c r="R1" s="139"/>
      <c r="S1" s="139"/>
      <c r="V1" s="324"/>
      <c r="W1" s="324"/>
      <c r="X1" s="324"/>
      <c r="Y1" s="324"/>
      <c r="Z1" s="324"/>
      <c r="AA1" s="324"/>
      <c r="AB1" s="324"/>
      <c r="AC1" s="324"/>
      <c r="AD1" s="324"/>
      <c r="AE1" s="324"/>
      <c r="AF1" s="324"/>
      <c r="AG1" s="324"/>
      <c r="AH1" s="324"/>
    </row>
    <row r="2" spans="1:34">
      <c r="A2" s="391" t="s">
        <v>1</v>
      </c>
      <c r="B2" s="133"/>
      <c r="C2" s="133"/>
      <c r="D2" s="133"/>
      <c r="E2" s="133"/>
      <c r="F2" s="133"/>
      <c r="G2" s="133"/>
      <c r="H2" s="133"/>
      <c r="I2" s="133"/>
      <c r="J2" s="133"/>
      <c r="M2" s="139"/>
      <c r="N2" s="139"/>
      <c r="O2" s="139"/>
      <c r="P2" s="139"/>
      <c r="Q2" s="139"/>
      <c r="R2" s="139"/>
      <c r="S2" s="139"/>
      <c r="V2" s="324"/>
      <c r="W2" s="324"/>
      <c r="X2" s="324"/>
      <c r="Y2" s="324"/>
      <c r="Z2" s="324"/>
      <c r="AA2" s="324"/>
      <c r="AB2" s="324"/>
      <c r="AC2" s="324"/>
      <c r="AD2" s="324"/>
      <c r="AE2" s="324"/>
      <c r="AF2" s="324"/>
      <c r="AG2" s="324"/>
      <c r="AH2" s="324"/>
    </row>
    <row r="3" spans="1:34">
      <c r="A3" s="391" t="s">
        <v>1045</v>
      </c>
      <c r="B3" s="133"/>
      <c r="C3" s="133"/>
      <c r="D3" s="133"/>
      <c r="E3" s="133"/>
      <c r="F3" s="133"/>
      <c r="G3" s="133"/>
      <c r="H3" s="133"/>
      <c r="I3" s="133"/>
      <c r="J3" s="133"/>
      <c r="M3" s="139"/>
      <c r="N3" s="139"/>
      <c r="O3" s="139"/>
      <c r="P3" s="139"/>
      <c r="Q3" s="139"/>
      <c r="R3" s="139"/>
      <c r="S3" s="139"/>
      <c r="V3" s="324"/>
      <c r="W3" s="324"/>
      <c r="X3" s="324"/>
      <c r="Y3" s="324"/>
      <c r="Z3" s="324"/>
      <c r="AA3" s="324"/>
      <c r="AB3" s="324"/>
      <c r="AC3" s="324"/>
      <c r="AD3" s="324"/>
      <c r="AE3" s="324"/>
      <c r="AF3" s="324"/>
      <c r="AG3" s="324"/>
      <c r="AH3" s="324"/>
    </row>
    <row r="4" spans="1:34">
      <c r="A4" s="456"/>
      <c r="B4" s="139"/>
      <c r="C4" s="139"/>
      <c r="D4" s="139"/>
      <c r="E4" s="139"/>
      <c r="F4" s="139"/>
      <c r="G4" s="139"/>
      <c r="H4" s="139"/>
      <c r="I4" s="139"/>
      <c r="J4" s="139"/>
      <c r="K4" s="457"/>
      <c r="L4" s="457"/>
      <c r="M4" s="139"/>
      <c r="N4" s="139"/>
      <c r="O4" s="139"/>
      <c r="P4" s="139"/>
      <c r="Q4" s="139"/>
      <c r="R4" s="139"/>
      <c r="S4" s="139"/>
      <c r="U4" s="325"/>
      <c r="V4" s="325"/>
      <c r="W4" s="325"/>
      <c r="X4" s="325"/>
      <c r="Y4" s="325"/>
      <c r="Z4" s="325"/>
      <c r="AA4" s="325"/>
      <c r="AB4" s="325"/>
      <c r="AC4" s="325"/>
      <c r="AD4" s="325"/>
      <c r="AE4" s="325"/>
      <c r="AF4" s="325"/>
      <c r="AG4" s="325"/>
      <c r="AH4" s="325"/>
    </row>
    <row r="5" spans="1:34">
      <c r="A5" s="707" t="s">
        <v>1864</v>
      </c>
      <c r="B5" s="707"/>
      <c r="C5" s="707"/>
      <c r="D5" s="707"/>
      <c r="E5" s="707"/>
      <c r="F5" s="707"/>
      <c r="G5" s="707"/>
      <c r="H5" s="707"/>
      <c r="I5" s="707"/>
      <c r="J5" s="707"/>
      <c r="K5" s="707"/>
      <c r="L5" s="707"/>
      <c r="M5" s="707"/>
      <c r="N5" s="707"/>
      <c r="O5" s="707"/>
      <c r="P5" s="707"/>
      <c r="Q5" s="707"/>
      <c r="R5" s="707"/>
      <c r="S5" s="707"/>
      <c r="T5" s="707"/>
      <c r="U5" s="690" t="s">
        <v>2325</v>
      </c>
      <c r="V5" s="690"/>
      <c r="W5" s="690"/>
      <c r="X5" s="690"/>
      <c r="Y5" s="690"/>
      <c r="Z5" s="690"/>
      <c r="AA5" s="690"/>
      <c r="AB5" s="690"/>
      <c r="AC5" s="690"/>
      <c r="AD5" s="690"/>
      <c r="AE5" s="690"/>
      <c r="AF5" s="690"/>
      <c r="AG5" s="690"/>
      <c r="AH5" s="690"/>
    </row>
    <row r="6" spans="1:34">
      <c r="A6" s="707" t="s">
        <v>3</v>
      </c>
      <c r="B6" s="707" t="s">
        <v>1865</v>
      </c>
      <c r="C6" s="703" t="s">
        <v>1046</v>
      </c>
      <c r="D6" s="703" t="s">
        <v>1047</v>
      </c>
      <c r="E6" s="703" t="s">
        <v>1048</v>
      </c>
      <c r="F6" s="703" t="s">
        <v>1049</v>
      </c>
      <c r="G6" s="703" t="s">
        <v>1050</v>
      </c>
      <c r="H6" s="703" t="s">
        <v>1051</v>
      </c>
      <c r="I6" s="703" t="s">
        <v>1052</v>
      </c>
      <c r="J6" s="703" t="s">
        <v>1053</v>
      </c>
      <c r="K6" s="705" t="s">
        <v>1881</v>
      </c>
      <c r="L6" s="706" t="s">
        <v>1866</v>
      </c>
      <c r="M6" s="707" t="s">
        <v>1054</v>
      </c>
      <c r="N6" s="701" t="s">
        <v>1055</v>
      </c>
      <c r="O6" s="701" t="s">
        <v>1056</v>
      </c>
      <c r="P6" s="701" t="s">
        <v>1057</v>
      </c>
      <c r="Q6" s="701" t="s">
        <v>1058</v>
      </c>
      <c r="R6" s="701" t="s">
        <v>1059</v>
      </c>
      <c r="S6" s="701" t="s">
        <v>774</v>
      </c>
      <c r="T6" s="710" t="s">
        <v>5</v>
      </c>
      <c r="U6" s="691" t="s">
        <v>1867</v>
      </c>
      <c r="V6" s="677" t="s">
        <v>1868</v>
      </c>
      <c r="W6" s="677"/>
      <c r="X6" s="677"/>
      <c r="Y6" s="677"/>
      <c r="Z6" s="677" t="s">
        <v>1869</v>
      </c>
      <c r="AA6" s="677"/>
      <c r="AB6" s="677"/>
      <c r="AC6" s="677"/>
      <c r="AD6" s="677"/>
      <c r="AE6" s="677"/>
      <c r="AF6" s="692" t="s">
        <v>1870</v>
      </c>
      <c r="AG6" s="693"/>
      <c r="AH6" s="666" t="s">
        <v>5</v>
      </c>
    </row>
    <row r="7" spans="1:34" ht="28.5">
      <c r="A7" s="708"/>
      <c r="B7" s="708"/>
      <c r="C7" s="704"/>
      <c r="D7" s="704"/>
      <c r="E7" s="704"/>
      <c r="F7" s="704"/>
      <c r="G7" s="704"/>
      <c r="H7" s="704"/>
      <c r="I7" s="704"/>
      <c r="J7" s="704"/>
      <c r="K7" s="705"/>
      <c r="L7" s="706"/>
      <c r="M7" s="708"/>
      <c r="N7" s="702"/>
      <c r="O7" s="702"/>
      <c r="P7" s="702"/>
      <c r="Q7" s="702"/>
      <c r="R7" s="702"/>
      <c r="S7" s="702"/>
      <c r="T7" s="711"/>
      <c r="U7" s="691"/>
      <c r="V7" s="258" t="s">
        <v>1871</v>
      </c>
      <c r="W7" s="258" t="s">
        <v>1847</v>
      </c>
      <c r="X7" s="258" t="s">
        <v>1848</v>
      </c>
      <c r="Y7" s="258" t="s">
        <v>1849</v>
      </c>
      <c r="Z7" s="259" t="s">
        <v>1850</v>
      </c>
      <c r="AA7" s="259" t="s">
        <v>1859</v>
      </c>
      <c r="AB7" s="259" t="s">
        <v>1872</v>
      </c>
      <c r="AC7" s="259" t="s">
        <v>1873</v>
      </c>
      <c r="AD7" s="259" t="s">
        <v>1851</v>
      </c>
      <c r="AE7" s="259" t="s">
        <v>1874</v>
      </c>
      <c r="AF7" s="223" t="s">
        <v>1875</v>
      </c>
      <c r="AG7" s="223" t="s">
        <v>1876</v>
      </c>
      <c r="AH7" s="666"/>
    </row>
    <row r="8" spans="1:34" ht="28.5">
      <c r="A8" s="269">
        <v>1</v>
      </c>
      <c r="B8" s="269">
        <v>2</v>
      </c>
      <c r="C8" s="452"/>
      <c r="D8" s="452"/>
      <c r="E8" s="452"/>
      <c r="F8" s="452"/>
      <c r="G8" s="452"/>
      <c r="H8" s="452"/>
      <c r="I8" s="452"/>
      <c r="J8" s="452"/>
      <c r="K8" s="228">
        <v>3</v>
      </c>
      <c r="L8" s="228">
        <v>4</v>
      </c>
      <c r="M8" s="269"/>
      <c r="N8" s="270"/>
      <c r="O8" s="270"/>
      <c r="P8" s="270"/>
      <c r="Q8" s="270"/>
      <c r="R8" s="270"/>
      <c r="S8" s="270"/>
      <c r="T8" s="453">
        <v>5</v>
      </c>
      <c r="U8" s="228">
        <v>6</v>
      </c>
      <c r="V8" s="228">
        <v>7</v>
      </c>
      <c r="W8" s="228">
        <v>8</v>
      </c>
      <c r="X8" s="228">
        <v>9</v>
      </c>
      <c r="Y8" s="228">
        <v>10</v>
      </c>
      <c r="Z8" s="228">
        <v>11</v>
      </c>
      <c r="AA8" s="228">
        <v>12</v>
      </c>
      <c r="AB8" s="228">
        <v>13</v>
      </c>
      <c r="AC8" s="228">
        <v>14</v>
      </c>
      <c r="AD8" s="228">
        <v>15</v>
      </c>
      <c r="AE8" s="228" t="s">
        <v>1877</v>
      </c>
      <c r="AF8" s="228" t="s">
        <v>1878</v>
      </c>
      <c r="AG8" s="228" t="s">
        <v>1879</v>
      </c>
      <c r="AH8" s="228">
        <v>19</v>
      </c>
    </row>
    <row r="9" spans="1:34" s="71" customFormat="1" ht="14.25">
      <c r="A9" s="239" t="s">
        <v>111</v>
      </c>
      <c r="B9" s="240" t="s">
        <v>112</v>
      </c>
      <c r="C9" s="243"/>
      <c r="D9" s="243"/>
      <c r="E9" s="243"/>
      <c r="F9" s="458"/>
      <c r="G9" s="459"/>
      <c r="H9" s="459"/>
      <c r="I9" s="459"/>
      <c r="J9" s="459"/>
      <c r="K9" s="460"/>
      <c r="L9" s="460"/>
      <c r="M9" s="459"/>
      <c r="N9" s="459"/>
      <c r="O9" s="459"/>
      <c r="P9" s="459"/>
      <c r="Q9" s="459"/>
      <c r="R9" s="459"/>
      <c r="S9" s="459"/>
      <c r="T9" s="459"/>
      <c r="U9" s="382"/>
      <c r="V9" s="382"/>
      <c r="W9" s="382"/>
      <c r="X9" s="382"/>
      <c r="Y9" s="382"/>
      <c r="Z9" s="384"/>
      <c r="AA9" s="384"/>
      <c r="AB9" s="384"/>
      <c r="AC9" s="384"/>
      <c r="AD9" s="384"/>
      <c r="AE9" s="384"/>
      <c r="AF9" s="384">
        <f>SUBTOTAL(9,AF10:AF48)</f>
        <v>736700386.96527779</v>
      </c>
      <c r="AG9" s="384">
        <f>SUBTOTAL(9,AG10:AG48)</f>
        <v>736700386.96527779</v>
      </c>
      <c r="AH9" s="382"/>
    </row>
    <row r="10" spans="1:34" s="132" customFormat="1">
      <c r="A10" s="77"/>
      <c r="B10" s="142" t="s">
        <v>1060</v>
      </c>
      <c r="C10" s="28"/>
      <c r="D10" s="28"/>
      <c r="E10" s="28"/>
      <c r="F10" s="28"/>
      <c r="G10" s="28"/>
      <c r="H10" s="28"/>
      <c r="I10" s="28"/>
      <c r="J10" s="28"/>
      <c r="K10" s="18"/>
      <c r="L10" s="32"/>
      <c r="M10" s="77"/>
      <c r="N10" s="135"/>
      <c r="O10" s="135"/>
      <c r="P10" s="135"/>
      <c r="Q10" s="135"/>
      <c r="R10" s="135"/>
      <c r="S10" s="135"/>
      <c r="T10" s="135"/>
      <c r="U10" s="26"/>
      <c r="V10" s="396"/>
      <c r="W10" s="26"/>
      <c r="X10" s="26"/>
      <c r="Y10" s="26"/>
      <c r="Z10" s="66"/>
      <c r="AA10" s="66"/>
      <c r="AB10" s="66"/>
      <c r="AC10" s="66"/>
      <c r="AD10" s="66"/>
      <c r="AE10" s="66"/>
      <c r="AF10" s="66"/>
      <c r="AG10" s="66"/>
      <c r="AH10" s="26"/>
    </row>
    <row r="11" spans="1:34">
      <c r="A11" s="136" t="s">
        <v>1061</v>
      </c>
      <c r="B11" s="142"/>
      <c r="C11" s="77"/>
      <c r="D11" s="77"/>
      <c r="E11" s="77"/>
      <c r="F11" s="77"/>
      <c r="G11" s="77"/>
      <c r="H11" s="77"/>
      <c r="I11" s="77"/>
      <c r="J11" s="77"/>
      <c r="K11" s="16"/>
      <c r="L11" s="33"/>
      <c r="M11" s="77"/>
      <c r="N11" s="77"/>
      <c r="O11" s="77"/>
      <c r="P11" s="77"/>
      <c r="Q11" s="77"/>
      <c r="R11" s="77"/>
      <c r="S11" s="77"/>
      <c r="T11" s="76"/>
      <c r="U11" s="26"/>
      <c r="V11" s="26"/>
      <c r="W11" s="26"/>
      <c r="X11" s="26"/>
      <c r="Y11" s="26"/>
      <c r="Z11" s="66"/>
      <c r="AA11" s="66"/>
      <c r="AB11" s="66"/>
      <c r="AC11" s="66"/>
      <c r="AD11" s="66"/>
      <c r="AE11" s="66"/>
      <c r="AF11" s="66"/>
      <c r="AG11" s="66"/>
      <c r="AH11" s="26"/>
    </row>
    <row r="12" spans="1:34" s="132" customFormat="1">
      <c r="A12" s="136" t="s">
        <v>1062</v>
      </c>
      <c r="B12" s="142"/>
      <c r="C12" s="77"/>
      <c r="D12" s="77"/>
      <c r="E12" s="77"/>
      <c r="F12" s="77"/>
      <c r="G12" s="77"/>
      <c r="H12" s="77"/>
      <c r="I12" s="77"/>
      <c r="J12" s="77"/>
      <c r="K12" s="16"/>
      <c r="L12" s="33"/>
      <c r="M12" s="77"/>
      <c r="N12" s="77"/>
      <c r="O12" s="77"/>
      <c r="P12" s="77"/>
      <c r="Q12" s="77"/>
      <c r="R12" s="77"/>
      <c r="S12" s="77"/>
      <c r="T12" s="77"/>
      <c r="U12" s="26"/>
      <c r="V12" s="26"/>
      <c r="W12" s="26"/>
      <c r="X12" s="26"/>
      <c r="Y12" s="26"/>
      <c r="Z12" s="66"/>
      <c r="AA12" s="66"/>
      <c r="AB12" s="66"/>
      <c r="AC12" s="66"/>
      <c r="AD12" s="66"/>
      <c r="AE12" s="66"/>
      <c r="AF12" s="66"/>
      <c r="AG12" s="66"/>
      <c r="AH12" s="26"/>
    </row>
    <row r="13" spans="1:34" s="132" customFormat="1" ht="45">
      <c r="A13" s="76">
        <v>1</v>
      </c>
      <c r="B13" s="267" t="s">
        <v>1063</v>
      </c>
      <c r="C13" s="137"/>
      <c r="D13" s="137"/>
      <c r="E13" s="137"/>
      <c r="F13" s="137"/>
      <c r="G13" s="137"/>
      <c r="H13" s="137"/>
      <c r="I13" s="137">
        <v>1</v>
      </c>
      <c r="J13" s="137"/>
      <c r="K13" s="16" t="s">
        <v>744</v>
      </c>
      <c r="L13" s="33">
        <v>1</v>
      </c>
      <c r="M13" s="454">
        <v>4.5</v>
      </c>
      <c r="N13" s="137" t="s">
        <v>1065</v>
      </c>
      <c r="O13" s="455" t="s">
        <v>1066</v>
      </c>
      <c r="P13" s="137">
        <v>151</v>
      </c>
      <c r="Q13" s="137" t="s">
        <v>1067</v>
      </c>
      <c r="R13" s="137" t="s">
        <v>1068</v>
      </c>
      <c r="S13" s="137" t="s">
        <v>1069</v>
      </c>
      <c r="T13" s="709" t="s">
        <v>1020</v>
      </c>
      <c r="U13" s="33">
        <v>1</v>
      </c>
      <c r="V13" s="26"/>
      <c r="W13" s="26"/>
      <c r="X13" s="26"/>
      <c r="Y13" s="15" t="s">
        <v>3196</v>
      </c>
      <c r="Z13" s="311">
        <v>0</v>
      </c>
      <c r="AA13" s="311">
        <v>259848.00000000003</v>
      </c>
      <c r="AB13" s="311">
        <v>405891.25</v>
      </c>
      <c r="AC13" s="311">
        <v>365302.125</v>
      </c>
      <c r="AD13" s="311">
        <v>243534.75</v>
      </c>
      <c r="AE13" s="68">
        <f t="shared" ref="AE13" si="0">SUM(Z13:AD13)</f>
        <v>1274576.125</v>
      </c>
      <c r="AF13" s="68">
        <f t="shared" ref="AF13:AF24" si="1">L13*AE13</f>
        <v>1274576.125</v>
      </c>
      <c r="AG13" s="127">
        <f t="shared" ref="AG13:AG24" si="2">U13*AE13</f>
        <v>1274576.125</v>
      </c>
      <c r="AH13" s="26"/>
    </row>
    <row r="14" spans="1:34" s="132" customFormat="1" ht="45">
      <c r="A14" s="76">
        <v>2</v>
      </c>
      <c r="B14" s="267" t="s">
        <v>1063</v>
      </c>
      <c r="C14" s="137"/>
      <c r="D14" s="137"/>
      <c r="E14" s="137">
        <v>1</v>
      </c>
      <c r="F14" s="137">
        <v>4</v>
      </c>
      <c r="G14" s="137">
        <v>2</v>
      </c>
      <c r="H14" s="137">
        <v>8</v>
      </c>
      <c r="I14" s="137">
        <v>3</v>
      </c>
      <c r="J14" s="137"/>
      <c r="K14" s="16" t="s">
        <v>744</v>
      </c>
      <c r="L14" s="33">
        <v>18</v>
      </c>
      <c r="M14" s="454">
        <v>5.6</v>
      </c>
      <c r="N14" s="137" t="s">
        <v>1070</v>
      </c>
      <c r="O14" s="455" t="s">
        <v>1066</v>
      </c>
      <c r="P14" s="137">
        <v>128</v>
      </c>
      <c r="Q14" s="137" t="s">
        <v>1067</v>
      </c>
      <c r="R14" s="137" t="s">
        <v>1068</v>
      </c>
      <c r="S14" s="137" t="s">
        <v>1069</v>
      </c>
      <c r="T14" s="709"/>
      <c r="U14" s="33">
        <v>18</v>
      </c>
      <c r="V14" s="26"/>
      <c r="W14" s="26"/>
      <c r="X14" s="26"/>
      <c r="Y14" s="15" t="s">
        <v>3196</v>
      </c>
      <c r="Z14" s="311">
        <v>0</v>
      </c>
      <c r="AA14" s="311">
        <v>259848.00000000003</v>
      </c>
      <c r="AB14" s="311">
        <v>405891.25</v>
      </c>
      <c r="AC14" s="311">
        <v>365302.125</v>
      </c>
      <c r="AD14" s="311">
        <v>243534.75</v>
      </c>
      <c r="AE14" s="68">
        <f t="shared" ref="AE14:AE24" si="3">SUM(Z14:AD14)</f>
        <v>1274576.125</v>
      </c>
      <c r="AF14" s="68">
        <f t="shared" si="1"/>
        <v>22942370.25</v>
      </c>
      <c r="AG14" s="127">
        <f t="shared" si="2"/>
        <v>22942370.25</v>
      </c>
      <c r="AH14" s="26"/>
    </row>
    <row r="15" spans="1:34" s="132" customFormat="1" ht="45">
      <c r="A15" s="76">
        <v>3</v>
      </c>
      <c r="B15" s="267" t="s">
        <v>1063</v>
      </c>
      <c r="C15" s="137"/>
      <c r="D15" s="137"/>
      <c r="E15" s="137">
        <v>6</v>
      </c>
      <c r="F15" s="137">
        <v>7</v>
      </c>
      <c r="G15" s="137">
        <v>2</v>
      </c>
      <c r="H15" s="137"/>
      <c r="I15" s="137">
        <v>6</v>
      </c>
      <c r="J15" s="137"/>
      <c r="K15" s="16" t="s">
        <v>744</v>
      </c>
      <c r="L15" s="33">
        <v>20</v>
      </c>
      <c r="M15" s="454">
        <v>7.1</v>
      </c>
      <c r="N15" s="137" t="s">
        <v>1071</v>
      </c>
      <c r="O15" s="455" t="s">
        <v>1066</v>
      </c>
      <c r="P15" s="137">
        <v>138</v>
      </c>
      <c r="Q15" s="137" t="s">
        <v>1067</v>
      </c>
      <c r="R15" s="137" t="s">
        <v>1068</v>
      </c>
      <c r="S15" s="137" t="s">
        <v>1069</v>
      </c>
      <c r="T15" s="709"/>
      <c r="U15" s="33">
        <v>20</v>
      </c>
      <c r="V15" s="26"/>
      <c r="W15" s="26"/>
      <c r="X15" s="26"/>
      <c r="Y15" s="15" t="s">
        <v>3196</v>
      </c>
      <c r="Z15" s="311">
        <v>0</v>
      </c>
      <c r="AA15" s="311">
        <v>259848.00000000003</v>
      </c>
      <c r="AB15" s="311">
        <v>415644.375</v>
      </c>
      <c r="AC15" s="311">
        <v>374079.9375</v>
      </c>
      <c r="AD15" s="311">
        <v>249386.625</v>
      </c>
      <c r="AE15" s="68">
        <f t="shared" si="3"/>
        <v>1298958.9375</v>
      </c>
      <c r="AF15" s="68">
        <f t="shared" si="1"/>
        <v>25979178.75</v>
      </c>
      <c r="AG15" s="127">
        <f t="shared" si="2"/>
        <v>25979178.75</v>
      </c>
      <c r="AH15" s="26"/>
    </row>
    <row r="16" spans="1:34" s="132" customFormat="1" ht="45">
      <c r="A16" s="76">
        <v>4</v>
      </c>
      <c r="B16" s="267" t="s">
        <v>1063</v>
      </c>
      <c r="C16" s="137"/>
      <c r="D16" s="137"/>
      <c r="E16" s="137">
        <v>2</v>
      </c>
      <c r="F16" s="137">
        <v>11</v>
      </c>
      <c r="G16" s="137">
        <v>7</v>
      </c>
      <c r="H16" s="137">
        <v>8</v>
      </c>
      <c r="I16" s="137">
        <v>8</v>
      </c>
      <c r="J16" s="137"/>
      <c r="K16" s="16" t="s">
        <v>744</v>
      </c>
      <c r="L16" s="33">
        <v>34</v>
      </c>
      <c r="M16" s="454">
        <v>9</v>
      </c>
      <c r="N16" s="137" t="s">
        <v>1072</v>
      </c>
      <c r="O16" s="455" t="s">
        <v>1066</v>
      </c>
      <c r="P16" s="137">
        <v>185</v>
      </c>
      <c r="Q16" s="137" t="s">
        <v>1067</v>
      </c>
      <c r="R16" s="137" t="s">
        <v>1068</v>
      </c>
      <c r="S16" s="137" t="s">
        <v>1069</v>
      </c>
      <c r="T16" s="709"/>
      <c r="U16" s="33">
        <v>34</v>
      </c>
      <c r="V16" s="26"/>
      <c r="W16" s="26"/>
      <c r="X16" s="26"/>
      <c r="Y16" s="15" t="s">
        <v>3196</v>
      </c>
      <c r="Z16" s="311">
        <v>0</v>
      </c>
      <c r="AA16" s="311">
        <v>259848.00000000003</v>
      </c>
      <c r="AB16" s="311">
        <v>425397.5</v>
      </c>
      <c r="AC16" s="311">
        <v>382857.75</v>
      </c>
      <c r="AD16" s="311">
        <v>255238.5</v>
      </c>
      <c r="AE16" s="68">
        <f t="shared" si="3"/>
        <v>1323341.75</v>
      </c>
      <c r="AF16" s="68">
        <f t="shared" si="1"/>
        <v>44993619.5</v>
      </c>
      <c r="AG16" s="127">
        <f t="shared" si="2"/>
        <v>44993619.5</v>
      </c>
      <c r="AH16" s="26"/>
    </row>
    <row r="17" spans="1:34" s="132" customFormat="1" ht="45">
      <c r="A17" s="76">
        <v>5</v>
      </c>
      <c r="B17" s="267" t="s">
        <v>1063</v>
      </c>
      <c r="C17" s="137"/>
      <c r="D17" s="137"/>
      <c r="E17" s="137">
        <v>8</v>
      </c>
      <c r="F17" s="137">
        <v>10</v>
      </c>
      <c r="G17" s="137">
        <v>16</v>
      </c>
      <c r="H17" s="137">
        <v>13</v>
      </c>
      <c r="I17" s="137">
        <v>3</v>
      </c>
      <c r="J17" s="137"/>
      <c r="K17" s="16" t="s">
        <v>744</v>
      </c>
      <c r="L17" s="33">
        <v>51</v>
      </c>
      <c r="M17" s="454">
        <v>11.2</v>
      </c>
      <c r="N17" s="137" t="s">
        <v>1073</v>
      </c>
      <c r="O17" s="455" t="s">
        <v>1066</v>
      </c>
      <c r="P17" s="137">
        <v>215</v>
      </c>
      <c r="Q17" s="137" t="s">
        <v>1067</v>
      </c>
      <c r="R17" s="137" t="s">
        <v>1068</v>
      </c>
      <c r="S17" s="137" t="s">
        <v>1069</v>
      </c>
      <c r="T17" s="709"/>
      <c r="U17" s="33">
        <v>51</v>
      </c>
      <c r="V17" s="26"/>
      <c r="W17" s="26"/>
      <c r="X17" s="26"/>
      <c r="Y17" s="15" t="s">
        <v>3196</v>
      </c>
      <c r="Z17" s="311">
        <v>0</v>
      </c>
      <c r="AA17" s="311">
        <v>259848.00000000003</v>
      </c>
      <c r="AB17" s="311">
        <v>535970</v>
      </c>
      <c r="AC17" s="311">
        <v>482373</v>
      </c>
      <c r="AD17" s="311">
        <v>321582</v>
      </c>
      <c r="AE17" s="68">
        <f t="shared" si="3"/>
        <v>1599773</v>
      </c>
      <c r="AF17" s="68">
        <f t="shared" si="1"/>
        <v>81588423</v>
      </c>
      <c r="AG17" s="127">
        <f t="shared" si="2"/>
        <v>81588423</v>
      </c>
      <c r="AH17" s="26"/>
    </row>
    <row r="18" spans="1:34" ht="45">
      <c r="A18" s="76">
        <v>6</v>
      </c>
      <c r="B18" s="267" t="s">
        <v>1063</v>
      </c>
      <c r="C18" s="137"/>
      <c r="D18" s="137"/>
      <c r="E18" s="137">
        <v>1</v>
      </c>
      <c r="F18" s="137">
        <v>4</v>
      </c>
      <c r="G18" s="137">
        <v>4</v>
      </c>
      <c r="H18" s="137">
        <v>4</v>
      </c>
      <c r="I18" s="137">
        <v>2</v>
      </c>
      <c r="J18" s="137"/>
      <c r="K18" s="16" t="s">
        <v>744</v>
      </c>
      <c r="L18" s="33">
        <v>16</v>
      </c>
      <c r="M18" s="454">
        <v>14</v>
      </c>
      <c r="N18" s="137" t="s">
        <v>1074</v>
      </c>
      <c r="O18" s="455" t="s">
        <v>1066</v>
      </c>
      <c r="P18" s="137">
        <v>284</v>
      </c>
      <c r="Q18" s="137" t="s">
        <v>1067</v>
      </c>
      <c r="R18" s="137" t="s">
        <v>1068</v>
      </c>
      <c r="S18" s="137" t="s">
        <v>1069</v>
      </c>
      <c r="T18" s="709"/>
      <c r="U18" s="33">
        <v>16</v>
      </c>
      <c r="V18" s="26"/>
      <c r="W18" s="26"/>
      <c r="X18" s="26"/>
      <c r="Y18" s="15" t="s">
        <v>3196</v>
      </c>
      <c r="Z18" s="311">
        <v>0</v>
      </c>
      <c r="AA18" s="311">
        <v>259848.00000000003</v>
      </c>
      <c r="AB18" s="311">
        <v>619171.875</v>
      </c>
      <c r="AC18" s="311">
        <v>557254.6875</v>
      </c>
      <c r="AD18" s="311">
        <v>371503.125</v>
      </c>
      <c r="AE18" s="68">
        <f t="shared" si="3"/>
        <v>1807777.6875</v>
      </c>
      <c r="AF18" s="68">
        <f t="shared" si="1"/>
        <v>28924443</v>
      </c>
      <c r="AG18" s="127">
        <f t="shared" si="2"/>
        <v>28924443</v>
      </c>
      <c r="AH18" s="26"/>
    </row>
    <row r="19" spans="1:34" ht="45">
      <c r="A19" s="76">
        <v>7</v>
      </c>
      <c r="B19" s="267" t="s">
        <v>1063</v>
      </c>
      <c r="C19" s="137"/>
      <c r="D19" s="137"/>
      <c r="E19" s="137">
        <v>1</v>
      </c>
      <c r="F19" s="137">
        <v>21</v>
      </c>
      <c r="G19" s="137">
        <v>28</v>
      </c>
      <c r="H19" s="137">
        <v>19</v>
      </c>
      <c r="I19" s="137">
        <v>17</v>
      </c>
      <c r="J19" s="137"/>
      <c r="K19" s="16" t="s">
        <v>744</v>
      </c>
      <c r="L19" s="33">
        <v>85</v>
      </c>
      <c r="M19" s="454">
        <v>16</v>
      </c>
      <c r="N19" s="137" t="s">
        <v>1075</v>
      </c>
      <c r="O19" s="455" t="s">
        <v>1066</v>
      </c>
      <c r="P19" s="137">
        <v>405</v>
      </c>
      <c r="Q19" s="137" t="s">
        <v>1067</v>
      </c>
      <c r="R19" s="137" t="s">
        <v>1068</v>
      </c>
      <c r="S19" s="137" t="s">
        <v>1069</v>
      </c>
      <c r="T19" s="709"/>
      <c r="U19" s="33">
        <v>85</v>
      </c>
      <c r="V19" s="26"/>
      <c r="W19" s="26"/>
      <c r="X19" s="26"/>
      <c r="Y19" s="15" t="s">
        <v>3196</v>
      </c>
      <c r="Z19" s="311">
        <v>0</v>
      </c>
      <c r="AA19" s="311">
        <v>259848.00000000003</v>
      </c>
      <c r="AB19" s="311">
        <v>702373.75</v>
      </c>
      <c r="AC19" s="311">
        <v>632136.375</v>
      </c>
      <c r="AD19" s="311">
        <v>421424.25</v>
      </c>
      <c r="AE19" s="68">
        <f t="shared" si="3"/>
        <v>2015782.375</v>
      </c>
      <c r="AF19" s="68">
        <f t="shared" si="1"/>
        <v>171341501.875</v>
      </c>
      <c r="AG19" s="127">
        <f t="shared" si="2"/>
        <v>171341501.875</v>
      </c>
      <c r="AH19" s="26"/>
    </row>
    <row r="20" spans="1:34" ht="45">
      <c r="A20" s="76">
        <v>8</v>
      </c>
      <c r="B20" s="267" t="s">
        <v>1063</v>
      </c>
      <c r="C20" s="137"/>
      <c r="D20" s="137"/>
      <c r="E20" s="137">
        <v>8</v>
      </c>
      <c r="F20" s="137"/>
      <c r="G20" s="137"/>
      <c r="H20" s="137"/>
      <c r="I20" s="137">
        <v>6</v>
      </c>
      <c r="J20" s="137"/>
      <c r="K20" s="16" t="s">
        <v>744</v>
      </c>
      <c r="L20" s="33">
        <v>14</v>
      </c>
      <c r="M20" s="454">
        <v>22.4</v>
      </c>
      <c r="N20" s="137" t="s">
        <v>1075</v>
      </c>
      <c r="O20" s="455" t="s">
        <v>1066</v>
      </c>
      <c r="P20" s="137">
        <v>405</v>
      </c>
      <c r="Q20" s="137" t="s">
        <v>1067</v>
      </c>
      <c r="R20" s="137" t="s">
        <v>1068</v>
      </c>
      <c r="S20" s="137" t="s">
        <v>1069</v>
      </c>
      <c r="T20" s="709"/>
      <c r="U20" s="33">
        <v>14</v>
      </c>
      <c r="V20" s="26"/>
      <c r="W20" s="26"/>
      <c r="X20" s="26"/>
      <c r="Y20" s="15" t="s">
        <v>3196</v>
      </c>
      <c r="Z20" s="311">
        <v>0</v>
      </c>
      <c r="AA20" s="311">
        <v>259848.00000000003</v>
      </c>
      <c r="AB20" s="311">
        <v>880343.75</v>
      </c>
      <c r="AC20" s="311">
        <v>792309.375</v>
      </c>
      <c r="AD20" s="311">
        <v>528206.25</v>
      </c>
      <c r="AE20" s="68">
        <f t="shared" si="3"/>
        <v>2460707.375</v>
      </c>
      <c r="AF20" s="68">
        <f t="shared" si="1"/>
        <v>34449903.25</v>
      </c>
      <c r="AG20" s="127">
        <f t="shared" si="2"/>
        <v>34449903.25</v>
      </c>
      <c r="AH20" s="26"/>
    </row>
    <row r="21" spans="1:34" ht="45">
      <c r="A21" s="76">
        <v>9</v>
      </c>
      <c r="B21" s="267" t="s">
        <v>1076</v>
      </c>
      <c r="C21" s="137"/>
      <c r="D21" s="137"/>
      <c r="E21" s="137"/>
      <c r="F21" s="137"/>
      <c r="G21" s="137"/>
      <c r="H21" s="137"/>
      <c r="I21" s="137">
        <v>1</v>
      </c>
      <c r="J21" s="137"/>
      <c r="K21" s="16" t="s">
        <v>744</v>
      </c>
      <c r="L21" s="33">
        <v>1</v>
      </c>
      <c r="M21" s="454">
        <v>2.2000000000000002</v>
      </c>
      <c r="N21" s="137" t="s">
        <v>1075</v>
      </c>
      <c r="O21" s="455" t="s">
        <v>1066</v>
      </c>
      <c r="P21" s="137">
        <v>405</v>
      </c>
      <c r="Q21" s="137" t="s">
        <v>1067</v>
      </c>
      <c r="R21" s="137" t="s">
        <v>1068</v>
      </c>
      <c r="S21" s="137" t="s">
        <v>1069</v>
      </c>
      <c r="T21" s="709"/>
      <c r="U21" s="33">
        <v>1</v>
      </c>
      <c r="V21" s="26"/>
      <c r="W21" s="26"/>
      <c r="X21" s="26"/>
      <c r="Y21" s="15" t="s">
        <v>3196</v>
      </c>
      <c r="Z21" s="311">
        <v>0</v>
      </c>
      <c r="AA21" s="311">
        <v>0</v>
      </c>
      <c r="AB21" s="311">
        <v>262431.25</v>
      </c>
      <c r="AC21" s="311">
        <v>236188.125</v>
      </c>
      <c r="AD21" s="311">
        <v>157458.75</v>
      </c>
      <c r="AE21" s="68">
        <f t="shared" si="3"/>
        <v>656078.125</v>
      </c>
      <c r="AF21" s="68">
        <f t="shared" si="1"/>
        <v>656078.125</v>
      </c>
      <c r="AG21" s="127">
        <f t="shared" si="2"/>
        <v>656078.125</v>
      </c>
      <c r="AH21" s="26"/>
    </row>
    <row r="22" spans="1:34" ht="45">
      <c r="A22" s="76">
        <v>10</v>
      </c>
      <c r="B22" s="267" t="s">
        <v>1077</v>
      </c>
      <c r="C22" s="137"/>
      <c r="D22" s="137"/>
      <c r="E22" s="137"/>
      <c r="F22" s="137"/>
      <c r="G22" s="137"/>
      <c r="H22" s="137"/>
      <c r="I22" s="137">
        <v>1</v>
      </c>
      <c r="J22" s="137"/>
      <c r="K22" s="16" t="s">
        <v>744</v>
      </c>
      <c r="L22" s="33">
        <v>1</v>
      </c>
      <c r="M22" s="454">
        <v>2.2000000000000002</v>
      </c>
      <c r="N22" s="137" t="s">
        <v>1078</v>
      </c>
      <c r="O22" s="455" t="s">
        <v>1066</v>
      </c>
      <c r="P22" s="137">
        <v>60</v>
      </c>
      <c r="Q22" s="137" t="s">
        <v>1067</v>
      </c>
      <c r="R22" s="137" t="s">
        <v>1068</v>
      </c>
      <c r="S22" s="137" t="s">
        <v>1069</v>
      </c>
      <c r="T22" s="709"/>
      <c r="U22" s="33">
        <v>1</v>
      </c>
      <c r="V22" s="26"/>
      <c r="W22" s="26"/>
      <c r="X22" s="26"/>
      <c r="Y22" s="15" t="s">
        <v>3196</v>
      </c>
      <c r="Z22" s="311">
        <v>0</v>
      </c>
      <c r="AA22" s="311">
        <v>259848.00000000003</v>
      </c>
      <c r="AB22" s="311">
        <v>405891.25</v>
      </c>
      <c r="AC22" s="311">
        <v>365302.125</v>
      </c>
      <c r="AD22" s="311">
        <v>243534.75</v>
      </c>
      <c r="AE22" s="68">
        <f t="shared" si="3"/>
        <v>1274576.125</v>
      </c>
      <c r="AF22" s="68">
        <f t="shared" si="1"/>
        <v>1274576.125</v>
      </c>
      <c r="AG22" s="127">
        <f t="shared" si="2"/>
        <v>1274576.125</v>
      </c>
      <c r="AH22" s="26"/>
    </row>
    <row r="23" spans="1:34" ht="45">
      <c r="A23" s="76">
        <v>11</v>
      </c>
      <c r="B23" s="267" t="s">
        <v>1077</v>
      </c>
      <c r="C23" s="137"/>
      <c r="D23" s="137"/>
      <c r="E23" s="137"/>
      <c r="F23" s="137"/>
      <c r="G23" s="137"/>
      <c r="H23" s="137"/>
      <c r="I23" s="137">
        <v>1</v>
      </c>
      <c r="J23" s="137"/>
      <c r="K23" s="16" t="s">
        <v>744</v>
      </c>
      <c r="L23" s="33">
        <v>1</v>
      </c>
      <c r="M23" s="454">
        <v>7.1</v>
      </c>
      <c r="N23" s="137" t="s">
        <v>1075</v>
      </c>
      <c r="O23" s="455" t="s">
        <v>1066</v>
      </c>
      <c r="P23" s="137">
        <v>405</v>
      </c>
      <c r="Q23" s="137" t="s">
        <v>1067</v>
      </c>
      <c r="R23" s="137" t="s">
        <v>1068</v>
      </c>
      <c r="S23" s="137" t="s">
        <v>1069</v>
      </c>
      <c r="T23" s="709"/>
      <c r="U23" s="33">
        <v>1</v>
      </c>
      <c r="V23" s="26"/>
      <c r="W23" s="26"/>
      <c r="X23" s="26"/>
      <c r="Y23" s="15" t="s">
        <v>3196</v>
      </c>
      <c r="Z23" s="311">
        <v>0</v>
      </c>
      <c r="AA23" s="311">
        <v>259848.00000000003</v>
      </c>
      <c r="AB23" s="311">
        <v>415644.375</v>
      </c>
      <c r="AC23" s="311">
        <v>374079.9375</v>
      </c>
      <c r="AD23" s="311">
        <v>249386.625</v>
      </c>
      <c r="AE23" s="68">
        <f t="shared" si="3"/>
        <v>1298958.9375</v>
      </c>
      <c r="AF23" s="68">
        <f t="shared" si="1"/>
        <v>1298958.9375</v>
      </c>
      <c r="AG23" s="127">
        <f t="shared" si="2"/>
        <v>1298958.9375</v>
      </c>
      <c r="AH23" s="26"/>
    </row>
    <row r="24" spans="1:34" ht="45">
      <c r="A24" s="76">
        <v>12</v>
      </c>
      <c r="B24" s="267" t="s">
        <v>1077</v>
      </c>
      <c r="C24" s="137"/>
      <c r="D24" s="137"/>
      <c r="E24" s="137"/>
      <c r="F24" s="137"/>
      <c r="G24" s="137"/>
      <c r="H24" s="137"/>
      <c r="I24" s="137">
        <v>2</v>
      </c>
      <c r="J24" s="137"/>
      <c r="K24" s="16" t="s">
        <v>744</v>
      </c>
      <c r="L24" s="33">
        <v>2</v>
      </c>
      <c r="M24" s="454">
        <v>14</v>
      </c>
      <c r="N24" s="137" t="s">
        <v>1075</v>
      </c>
      <c r="O24" s="455" t="s">
        <v>1066</v>
      </c>
      <c r="P24" s="137">
        <v>405</v>
      </c>
      <c r="Q24" s="137" t="s">
        <v>1067</v>
      </c>
      <c r="R24" s="137" t="s">
        <v>1068</v>
      </c>
      <c r="S24" s="137" t="s">
        <v>1069</v>
      </c>
      <c r="T24" s="709"/>
      <c r="U24" s="33">
        <v>2</v>
      </c>
      <c r="V24" s="26"/>
      <c r="W24" s="26"/>
      <c r="X24" s="26"/>
      <c r="Y24" s="15" t="s">
        <v>3196</v>
      </c>
      <c r="Z24" s="311">
        <v>0</v>
      </c>
      <c r="AA24" s="311">
        <v>259848.00000000003</v>
      </c>
      <c r="AB24" s="311">
        <v>619171.875</v>
      </c>
      <c r="AC24" s="311">
        <v>557254.6875</v>
      </c>
      <c r="AD24" s="311">
        <v>371503.125</v>
      </c>
      <c r="AE24" s="68">
        <f t="shared" si="3"/>
        <v>1807777.6875</v>
      </c>
      <c r="AF24" s="68">
        <f t="shared" si="1"/>
        <v>3615555.375</v>
      </c>
      <c r="AG24" s="127">
        <f t="shared" si="2"/>
        <v>3615555.375</v>
      </c>
      <c r="AH24" s="26"/>
    </row>
    <row r="25" spans="1:34" s="132" customFormat="1">
      <c r="A25" s="136" t="s">
        <v>1079</v>
      </c>
      <c r="B25" s="134"/>
      <c r="C25" s="136"/>
      <c r="D25" s="136"/>
      <c r="E25" s="136"/>
      <c r="F25" s="136"/>
      <c r="G25" s="136"/>
      <c r="H25" s="136"/>
      <c r="I25" s="136"/>
      <c r="J25" s="136"/>
      <c r="K25" s="136"/>
      <c r="L25" s="136"/>
      <c r="M25" s="136"/>
      <c r="N25" s="136"/>
      <c r="O25" s="136"/>
      <c r="P25" s="136"/>
      <c r="Q25" s="136"/>
      <c r="R25" s="136"/>
      <c r="S25" s="136"/>
      <c r="T25" s="77"/>
      <c r="U25" s="136"/>
      <c r="V25" s="26"/>
      <c r="W25" s="26"/>
      <c r="X25" s="26"/>
      <c r="Y25" s="26"/>
      <c r="Z25" s="311"/>
      <c r="AA25" s="311"/>
      <c r="AB25" s="311"/>
      <c r="AC25" s="311"/>
      <c r="AD25" s="311"/>
      <c r="AE25" s="68"/>
      <c r="AF25" s="68"/>
      <c r="AG25" s="127"/>
      <c r="AH25" s="26"/>
    </row>
    <row r="26" spans="1:34" s="132" customFormat="1" ht="30">
      <c r="A26" s="76">
        <v>1</v>
      </c>
      <c r="B26" s="267" t="s">
        <v>1080</v>
      </c>
      <c r="C26" s="137"/>
      <c r="D26" s="137"/>
      <c r="E26" s="137">
        <v>1</v>
      </c>
      <c r="F26" s="137"/>
      <c r="G26" s="137"/>
      <c r="H26" s="137"/>
      <c r="I26" s="137"/>
      <c r="J26" s="137"/>
      <c r="K26" s="16" t="s">
        <v>744</v>
      </c>
      <c r="L26" s="33">
        <v>1</v>
      </c>
      <c r="M26" s="454">
        <v>61.5</v>
      </c>
      <c r="N26" s="455" t="s">
        <v>1064</v>
      </c>
      <c r="O26" s="455" t="s">
        <v>1064</v>
      </c>
      <c r="P26" s="137">
        <v>16100</v>
      </c>
      <c r="Q26" s="137" t="s">
        <v>1081</v>
      </c>
      <c r="R26" s="137" t="s">
        <v>1068</v>
      </c>
      <c r="S26" s="137" t="s">
        <v>1082</v>
      </c>
      <c r="T26" s="712" t="s">
        <v>1020</v>
      </c>
      <c r="U26" s="33">
        <v>1</v>
      </c>
      <c r="V26" s="26"/>
      <c r="W26" s="26"/>
      <c r="X26" s="26"/>
      <c r="Y26" s="15" t="s">
        <v>3196</v>
      </c>
      <c r="Z26" s="311">
        <v>0</v>
      </c>
      <c r="AA26" s="311">
        <v>2154600</v>
      </c>
      <c r="AB26" s="311">
        <v>1972731.6666666665</v>
      </c>
      <c r="AC26" s="311">
        <v>1775458.5</v>
      </c>
      <c r="AD26" s="311">
        <v>1183638.9999999998</v>
      </c>
      <c r="AE26" s="68">
        <f t="shared" ref="AE26:AE39" si="4">SUM(Z26:AD26)</f>
        <v>7086429.166666666</v>
      </c>
      <c r="AF26" s="68">
        <f t="shared" ref="AF26:AF39" si="5">L26*AE26</f>
        <v>7086429.166666666</v>
      </c>
      <c r="AG26" s="127">
        <f t="shared" ref="AG26:AG39" si="6">U26*AE26</f>
        <v>7086429.166666666</v>
      </c>
      <c r="AH26" s="26"/>
    </row>
    <row r="27" spans="1:34" s="132" customFormat="1" ht="30">
      <c r="A27" s="76">
        <v>2</v>
      </c>
      <c r="B27" s="267" t="s">
        <v>1083</v>
      </c>
      <c r="C27" s="137"/>
      <c r="D27" s="137"/>
      <c r="E27" s="137">
        <v>1</v>
      </c>
      <c r="F27" s="137"/>
      <c r="G27" s="137"/>
      <c r="H27" s="137"/>
      <c r="I27" s="137"/>
      <c r="J27" s="137"/>
      <c r="K27" s="16" t="s">
        <v>744</v>
      </c>
      <c r="L27" s="33">
        <v>1</v>
      </c>
      <c r="M27" s="454">
        <v>67</v>
      </c>
      <c r="N27" s="455" t="s">
        <v>1064</v>
      </c>
      <c r="O27" s="455" t="s">
        <v>1064</v>
      </c>
      <c r="P27" s="137">
        <v>17800</v>
      </c>
      <c r="Q27" s="137" t="s">
        <v>1081</v>
      </c>
      <c r="R27" s="137" t="s">
        <v>1068</v>
      </c>
      <c r="S27" s="137" t="s">
        <v>1082</v>
      </c>
      <c r="T27" s="712"/>
      <c r="U27" s="33">
        <v>1</v>
      </c>
      <c r="V27" s="26"/>
      <c r="W27" s="26"/>
      <c r="X27" s="26"/>
      <c r="Y27" s="15" t="s">
        <v>3196</v>
      </c>
      <c r="Z27" s="311">
        <v>0</v>
      </c>
      <c r="AA27" s="311">
        <v>2154600</v>
      </c>
      <c r="AB27" s="311">
        <v>2465914.4444444445</v>
      </c>
      <c r="AC27" s="311">
        <v>2219323</v>
      </c>
      <c r="AD27" s="311">
        <v>1479548.6666666667</v>
      </c>
      <c r="AE27" s="68">
        <f t="shared" si="4"/>
        <v>8319386.111111111</v>
      </c>
      <c r="AF27" s="68">
        <f t="shared" si="5"/>
        <v>8319386.111111111</v>
      </c>
      <c r="AG27" s="127">
        <f t="shared" si="6"/>
        <v>8319386.111111111</v>
      </c>
      <c r="AH27" s="26"/>
    </row>
    <row r="28" spans="1:34" s="132" customFormat="1" ht="30">
      <c r="A28" s="76">
        <v>3</v>
      </c>
      <c r="B28" s="267" t="s">
        <v>1084</v>
      </c>
      <c r="C28" s="137"/>
      <c r="D28" s="137"/>
      <c r="E28" s="137">
        <v>1</v>
      </c>
      <c r="F28" s="137"/>
      <c r="G28" s="137"/>
      <c r="H28" s="137"/>
      <c r="I28" s="137"/>
      <c r="J28" s="137"/>
      <c r="K28" s="16" t="s">
        <v>744</v>
      </c>
      <c r="L28" s="33">
        <v>1</v>
      </c>
      <c r="M28" s="454">
        <v>73.5</v>
      </c>
      <c r="N28" s="455" t="s">
        <v>1064</v>
      </c>
      <c r="O28" s="455" t="s">
        <v>1064</v>
      </c>
      <c r="P28" s="137">
        <v>19900</v>
      </c>
      <c r="Q28" s="137" t="s">
        <v>1081</v>
      </c>
      <c r="R28" s="137" t="s">
        <v>1068</v>
      </c>
      <c r="S28" s="137" t="s">
        <v>1082</v>
      </c>
      <c r="T28" s="712"/>
      <c r="U28" s="33">
        <v>1</v>
      </c>
      <c r="V28" s="26"/>
      <c r="W28" s="26"/>
      <c r="X28" s="26"/>
      <c r="Y28" s="15" t="s">
        <v>3196</v>
      </c>
      <c r="Z28" s="311">
        <v>0</v>
      </c>
      <c r="AA28" s="311">
        <v>2154600</v>
      </c>
      <c r="AB28" s="311">
        <v>2465914.4444444445</v>
      </c>
      <c r="AC28" s="311">
        <v>2219323</v>
      </c>
      <c r="AD28" s="311">
        <v>1479548.6666666667</v>
      </c>
      <c r="AE28" s="68">
        <f t="shared" si="4"/>
        <v>8319386.111111111</v>
      </c>
      <c r="AF28" s="68">
        <f t="shared" si="5"/>
        <v>8319386.111111111</v>
      </c>
      <c r="AG28" s="127">
        <f t="shared" si="6"/>
        <v>8319386.111111111</v>
      </c>
      <c r="AH28" s="26"/>
    </row>
    <row r="29" spans="1:34" s="132" customFormat="1" ht="30">
      <c r="A29" s="76">
        <v>4</v>
      </c>
      <c r="B29" s="267" t="s">
        <v>1085</v>
      </c>
      <c r="C29" s="137"/>
      <c r="D29" s="137"/>
      <c r="E29" s="137"/>
      <c r="F29" s="137"/>
      <c r="G29" s="137"/>
      <c r="H29" s="137">
        <v>1</v>
      </c>
      <c r="I29" s="137"/>
      <c r="J29" s="137"/>
      <c r="K29" s="16" t="s">
        <v>744</v>
      </c>
      <c r="L29" s="33">
        <v>1</v>
      </c>
      <c r="M29" s="454">
        <v>90</v>
      </c>
      <c r="N29" s="455" t="s">
        <v>1064</v>
      </c>
      <c r="O29" s="455" t="s">
        <v>1064</v>
      </c>
      <c r="P29" s="137">
        <v>25800</v>
      </c>
      <c r="Q29" s="137" t="s">
        <v>1081</v>
      </c>
      <c r="R29" s="137" t="s">
        <v>1068</v>
      </c>
      <c r="S29" s="137" t="s">
        <v>1082</v>
      </c>
      <c r="T29" s="712"/>
      <c r="U29" s="33">
        <v>1</v>
      </c>
      <c r="V29" s="26"/>
      <c r="W29" s="26"/>
      <c r="X29" s="26"/>
      <c r="Y29" s="15" t="s">
        <v>3196</v>
      </c>
      <c r="Z29" s="311">
        <v>0</v>
      </c>
      <c r="AA29" s="311">
        <v>2154600</v>
      </c>
      <c r="AB29" s="311">
        <v>2860461.111111111</v>
      </c>
      <c r="AC29" s="311">
        <v>2574415</v>
      </c>
      <c r="AD29" s="311">
        <v>1716276.6666666665</v>
      </c>
      <c r="AE29" s="68">
        <f t="shared" si="4"/>
        <v>9305752.777777778</v>
      </c>
      <c r="AF29" s="68">
        <f t="shared" si="5"/>
        <v>9305752.777777778</v>
      </c>
      <c r="AG29" s="127">
        <f t="shared" si="6"/>
        <v>9305752.777777778</v>
      </c>
      <c r="AH29" s="26"/>
    </row>
    <row r="30" spans="1:34" s="132" customFormat="1" ht="30">
      <c r="A30" s="76">
        <v>5</v>
      </c>
      <c r="B30" s="267" t="s">
        <v>1086</v>
      </c>
      <c r="C30" s="137"/>
      <c r="D30" s="137"/>
      <c r="E30" s="137"/>
      <c r="F30" s="137"/>
      <c r="G30" s="137"/>
      <c r="H30" s="137"/>
      <c r="I30" s="137">
        <v>1</v>
      </c>
      <c r="J30" s="137"/>
      <c r="K30" s="16" t="s">
        <v>744</v>
      </c>
      <c r="L30" s="33">
        <v>1</v>
      </c>
      <c r="M30" s="454">
        <v>95</v>
      </c>
      <c r="N30" s="455" t="s">
        <v>1064</v>
      </c>
      <c r="O30" s="455" t="s">
        <v>1064</v>
      </c>
      <c r="P30" s="137">
        <v>28200</v>
      </c>
      <c r="Q30" s="137" t="s">
        <v>1081</v>
      </c>
      <c r="R30" s="137" t="s">
        <v>1068</v>
      </c>
      <c r="S30" s="137" t="s">
        <v>1082</v>
      </c>
      <c r="T30" s="712"/>
      <c r="U30" s="33">
        <v>1</v>
      </c>
      <c r="V30" s="26"/>
      <c r="W30" s="26"/>
      <c r="X30" s="26"/>
      <c r="Y30" s="15" t="s">
        <v>3196</v>
      </c>
      <c r="Z30" s="311">
        <v>0</v>
      </c>
      <c r="AA30" s="311">
        <v>2154600</v>
      </c>
      <c r="AB30" s="311">
        <v>3255007.7777777775</v>
      </c>
      <c r="AC30" s="311">
        <v>2929507</v>
      </c>
      <c r="AD30" s="311">
        <v>1953004.6666666665</v>
      </c>
      <c r="AE30" s="68">
        <f t="shared" si="4"/>
        <v>10292119.444444444</v>
      </c>
      <c r="AF30" s="68">
        <f t="shared" si="5"/>
        <v>10292119.444444444</v>
      </c>
      <c r="AG30" s="127">
        <f t="shared" si="6"/>
        <v>10292119.444444444</v>
      </c>
      <c r="AH30" s="26"/>
    </row>
    <row r="31" spans="1:34" s="132" customFormat="1" ht="30">
      <c r="A31" s="76">
        <v>6</v>
      </c>
      <c r="B31" s="267" t="s">
        <v>1087</v>
      </c>
      <c r="C31" s="137"/>
      <c r="D31" s="137"/>
      <c r="E31" s="137"/>
      <c r="F31" s="137"/>
      <c r="G31" s="137"/>
      <c r="H31" s="137">
        <v>2</v>
      </c>
      <c r="I31" s="137"/>
      <c r="J31" s="137"/>
      <c r="K31" s="16" t="s">
        <v>744</v>
      </c>
      <c r="L31" s="33">
        <v>2</v>
      </c>
      <c r="M31" s="454">
        <v>101</v>
      </c>
      <c r="N31" s="455" t="s">
        <v>1064</v>
      </c>
      <c r="O31" s="455" t="s">
        <v>1064</v>
      </c>
      <c r="P31" s="137">
        <v>30600</v>
      </c>
      <c r="Q31" s="137" t="s">
        <v>1081</v>
      </c>
      <c r="R31" s="137" t="s">
        <v>1068</v>
      </c>
      <c r="S31" s="137" t="s">
        <v>1082</v>
      </c>
      <c r="T31" s="712"/>
      <c r="U31" s="33">
        <v>2</v>
      </c>
      <c r="V31" s="327"/>
      <c r="W31" s="327"/>
      <c r="X31" s="327"/>
      <c r="Y31" s="15" t="s">
        <v>3196</v>
      </c>
      <c r="Z31" s="311">
        <v>0</v>
      </c>
      <c r="AA31" s="311">
        <v>2154600</v>
      </c>
      <c r="AB31" s="311">
        <v>3255007.7777777775</v>
      </c>
      <c r="AC31" s="311">
        <v>2929507</v>
      </c>
      <c r="AD31" s="311">
        <v>1953004.6666666665</v>
      </c>
      <c r="AE31" s="68">
        <f t="shared" si="4"/>
        <v>10292119.444444444</v>
      </c>
      <c r="AF31" s="68">
        <f t="shared" si="5"/>
        <v>20584238.888888888</v>
      </c>
      <c r="AG31" s="127">
        <f t="shared" si="6"/>
        <v>20584238.888888888</v>
      </c>
      <c r="AH31" s="26"/>
    </row>
    <row r="32" spans="1:34" s="132" customFormat="1" ht="30">
      <c r="A32" s="76">
        <v>7</v>
      </c>
      <c r="B32" s="267" t="s">
        <v>1088</v>
      </c>
      <c r="C32" s="137"/>
      <c r="D32" s="137"/>
      <c r="E32" s="137"/>
      <c r="F32" s="137"/>
      <c r="G32" s="137"/>
      <c r="H32" s="137">
        <v>1</v>
      </c>
      <c r="I32" s="137">
        <v>1</v>
      </c>
      <c r="J32" s="137"/>
      <c r="K32" s="16" t="s">
        <v>744</v>
      </c>
      <c r="L32" s="33">
        <v>2</v>
      </c>
      <c r="M32" s="454">
        <v>106</v>
      </c>
      <c r="N32" s="455" t="s">
        <v>1064</v>
      </c>
      <c r="O32" s="455" t="s">
        <v>1064</v>
      </c>
      <c r="P32" s="137">
        <v>33000</v>
      </c>
      <c r="Q32" s="137" t="s">
        <v>1081</v>
      </c>
      <c r="R32" s="137" t="s">
        <v>1068</v>
      </c>
      <c r="S32" s="137" t="s">
        <v>1082</v>
      </c>
      <c r="T32" s="712"/>
      <c r="U32" s="33">
        <v>2</v>
      </c>
      <c r="V32" s="327"/>
      <c r="W32" s="327"/>
      <c r="X32" s="327"/>
      <c r="Y32" s="15" t="s">
        <v>3196</v>
      </c>
      <c r="Z32" s="311">
        <v>0</v>
      </c>
      <c r="AA32" s="311">
        <v>2154600</v>
      </c>
      <c r="AB32" s="311">
        <v>3255007.7777777775</v>
      </c>
      <c r="AC32" s="311">
        <v>2929507</v>
      </c>
      <c r="AD32" s="311">
        <v>1953004.6666666665</v>
      </c>
      <c r="AE32" s="68">
        <f t="shared" si="4"/>
        <v>10292119.444444444</v>
      </c>
      <c r="AF32" s="68">
        <f t="shared" si="5"/>
        <v>20584238.888888888</v>
      </c>
      <c r="AG32" s="127">
        <f t="shared" si="6"/>
        <v>20584238.888888888</v>
      </c>
      <c r="AH32" s="26"/>
    </row>
    <row r="33" spans="1:34" ht="30">
      <c r="A33" s="76">
        <v>8</v>
      </c>
      <c r="B33" s="267" t="s">
        <v>1089</v>
      </c>
      <c r="C33" s="137"/>
      <c r="D33" s="137"/>
      <c r="E33" s="137"/>
      <c r="F33" s="137">
        <v>1</v>
      </c>
      <c r="G33" s="137">
        <v>1</v>
      </c>
      <c r="H33" s="137"/>
      <c r="I33" s="137"/>
      <c r="J33" s="137"/>
      <c r="K33" s="16" t="s">
        <v>744</v>
      </c>
      <c r="L33" s="33">
        <v>2</v>
      </c>
      <c r="M33" s="454">
        <v>112</v>
      </c>
      <c r="N33" s="455" t="s">
        <v>1064</v>
      </c>
      <c r="O33" s="455" t="s">
        <v>1064</v>
      </c>
      <c r="P33" s="137">
        <v>35400</v>
      </c>
      <c r="Q33" s="137" t="s">
        <v>1081</v>
      </c>
      <c r="R33" s="137" t="s">
        <v>1068</v>
      </c>
      <c r="S33" s="137" t="s">
        <v>1082</v>
      </c>
      <c r="T33" s="712"/>
      <c r="U33" s="33">
        <v>2</v>
      </c>
      <c r="V33" s="327"/>
      <c r="W33" s="327"/>
      <c r="X33" s="327"/>
      <c r="Y33" s="15" t="s">
        <v>3196</v>
      </c>
      <c r="Z33" s="311">
        <v>0</v>
      </c>
      <c r="AA33" s="311">
        <v>2154600</v>
      </c>
      <c r="AB33" s="311">
        <v>3255007.7777777775</v>
      </c>
      <c r="AC33" s="311">
        <v>2929507</v>
      </c>
      <c r="AD33" s="311">
        <v>1953004.6666666665</v>
      </c>
      <c r="AE33" s="68">
        <f t="shared" si="4"/>
        <v>10292119.444444444</v>
      </c>
      <c r="AF33" s="68">
        <f t="shared" si="5"/>
        <v>20584238.888888888</v>
      </c>
      <c r="AG33" s="127">
        <f t="shared" si="6"/>
        <v>20584238.888888888</v>
      </c>
      <c r="AH33" s="26"/>
    </row>
    <row r="34" spans="1:34" ht="30">
      <c r="A34" s="76">
        <v>9</v>
      </c>
      <c r="B34" s="267" t="s">
        <v>1090</v>
      </c>
      <c r="C34" s="137"/>
      <c r="D34" s="137"/>
      <c r="E34" s="137"/>
      <c r="F34" s="137">
        <v>1</v>
      </c>
      <c r="G34" s="137"/>
      <c r="H34" s="137">
        <v>1</v>
      </c>
      <c r="I34" s="137"/>
      <c r="J34" s="137"/>
      <c r="K34" s="16" t="s">
        <v>744</v>
      </c>
      <c r="L34" s="33">
        <v>2</v>
      </c>
      <c r="M34" s="454">
        <v>117</v>
      </c>
      <c r="N34" s="455" t="s">
        <v>1064</v>
      </c>
      <c r="O34" s="455" t="s">
        <v>1064</v>
      </c>
      <c r="P34" s="137">
        <v>32700</v>
      </c>
      <c r="Q34" s="137" t="s">
        <v>1081</v>
      </c>
      <c r="R34" s="137" t="s">
        <v>1068</v>
      </c>
      <c r="S34" s="137" t="s">
        <v>1082</v>
      </c>
      <c r="T34" s="712"/>
      <c r="U34" s="33">
        <v>2</v>
      </c>
      <c r="V34" s="327"/>
      <c r="W34" s="327"/>
      <c r="X34" s="327"/>
      <c r="Y34" s="15" t="s">
        <v>3196</v>
      </c>
      <c r="Z34" s="311">
        <v>0</v>
      </c>
      <c r="AA34" s="311">
        <v>2154600</v>
      </c>
      <c r="AB34" s="311">
        <v>3476940</v>
      </c>
      <c r="AC34" s="311">
        <v>3129246</v>
      </c>
      <c r="AD34" s="311">
        <v>2086164</v>
      </c>
      <c r="AE34" s="68">
        <f t="shared" si="4"/>
        <v>10846950</v>
      </c>
      <c r="AF34" s="68">
        <f t="shared" si="5"/>
        <v>21693900</v>
      </c>
      <c r="AG34" s="127">
        <f t="shared" si="6"/>
        <v>21693900</v>
      </c>
      <c r="AH34" s="26"/>
    </row>
    <row r="35" spans="1:34" ht="30">
      <c r="A35" s="76">
        <v>10</v>
      </c>
      <c r="B35" s="267" t="s">
        <v>1091</v>
      </c>
      <c r="C35" s="137"/>
      <c r="D35" s="137"/>
      <c r="E35" s="137"/>
      <c r="F35" s="137">
        <v>1</v>
      </c>
      <c r="G35" s="137"/>
      <c r="H35" s="137"/>
      <c r="I35" s="137"/>
      <c r="J35" s="137"/>
      <c r="K35" s="16" t="s">
        <v>744</v>
      </c>
      <c r="L35" s="33">
        <v>1</v>
      </c>
      <c r="M35" s="454">
        <v>123</v>
      </c>
      <c r="N35" s="455" t="s">
        <v>1064</v>
      </c>
      <c r="O35" s="455" t="s">
        <v>1064</v>
      </c>
      <c r="P35" s="137">
        <v>35100</v>
      </c>
      <c r="Q35" s="137" t="s">
        <v>1081</v>
      </c>
      <c r="R35" s="137" t="s">
        <v>1068</v>
      </c>
      <c r="S35" s="137" t="s">
        <v>1082</v>
      </c>
      <c r="T35" s="712"/>
      <c r="U35" s="33">
        <v>1</v>
      </c>
      <c r="V35" s="327"/>
      <c r="W35" s="327"/>
      <c r="X35" s="327"/>
      <c r="Y35" s="15" t="s">
        <v>3196</v>
      </c>
      <c r="Z35" s="311">
        <v>0</v>
      </c>
      <c r="AA35" s="311">
        <v>2154600</v>
      </c>
      <c r="AB35" s="311">
        <v>3476940</v>
      </c>
      <c r="AC35" s="311">
        <v>3129246</v>
      </c>
      <c r="AD35" s="311">
        <v>2086164</v>
      </c>
      <c r="AE35" s="68">
        <f t="shared" si="4"/>
        <v>10846950</v>
      </c>
      <c r="AF35" s="68">
        <f t="shared" si="5"/>
        <v>10846950</v>
      </c>
      <c r="AG35" s="127">
        <f t="shared" si="6"/>
        <v>10846950</v>
      </c>
      <c r="AH35" s="26"/>
    </row>
    <row r="36" spans="1:34" ht="30">
      <c r="A36" s="76">
        <v>11</v>
      </c>
      <c r="B36" s="267" t="s">
        <v>1092</v>
      </c>
      <c r="C36" s="137"/>
      <c r="D36" s="137"/>
      <c r="E36" s="137"/>
      <c r="F36" s="137"/>
      <c r="G36" s="137"/>
      <c r="H36" s="137">
        <v>1</v>
      </c>
      <c r="I36" s="137"/>
      <c r="J36" s="137"/>
      <c r="K36" s="16" t="s">
        <v>744</v>
      </c>
      <c r="L36" s="33">
        <v>1</v>
      </c>
      <c r="M36" s="454">
        <v>145</v>
      </c>
      <c r="N36" s="455" t="s">
        <v>1064</v>
      </c>
      <c r="O36" s="455" t="s">
        <v>1064</v>
      </c>
      <c r="P36" s="137">
        <v>36500</v>
      </c>
      <c r="Q36" s="137" t="s">
        <v>1081</v>
      </c>
      <c r="R36" s="137" t="s">
        <v>1068</v>
      </c>
      <c r="S36" s="137" t="s">
        <v>1082</v>
      </c>
      <c r="T36" s="712"/>
      <c r="U36" s="33">
        <v>1</v>
      </c>
      <c r="V36" s="327"/>
      <c r="W36" s="327"/>
      <c r="X36" s="327"/>
      <c r="Y36" s="15" t="s">
        <v>3196</v>
      </c>
      <c r="Z36" s="311">
        <v>0</v>
      </c>
      <c r="AA36" s="311">
        <v>2154600</v>
      </c>
      <c r="AB36" s="311">
        <v>4438646.666666667</v>
      </c>
      <c r="AC36" s="311">
        <v>3994782.0000000005</v>
      </c>
      <c r="AD36" s="311">
        <v>2663188</v>
      </c>
      <c r="AE36" s="68">
        <f t="shared" si="4"/>
        <v>13251216.666666668</v>
      </c>
      <c r="AF36" s="68">
        <f t="shared" si="5"/>
        <v>13251216.666666668</v>
      </c>
      <c r="AG36" s="127">
        <f t="shared" si="6"/>
        <v>13251216.666666668</v>
      </c>
      <c r="AH36" s="26"/>
    </row>
    <row r="37" spans="1:34" ht="30">
      <c r="A37" s="76">
        <v>12</v>
      </c>
      <c r="B37" s="267" t="s">
        <v>1093</v>
      </c>
      <c r="C37" s="137"/>
      <c r="D37" s="137"/>
      <c r="E37" s="137"/>
      <c r="F37" s="137"/>
      <c r="G37" s="137"/>
      <c r="H37" s="137"/>
      <c r="I37" s="137">
        <v>2</v>
      </c>
      <c r="J37" s="137"/>
      <c r="K37" s="16" t="s">
        <v>744</v>
      </c>
      <c r="L37" s="33">
        <v>2</v>
      </c>
      <c r="M37" s="454">
        <v>140</v>
      </c>
      <c r="N37" s="455" t="s">
        <v>1064</v>
      </c>
      <c r="O37" s="455" t="s">
        <v>1064</v>
      </c>
      <c r="P37" s="137">
        <v>41100</v>
      </c>
      <c r="Q37" s="137" t="s">
        <v>1081</v>
      </c>
      <c r="R37" s="137" t="s">
        <v>1068</v>
      </c>
      <c r="S37" s="137" t="s">
        <v>1082</v>
      </c>
      <c r="T37" s="712"/>
      <c r="U37" s="33">
        <v>2</v>
      </c>
      <c r="V37" s="327"/>
      <c r="W37" s="327"/>
      <c r="X37" s="327"/>
      <c r="Y37" s="15" t="s">
        <v>3196</v>
      </c>
      <c r="Z37" s="311">
        <v>0</v>
      </c>
      <c r="AA37" s="311">
        <v>2154600</v>
      </c>
      <c r="AB37" s="311">
        <v>3698872.222222222</v>
      </c>
      <c r="AC37" s="311">
        <v>3328985</v>
      </c>
      <c r="AD37" s="311">
        <v>2219323.333333333</v>
      </c>
      <c r="AE37" s="68">
        <f t="shared" si="4"/>
        <v>11401780.555555556</v>
      </c>
      <c r="AF37" s="68">
        <f t="shared" si="5"/>
        <v>22803561.111111112</v>
      </c>
      <c r="AG37" s="127">
        <f t="shared" si="6"/>
        <v>22803561.111111112</v>
      </c>
      <c r="AH37" s="26"/>
    </row>
    <row r="38" spans="1:34" ht="30">
      <c r="A38" s="76">
        <v>13</v>
      </c>
      <c r="B38" s="267" t="s">
        <v>1094</v>
      </c>
      <c r="C38" s="137"/>
      <c r="D38" s="137"/>
      <c r="E38" s="137">
        <v>1</v>
      </c>
      <c r="F38" s="137"/>
      <c r="G38" s="137"/>
      <c r="H38" s="137"/>
      <c r="I38" s="137"/>
      <c r="J38" s="137"/>
      <c r="K38" s="16" t="s">
        <v>744</v>
      </c>
      <c r="L38" s="33">
        <v>1</v>
      </c>
      <c r="M38" s="454">
        <v>162</v>
      </c>
      <c r="N38" s="455" t="s">
        <v>1064</v>
      </c>
      <c r="O38" s="455" t="s">
        <v>1064</v>
      </c>
      <c r="P38" s="137">
        <v>50700</v>
      </c>
      <c r="Q38" s="137" t="s">
        <v>1081</v>
      </c>
      <c r="R38" s="137" t="s">
        <v>1068</v>
      </c>
      <c r="S38" s="137" t="s">
        <v>1082</v>
      </c>
      <c r="T38" s="712"/>
      <c r="U38" s="33">
        <v>1</v>
      </c>
      <c r="V38" s="327"/>
      <c r="W38" s="327"/>
      <c r="X38" s="327"/>
      <c r="Y38" s="15" t="s">
        <v>3196</v>
      </c>
      <c r="Z38" s="311">
        <v>0</v>
      </c>
      <c r="AA38" s="311">
        <v>2154600</v>
      </c>
      <c r="AB38" s="311">
        <v>5178421.111111111</v>
      </c>
      <c r="AC38" s="311">
        <v>4660579</v>
      </c>
      <c r="AD38" s="311">
        <v>3107052.6666666665</v>
      </c>
      <c r="AE38" s="68">
        <f t="shared" si="4"/>
        <v>15100652.777777778</v>
      </c>
      <c r="AF38" s="68">
        <f t="shared" si="5"/>
        <v>15100652.777777778</v>
      </c>
      <c r="AG38" s="127">
        <f t="shared" si="6"/>
        <v>15100652.777777778</v>
      </c>
      <c r="AH38" s="26"/>
    </row>
    <row r="39" spans="1:34" ht="30">
      <c r="A39" s="76">
        <v>14</v>
      </c>
      <c r="B39" s="267" t="s">
        <v>1095</v>
      </c>
      <c r="C39" s="137"/>
      <c r="D39" s="137"/>
      <c r="E39" s="137"/>
      <c r="F39" s="137">
        <v>2</v>
      </c>
      <c r="G39" s="137">
        <v>4</v>
      </c>
      <c r="H39" s="137"/>
      <c r="I39" s="137">
        <v>1</v>
      </c>
      <c r="J39" s="137"/>
      <c r="K39" s="16" t="s">
        <v>744</v>
      </c>
      <c r="L39" s="33">
        <v>7</v>
      </c>
      <c r="M39" s="454">
        <v>158</v>
      </c>
      <c r="N39" s="455" t="s">
        <v>1064</v>
      </c>
      <c r="O39" s="455" t="s">
        <v>1064</v>
      </c>
      <c r="P39" s="137">
        <v>53100</v>
      </c>
      <c r="Q39" s="137" t="s">
        <v>1081</v>
      </c>
      <c r="R39" s="137" t="s">
        <v>1068</v>
      </c>
      <c r="S39" s="137" t="s">
        <v>1082</v>
      </c>
      <c r="T39" s="712"/>
      <c r="U39" s="33">
        <v>7</v>
      </c>
      <c r="V39" s="327"/>
      <c r="W39" s="327"/>
      <c r="X39" s="327"/>
      <c r="Y39" s="15" t="s">
        <v>3196</v>
      </c>
      <c r="Z39" s="311">
        <v>0</v>
      </c>
      <c r="AA39" s="311">
        <v>2154600</v>
      </c>
      <c r="AB39" s="311">
        <v>5178421.111111111</v>
      </c>
      <c r="AC39" s="311">
        <v>4660579</v>
      </c>
      <c r="AD39" s="311">
        <v>3107052.6666666665</v>
      </c>
      <c r="AE39" s="68">
        <f t="shared" si="4"/>
        <v>15100652.777777778</v>
      </c>
      <c r="AF39" s="68">
        <f t="shared" si="5"/>
        <v>105704569.44444445</v>
      </c>
      <c r="AG39" s="127">
        <f t="shared" si="6"/>
        <v>105704569.44444445</v>
      </c>
      <c r="AH39" s="26"/>
    </row>
    <row r="40" spans="1:34">
      <c r="A40" s="136" t="s">
        <v>1096</v>
      </c>
      <c r="B40" s="134"/>
      <c r="C40" s="136"/>
      <c r="D40" s="136"/>
      <c r="E40" s="136"/>
      <c r="F40" s="136"/>
      <c r="G40" s="136"/>
      <c r="H40" s="136"/>
      <c r="I40" s="136"/>
      <c r="J40" s="136"/>
      <c r="K40" s="136"/>
      <c r="L40" s="136"/>
      <c r="M40" s="136"/>
      <c r="N40" s="136"/>
      <c r="O40" s="136"/>
      <c r="P40" s="136"/>
      <c r="Q40" s="136"/>
      <c r="R40" s="136"/>
      <c r="S40" s="136"/>
      <c r="T40" s="76"/>
      <c r="U40" s="136"/>
      <c r="V40" s="327"/>
      <c r="W40" s="327"/>
      <c r="X40" s="327"/>
      <c r="Y40" s="327"/>
      <c r="Z40" s="311"/>
      <c r="AA40" s="311"/>
      <c r="AB40" s="311"/>
      <c r="AC40" s="311"/>
      <c r="AD40" s="311"/>
      <c r="AE40" s="68"/>
      <c r="AF40" s="68"/>
      <c r="AG40" s="127"/>
      <c r="AH40" s="26"/>
    </row>
    <row r="41" spans="1:34">
      <c r="A41" s="136" t="s">
        <v>1097</v>
      </c>
      <c r="B41" s="134"/>
      <c r="C41" s="136"/>
      <c r="D41" s="136"/>
      <c r="E41" s="136"/>
      <c r="F41" s="136"/>
      <c r="G41" s="136"/>
      <c r="H41" s="136"/>
      <c r="I41" s="136"/>
      <c r="J41" s="136"/>
      <c r="K41" s="136"/>
      <c r="L41" s="136"/>
      <c r="M41" s="136"/>
      <c r="N41" s="136"/>
      <c r="O41" s="136"/>
      <c r="P41" s="136"/>
      <c r="Q41" s="136"/>
      <c r="R41" s="136"/>
      <c r="S41" s="136"/>
      <c r="T41" s="76"/>
      <c r="U41" s="136"/>
      <c r="V41" s="328"/>
      <c r="W41" s="328"/>
      <c r="X41" s="328"/>
      <c r="Y41" s="328"/>
      <c r="Z41" s="311"/>
      <c r="AA41" s="311"/>
      <c r="AB41" s="311"/>
      <c r="AC41" s="311"/>
      <c r="AD41" s="311"/>
      <c r="AE41" s="68"/>
      <c r="AF41" s="68"/>
      <c r="AG41" s="127"/>
      <c r="AH41" s="24"/>
    </row>
    <row r="42" spans="1:34" ht="45">
      <c r="A42" s="76">
        <v>1</v>
      </c>
      <c r="B42" s="267" t="s">
        <v>1098</v>
      </c>
      <c r="C42" s="137"/>
      <c r="D42" s="137">
        <v>4</v>
      </c>
      <c r="E42" s="137">
        <v>1</v>
      </c>
      <c r="F42" s="137"/>
      <c r="G42" s="137"/>
      <c r="H42" s="137"/>
      <c r="I42" s="137"/>
      <c r="J42" s="137"/>
      <c r="K42" s="16" t="s">
        <v>744</v>
      </c>
      <c r="L42" s="33">
        <v>5</v>
      </c>
      <c r="M42" s="135" t="s">
        <v>1099</v>
      </c>
      <c r="N42" s="137">
        <v>16</v>
      </c>
      <c r="O42" s="455" t="s">
        <v>1064</v>
      </c>
      <c r="P42" s="137">
        <v>1330</v>
      </c>
      <c r="Q42" s="137" t="s">
        <v>1067</v>
      </c>
      <c r="R42" s="137" t="s">
        <v>2606</v>
      </c>
      <c r="S42" s="137" t="s">
        <v>1069</v>
      </c>
      <c r="T42" s="709" t="s">
        <v>1020</v>
      </c>
      <c r="U42" s="33">
        <v>5</v>
      </c>
      <c r="V42" s="328"/>
      <c r="W42" s="328"/>
      <c r="X42" s="328"/>
      <c r="Y42" s="15" t="s">
        <v>3196</v>
      </c>
      <c r="Z42" s="311">
        <v>0</v>
      </c>
      <c r="AA42" s="311">
        <v>363106.80000000005</v>
      </c>
      <c r="AB42" s="311">
        <v>513322.5</v>
      </c>
      <c r="AC42" s="311">
        <v>461990.25</v>
      </c>
      <c r="AD42" s="311">
        <v>307993.5</v>
      </c>
      <c r="AE42" s="68">
        <f t="shared" ref="AE42:AE45" si="7">SUM(Z42:AD42)</f>
        <v>1646413.05</v>
      </c>
      <c r="AF42" s="68">
        <f>L42*AE42</f>
        <v>8232065.25</v>
      </c>
      <c r="AG42" s="127">
        <f>U42*AE42</f>
        <v>8232065.25</v>
      </c>
      <c r="AH42" s="24"/>
    </row>
    <row r="43" spans="1:34" ht="45">
      <c r="A43" s="76">
        <f>A42+1</f>
        <v>2</v>
      </c>
      <c r="B43" s="267" t="s">
        <v>1100</v>
      </c>
      <c r="C43" s="137">
        <v>1</v>
      </c>
      <c r="D43" s="137">
        <v>1</v>
      </c>
      <c r="E43" s="137"/>
      <c r="F43" s="137"/>
      <c r="G43" s="137"/>
      <c r="H43" s="137"/>
      <c r="I43" s="137"/>
      <c r="J43" s="137"/>
      <c r="K43" s="16" t="s">
        <v>744</v>
      </c>
      <c r="L43" s="33">
        <v>2</v>
      </c>
      <c r="M43" s="135" t="s">
        <v>1099</v>
      </c>
      <c r="N43" s="137" t="s">
        <v>1101</v>
      </c>
      <c r="O43" s="455" t="s">
        <v>1064</v>
      </c>
      <c r="P43" s="137">
        <v>1430</v>
      </c>
      <c r="Q43" s="137" t="s">
        <v>1102</v>
      </c>
      <c r="R43" s="137" t="s">
        <v>2606</v>
      </c>
      <c r="S43" s="137" t="s">
        <v>1069</v>
      </c>
      <c r="T43" s="709"/>
      <c r="U43" s="33">
        <v>2</v>
      </c>
      <c r="V43" s="327"/>
      <c r="W43" s="327"/>
      <c r="X43" s="327"/>
      <c r="Y43" s="15" t="s">
        <v>3196</v>
      </c>
      <c r="Z43" s="311">
        <v>0</v>
      </c>
      <c r="AA43" s="311">
        <v>474238.80000000005</v>
      </c>
      <c r="AB43" s="311">
        <v>585657.5</v>
      </c>
      <c r="AC43" s="311">
        <v>527091.75</v>
      </c>
      <c r="AD43" s="311">
        <v>351394.5</v>
      </c>
      <c r="AE43" s="68">
        <f t="shared" si="7"/>
        <v>1938382.55</v>
      </c>
      <c r="AF43" s="68">
        <f>L43*AE43</f>
        <v>3876765.1</v>
      </c>
      <c r="AG43" s="127">
        <f>U43*AE43</f>
        <v>3876765.1</v>
      </c>
      <c r="AH43" s="26"/>
    </row>
    <row r="44" spans="1:34" ht="45">
      <c r="A44" s="76">
        <f t="shared" ref="A44:A45" si="8">A43+1</f>
        <v>3</v>
      </c>
      <c r="B44" s="267" t="s">
        <v>1100</v>
      </c>
      <c r="C44" s="137"/>
      <c r="D44" s="137"/>
      <c r="E44" s="137"/>
      <c r="F44" s="137"/>
      <c r="G44" s="137"/>
      <c r="H44" s="137"/>
      <c r="I44" s="137"/>
      <c r="J44" s="137">
        <v>2</v>
      </c>
      <c r="K44" s="16" t="s">
        <v>744</v>
      </c>
      <c r="L44" s="33">
        <v>2</v>
      </c>
      <c r="M44" s="135" t="s">
        <v>1103</v>
      </c>
      <c r="N44" s="137" t="s">
        <v>1104</v>
      </c>
      <c r="O44" s="455" t="s">
        <v>1064</v>
      </c>
      <c r="P44" s="137">
        <v>4800</v>
      </c>
      <c r="Q44" s="137" t="s">
        <v>1067</v>
      </c>
      <c r="R44" s="137" t="s">
        <v>2606</v>
      </c>
      <c r="S44" s="137" t="s">
        <v>1069</v>
      </c>
      <c r="T44" s="709"/>
      <c r="U44" s="33">
        <v>2</v>
      </c>
      <c r="V44" s="26"/>
      <c r="W44" s="26"/>
      <c r="X44" s="26"/>
      <c r="Y44" s="15" t="s">
        <v>3196</v>
      </c>
      <c r="Z44" s="311">
        <v>0</v>
      </c>
      <c r="AA44" s="311">
        <v>474238.80000000005</v>
      </c>
      <c r="AB44" s="311">
        <v>828715</v>
      </c>
      <c r="AC44" s="311">
        <v>745843.5</v>
      </c>
      <c r="AD44" s="311">
        <v>497229</v>
      </c>
      <c r="AE44" s="68">
        <f t="shared" si="7"/>
        <v>2546026.2999999998</v>
      </c>
      <c r="AF44" s="68">
        <f>L44*AE44</f>
        <v>5092052.5999999996</v>
      </c>
      <c r="AG44" s="127">
        <f>U44*AE44</f>
        <v>5092052.5999999996</v>
      </c>
      <c r="AH44" s="26"/>
    </row>
    <row r="45" spans="1:34" ht="45">
      <c r="A45" s="76">
        <f t="shared" si="8"/>
        <v>4</v>
      </c>
      <c r="B45" s="267" t="s">
        <v>1100</v>
      </c>
      <c r="C45" s="137"/>
      <c r="D45" s="137"/>
      <c r="E45" s="137">
        <v>1</v>
      </c>
      <c r="F45" s="137"/>
      <c r="G45" s="137"/>
      <c r="H45" s="137"/>
      <c r="I45" s="137"/>
      <c r="J45" s="137"/>
      <c r="K45" s="16" t="s">
        <v>744</v>
      </c>
      <c r="L45" s="33">
        <v>1</v>
      </c>
      <c r="M45" s="135" t="s">
        <v>1105</v>
      </c>
      <c r="N45" s="137" t="s">
        <v>1071</v>
      </c>
      <c r="O45" s="455" t="s">
        <v>1064</v>
      </c>
      <c r="P45" s="137">
        <v>2100</v>
      </c>
      <c r="Q45" s="137" t="s">
        <v>1067</v>
      </c>
      <c r="R45" s="137" t="s">
        <v>2606</v>
      </c>
      <c r="S45" s="137" t="s">
        <v>1069</v>
      </c>
      <c r="T45" s="709"/>
      <c r="U45" s="33">
        <v>1</v>
      </c>
      <c r="V45" s="26"/>
      <c r="W45" s="26"/>
      <c r="X45" s="26"/>
      <c r="Y45" s="15" t="s">
        <v>3196</v>
      </c>
      <c r="Z45" s="311">
        <v>0</v>
      </c>
      <c r="AA45" s="311">
        <v>474238.80000000005</v>
      </c>
      <c r="AB45" s="311">
        <v>733776.25</v>
      </c>
      <c r="AC45" s="311">
        <v>660398.625</v>
      </c>
      <c r="AD45" s="311">
        <v>440265.75</v>
      </c>
      <c r="AE45" s="68">
        <f t="shared" si="7"/>
        <v>2308679.4249999998</v>
      </c>
      <c r="AF45" s="68">
        <f>L45*AE45</f>
        <v>2308679.4249999998</v>
      </c>
      <c r="AG45" s="127">
        <f>U45*AE45</f>
        <v>2308679.4249999998</v>
      </c>
      <c r="AH45" s="26"/>
    </row>
    <row r="46" spans="1:34">
      <c r="A46" s="136" t="s">
        <v>1106</v>
      </c>
      <c r="B46" s="134"/>
      <c r="C46" s="136"/>
      <c r="D46" s="136"/>
      <c r="E46" s="136"/>
      <c r="F46" s="136"/>
      <c r="G46" s="136"/>
      <c r="H46" s="136"/>
      <c r="I46" s="136"/>
      <c r="J46" s="136"/>
      <c r="K46" s="136"/>
      <c r="L46" s="136"/>
      <c r="M46" s="136"/>
      <c r="N46" s="136"/>
      <c r="O46" s="136"/>
      <c r="P46" s="136"/>
      <c r="Q46" s="136"/>
      <c r="R46" s="136"/>
      <c r="S46" s="136"/>
      <c r="T46" s="77"/>
      <c r="U46" s="136"/>
      <c r="V46" s="26"/>
      <c r="W46" s="26"/>
      <c r="X46" s="26"/>
      <c r="Y46" s="26"/>
      <c r="Z46" s="311"/>
      <c r="AA46" s="311"/>
      <c r="AB46" s="311"/>
      <c r="AC46" s="311"/>
      <c r="AD46" s="311"/>
      <c r="AE46" s="68"/>
      <c r="AF46" s="68"/>
      <c r="AG46" s="127"/>
      <c r="AH46" s="26"/>
    </row>
    <row r="47" spans="1:34" s="132" customFormat="1" ht="30">
      <c r="A47" s="76">
        <v>1</v>
      </c>
      <c r="B47" s="267" t="s">
        <v>1107</v>
      </c>
      <c r="C47" s="137"/>
      <c r="D47" s="137"/>
      <c r="E47" s="137"/>
      <c r="F47" s="137"/>
      <c r="G47" s="137"/>
      <c r="H47" s="137"/>
      <c r="I47" s="137"/>
      <c r="J47" s="137"/>
      <c r="K47" s="16" t="s">
        <v>744</v>
      </c>
      <c r="L47" s="33">
        <v>1</v>
      </c>
      <c r="M47" s="137"/>
      <c r="N47" s="455" t="s">
        <v>1064</v>
      </c>
      <c r="O47" s="455" t="s">
        <v>1064</v>
      </c>
      <c r="P47" s="455" t="s">
        <v>1064</v>
      </c>
      <c r="Q47" s="455" t="s">
        <v>1064</v>
      </c>
      <c r="R47" s="455" t="s">
        <v>1064</v>
      </c>
      <c r="S47" s="137" t="s">
        <v>1082</v>
      </c>
      <c r="T47" s="138" t="s">
        <v>1020</v>
      </c>
      <c r="U47" s="33">
        <v>1</v>
      </c>
      <c r="V47" s="26"/>
      <c r="W47" s="26"/>
      <c r="X47" s="26"/>
      <c r="Y47" s="15" t="s">
        <v>3196</v>
      </c>
      <c r="Z47" s="311">
        <v>0</v>
      </c>
      <c r="AA47" s="311">
        <v>0</v>
      </c>
      <c r="AB47" s="311">
        <v>1750000</v>
      </c>
      <c r="AC47" s="311">
        <v>1575000</v>
      </c>
      <c r="AD47" s="311">
        <v>1050000</v>
      </c>
      <c r="AE47" s="68">
        <f t="shared" ref="AE47" si="9">SUM(Z47:AD47)</f>
        <v>4375000</v>
      </c>
      <c r="AF47" s="68">
        <f>L47*AE47</f>
        <v>4375000</v>
      </c>
      <c r="AG47" s="127">
        <f>U47*AE47</f>
        <v>4375000</v>
      </c>
      <c r="AH47" s="26"/>
    </row>
    <row r="48" spans="1:34">
      <c r="A48" s="76"/>
      <c r="B48" s="146"/>
      <c r="C48" s="76"/>
      <c r="D48" s="76"/>
      <c r="E48" s="76"/>
      <c r="F48" s="76"/>
      <c r="G48" s="76"/>
      <c r="H48" s="76"/>
      <c r="I48" s="76"/>
      <c r="J48" s="76"/>
      <c r="K48" s="16"/>
      <c r="L48" s="33"/>
      <c r="M48" s="76"/>
      <c r="N48" s="76"/>
      <c r="O48" s="76"/>
      <c r="P48" s="76"/>
      <c r="Q48" s="137"/>
      <c r="R48" s="137"/>
      <c r="S48" s="76"/>
      <c r="T48" s="76"/>
      <c r="U48" s="26"/>
      <c r="V48" s="26"/>
      <c r="W48" s="26"/>
      <c r="X48" s="26"/>
      <c r="Y48" s="26"/>
      <c r="Z48" s="66"/>
      <c r="AA48" s="66"/>
      <c r="AB48" s="66"/>
      <c r="AC48" s="66"/>
      <c r="AD48" s="66"/>
      <c r="AE48" s="66"/>
      <c r="AF48" s="66"/>
      <c r="AG48" s="66"/>
      <c r="AH48" s="26"/>
    </row>
    <row r="49" spans="1:34" s="71" customFormat="1" ht="14.25">
      <c r="A49" s="229" t="s">
        <v>1124</v>
      </c>
      <c r="B49" s="230" t="s">
        <v>1882</v>
      </c>
      <c r="C49" s="231"/>
      <c r="D49" s="382"/>
      <c r="E49" s="101"/>
      <c r="F49" s="461"/>
      <c r="G49" s="461"/>
      <c r="H49" s="461"/>
      <c r="I49" s="461"/>
      <c r="J49" s="461"/>
      <c r="K49" s="464"/>
      <c r="L49" s="465"/>
      <c r="M49" s="462"/>
      <c r="N49" s="462"/>
      <c r="O49" s="462"/>
      <c r="P49" s="462"/>
      <c r="Q49" s="462"/>
      <c r="R49" s="462"/>
      <c r="S49" s="462"/>
      <c r="T49" s="462"/>
      <c r="U49" s="288"/>
      <c r="V49" s="288"/>
      <c r="W49" s="288"/>
      <c r="X49" s="288"/>
      <c r="Y49" s="288"/>
      <c r="Z49" s="279"/>
      <c r="AA49" s="279"/>
      <c r="AB49" s="279"/>
      <c r="AC49" s="279"/>
      <c r="AD49" s="279"/>
      <c r="AE49" s="279"/>
      <c r="AF49" s="279">
        <f>SUBTOTAL(9,AF50:AF53)</f>
        <v>0</v>
      </c>
      <c r="AG49" s="279">
        <f>SUBTOTAL(9,AG50:AG53)</f>
        <v>0</v>
      </c>
      <c r="AH49" s="288"/>
    </row>
    <row r="50" spans="1:34" s="132" customFormat="1">
      <c r="A50" s="76"/>
      <c r="B50" s="267" t="s">
        <v>2293</v>
      </c>
      <c r="C50" s="137"/>
      <c r="D50" s="137"/>
      <c r="E50" s="137"/>
      <c r="F50" s="137"/>
      <c r="G50" s="137"/>
      <c r="H50" s="137"/>
      <c r="I50" s="137"/>
      <c r="J50" s="137"/>
      <c r="K50" s="16"/>
      <c r="L50" s="33"/>
      <c r="M50" s="137"/>
      <c r="N50" s="455"/>
      <c r="O50" s="455"/>
      <c r="P50" s="455"/>
      <c r="Q50" s="455"/>
      <c r="R50" s="455"/>
      <c r="S50" s="137"/>
      <c r="T50" s="138"/>
      <c r="U50" s="26"/>
      <c r="V50" s="26"/>
      <c r="W50" s="26"/>
      <c r="X50" s="26"/>
      <c r="Y50" s="26"/>
      <c r="Z50" s="66"/>
      <c r="AA50" s="66"/>
      <c r="AB50" s="66"/>
      <c r="AC50" s="66"/>
      <c r="AD50" s="66"/>
      <c r="AE50" s="66"/>
      <c r="AF50" s="66"/>
      <c r="AG50" s="66"/>
      <c r="AH50" s="26"/>
    </row>
    <row r="51" spans="1:34" s="132" customFormat="1">
      <c r="A51" s="76"/>
      <c r="B51" s="267" t="s">
        <v>2294</v>
      </c>
      <c r="C51" s="137"/>
      <c r="D51" s="137"/>
      <c r="E51" s="137"/>
      <c r="F51" s="137"/>
      <c r="G51" s="137"/>
      <c r="H51" s="137"/>
      <c r="I51" s="137"/>
      <c r="J51" s="137"/>
      <c r="K51" s="16"/>
      <c r="L51" s="33"/>
      <c r="M51" s="137"/>
      <c r="N51" s="455"/>
      <c r="O51" s="455"/>
      <c r="P51" s="455"/>
      <c r="Q51" s="455"/>
      <c r="R51" s="455"/>
      <c r="S51" s="137"/>
      <c r="T51" s="138"/>
      <c r="U51" s="26"/>
      <c r="V51" s="26"/>
      <c r="W51" s="26"/>
      <c r="X51" s="26"/>
      <c r="Y51" s="26"/>
      <c r="Z51" s="66"/>
      <c r="AA51" s="66"/>
      <c r="AB51" s="66"/>
      <c r="AC51" s="66"/>
      <c r="AD51" s="66"/>
      <c r="AE51" s="66"/>
      <c r="AF51" s="66"/>
      <c r="AG51" s="66"/>
      <c r="AH51" s="26"/>
    </row>
    <row r="52" spans="1:34" s="132" customFormat="1">
      <c r="A52" s="76"/>
      <c r="B52" s="267" t="s">
        <v>2295</v>
      </c>
      <c r="C52" s="137"/>
      <c r="D52" s="137"/>
      <c r="E52" s="137"/>
      <c r="F52" s="137"/>
      <c r="G52" s="137"/>
      <c r="H52" s="137"/>
      <c r="I52" s="137"/>
      <c r="J52" s="137"/>
      <c r="K52" s="16"/>
      <c r="L52" s="33"/>
      <c r="M52" s="137"/>
      <c r="N52" s="455"/>
      <c r="O52" s="455"/>
      <c r="P52" s="455"/>
      <c r="Q52" s="455"/>
      <c r="R52" s="455"/>
      <c r="S52" s="137"/>
      <c r="T52" s="138"/>
      <c r="U52" s="26"/>
      <c r="V52" s="26"/>
      <c r="W52" s="26"/>
      <c r="X52" s="26"/>
      <c r="Y52" s="26"/>
      <c r="Z52" s="66"/>
      <c r="AA52" s="66"/>
      <c r="AB52" s="66"/>
      <c r="AC52" s="66"/>
      <c r="AD52" s="66"/>
      <c r="AE52" s="66"/>
      <c r="AF52" s="66"/>
      <c r="AG52" s="66"/>
      <c r="AH52" s="26"/>
    </row>
    <row r="53" spans="1:34" s="132" customFormat="1">
      <c r="A53" s="76"/>
      <c r="B53" s="267" t="s">
        <v>2296</v>
      </c>
      <c r="C53" s="137"/>
      <c r="D53" s="137"/>
      <c r="E53" s="137"/>
      <c r="F53" s="137"/>
      <c r="G53" s="137"/>
      <c r="H53" s="137"/>
      <c r="I53" s="137"/>
      <c r="J53" s="137"/>
      <c r="K53" s="16"/>
      <c r="L53" s="33"/>
      <c r="M53" s="137"/>
      <c r="N53" s="455"/>
      <c r="O53" s="455"/>
      <c r="P53" s="455"/>
      <c r="Q53" s="455"/>
      <c r="R53" s="455"/>
      <c r="S53" s="137"/>
      <c r="T53" s="138"/>
      <c r="U53" s="26"/>
      <c r="V53" s="26"/>
      <c r="W53" s="26"/>
      <c r="X53" s="26"/>
      <c r="Y53" s="26"/>
      <c r="Z53" s="66"/>
      <c r="AA53" s="66"/>
      <c r="AB53" s="66"/>
      <c r="AC53" s="66"/>
      <c r="AD53" s="66"/>
      <c r="AE53" s="66"/>
      <c r="AF53" s="66"/>
      <c r="AG53" s="66"/>
      <c r="AH53" s="26"/>
    </row>
    <row r="54" spans="1:34" s="71" customFormat="1" ht="14.25">
      <c r="A54" s="229" t="s">
        <v>2291</v>
      </c>
      <c r="B54" s="230" t="s">
        <v>2292</v>
      </c>
      <c r="C54" s="231"/>
      <c r="D54" s="382"/>
      <c r="E54" s="101"/>
      <c r="F54" s="461"/>
      <c r="G54" s="461"/>
      <c r="H54" s="461"/>
      <c r="I54" s="461"/>
      <c r="J54" s="461"/>
      <c r="K54" s="464"/>
      <c r="L54" s="465"/>
      <c r="M54" s="462"/>
      <c r="N54" s="462"/>
      <c r="O54" s="462"/>
      <c r="P54" s="462"/>
      <c r="Q54" s="462"/>
      <c r="R54" s="462"/>
      <c r="S54" s="462"/>
      <c r="T54" s="462"/>
      <c r="U54" s="288"/>
      <c r="V54" s="288"/>
      <c r="W54" s="288"/>
      <c r="X54" s="288"/>
      <c r="Y54" s="288"/>
      <c r="Z54" s="279"/>
      <c r="AA54" s="279"/>
      <c r="AB54" s="279"/>
      <c r="AC54" s="279"/>
      <c r="AD54" s="279"/>
      <c r="AE54" s="279"/>
      <c r="AF54" s="279">
        <f>AF9+AF49</f>
        <v>736700386.96527779</v>
      </c>
      <c r="AG54" s="279">
        <f>AG9+AG49</f>
        <v>736700386.96527779</v>
      </c>
      <c r="AH54" s="288"/>
    </row>
  </sheetData>
  <autoFilter ref="A7:AT47" xr:uid="{9A7F6927-F9D5-4533-AF04-2A3454D9690F}"/>
  <mergeCells count="30">
    <mergeCell ref="N6:N7"/>
    <mergeCell ref="O6:O7"/>
    <mergeCell ref="P6:P7"/>
    <mergeCell ref="Q6:Q7"/>
    <mergeCell ref="B6:B7"/>
    <mergeCell ref="C6:C7"/>
    <mergeCell ref="D6:D7"/>
    <mergeCell ref="E6:E7"/>
    <mergeCell ref="F6:F7"/>
    <mergeCell ref="T42:T45"/>
    <mergeCell ref="S6:S7"/>
    <mergeCell ref="T6:T7"/>
    <mergeCell ref="T13:T24"/>
    <mergeCell ref="T26:T39"/>
    <mergeCell ref="R6:R7"/>
    <mergeCell ref="G6:G7"/>
    <mergeCell ref="K6:K7"/>
    <mergeCell ref="U5:AH5"/>
    <mergeCell ref="U6:U7"/>
    <mergeCell ref="V6:Y6"/>
    <mergeCell ref="Z6:AE6"/>
    <mergeCell ref="AF6:AG6"/>
    <mergeCell ref="AH6:AH7"/>
    <mergeCell ref="L6:L7"/>
    <mergeCell ref="M6:M7"/>
    <mergeCell ref="A5:T5"/>
    <mergeCell ref="H6:H7"/>
    <mergeCell ref="I6:I7"/>
    <mergeCell ref="J6:J7"/>
    <mergeCell ref="A6:A7"/>
  </mergeCells>
  <conditionalFormatting sqref="C49 C54">
    <cfRule type="cellIs" dxfId="3" priority="2" operator="equal">
      <formula>0</formula>
    </cfRule>
  </conditionalFormatting>
  <conditionalFormatting sqref="K12:K54">
    <cfRule type="cellIs" dxfId="2" priority="1" operator="equal">
      <formula>0</formula>
    </cfRule>
  </conditionalFormatting>
  <printOptions horizontalCentered="1"/>
  <pageMargins left="0.39370078740157483" right="0.39370078740157483" top="0.59055118110236227" bottom="0.39370078740157483" header="0.19685039370078741" footer="0.19685039370078741"/>
  <pageSetup scale="30" fitToHeight="100" orientation="landscape" horizontalDpi="1200" verticalDpi="1200" r:id="rId1"/>
  <headerFooter>
    <oddFooter>Page &amp;P&amp;R&amp;A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E8AC-4B71-4621-877A-7A75178D878C}">
  <sheetPr>
    <tabColor theme="5" tint="0.79998168889431442"/>
    <outlinePr summaryBelow="0"/>
    <pageSetUpPr fitToPage="1"/>
  </sheetPr>
  <dimension ref="A1:AE150"/>
  <sheetViews>
    <sheetView zoomScale="115" zoomScaleNormal="115" zoomScaleSheetLayoutView="40" workbookViewId="0">
      <pane xSplit="18" ySplit="8" topLeftCell="Y143" activePane="bottomRight" state="frozen"/>
      <selection pane="topRight" activeCell="S1" sqref="S1"/>
      <selection pane="bottomLeft" activeCell="A9" sqref="A9"/>
      <selection pane="bottomRight" activeCell="AE150" sqref="AE150"/>
    </sheetView>
  </sheetViews>
  <sheetFormatPr defaultColWidth="8.85546875" defaultRowHeight="15"/>
  <cols>
    <col min="1" max="1" width="5.7109375" style="70" customWidth="1"/>
    <col min="2" max="2" width="60.7109375" style="70" customWidth="1"/>
    <col min="3" max="3" width="10.7109375" style="300" customWidth="1"/>
    <col min="4" max="4" width="10.42578125" style="116" hidden="1" customWidth="1"/>
    <col min="5" max="5" width="14.28515625" style="64" hidden="1" customWidth="1"/>
    <col min="6" max="6" width="10.7109375" style="348" customWidth="1"/>
    <col min="7" max="7" width="15.7109375" style="89" customWidth="1"/>
    <col min="8" max="9" width="10.7109375" style="89" hidden="1" customWidth="1"/>
    <col min="10" max="10" width="15.7109375" style="89" hidden="1" customWidth="1"/>
    <col min="11" max="16" width="10.7109375" style="89" hidden="1" customWidth="1"/>
    <col min="17" max="17" width="20.7109375" style="70" hidden="1" customWidth="1"/>
    <col min="18" max="18" width="10.7109375" style="343" customWidth="1"/>
    <col min="19" max="19" width="40.7109375" style="343" customWidth="1"/>
    <col min="20" max="30" width="15.7109375" style="343" customWidth="1"/>
    <col min="31" max="31" width="20.7109375" style="343" customWidth="1"/>
    <col min="32" max="16384" width="8.85546875" style="70"/>
  </cols>
  <sheetData>
    <row r="1" spans="1:31">
      <c r="A1" s="41" t="s">
        <v>0</v>
      </c>
      <c r="B1" s="79"/>
      <c r="D1" s="90"/>
      <c r="G1" s="139"/>
      <c r="H1" s="139"/>
      <c r="I1" s="139"/>
      <c r="J1" s="139"/>
      <c r="K1" s="139"/>
      <c r="L1" s="139"/>
      <c r="M1" s="139"/>
      <c r="N1" s="139"/>
      <c r="O1" s="139"/>
      <c r="P1" s="139"/>
    </row>
    <row r="2" spans="1:31">
      <c r="A2" s="41" t="s">
        <v>1</v>
      </c>
      <c r="B2" s="139"/>
      <c r="G2" s="139"/>
      <c r="H2" s="139"/>
      <c r="I2" s="139"/>
      <c r="J2" s="139"/>
      <c r="K2" s="139"/>
      <c r="L2" s="139"/>
      <c r="M2" s="139"/>
      <c r="N2" s="139"/>
      <c r="O2" s="139"/>
      <c r="P2" s="139"/>
    </row>
    <row r="3" spans="1:31">
      <c r="A3" s="41" t="s">
        <v>1045</v>
      </c>
      <c r="B3" s="139"/>
      <c r="G3" s="139"/>
      <c r="H3" s="139"/>
      <c r="I3" s="139"/>
      <c r="J3" s="139"/>
      <c r="K3" s="139"/>
      <c r="L3" s="139"/>
      <c r="M3" s="139"/>
      <c r="N3" s="139"/>
      <c r="O3" s="139"/>
      <c r="P3" s="139"/>
    </row>
    <row r="4" spans="1:31">
      <c r="A4" s="394"/>
      <c r="B4" s="139"/>
      <c r="C4" s="31"/>
      <c r="G4" s="139"/>
      <c r="H4" s="139"/>
      <c r="I4" s="139"/>
      <c r="J4" s="139"/>
      <c r="K4" s="139"/>
      <c r="L4" s="139"/>
      <c r="M4" s="139"/>
      <c r="N4" s="139"/>
      <c r="O4" s="139"/>
      <c r="P4" s="139"/>
      <c r="R4" s="325"/>
      <c r="S4" s="325"/>
      <c r="T4" s="325"/>
      <c r="U4" s="325"/>
      <c r="V4" s="325"/>
      <c r="W4" s="325"/>
      <c r="X4" s="325"/>
      <c r="Y4" s="325"/>
      <c r="Z4" s="325"/>
      <c r="AA4" s="325"/>
      <c r="AB4" s="325"/>
      <c r="AC4" s="325"/>
      <c r="AD4" s="325"/>
      <c r="AE4" s="325"/>
    </row>
    <row r="5" spans="1:31" s="89" customFormat="1">
      <c r="A5" s="707" t="s">
        <v>1864</v>
      </c>
      <c r="B5" s="707"/>
      <c r="C5" s="707"/>
      <c r="D5" s="707"/>
      <c r="E5" s="707"/>
      <c r="F5" s="707"/>
      <c r="G5" s="707"/>
      <c r="H5" s="707"/>
      <c r="I5" s="707"/>
      <c r="J5" s="707"/>
      <c r="K5" s="707"/>
      <c r="L5" s="707"/>
      <c r="M5" s="707"/>
      <c r="N5" s="707"/>
      <c r="O5" s="707"/>
      <c r="P5" s="707"/>
      <c r="Q5" s="707"/>
      <c r="R5" s="690" t="s">
        <v>2325</v>
      </c>
      <c r="S5" s="690"/>
      <c r="T5" s="690"/>
      <c r="U5" s="690"/>
      <c r="V5" s="690"/>
      <c r="W5" s="690"/>
      <c r="X5" s="690"/>
      <c r="Y5" s="690"/>
      <c r="Z5" s="690"/>
      <c r="AA5" s="690"/>
      <c r="AB5" s="690"/>
      <c r="AC5" s="690"/>
      <c r="AD5" s="690"/>
      <c r="AE5" s="690"/>
    </row>
    <row r="6" spans="1:31" ht="42.75">
      <c r="A6" s="707" t="s">
        <v>3</v>
      </c>
      <c r="B6" s="707" t="s">
        <v>1108</v>
      </c>
      <c r="C6" s="714" t="s">
        <v>1881</v>
      </c>
      <c r="D6" s="716" t="s">
        <v>1880</v>
      </c>
      <c r="E6" s="667" t="s">
        <v>1861</v>
      </c>
      <c r="F6" s="677" t="s">
        <v>1866</v>
      </c>
      <c r="G6" s="708" t="s">
        <v>1109</v>
      </c>
      <c r="H6" s="268" t="s">
        <v>1110</v>
      </c>
      <c r="I6" s="268" t="s">
        <v>1111</v>
      </c>
      <c r="J6" s="268" t="s">
        <v>1112</v>
      </c>
      <c r="K6" s="268" t="s">
        <v>1113</v>
      </c>
      <c r="L6" s="268" t="s">
        <v>1114</v>
      </c>
      <c r="M6" s="273" t="s">
        <v>1115</v>
      </c>
      <c r="N6" s="273" t="s">
        <v>1116</v>
      </c>
      <c r="O6" s="719" t="s">
        <v>1117</v>
      </c>
      <c r="P6" s="719" t="s">
        <v>1118</v>
      </c>
      <c r="Q6" s="719" t="s">
        <v>752</v>
      </c>
      <c r="R6" s="676" t="s">
        <v>1867</v>
      </c>
      <c r="S6" s="692" t="s">
        <v>1868</v>
      </c>
      <c r="T6" s="723"/>
      <c r="U6" s="723"/>
      <c r="V6" s="693"/>
      <c r="W6" s="677" t="s">
        <v>1869</v>
      </c>
      <c r="X6" s="677"/>
      <c r="Y6" s="677"/>
      <c r="Z6" s="677"/>
      <c r="AA6" s="677"/>
      <c r="AB6" s="677"/>
      <c r="AC6" s="692" t="s">
        <v>1870</v>
      </c>
      <c r="AD6" s="693"/>
      <c r="AE6" s="666" t="s">
        <v>5</v>
      </c>
    </row>
    <row r="7" spans="1:31" s="89" customFormat="1" ht="28.5">
      <c r="A7" s="707"/>
      <c r="B7" s="708"/>
      <c r="C7" s="715"/>
      <c r="D7" s="717"/>
      <c r="E7" s="722"/>
      <c r="F7" s="713"/>
      <c r="G7" s="721"/>
      <c r="H7" s="467"/>
      <c r="I7" s="269" t="s">
        <v>1119</v>
      </c>
      <c r="J7" s="269"/>
      <c r="K7" s="269" t="s">
        <v>1120</v>
      </c>
      <c r="L7" s="269" t="s">
        <v>1121</v>
      </c>
      <c r="M7" s="274" t="s">
        <v>1122</v>
      </c>
      <c r="N7" s="274" t="s">
        <v>1123</v>
      </c>
      <c r="O7" s="720"/>
      <c r="P7" s="720"/>
      <c r="Q7" s="720"/>
      <c r="R7" s="676"/>
      <c r="S7" s="258" t="s">
        <v>1871</v>
      </c>
      <c r="T7" s="258" t="s">
        <v>1847</v>
      </c>
      <c r="U7" s="258" t="s">
        <v>1848</v>
      </c>
      <c r="V7" s="258" t="s">
        <v>1849</v>
      </c>
      <c r="W7" s="259" t="s">
        <v>1850</v>
      </c>
      <c r="X7" s="259" t="s">
        <v>1859</v>
      </c>
      <c r="Y7" s="259" t="s">
        <v>1872</v>
      </c>
      <c r="Z7" s="259" t="s">
        <v>1873</v>
      </c>
      <c r="AA7" s="259" t="s">
        <v>1851</v>
      </c>
      <c r="AB7" s="259" t="s">
        <v>1874</v>
      </c>
      <c r="AC7" s="223" t="s">
        <v>1875</v>
      </c>
      <c r="AD7" s="223" t="s">
        <v>1876</v>
      </c>
      <c r="AE7" s="666"/>
    </row>
    <row r="8" spans="1:31" s="89" customFormat="1" ht="28.5">
      <c r="A8" s="275">
        <v>1</v>
      </c>
      <c r="B8" s="269">
        <v>2</v>
      </c>
      <c r="C8" s="276">
        <v>3</v>
      </c>
      <c r="D8" s="277"/>
      <c r="E8" s="238"/>
      <c r="F8" s="421">
        <v>4</v>
      </c>
      <c r="G8" s="268"/>
      <c r="H8" s="467"/>
      <c r="I8" s="269"/>
      <c r="J8" s="269"/>
      <c r="K8" s="269"/>
      <c r="L8" s="269"/>
      <c r="M8" s="274"/>
      <c r="N8" s="274"/>
      <c r="O8" s="274"/>
      <c r="P8" s="274"/>
      <c r="Q8" s="274">
        <v>5</v>
      </c>
      <c r="R8" s="364">
        <v>6</v>
      </c>
      <c r="S8" s="228">
        <v>7</v>
      </c>
      <c r="T8" s="228">
        <v>8</v>
      </c>
      <c r="U8" s="228">
        <v>9</v>
      </c>
      <c r="V8" s="228">
        <v>10</v>
      </c>
      <c r="W8" s="228">
        <v>11</v>
      </c>
      <c r="X8" s="228">
        <v>12</v>
      </c>
      <c r="Y8" s="228">
        <v>13</v>
      </c>
      <c r="Z8" s="228">
        <v>14</v>
      </c>
      <c r="AA8" s="228">
        <v>15</v>
      </c>
      <c r="AB8" s="228" t="s">
        <v>1877</v>
      </c>
      <c r="AC8" s="228" t="s">
        <v>1878</v>
      </c>
      <c r="AD8" s="228" t="s">
        <v>1879</v>
      </c>
      <c r="AE8" s="228">
        <v>19</v>
      </c>
    </row>
    <row r="9" spans="1:31" s="468" customFormat="1" ht="14.25">
      <c r="A9" s="242" t="s">
        <v>111</v>
      </c>
      <c r="B9" s="240" t="s">
        <v>112</v>
      </c>
      <c r="C9" s="272"/>
      <c r="D9" s="278"/>
      <c r="E9" s="241"/>
      <c r="F9" s="383"/>
      <c r="G9" s="243"/>
      <c r="H9" s="243"/>
      <c r="I9" s="458"/>
      <c r="J9" s="458"/>
      <c r="K9" s="458"/>
      <c r="L9" s="458"/>
      <c r="M9" s="458"/>
      <c r="N9" s="458"/>
      <c r="O9" s="458"/>
      <c r="P9" s="458"/>
      <c r="Q9" s="271"/>
      <c r="R9" s="382"/>
      <c r="S9" s="382"/>
      <c r="T9" s="382"/>
      <c r="U9" s="382"/>
      <c r="V9" s="382"/>
      <c r="W9" s="384"/>
      <c r="X9" s="384"/>
      <c r="Y9" s="384"/>
      <c r="Z9" s="384"/>
      <c r="AA9" s="384"/>
      <c r="AB9" s="384"/>
      <c r="AC9" s="384">
        <f>SUBTOTAL(9,AC10:AC144)</f>
        <v>3207776308.8257575</v>
      </c>
      <c r="AD9" s="384">
        <f>SUBTOTAL(9,AD10:AD144)</f>
        <v>3207776308.8257575</v>
      </c>
      <c r="AE9" s="382"/>
    </row>
    <row r="10" spans="1:31" s="472" customFormat="1">
      <c r="A10" s="280" t="s">
        <v>113</v>
      </c>
      <c r="B10" s="469" t="s">
        <v>1330</v>
      </c>
      <c r="C10" s="281"/>
      <c r="D10" s="221"/>
      <c r="E10" s="282"/>
      <c r="F10" s="487"/>
      <c r="G10" s="283"/>
      <c r="H10" s="283"/>
      <c r="I10" s="470"/>
      <c r="J10" s="470"/>
      <c r="K10" s="470"/>
      <c r="L10" s="470"/>
      <c r="M10" s="470"/>
      <c r="N10" s="470"/>
      <c r="O10" s="470"/>
      <c r="P10" s="470"/>
      <c r="Q10" s="471"/>
      <c r="R10" s="326"/>
      <c r="S10" s="367"/>
      <c r="T10" s="326"/>
      <c r="U10" s="326"/>
      <c r="V10" s="326"/>
      <c r="W10" s="222"/>
      <c r="X10" s="222"/>
      <c r="Y10" s="222"/>
      <c r="Z10" s="222"/>
      <c r="AA10" s="222"/>
      <c r="AB10" s="222"/>
      <c r="AC10" s="222"/>
      <c r="AD10" s="222"/>
      <c r="AE10" s="326"/>
    </row>
    <row r="11" spans="1:31">
      <c r="A11" s="140"/>
      <c r="B11" s="142" t="s">
        <v>1125</v>
      </c>
      <c r="C11" s="33"/>
      <c r="D11" s="68"/>
      <c r="E11" s="66"/>
      <c r="F11" s="351"/>
      <c r="G11" s="77"/>
      <c r="H11" s="76"/>
      <c r="I11" s="77"/>
      <c r="J11" s="77"/>
      <c r="K11" s="77"/>
      <c r="L11" s="77"/>
      <c r="M11" s="141"/>
      <c r="N11" s="141"/>
      <c r="O11" s="141"/>
      <c r="P11" s="141"/>
      <c r="Q11" s="473"/>
      <c r="R11" s="26"/>
      <c r="S11" s="26"/>
      <c r="T11" s="26"/>
      <c r="U11" s="26"/>
      <c r="V11" s="26"/>
      <c r="W11" s="66"/>
      <c r="X11" s="66"/>
      <c r="Y11" s="66"/>
      <c r="Z11" s="66"/>
      <c r="AA11" s="66"/>
      <c r="AB11" s="66"/>
      <c r="AC11" s="66"/>
      <c r="AD11" s="66"/>
      <c r="AE11" s="26"/>
    </row>
    <row r="12" spans="1:31">
      <c r="A12" s="140"/>
      <c r="B12" s="142" t="s">
        <v>1126</v>
      </c>
      <c r="C12" s="33"/>
      <c r="D12" s="68"/>
      <c r="E12" s="66"/>
      <c r="F12" s="351"/>
      <c r="G12" s="76"/>
      <c r="H12" s="76"/>
      <c r="I12" s="76"/>
      <c r="J12" s="76"/>
      <c r="K12" s="143"/>
      <c r="L12" s="144"/>
      <c r="M12" s="144"/>
      <c r="N12" s="144"/>
      <c r="O12" s="144"/>
      <c r="P12" s="145"/>
      <c r="Q12" s="144"/>
      <c r="R12" s="26"/>
      <c r="S12" s="26"/>
      <c r="T12" s="26"/>
      <c r="U12" s="26"/>
      <c r="V12" s="26"/>
      <c r="W12" s="66"/>
      <c r="X12" s="66"/>
      <c r="Y12" s="66"/>
      <c r="Z12" s="66"/>
      <c r="AA12" s="66"/>
      <c r="AB12" s="66"/>
      <c r="AC12" s="66"/>
      <c r="AD12" s="66"/>
      <c r="AE12" s="26"/>
    </row>
    <row r="13" spans="1:31" ht="75">
      <c r="A13" s="474">
        <v>1</v>
      </c>
      <c r="B13" s="146" t="s">
        <v>1127</v>
      </c>
      <c r="C13" s="33" t="s">
        <v>8</v>
      </c>
      <c r="D13" s="68">
        <v>1</v>
      </c>
      <c r="E13" s="66">
        <v>1</v>
      </c>
      <c r="F13" s="351">
        <f>E13</f>
        <v>1</v>
      </c>
      <c r="G13" s="76" t="s">
        <v>1128</v>
      </c>
      <c r="H13" s="76">
        <v>650</v>
      </c>
      <c r="I13" s="76">
        <v>25</v>
      </c>
      <c r="J13" s="76" t="s">
        <v>1129</v>
      </c>
      <c r="K13" s="143">
        <v>55</v>
      </c>
      <c r="L13" s="76">
        <v>0.37</v>
      </c>
      <c r="M13" s="144" t="s">
        <v>1130</v>
      </c>
      <c r="N13" s="76" t="s">
        <v>1331</v>
      </c>
      <c r="O13" s="76" t="s">
        <v>1332</v>
      </c>
      <c r="P13" s="76" t="s">
        <v>1131</v>
      </c>
      <c r="Q13" s="144"/>
      <c r="R13" s="351">
        <v>1</v>
      </c>
      <c r="S13" s="351" t="s">
        <v>3211</v>
      </c>
      <c r="T13" s="351" t="s">
        <v>2616</v>
      </c>
      <c r="U13" s="351" t="s">
        <v>2615</v>
      </c>
      <c r="V13" s="351" t="s">
        <v>2328</v>
      </c>
      <c r="W13" s="311">
        <v>422712</v>
      </c>
      <c r="X13" s="311">
        <v>0</v>
      </c>
      <c r="Y13" s="311">
        <v>164231.11818181816</v>
      </c>
      <c r="Z13" s="311">
        <v>55573.727272727272</v>
      </c>
      <c r="AA13" s="311">
        <v>38901.609090909093</v>
      </c>
      <c r="AB13" s="68">
        <f>SUM(W13:AA13)</f>
        <v>681418.45454545459</v>
      </c>
      <c r="AC13" s="68">
        <f t="shared" ref="AC13:AC22" si="0">F13*AB13</f>
        <v>681418.45454545459</v>
      </c>
      <c r="AD13" s="127">
        <f t="shared" ref="AD13:AD22" si="1">R13*AB13</f>
        <v>681418.45454545459</v>
      </c>
      <c r="AE13" s="26"/>
    </row>
    <row r="14" spans="1:31" ht="75">
      <c r="A14" s="474">
        <v>2</v>
      </c>
      <c r="B14" s="146" t="s">
        <v>1132</v>
      </c>
      <c r="C14" s="33" t="s">
        <v>8</v>
      </c>
      <c r="D14" s="68">
        <v>1</v>
      </c>
      <c r="E14" s="66">
        <v>1</v>
      </c>
      <c r="F14" s="351">
        <f t="shared" ref="F14:F78" si="2">E14</f>
        <v>1</v>
      </c>
      <c r="G14" s="76" t="s">
        <v>1133</v>
      </c>
      <c r="H14" s="76">
        <v>650</v>
      </c>
      <c r="I14" s="76">
        <v>25</v>
      </c>
      <c r="J14" s="76" t="s">
        <v>1129</v>
      </c>
      <c r="K14" s="143">
        <v>55</v>
      </c>
      <c r="L14" s="76">
        <v>0.37</v>
      </c>
      <c r="M14" s="144" t="s">
        <v>1130</v>
      </c>
      <c r="N14" s="76" t="s">
        <v>1331</v>
      </c>
      <c r="O14" s="76" t="s">
        <v>1332</v>
      </c>
      <c r="P14" s="76" t="s">
        <v>1131</v>
      </c>
      <c r="Q14" s="144"/>
      <c r="R14" s="351">
        <v>1</v>
      </c>
      <c r="S14" s="351" t="s">
        <v>3212</v>
      </c>
      <c r="T14" s="351" t="s">
        <v>2616</v>
      </c>
      <c r="U14" s="351" t="s">
        <v>2615</v>
      </c>
      <c r="V14" s="351" t="s">
        <v>2328</v>
      </c>
      <c r="W14" s="311">
        <v>422712</v>
      </c>
      <c r="X14" s="311">
        <v>0</v>
      </c>
      <c r="Y14" s="311">
        <v>164231.11818181816</v>
      </c>
      <c r="Z14" s="311">
        <v>55573.727272727272</v>
      </c>
      <c r="AA14" s="311">
        <v>38901.609090909093</v>
      </c>
      <c r="AB14" s="68">
        <f t="shared" ref="AB14:AB22" si="3">SUM(W14:AA14)</f>
        <v>681418.45454545459</v>
      </c>
      <c r="AC14" s="68">
        <f t="shared" si="0"/>
        <v>681418.45454545459</v>
      </c>
      <c r="AD14" s="127">
        <f t="shared" si="1"/>
        <v>681418.45454545459</v>
      </c>
      <c r="AE14" s="26"/>
    </row>
    <row r="15" spans="1:31" ht="75">
      <c r="A15" s="474">
        <v>3</v>
      </c>
      <c r="B15" s="146" t="s">
        <v>1134</v>
      </c>
      <c r="C15" s="33" t="s">
        <v>8</v>
      </c>
      <c r="D15" s="68">
        <v>1</v>
      </c>
      <c r="E15" s="66">
        <v>1</v>
      </c>
      <c r="F15" s="351">
        <f t="shared" si="2"/>
        <v>1</v>
      </c>
      <c r="G15" s="76" t="s">
        <v>1135</v>
      </c>
      <c r="H15" s="76">
        <v>1000</v>
      </c>
      <c r="I15" s="76">
        <v>50</v>
      </c>
      <c r="J15" s="76" t="s">
        <v>1129</v>
      </c>
      <c r="K15" s="143">
        <v>55</v>
      </c>
      <c r="L15" s="76">
        <v>0.37</v>
      </c>
      <c r="M15" s="144" t="s">
        <v>1130</v>
      </c>
      <c r="N15" s="76" t="s">
        <v>1331</v>
      </c>
      <c r="O15" s="76" t="s">
        <v>1332</v>
      </c>
      <c r="P15" s="76" t="s">
        <v>1131</v>
      </c>
      <c r="Q15" s="144"/>
      <c r="R15" s="351">
        <v>1</v>
      </c>
      <c r="S15" s="351" t="s">
        <v>3213</v>
      </c>
      <c r="T15" s="351" t="s">
        <v>2616</v>
      </c>
      <c r="U15" s="351" t="s">
        <v>2615</v>
      </c>
      <c r="V15" s="351" t="s">
        <v>2328</v>
      </c>
      <c r="W15" s="311">
        <v>422712</v>
      </c>
      <c r="X15" s="311">
        <v>0</v>
      </c>
      <c r="Y15" s="311">
        <v>164231.11818181816</v>
      </c>
      <c r="Z15" s="311">
        <v>55573.727272727272</v>
      </c>
      <c r="AA15" s="311">
        <v>38901.609090909093</v>
      </c>
      <c r="AB15" s="68">
        <f t="shared" si="3"/>
        <v>681418.45454545459</v>
      </c>
      <c r="AC15" s="68">
        <f t="shared" si="0"/>
        <v>681418.45454545459</v>
      </c>
      <c r="AD15" s="127">
        <f t="shared" si="1"/>
        <v>681418.45454545459</v>
      </c>
      <c r="AE15" s="26"/>
    </row>
    <row r="16" spans="1:31" ht="75">
      <c r="A16" s="474">
        <v>4</v>
      </c>
      <c r="B16" s="146" t="s">
        <v>1136</v>
      </c>
      <c r="C16" s="33" t="s">
        <v>8</v>
      </c>
      <c r="D16" s="68">
        <v>1</v>
      </c>
      <c r="E16" s="66">
        <v>1</v>
      </c>
      <c r="F16" s="351">
        <f t="shared" si="2"/>
        <v>1</v>
      </c>
      <c r="G16" s="76" t="s">
        <v>1137</v>
      </c>
      <c r="H16" s="76">
        <v>650</v>
      </c>
      <c r="I16" s="76">
        <v>25</v>
      </c>
      <c r="J16" s="76" t="s">
        <v>1129</v>
      </c>
      <c r="K16" s="143">
        <v>55</v>
      </c>
      <c r="L16" s="76">
        <v>0.37</v>
      </c>
      <c r="M16" s="144" t="s">
        <v>1130</v>
      </c>
      <c r="N16" s="76" t="s">
        <v>1331</v>
      </c>
      <c r="O16" s="76" t="s">
        <v>1332</v>
      </c>
      <c r="P16" s="76" t="s">
        <v>1131</v>
      </c>
      <c r="Q16" s="144"/>
      <c r="R16" s="351">
        <v>1</v>
      </c>
      <c r="S16" s="351" t="s">
        <v>3214</v>
      </c>
      <c r="T16" s="351" t="s">
        <v>2616</v>
      </c>
      <c r="U16" s="351" t="s">
        <v>2615</v>
      </c>
      <c r="V16" s="351" t="s">
        <v>2328</v>
      </c>
      <c r="W16" s="311">
        <v>422712</v>
      </c>
      <c r="X16" s="311">
        <v>0</v>
      </c>
      <c r="Y16" s="311">
        <v>164231.11818181816</v>
      </c>
      <c r="Z16" s="311">
        <v>55573.727272727272</v>
      </c>
      <c r="AA16" s="311">
        <v>38901.609090909093</v>
      </c>
      <c r="AB16" s="68">
        <f t="shared" si="3"/>
        <v>681418.45454545459</v>
      </c>
      <c r="AC16" s="68">
        <f t="shared" si="0"/>
        <v>681418.45454545459</v>
      </c>
      <c r="AD16" s="127">
        <f t="shared" si="1"/>
        <v>681418.45454545459</v>
      </c>
      <c r="AE16" s="26"/>
    </row>
    <row r="17" spans="1:31" ht="75">
      <c r="A17" s="474">
        <v>6</v>
      </c>
      <c r="B17" s="146" t="s">
        <v>1138</v>
      </c>
      <c r="C17" s="33" t="s">
        <v>8</v>
      </c>
      <c r="D17" s="68">
        <v>1</v>
      </c>
      <c r="E17" s="66">
        <v>1</v>
      </c>
      <c r="F17" s="351">
        <f t="shared" si="2"/>
        <v>1</v>
      </c>
      <c r="G17" s="76" t="s">
        <v>1139</v>
      </c>
      <c r="H17" s="76">
        <v>650</v>
      </c>
      <c r="I17" s="76">
        <v>25</v>
      </c>
      <c r="J17" s="76" t="s">
        <v>1129</v>
      </c>
      <c r="K17" s="143">
        <v>55</v>
      </c>
      <c r="L17" s="76">
        <v>0.37</v>
      </c>
      <c r="M17" s="144" t="s">
        <v>1130</v>
      </c>
      <c r="N17" s="76" t="s">
        <v>1331</v>
      </c>
      <c r="O17" s="76" t="s">
        <v>1332</v>
      </c>
      <c r="P17" s="76" t="s">
        <v>1131</v>
      </c>
      <c r="Q17" s="144"/>
      <c r="R17" s="351">
        <v>1</v>
      </c>
      <c r="S17" s="351" t="s">
        <v>3215</v>
      </c>
      <c r="T17" s="351" t="s">
        <v>2616</v>
      </c>
      <c r="U17" s="351" t="s">
        <v>2615</v>
      </c>
      <c r="V17" s="351" t="s">
        <v>2328</v>
      </c>
      <c r="W17" s="311">
        <v>422712</v>
      </c>
      <c r="X17" s="311">
        <v>0</v>
      </c>
      <c r="Y17" s="311">
        <v>164231.11818181816</v>
      </c>
      <c r="Z17" s="311">
        <v>55573.727272727272</v>
      </c>
      <c r="AA17" s="311">
        <v>38901.609090909093</v>
      </c>
      <c r="AB17" s="68">
        <f t="shared" si="3"/>
        <v>681418.45454545459</v>
      </c>
      <c r="AC17" s="68">
        <f t="shared" si="0"/>
        <v>681418.45454545459</v>
      </c>
      <c r="AD17" s="127">
        <f t="shared" si="1"/>
        <v>681418.45454545459</v>
      </c>
      <c r="AE17" s="26"/>
    </row>
    <row r="18" spans="1:31" ht="75">
      <c r="A18" s="474">
        <v>7</v>
      </c>
      <c r="B18" s="146" t="s">
        <v>1140</v>
      </c>
      <c r="C18" s="33" t="s">
        <v>8</v>
      </c>
      <c r="D18" s="68">
        <v>1</v>
      </c>
      <c r="E18" s="66">
        <v>1</v>
      </c>
      <c r="F18" s="351">
        <f t="shared" si="2"/>
        <v>1</v>
      </c>
      <c r="G18" s="76" t="s">
        <v>1141</v>
      </c>
      <c r="H18" s="76">
        <v>250</v>
      </c>
      <c r="I18" s="76">
        <v>20</v>
      </c>
      <c r="J18" s="76" t="s">
        <v>1129</v>
      </c>
      <c r="K18" s="143">
        <v>55</v>
      </c>
      <c r="L18" s="76">
        <v>0.37</v>
      </c>
      <c r="M18" s="144" t="s">
        <v>1130</v>
      </c>
      <c r="N18" s="76" t="s">
        <v>1331</v>
      </c>
      <c r="O18" s="76" t="s">
        <v>1332</v>
      </c>
      <c r="P18" s="76" t="s">
        <v>1273</v>
      </c>
      <c r="Q18" s="144"/>
      <c r="R18" s="351">
        <v>1</v>
      </c>
      <c r="S18" s="351" t="s">
        <v>3225</v>
      </c>
      <c r="T18" s="351" t="s">
        <v>2617</v>
      </c>
      <c r="U18" s="351" t="s">
        <v>2615</v>
      </c>
      <c r="V18" s="351" t="s">
        <v>2328</v>
      </c>
      <c r="W18" s="311">
        <v>344844</v>
      </c>
      <c r="X18" s="311">
        <v>0</v>
      </c>
      <c r="Y18" s="311">
        <v>136854.29999999999</v>
      </c>
      <c r="Z18" s="311">
        <v>45591</v>
      </c>
      <c r="AA18" s="311">
        <v>31913.700000000004</v>
      </c>
      <c r="AB18" s="68">
        <f t="shared" si="3"/>
        <v>559203</v>
      </c>
      <c r="AC18" s="68">
        <f t="shared" si="0"/>
        <v>559203</v>
      </c>
      <c r="AD18" s="127">
        <f t="shared" si="1"/>
        <v>559203</v>
      </c>
      <c r="AE18" s="26"/>
    </row>
    <row r="19" spans="1:31" ht="75">
      <c r="A19" s="474">
        <v>8</v>
      </c>
      <c r="B19" s="146" t="s">
        <v>1142</v>
      </c>
      <c r="C19" s="33" t="s">
        <v>8</v>
      </c>
      <c r="D19" s="68">
        <v>1</v>
      </c>
      <c r="E19" s="66">
        <v>1</v>
      </c>
      <c r="F19" s="351">
        <f t="shared" si="2"/>
        <v>1</v>
      </c>
      <c r="G19" s="76" t="s">
        <v>1143</v>
      </c>
      <c r="H19" s="76">
        <v>350</v>
      </c>
      <c r="I19" s="76">
        <v>25</v>
      </c>
      <c r="J19" s="76" t="s">
        <v>1129</v>
      </c>
      <c r="K19" s="143">
        <v>55</v>
      </c>
      <c r="L19" s="76">
        <v>0.37</v>
      </c>
      <c r="M19" s="144" t="s">
        <v>1130</v>
      </c>
      <c r="N19" s="76" t="s">
        <v>1331</v>
      </c>
      <c r="O19" s="76" t="s">
        <v>1332</v>
      </c>
      <c r="P19" s="76" t="s">
        <v>1273</v>
      </c>
      <c r="Q19" s="144"/>
      <c r="R19" s="351">
        <v>1</v>
      </c>
      <c r="S19" s="351" t="s">
        <v>3226</v>
      </c>
      <c r="T19" s="351" t="s">
        <v>2618</v>
      </c>
      <c r="U19" s="351" t="s">
        <v>2615</v>
      </c>
      <c r="V19" s="351" t="s">
        <v>2328</v>
      </c>
      <c r="W19" s="311">
        <v>389340</v>
      </c>
      <c r="X19" s="311">
        <v>0</v>
      </c>
      <c r="Y19" s="311">
        <v>136854.29999999999</v>
      </c>
      <c r="Z19" s="311">
        <v>49911</v>
      </c>
      <c r="AA19" s="311">
        <v>34937.700000000004</v>
      </c>
      <c r="AB19" s="68">
        <f t="shared" si="3"/>
        <v>611043</v>
      </c>
      <c r="AC19" s="68">
        <f t="shared" si="0"/>
        <v>611043</v>
      </c>
      <c r="AD19" s="127">
        <f t="shared" si="1"/>
        <v>611043</v>
      </c>
      <c r="AE19" s="26"/>
    </row>
    <row r="20" spans="1:31" ht="75">
      <c r="A20" s="474">
        <v>9</v>
      </c>
      <c r="B20" s="146" t="s">
        <v>1144</v>
      </c>
      <c r="C20" s="33" t="s">
        <v>8</v>
      </c>
      <c r="D20" s="68">
        <v>1</v>
      </c>
      <c r="E20" s="66">
        <v>1</v>
      </c>
      <c r="F20" s="351">
        <f t="shared" si="2"/>
        <v>1</v>
      </c>
      <c r="G20" s="76" t="s">
        <v>1145</v>
      </c>
      <c r="H20" s="76">
        <v>150</v>
      </c>
      <c r="I20" s="76">
        <v>20</v>
      </c>
      <c r="J20" s="76" t="s">
        <v>1129</v>
      </c>
      <c r="K20" s="143">
        <v>55</v>
      </c>
      <c r="L20" s="76">
        <v>0.37</v>
      </c>
      <c r="M20" s="144" t="s">
        <v>1130</v>
      </c>
      <c r="N20" s="76" t="s">
        <v>1331</v>
      </c>
      <c r="O20" s="76" t="s">
        <v>1332</v>
      </c>
      <c r="P20" s="76"/>
      <c r="Q20" s="144"/>
      <c r="R20" s="351">
        <v>1</v>
      </c>
      <c r="S20" s="351" t="s">
        <v>3227</v>
      </c>
      <c r="T20" s="351" t="s">
        <v>2617</v>
      </c>
      <c r="U20" s="351" t="s">
        <v>2615</v>
      </c>
      <c r="V20" s="351" t="s">
        <v>2328</v>
      </c>
      <c r="W20" s="311">
        <v>344844</v>
      </c>
      <c r="X20" s="311">
        <v>0</v>
      </c>
      <c r="Y20" s="311">
        <v>136854.29999999999</v>
      </c>
      <c r="Z20" s="311">
        <v>45591</v>
      </c>
      <c r="AA20" s="311">
        <v>31913.700000000004</v>
      </c>
      <c r="AB20" s="68">
        <f t="shared" si="3"/>
        <v>559203</v>
      </c>
      <c r="AC20" s="68">
        <f t="shared" si="0"/>
        <v>559203</v>
      </c>
      <c r="AD20" s="127">
        <f t="shared" si="1"/>
        <v>559203</v>
      </c>
      <c r="AE20" s="26"/>
    </row>
    <row r="21" spans="1:31" ht="75">
      <c r="A21" s="474">
        <v>10</v>
      </c>
      <c r="B21" s="146" t="s">
        <v>1146</v>
      </c>
      <c r="C21" s="33" t="s">
        <v>8</v>
      </c>
      <c r="D21" s="68">
        <v>2</v>
      </c>
      <c r="E21" s="66">
        <v>2</v>
      </c>
      <c r="F21" s="351">
        <f t="shared" si="2"/>
        <v>2</v>
      </c>
      <c r="G21" s="76" t="s">
        <v>1147</v>
      </c>
      <c r="H21" s="76">
        <v>20500</v>
      </c>
      <c r="I21" s="76">
        <v>400</v>
      </c>
      <c r="J21" s="76" t="s">
        <v>1148</v>
      </c>
      <c r="K21" s="143">
        <v>55</v>
      </c>
      <c r="L21" s="76">
        <v>11</v>
      </c>
      <c r="M21" s="144" t="s">
        <v>1149</v>
      </c>
      <c r="N21" s="76" t="s">
        <v>1331</v>
      </c>
      <c r="O21" s="76" t="s">
        <v>1332</v>
      </c>
      <c r="P21" s="76"/>
      <c r="Q21" s="144"/>
      <c r="R21" s="351">
        <v>2</v>
      </c>
      <c r="S21" s="351" t="s">
        <v>3654</v>
      </c>
      <c r="T21" s="351" t="s">
        <v>3655</v>
      </c>
      <c r="U21" s="351" t="s">
        <v>2615</v>
      </c>
      <c r="V21" s="351" t="s">
        <v>2328</v>
      </c>
      <c r="W21" s="311">
        <v>31703400</v>
      </c>
      <c r="X21" s="311">
        <v>259848.00000000003</v>
      </c>
      <c r="Y21" s="311">
        <v>1724120.0999999999</v>
      </c>
      <c r="Z21" s="311">
        <v>3230577</v>
      </c>
      <c r="AA21" s="311">
        <v>2261403.9000000004</v>
      </c>
      <c r="AB21" s="68">
        <f t="shared" si="3"/>
        <v>39179349</v>
      </c>
      <c r="AC21" s="68">
        <f t="shared" si="0"/>
        <v>78358698</v>
      </c>
      <c r="AD21" s="127">
        <f t="shared" si="1"/>
        <v>78358698</v>
      </c>
      <c r="AE21" s="26"/>
    </row>
    <row r="22" spans="1:31" ht="75">
      <c r="A22" s="474">
        <v>11</v>
      </c>
      <c r="B22" s="146" t="s">
        <v>1150</v>
      </c>
      <c r="C22" s="33" t="s">
        <v>8</v>
      </c>
      <c r="D22" s="68">
        <v>1</v>
      </c>
      <c r="E22" s="66">
        <v>1</v>
      </c>
      <c r="F22" s="351">
        <f t="shared" si="2"/>
        <v>1</v>
      </c>
      <c r="G22" s="76" t="s">
        <v>1151</v>
      </c>
      <c r="H22" s="76">
        <v>39000</v>
      </c>
      <c r="I22" s="76">
        <v>400</v>
      </c>
      <c r="J22" s="76" t="s">
        <v>1148</v>
      </c>
      <c r="K22" s="143">
        <v>55</v>
      </c>
      <c r="L22" s="76">
        <v>15</v>
      </c>
      <c r="M22" s="144" t="s">
        <v>1149</v>
      </c>
      <c r="N22" s="76" t="s">
        <v>1331</v>
      </c>
      <c r="O22" s="76" t="s">
        <v>1332</v>
      </c>
      <c r="P22" s="76"/>
      <c r="Q22" s="144"/>
      <c r="R22" s="351">
        <v>1</v>
      </c>
      <c r="S22" s="351" t="s">
        <v>3657</v>
      </c>
      <c r="T22" s="351" t="s">
        <v>3656</v>
      </c>
      <c r="U22" s="351" t="s">
        <v>2615</v>
      </c>
      <c r="V22" s="351" t="s">
        <v>2328</v>
      </c>
      <c r="W22" s="311">
        <v>46128447</v>
      </c>
      <c r="X22" s="311">
        <v>259848.00000000003</v>
      </c>
      <c r="Y22" s="311">
        <v>2229872.1454545455</v>
      </c>
      <c r="Z22" s="311">
        <v>4675823.8181818184</v>
      </c>
      <c r="AA22" s="311">
        <v>3273076.6727272728</v>
      </c>
      <c r="AB22" s="68">
        <f t="shared" si="3"/>
        <v>56567067.63636364</v>
      </c>
      <c r="AC22" s="68">
        <f t="shared" si="0"/>
        <v>56567067.63636364</v>
      </c>
      <c r="AD22" s="127">
        <f t="shared" si="1"/>
        <v>56567067.63636364</v>
      </c>
      <c r="AE22" s="26"/>
    </row>
    <row r="23" spans="1:31">
      <c r="A23" s="140"/>
      <c r="B23" s="142" t="s">
        <v>1152</v>
      </c>
      <c r="C23" s="33"/>
      <c r="D23" s="68"/>
      <c r="E23" s="66"/>
      <c r="F23" s="351"/>
      <c r="G23" s="76"/>
      <c r="H23" s="76"/>
      <c r="I23" s="76"/>
      <c r="J23" s="76"/>
      <c r="K23" s="143"/>
      <c r="L23" s="76"/>
      <c r="M23" s="144"/>
      <c r="N23" s="76"/>
      <c r="O23" s="76"/>
      <c r="P23" s="76"/>
      <c r="Q23" s="144"/>
      <c r="R23" s="351"/>
      <c r="S23" s="351"/>
      <c r="T23" s="351"/>
      <c r="U23" s="351"/>
      <c r="V23" s="351"/>
      <c r="W23" s="66"/>
      <c r="X23" s="66"/>
      <c r="Y23" s="66"/>
      <c r="Z23" s="66"/>
      <c r="AA23" s="66"/>
      <c r="AB23" s="66"/>
      <c r="AC23" s="66"/>
      <c r="AD23" s="66"/>
      <c r="AE23" s="26"/>
    </row>
    <row r="24" spans="1:31" ht="75">
      <c r="A24" s="474">
        <v>12</v>
      </c>
      <c r="B24" s="146" t="s">
        <v>1127</v>
      </c>
      <c r="C24" s="33" t="s">
        <v>8</v>
      </c>
      <c r="D24" s="68">
        <v>1</v>
      </c>
      <c r="E24" s="66">
        <v>1</v>
      </c>
      <c r="F24" s="351">
        <f t="shared" si="2"/>
        <v>1</v>
      </c>
      <c r="G24" s="76" t="s">
        <v>1153</v>
      </c>
      <c r="H24" s="76">
        <v>1000</v>
      </c>
      <c r="I24" s="76">
        <v>50</v>
      </c>
      <c r="J24" s="76" t="s">
        <v>1129</v>
      </c>
      <c r="K24" s="143">
        <v>55</v>
      </c>
      <c r="L24" s="76">
        <v>0.37</v>
      </c>
      <c r="M24" s="144" t="s">
        <v>1130</v>
      </c>
      <c r="N24" s="76" t="s">
        <v>1331</v>
      </c>
      <c r="O24" s="76" t="s">
        <v>1332</v>
      </c>
      <c r="P24" s="76"/>
      <c r="Q24" s="144"/>
      <c r="R24" s="351">
        <v>1</v>
      </c>
      <c r="S24" s="351" t="s">
        <v>3216</v>
      </c>
      <c r="T24" s="351" t="s">
        <v>2616</v>
      </c>
      <c r="U24" s="351" t="s">
        <v>2615</v>
      </c>
      <c r="V24" s="351" t="s">
        <v>2328</v>
      </c>
      <c r="W24" s="311">
        <v>422712</v>
      </c>
      <c r="X24" s="311">
        <v>0</v>
      </c>
      <c r="Y24" s="311">
        <v>164231.11818181816</v>
      </c>
      <c r="Z24" s="311">
        <v>55573.727272727272</v>
      </c>
      <c r="AA24" s="311">
        <v>38901.609090909093</v>
      </c>
      <c r="AB24" s="68">
        <f t="shared" ref="AB24:AB35" si="4">SUM(W24:AA24)</f>
        <v>681418.45454545459</v>
      </c>
      <c r="AC24" s="68">
        <f t="shared" ref="AC24:AC35" si="5">F24*AB24</f>
        <v>681418.45454545459</v>
      </c>
      <c r="AD24" s="127">
        <f t="shared" ref="AD24:AD35" si="6">R24*AB24</f>
        <v>681418.45454545459</v>
      </c>
      <c r="AE24" s="26"/>
    </row>
    <row r="25" spans="1:31" ht="75">
      <c r="A25" s="474">
        <f>A24+1</f>
        <v>13</v>
      </c>
      <c r="B25" s="146" t="s">
        <v>1132</v>
      </c>
      <c r="C25" s="33" t="s">
        <v>8</v>
      </c>
      <c r="D25" s="68">
        <v>1</v>
      </c>
      <c r="E25" s="66">
        <v>1</v>
      </c>
      <c r="F25" s="351">
        <f t="shared" si="2"/>
        <v>1</v>
      </c>
      <c r="G25" s="76" t="s">
        <v>1154</v>
      </c>
      <c r="H25" s="76">
        <v>650</v>
      </c>
      <c r="I25" s="76">
        <v>25</v>
      </c>
      <c r="J25" s="76" t="s">
        <v>1129</v>
      </c>
      <c r="K25" s="143">
        <v>55</v>
      </c>
      <c r="L25" s="76">
        <v>0.37</v>
      </c>
      <c r="M25" s="144" t="s">
        <v>1130</v>
      </c>
      <c r="N25" s="76" t="s">
        <v>1331</v>
      </c>
      <c r="O25" s="76" t="s">
        <v>1332</v>
      </c>
      <c r="P25" s="76"/>
      <c r="Q25" s="144"/>
      <c r="R25" s="351">
        <v>1</v>
      </c>
      <c r="S25" s="351" t="s">
        <v>3217</v>
      </c>
      <c r="T25" s="351" t="s">
        <v>2616</v>
      </c>
      <c r="U25" s="351" t="s">
        <v>2615</v>
      </c>
      <c r="V25" s="351" t="s">
        <v>2328</v>
      </c>
      <c r="W25" s="311">
        <v>422712</v>
      </c>
      <c r="X25" s="311">
        <v>0</v>
      </c>
      <c r="Y25" s="311">
        <v>164231.11818181816</v>
      </c>
      <c r="Z25" s="311">
        <v>55573.727272727272</v>
      </c>
      <c r="AA25" s="311">
        <v>38901.609090909093</v>
      </c>
      <c r="AB25" s="68">
        <f t="shared" si="4"/>
        <v>681418.45454545459</v>
      </c>
      <c r="AC25" s="68">
        <f t="shared" si="5"/>
        <v>681418.45454545459</v>
      </c>
      <c r="AD25" s="127">
        <f t="shared" si="6"/>
        <v>681418.45454545459</v>
      </c>
      <c r="AE25" s="26"/>
    </row>
    <row r="26" spans="1:31" ht="75">
      <c r="A26" s="474">
        <f t="shared" ref="A26:A35" si="7">A25+1</f>
        <v>14</v>
      </c>
      <c r="B26" s="146" t="s">
        <v>1134</v>
      </c>
      <c r="C26" s="33" t="s">
        <v>8</v>
      </c>
      <c r="D26" s="68">
        <v>1</v>
      </c>
      <c r="E26" s="66">
        <v>1</v>
      </c>
      <c r="F26" s="351">
        <f t="shared" si="2"/>
        <v>1</v>
      </c>
      <c r="G26" s="76" t="s">
        <v>1155</v>
      </c>
      <c r="H26" s="76">
        <v>1000</v>
      </c>
      <c r="I26" s="76">
        <v>50</v>
      </c>
      <c r="J26" s="76" t="s">
        <v>1129</v>
      </c>
      <c r="K26" s="143">
        <v>55</v>
      </c>
      <c r="L26" s="76">
        <v>0.37</v>
      </c>
      <c r="M26" s="144" t="s">
        <v>1130</v>
      </c>
      <c r="N26" s="76" t="s">
        <v>1331</v>
      </c>
      <c r="O26" s="76" t="s">
        <v>1332</v>
      </c>
      <c r="P26" s="76"/>
      <c r="Q26" s="144"/>
      <c r="R26" s="351">
        <v>1</v>
      </c>
      <c r="S26" s="351" t="s">
        <v>3218</v>
      </c>
      <c r="T26" s="351" t="s">
        <v>2616</v>
      </c>
      <c r="U26" s="351" t="s">
        <v>2615</v>
      </c>
      <c r="V26" s="351" t="s">
        <v>2328</v>
      </c>
      <c r="W26" s="311">
        <v>422712</v>
      </c>
      <c r="X26" s="311">
        <v>0</v>
      </c>
      <c r="Y26" s="311">
        <v>164231.11818181816</v>
      </c>
      <c r="Z26" s="311">
        <v>55573.727272727272</v>
      </c>
      <c r="AA26" s="311">
        <v>38901.609090909093</v>
      </c>
      <c r="AB26" s="68">
        <f t="shared" si="4"/>
        <v>681418.45454545459</v>
      </c>
      <c r="AC26" s="68">
        <f t="shared" si="5"/>
        <v>681418.45454545459</v>
      </c>
      <c r="AD26" s="127">
        <f t="shared" si="6"/>
        <v>681418.45454545459</v>
      </c>
      <c r="AE26" s="26"/>
    </row>
    <row r="27" spans="1:31" ht="75">
      <c r="A27" s="474">
        <f t="shared" si="7"/>
        <v>15</v>
      </c>
      <c r="B27" s="146" t="s">
        <v>1136</v>
      </c>
      <c r="C27" s="33" t="s">
        <v>8</v>
      </c>
      <c r="D27" s="68">
        <v>1</v>
      </c>
      <c r="E27" s="66">
        <v>1</v>
      </c>
      <c r="F27" s="351">
        <f t="shared" si="2"/>
        <v>1</v>
      </c>
      <c r="G27" s="76" t="s">
        <v>1156</v>
      </c>
      <c r="H27" s="76">
        <v>650</v>
      </c>
      <c r="I27" s="76">
        <v>25</v>
      </c>
      <c r="J27" s="76" t="s">
        <v>1129</v>
      </c>
      <c r="K27" s="143">
        <v>55</v>
      </c>
      <c r="L27" s="76">
        <v>0.37</v>
      </c>
      <c r="M27" s="144" t="s">
        <v>1130</v>
      </c>
      <c r="N27" s="76" t="s">
        <v>1331</v>
      </c>
      <c r="O27" s="76" t="s">
        <v>1332</v>
      </c>
      <c r="P27" s="76"/>
      <c r="Q27" s="144"/>
      <c r="R27" s="351">
        <v>1</v>
      </c>
      <c r="S27" s="351" t="s">
        <v>3219</v>
      </c>
      <c r="T27" s="351" t="s">
        <v>2616</v>
      </c>
      <c r="U27" s="351" t="s">
        <v>2615</v>
      </c>
      <c r="V27" s="351" t="s">
        <v>2328</v>
      </c>
      <c r="W27" s="311">
        <v>422712</v>
      </c>
      <c r="X27" s="311">
        <v>0</v>
      </c>
      <c r="Y27" s="311">
        <v>164231.11818181816</v>
      </c>
      <c r="Z27" s="311">
        <v>55573.727272727272</v>
      </c>
      <c r="AA27" s="311">
        <v>38901.609090909093</v>
      </c>
      <c r="AB27" s="68">
        <f t="shared" si="4"/>
        <v>681418.45454545459</v>
      </c>
      <c r="AC27" s="68">
        <f t="shared" si="5"/>
        <v>681418.45454545459</v>
      </c>
      <c r="AD27" s="127">
        <f t="shared" si="6"/>
        <v>681418.45454545459</v>
      </c>
      <c r="AE27" s="26"/>
    </row>
    <row r="28" spans="1:31" ht="75">
      <c r="A28" s="474">
        <f t="shared" si="7"/>
        <v>16</v>
      </c>
      <c r="B28" s="146" t="s">
        <v>1157</v>
      </c>
      <c r="C28" s="33" t="s">
        <v>8</v>
      </c>
      <c r="D28" s="68">
        <v>1</v>
      </c>
      <c r="E28" s="66">
        <v>1</v>
      </c>
      <c r="F28" s="351">
        <f t="shared" si="2"/>
        <v>1</v>
      </c>
      <c r="G28" s="76" t="s">
        <v>1158</v>
      </c>
      <c r="H28" s="76">
        <v>1000</v>
      </c>
      <c r="I28" s="76">
        <v>50</v>
      </c>
      <c r="J28" s="76" t="s">
        <v>1129</v>
      </c>
      <c r="K28" s="143">
        <v>55</v>
      </c>
      <c r="L28" s="76">
        <v>0.37</v>
      </c>
      <c r="M28" s="144" t="s">
        <v>1130</v>
      </c>
      <c r="N28" s="76" t="s">
        <v>1331</v>
      </c>
      <c r="O28" s="76" t="s">
        <v>1332</v>
      </c>
      <c r="P28" s="76"/>
      <c r="Q28" s="144"/>
      <c r="R28" s="351">
        <v>1</v>
      </c>
      <c r="S28" s="351" t="s">
        <v>3220</v>
      </c>
      <c r="T28" s="351" t="s">
        <v>2616</v>
      </c>
      <c r="U28" s="351" t="s">
        <v>2615</v>
      </c>
      <c r="V28" s="351" t="s">
        <v>2328</v>
      </c>
      <c r="W28" s="311">
        <v>422712</v>
      </c>
      <c r="X28" s="311">
        <v>0</v>
      </c>
      <c r="Y28" s="311">
        <v>164231.11818181816</v>
      </c>
      <c r="Z28" s="311">
        <v>55573.727272727272</v>
      </c>
      <c r="AA28" s="311">
        <v>38901.609090909093</v>
      </c>
      <c r="AB28" s="68">
        <f t="shared" si="4"/>
        <v>681418.45454545459</v>
      </c>
      <c r="AC28" s="68">
        <f t="shared" si="5"/>
        <v>681418.45454545459</v>
      </c>
      <c r="AD28" s="127">
        <f t="shared" si="6"/>
        <v>681418.45454545459</v>
      </c>
      <c r="AE28" s="26"/>
    </row>
    <row r="29" spans="1:31" ht="75">
      <c r="A29" s="474">
        <f t="shared" si="7"/>
        <v>17</v>
      </c>
      <c r="B29" s="146" t="s">
        <v>1159</v>
      </c>
      <c r="C29" s="33" t="s">
        <v>8</v>
      </c>
      <c r="D29" s="68">
        <v>1</v>
      </c>
      <c r="E29" s="66">
        <v>1</v>
      </c>
      <c r="F29" s="351">
        <f t="shared" si="2"/>
        <v>1</v>
      </c>
      <c r="G29" s="76" t="s">
        <v>1160</v>
      </c>
      <c r="H29" s="76">
        <v>3500</v>
      </c>
      <c r="I29" s="76">
        <v>50</v>
      </c>
      <c r="J29" s="76" t="s">
        <v>1129</v>
      </c>
      <c r="K29" s="143">
        <v>55</v>
      </c>
      <c r="L29" s="76">
        <v>0.55000000000000004</v>
      </c>
      <c r="M29" s="144" t="s">
        <v>1130</v>
      </c>
      <c r="N29" s="76" t="s">
        <v>1331</v>
      </c>
      <c r="O29" s="76" t="s">
        <v>1332</v>
      </c>
      <c r="P29" s="76"/>
      <c r="Q29" s="144"/>
      <c r="R29" s="351">
        <v>1</v>
      </c>
      <c r="S29" s="351" t="s">
        <v>3658</v>
      </c>
      <c r="T29" s="351" t="s">
        <v>2621</v>
      </c>
      <c r="U29" s="351" t="s">
        <v>2615</v>
      </c>
      <c r="V29" s="351" t="s">
        <v>2328</v>
      </c>
      <c r="W29" s="311">
        <v>4088070</v>
      </c>
      <c r="X29" s="311">
        <v>259848.00000000003</v>
      </c>
      <c r="Y29" s="311">
        <v>390084.2181818182</v>
      </c>
      <c r="Z29" s="311">
        <v>431420.72727272729</v>
      </c>
      <c r="AA29" s="311">
        <v>301994.50909090909</v>
      </c>
      <c r="AB29" s="68">
        <f t="shared" si="4"/>
        <v>5471417.4545454541</v>
      </c>
      <c r="AC29" s="68">
        <f t="shared" si="5"/>
        <v>5471417.4545454541</v>
      </c>
      <c r="AD29" s="127">
        <f t="shared" si="6"/>
        <v>5471417.4545454541</v>
      </c>
      <c r="AE29" s="26"/>
    </row>
    <row r="30" spans="1:31" ht="75">
      <c r="A30" s="474">
        <f t="shared" si="7"/>
        <v>18</v>
      </c>
      <c r="B30" s="146" t="s">
        <v>1161</v>
      </c>
      <c r="C30" s="33" t="s">
        <v>8</v>
      </c>
      <c r="D30" s="68">
        <v>1</v>
      </c>
      <c r="E30" s="66">
        <v>1</v>
      </c>
      <c r="F30" s="351">
        <f t="shared" si="2"/>
        <v>1</v>
      </c>
      <c r="G30" s="76" t="s">
        <v>1162</v>
      </c>
      <c r="H30" s="76">
        <v>450</v>
      </c>
      <c r="I30" s="76">
        <v>25</v>
      </c>
      <c r="J30" s="76" t="s">
        <v>1129</v>
      </c>
      <c r="K30" s="143">
        <v>55</v>
      </c>
      <c r="L30" s="76">
        <v>0.37</v>
      </c>
      <c r="M30" s="144" t="s">
        <v>1130</v>
      </c>
      <c r="N30" s="76" t="s">
        <v>1331</v>
      </c>
      <c r="O30" s="76" t="s">
        <v>1332</v>
      </c>
      <c r="P30" s="76"/>
      <c r="Q30" s="144"/>
      <c r="R30" s="351">
        <v>1</v>
      </c>
      <c r="S30" s="351" t="s">
        <v>3247</v>
      </c>
      <c r="T30" s="351" t="s">
        <v>2618</v>
      </c>
      <c r="U30" s="351" t="s">
        <v>2615</v>
      </c>
      <c r="V30" s="351" t="s">
        <v>2328</v>
      </c>
      <c r="W30" s="311">
        <v>389340</v>
      </c>
      <c r="X30" s="311">
        <v>0</v>
      </c>
      <c r="Y30" s="311">
        <v>164231.11818181816</v>
      </c>
      <c r="Z30" s="311">
        <v>52333.727272727272</v>
      </c>
      <c r="AA30" s="311">
        <v>36633.609090909093</v>
      </c>
      <c r="AB30" s="68">
        <f t="shared" si="4"/>
        <v>642538.45454545459</v>
      </c>
      <c r="AC30" s="68">
        <f t="shared" si="5"/>
        <v>642538.45454545459</v>
      </c>
      <c r="AD30" s="127">
        <f t="shared" si="6"/>
        <v>642538.45454545459</v>
      </c>
      <c r="AE30" s="26"/>
    </row>
    <row r="31" spans="1:31" ht="75">
      <c r="A31" s="474">
        <f t="shared" si="7"/>
        <v>19</v>
      </c>
      <c r="B31" s="146" t="s">
        <v>1163</v>
      </c>
      <c r="C31" s="33" t="s">
        <v>8</v>
      </c>
      <c r="D31" s="68">
        <v>1</v>
      </c>
      <c r="E31" s="66">
        <v>1</v>
      </c>
      <c r="F31" s="351">
        <f t="shared" si="2"/>
        <v>1</v>
      </c>
      <c r="G31" s="76" t="s">
        <v>1164</v>
      </c>
      <c r="H31" s="76">
        <v>450</v>
      </c>
      <c r="I31" s="76">
        <v>25</v>
      </c>
      <c r="J31" s="76" t="s">
        <v>1129</v>
      </c>
      <c r="K31" s="143">
        <v>55</v>
      </c>
      <c r="L31" s="76">
        <v>0.37</v>
      </c>
      <c r="M31" s="144" t="s">
        <v>1130</v>
      </c>
      <c r="N31" s="76" t="s">
        <v>1331</v>
      </c>
      <c r="O31" s="76" t="s">
        <v>1332</v>
      </c>
      <c r="P31" s="76"/>
      <c r="Q31" s="144"/>
      <c r="R31" s="351">
        <v>1</v>
      </c>
      <c r="S31" s="351" t="s">
        <v>3248</v>
      </c>
      <c r="T31" s="351" t="s">
        <v>2618</v>
      </c>
      <c r="U31" s="351" t="s">
        <v>2615</v>
      </c>
      <c r="V31" s="351" t="s">
        <v>2328</v>
      </c>
      <c r="W31" s="311">
        <v>389340</v>
      </c>
      <c r="X31" s="311">
        <v>0</v>
      </c>
      <c r="Y31" s="311">
        <v>164231.11818181816</v>
      </c>
      <c r="Z31" s="311">
        <v>52333.727272727272</v>
      </c>
      <c r="AA31" s="311">
        <v>36633.609090909093</v>
      </c>
      <c r="AB31" s="68">
        <f t="shared" si="4"/>
        <v>642538.45454545459</v>
      </c>
      <c r="AC31" s="68">
        <f t="shared" si="5"/>
        <v>642538.45454545459</v>
      </c>
      <c r="AD31" s="127">
        <f t="shared" si="6"/>
        <v>642538.45454545459</v>
      </c>
      <c r="AE31" s="26"/>
    </row>
    <row r="32" spans="1:31" ht="75">
      <c r="A32" s="474">
        <f t="shared" si="7"/>
        <v>20</v>
      </c>
      <c r="B32" s="146" t="s">
        <v>1165</v>
      </c>
      <c r="C32" s="33" t="s">
        <v>8</v>
      </c>
      <c r="D32" s="68">
        <v>1</v>
      </c>
      <c r="E32" s="66">
        <v>1</v>
      </c>
      <c r="F32" s="351">
        <f t="shared" si="2"/>
        <v>1</v>
      </c>
      <c r="G32" s="76" t="s">
        <v>1166</v>
      </c>
      <c r="H32" s="76">
        <v>1000</v>
      </c>
      <c r="I32" s="76">
        <v>50</v>
      </c>
      <c r="J32" s="76" t="s">
        <v>1129</v>
      </c>
      <c r="K32" s="143">
        <v>55</v>
      </c>
      <c r="L32" s="76">
        <v>3.7</v>
      </c>
      <c r="M32" s="144" t="s">
        <v>1130</v>
      </c>
      <c r="N32" s="76" t="s">
        <v>1331</v>
      </c>
      <c r="O32" s="76" t="s">
        <v>1332</v>
      </c>
      <c r="P32" s="76"/>
      <c r="Q32" s="144"/>
      <c r="R32" s="351">
        <v>1</v>
      </c>
      <c r="S32" s="351" t="s">
        <v>3221</v>
      </c>
      <c r="T32" s="351" t="s">
        <v>2616</v>
      </c>
      <c r="U32" s="351" t="s">
        <v>2615</v>
      </c>
      <c r="V32" s="351" t="s">
        <v>2328</v>
      </c>
      <c r="W32" s="311">
        <v>422712</v>
      </c>
      <c r="X32" s="311">
        <v>0</v>
      </c>
      <c r="Y32" s="311">
        <v>164231.11818181816</v>
      </c>
      <c r="Z32" s="311">
        <v>55573.727272727272</v>
      </c>
      <c r="AA32" s="311">
        <v>38901.609090909093</v>
      </c>
      <c r="AB32" s="68">
        <f t="shared" si="4"/>
        <v>681418.45454545459</v>
      </c>
      <c r="AC32" s="68">
        <f t="shared" si="5"/>
        <v>681418.45454545459</v>
      </c>
      <c r="AD32" s="127">
        <f t="shared" si="6"/>
        <v>681418.45454545459</v>
      </c>
      <c r="AE32" s="26"/>
    </row>
    <row r="33" spans="1:31" ht="75">
      <c r="A33" s="474">
        <f t="shared" si="7"/>
        <v>21</v>
      </c>
      <c r="B33" s="146" t="s">
        <v>1167</v>
      </c>
      <c r="C33" s="33" t="s">
        <v>8</v>
      </c>
      <c r="D33" s="68">
        <v>1</v>
      </c>
      <c r="E33" s="66">
        <v>1</v>
      </c>
      <c r="F33" s="351">
        <f t="shared" si="2"/>
        <v>1</v>
      </c>
      <c r="G33" s="76" t="s">
        <v>1168</v>
      </c>
      <c r="H33" s="76">
        <v>6500</v>
      </c>
      <c r="I33" s="76">
        <v>400</v>
      </c>
      <c r="J33" s="76" t="s">
        <v>1148</v>
      </c>
      <c r="K33" s="143">
        <v>55</v>
      </c>
      <c r="L33" s="76">
        <v>3.7</v>
      </c>
      <c r="M33" s="144" t="s">
        <v>1149</v>
      </c>
      <c r="N33" s="76" t="s">
        <v>1331</v>
      </c>
      <c r="O33" s="76" t="s">
        <v>1332</v>
      </c>
      <c r="P33" s="76"/>
      <c r="Q33" s="144"/>
      <c r="R33" s="351">
        <v>1</v>
      </c>
      <c r="S33" s="351" t="s">
        <v>3301</v>
      </c>
      <c r="T33" s="351" t="s">
        <v>3253</v>
      </c>
      <c r="U33" s="351" t="s">
        <v>2615</v>
      </c>
      <c r="V33" s="351" t="s">
        <v>2328</v>
      </c>
      <c r="W33" s="311">
        <v>15462360</v>
      </c>
      <c r="X33" s="311">
        <v>259848.00000000003</v>
      </c>
      <c r="Y33" s="311">
        <v>635069.24545454548</v>
      </c>
      <c r="Z33" s="311">
        <v>1557400.8181818184</v>
      </c>
      <c r="AA33" s="311">
        <v>1090180.5727272728</v>
      </c>
      <c r="AB33" s="68">
        <f t="shared" si="4"/>
        <v>19004858.636363637</v>
      </c>
      <c r="AC33" s="68">
        <f t="shared" si="5"/>
        <v>19004858.636363637</v>
      </c>
      <c r="AD33" s="127">
        <f t="shared" si="6"/>
        <v>19004858.636363637</v>
      </c>
      <c r="AE33" s="26"/>
    </row>
    <row r="34" spans="1:31" ht="75">
      <c r="A34" s="474">
        <f t="shared" si="7"/>
        <v>22</v>
      </c>
      <c r="B34" s="146" t="s">
        <v>1146</v>
      </c>
      <c r="C34" s="33" t="s">
        <v>8</v>
      </c>
      <c r="D34" s="68">
        <v>2</v>
      </c>
      <c r="E34" s="66">
        <v>2</v>
      </c>
      <c r="F34" s="351">
        <f t="shared" si="2"/>
        <v>2</v>
      </c>
      <c r="G34" s="76" t="s">
        <v>1169</v>
      </c>
      <c r="H34" s="76">
        <v>20500</v>
      </c>
      <c r="I34" s="76">
        <v>400</v>
      </c>
      <c r="J34" s="76" t="s">
        <v>1148</v>
      </c>
      <c r="K34" s="143">
        <v>55</v>
      </c>
      <c r="L34" s="76">
        <v>11</v>
      </c>
      <c r="M34" s="144" t="s">
        <v>1149</v>
      </c>
      <c r="N34" s="76" t="s">
        <v>1331</v>
      </c>
      <c r="O34" s="76" t="s">
        <v>1332</v>
      </c>
      <c r="P34" s="76"/>
      <c r="Q34" s="144"/>
      <c r="R34" s="351">
        <v>2</v>
      </c>
      <c r="S34" s="351" t="s">
        <v>3659</v>
      </c>
      <c r="T34" s="351" t="s">
        <v>3655</v>
      </c>
      <c r="U34" s="351" t="s">
        <v>2615</v>
      </c>
      <c r="V34" s="351" t="s">
        <v>2328</v>
      </c>
      <c r="W34" s="311">
        <v>31703400</v>
      </c>
      <c r="X34" s="311">
        <v>259848.00000000003</v>
      </c>
      <c r="Y34" s="311">
        <v>1724120.0999999999</v>
      </c>
      <c r="Z34" s="311">
        <v>3230577</v>
      </c>
      <c r="AA34" s="311">
        <v>2261403.9000000004</v>
      </c>
      <c r="AB34" s="68">
        <f t="shared" si="4"/>
        <v>39179349</v>
      </c>
      <c r="AC34" s="68">
        <f t="shared" si="5"/>
        <v>78358698</v>
      </c>
      <c r="AD34" s="127">
        <f t="shared" si="6"/>
        <v>78358698</v>
      </c>
      <c r="AE34" s="26"/>
    </row>
    <row r="35" spans="1:31" ht="75">
      <c r="A35" s="474">
        <f t="shared" si="7"/>
        <v>23</v>
      </c>
      <c r="B35" s="146" t="s">
        <v>1150</v>
      </c>
      <c r="C35" s="33" t="s">
        <v>8</v>
      </c>
      <c r="D35" s="68">
        <v>1</v>
      </c>
      <c r="E35" s="66">
        <v>1</v>
      </c>
      <c r="F35" s="351">
        <f t="shared" si="2"/>
        <v>1</v>
      </c>
      <c r="G35" s="76" t="s">
        <v>1170</v>
      </c>
      <c r="H35" s="76">
        <v>41000</v>
      </c>
      <c r="I35" s="76">
        <v>450</v>
      </c>
      <c r="J35" s="76" t="s">
        <v>1148</v>
      </c>
      <c r="K35" s="143">
        <v>55</v>
      </c>
      <c r="L35" s="76">
        <v>15</v>
      </c>
      <c r="M35" s="144" t="s">
        <v>1149</v>
      </c>
      <c r="N35" s="76" t="s">
        <v>1331</v>
      </c>
      <c r="O35" s="76" t="s">
        <v>1332</v>
      </c>
      <c r="P35" s="76"/>
      <c r="Q35" s="144"/>
      <c r="R35" s="351">
        <v>1</v>
      </c>
      <c r="S35" s="351" t="s">
        <v>3660</v>
      </c>
      <c r="T35" s="351" t="s">
        <v>3656</v>
      </c>
      <c r="U35" s="351" t="s">
        <v>2615</v>
      </c>
      <c r="V35" s="351" t="s">
        <v>2328</v>
      </c>
      <c r="W35" s="311">
        <v>46128447</v>
      </c>
      <c r="X35" s="311">
        <v>259848.00000000003</v>
      </c>
      <c r="Y35" s="311">
        <v>3135815.7454545456</v>
      </c>
      <c r="Z35" s="311">
        <v>4755995.8181818184</v>
      </c>
      <c r="AA35" s="311">
        <v>3329197.0727272728</v>
      </c>
      <c r="AB35" s="68">
        <f t="shared" si="4"/>
        <v>57609303.636363633</v>
      </c>
      <c r="AC35" s="68">
        <f t="shared" si="5"/>
        <v>57609303.636363633</v>
      </c>
      <c r="AD35" s="127">
        <f t="shared" si="6"/>
        <v>57609303.636363633</v>
      </c>
      <c r="AE35" s="26"/>
    </row>
    <row r="36" spans="1:31">
      <c r="A36" s="140"/>
      <c r="B36" s="142" t="s">
        <v>1171</v>
      </c>
      <c r="C36" s="475"/>
      <c r="D36" s="68"/>
      <c r="E36" s="67"/>
      <c r="F36" s="351"/>
      <c r="G36" s="76"/>
      <c r="H36" s="76"/>
      <c r="I36" s="76"/>
      <c r="J36" s="76"/>
      <c r="K36" s="143"/>
      <c r="L36" s="76"/>
      <c r="M36" s="144"/>
      <c r="N36" s="76"/>
      <c r="O36" s="76"/>
      <c r="P36" s="145"/>
      <c r="Q36" s="144"/>
      <c r="R36" s="351"/>
      <c r="S36" s="351"/>
      <c r="T36" s="351"/>
      <c r="U36" s="351"/>
      <c r="V36" s="351"/>
      <c r="W36" s="66"/>
      <c r="X36" s="66"/>
      <c r="Y36" s="66"/>
      <c r="Z36" s="66"/>
      <c r="AA36" s="66"/>
      <c r="AB36" s="66"/>
      <c r="AC36" s="66"/>
      <c r="AD36" s="66"/>
      <c r="AE36" s="26"/>
    </row>
    <row r="37" spans="1:31" ht="75">
      <c r="A37" s="474">
        <v>24</v>
      </c>
      <c r="B37" s="146" t="s">
        <v>1172</v>
      </c>
      <c r="C37" s="33" t="s">
        <v>8</v>
      </c>
      <c r="D37" s="68">
        <v>1</v>
      </c>
      <c r="E37" s="66">
        <v>1</v>
      </c>
      <c r="F37" s="351">
        <f t="shared" si="2"/>
        <v>1</v>
      </c>
      <c r="G37" s="76" t="s">
        <v>1173</v>
      </c>
      <c r="H37" s="76">
        <v>1000</v>
      </c>
      <c r="I37" s="76">
        <v>50</v>
      </c>
      <c r="J37" s="76" t="s">
        <v>1129</v>
      </c>
      <c r="K37" s="143">
        <v>55</v>
      </c>
      <c r="L37" s="76">
        <v>0.37</v>
      </c>
      <c r="M37" s="144" t="s">
        <v>1130</v>
      </c>
      <c r="N37" s="76" t="s">
        <v>1331</v>
      </c>
      <c r="O37" s="76" t="s">
        <v>1332</v>
      </c>
      <c r="P37" s="76" t="s">
        <v>1273</v>
      </c>
      <c r="Q37" s="144"/>
      <c r="R37" s="351">
        <v>1</v>
      </c>
      <c r="S37" s="351" t="s">
        <v>3222</v>
      </c>
      <c r="T37" s="351" t="s">
        <v>2616</v>
      </c>
      <c r="U37" s="351" t="s">
        <v>2615</v>
      </c>
      <c r="V37" s="351" t="s">
        <v>2328</v>
      </c>
      <c r="W37" s="311">
        <v>422712</v>
      </c>
      <c r="X37" s="311">
        <v>0</v>
      </c>
      <c r="Y37" s="311">
        <v>164231.11818181816</v>
      </c>
      <c r="Z37" s="311">
        <v>55573.727272727272</v>
      </c>
      <c r="AA37" s="311">
        <v>38901.609090909093</v>
      </c>
      <c r="AB37" s="68">
        <f t="shared" ref="AB37:AB43" si="8">SUM(W37:AA37)</f>
        <v>681418.45454545459</v>
      </c>
      <c r="AC37" s="68">
        <f t="shared" ref="AC37:AC43" si="9">F37*AB37</f>
        <v>681418.45454545459</v>
      </c>
      <c r="AD37" s="127">
        <f t="shared" ref="AD37:AD43" si="10">R37*AB37</f>
        <v>681418.45454545459</v>
      </c>
      <c r="AE37" s="26"/>
    </row>
    <row r="38" spans="1:31" ht="90">
      <c r="A38" s="474">
        <f>A37+1</f>
        <v>25</v>
      </c>
      <c r="B38" s="146" t="s">
        <v>1174</v>
      </c>
      <c r="C38" s="33" t="s">
        <v>8</v>
      </c>
      <c r="D38" s="68">
        <v>2</v>
      </c>
      <c r="E38" s="66">
        <v>2</v>
      </c>
      <c r="F38" s="351">
        <f t="shared" si="2"/>
        <v>2</v>
      </c>
      <c r="G38" s="76" t="s">
        <v>1175</v>
      </c>
      <c r="H38" s="76">
        <v>100</v>
      </c>
      <c r="I38" s="76">
        <v>50</v>
      </c>
      <c r="J38" s="76" t="s">
        <v>1176</v>
      </c>
      <c r="K38" s="143">
        <v>55</v>
      </c>
      <c r="L38" s="76">
        <v>0.03</v>
      </c>
      <c r="M38" s="144" t="s">
        <v>1130</v>
      </c>
      <c r="N38" s="76" t="s">
        <v>1331</v>
      </c>
      <c r="O38" s="76" t="s">
        <v>1332</v>
      </c>
      <c r="P38" s="76"/>
      <c r="Q38" s="144"/>
      <c r="R38" s="351">
        <v>2</v>
      </c>
      <c r="S38" s="351" t="s">
        <v>3209</v>
      </c>
      <c r="T38" s="351" t="s">
        <v>2614</v>
      </c>
      <c r="U38" s="351" t="s">
        <v>2613</v>
      </c>
      <c r="V38" s="351" t="s">
        <v>2526</v>
      </c>
      <c r="W38" s="311">
        <v>1166559.9750000001</v>
      </c>
      <c r="X38" s="311">
        <v>0</v>
      </c>
      <c r="Y38" s="311">
        <v>159031.4916666667</v>
      </c>
      <c r="Z38" s="311">
        <v>127331.83333333333</v>
      </c>
      <c r="AA38" s="311">
        <v>89132.28333333334</v>
      </c>
      <c r="AB38" s="68">
        <f t="shared" si="8"/>
        <v>1542055.5833333335</v>
      </c>
      <c r="AC38" s="68">
        <f t="shared" si="9"/>
        <v>3084111.166666667</v>
      </c>
      <c r="AD38" s="127">
        <f t="shared" si="10"/>
        <v>3084111.166666667</v>
      </c>
      <c r="AE38" s="26"/>
    </row>
    <row r="39" spans="1:31" ht="75">
      <c r="A39" s="474">
        <f t="shared" ref="A39:A43" si="11">A38+1</f>
        <v>26</v>
      </c>
      <c r="B39" s="146" t="s">
        <v>1177</v>
      </c>
      <c r="C39" s="33" t="s">
        <v>8</v>
      </c>
      <c r="D39" s="68">
        <v>1</v>
      </c>
      <c r="E39" s="66">
        <v>1</v>
      </c>
      <c r="F39" s="351">
        <f t="shared" si="2"/>
        <v>1</v>
      </c>
      <c r="G39" s="76" t="s">
        <v>1178</v>
      </c>
      <c r="H39" s="76">
        <v>1000</v>
      </c>
      <c r="I39" s="76">
        <v>200</v>
      </c>
      <c r="J39" s="76" t="s">
        <v>1148</v>
      </c>
      <c r="K39" s="143">
        <v>55</v>
      </c>
      <c r="L39" s="76">
        <v>1.1000000000000001</v>
      </c>
      <c r="M39" s="144" t="s">
        <v>1130</v>
      </c>
      <c r="N39" s="76" t="s">
        <v>1331</v>
      </c>
      <c r="O39" s="76" t="s">
        <v>1332</v>
      </c>
      <c r="P39" s="76"/>
      <c r="Q39" s="144"/>
      <c r="R39" s="351">
        <v>1</v>
      </c>
      <c r="S39" s="351" t="s">
        <v>3661</v>
      </c>
      <c r="T39" s="351" t="s">
        <v>3249</v>
      </c>
      <c r="U39" s="351" t="s">
        <v>2615</v>
      </c>
      <c r="V39" s="351" t="s">
        <v>2328</v>
      </c>
      <c r="W39" s="311">
        <v>6062580</v>
      </c>
      <c r="X39" s="311">
        <v>259848.00000000003</v>
      </c>
      <c r="Y39" s="311">
        <v>241929.91818181818</v>
      </c>
      <c r="Z39" s="311">
        <v>610009.72727272729</v>
      </c>
      <c r="AA39" s="311">
        <v>427006.80909090914</v>
      </c>
      <c r="AB39" s="68">
        <f t="shared" si="8"/>
        <v>7601374.4545454551</v>
      </c>
      <c r="AC39" s="68">
        <f t="shared" si="9"/>
        <v>7601374.4545454551</v>
      </c>
      <c r="AD39" s="127">
        <f t="shared" si="10"/>
        <v>7601374.4545454551</v>
      </c>
      <c r="AE39" s="26"/>
    </row>
    <row r="40" spans="1:31" ht="75">
      <c r="A40" s="474">
        <f t="shared" si="11"/>
        <v>27</v>
      </c>
      <c r="B40" s="146" t="s">
        <v>1179</v>
      </c>
      <c r="C40" s="33" t="s">
        <v>8</v>
      </c>
      <c r="D40" s="68">
        <v>1</v>
      </c>
      <c r="E40" s="66">
        <v>1</v>
      </c>
      <c r="F40" s="351">
        <f t="shared" si="2"/>
        <v>1</v>
      </c>
      <c r="G40" s="76" t="s">
        <v>1180</v>
      </c>
      <c r="H40" s="76">
        <v>1800</v>
      </c>
      <c r="I40" s="76">
        <v>250</v>
      </c>
      <c r="J40" s="76" t="s">
        <v>1148</v>
      </c>
      <c r="K40" s="143">
        <v>55</v>
      </c>
      <c r="L40" s="76">
        <v>0.75</v>
      </c>
      <c r="M40" s="144" t="s">
        <v>1130</v>
      </c>
      <c r="N40" s="76" t="s">
        <v>1331</v>
      </c>
      <c r="O40" s="76" t="s">
        <v>1332</v>
      </c>
      <c r="P40" s="76"/>
      <c r="Q40" s="144"/>
      <c r="R40" s="351">
        <v>1</v>
      </c>
      <c r="S40" s="351" t="s">
        <v>3283</v>
      </c>
      <c r="T40" s="351" t="s">
        <v>3249</v>
      </c>
      <c r="U40" s="351" t="s">
        <v>2615</v>
      </c>
      <c r="V40" s="351" t="s">
        <v>2328</v>
      </c>
      <c r="W40" s="311">
        <v>6841260</v>
      </c>
      <c r="X40" s="311">
        <v>259848.00000000003</v>
      </c>
      <c r="Y40" s="311">
        <v>275051.24545454548</v>
      </c>
      <c r="Z40" s="311">
        <v>688540.81818181823</v>
      </c>
      <c r="AA40" s="311">
        <v>481978.57272727275</v>
      </c>
      <c r="AB40" s="68">
        <f t="shared" si="8"/>
        <v>8546678.6363636367</v>
      </c>
      <c r="AC40" s="68">
        <f t="shared" si="9"/>
        <v>8546678.6363636367</v>
      </c>
      <c r="AD40" s="127">
        <f t="shared" si="10"/>
        <v>8546678.6363636367</v>
      </c>
      <c r="AE40" s="26"/>
    </row>
    <row r="41" spans="1:31" ht="75">
      <c r="A41" s="474">
        <f t="shared" si="11"/>
        <v>28</v>
      </c>
      <c r="B41" s="146" t="s">
        <v>1179</v>
      </c>
      <c r="C41" s="33" t="s">
        <v>8</v>
      </c>
      <c r="D41" s="68">
        <v>1</v>
      </c>
      <c r="E41" s="66">
        <v>1</v>
      </c>
      <c r="F41" s="351">
        <f t="shared" si="2"/>
        <v>1</v>
      </c>
      <c r="G41" s="76" t="s">
        <v>1181</v>
      </c>
      <c r="H41" s="76">
        <v>2000</v>
      </c>
      <c r="I41" s="76">
        <v>250</v>
      </c>
      <c r="J41" s="76" t="s">
        <v>1148</v>
      </c>
      <c r="K41" s="143">
        <v>55</v>
      </c>
      <c r="L41" s="76">
        <v>0.75</v>
      </c>
      <c r="M41" s="144" t="s">
        <v>1130</v>
      </c>
      <c r="N41" s="76" t="s">
        <v>1331</v>
      </c>
      <c r="O41" s="76" t="s">
        <v>1332</v>
      </c>
      <c r="P41" s="76"/>
      <c r="Q41" s="144"/>
      <c r="R41" s="351">
        <v>1</v>
      </c>
      <c r="S41" s="351" t="s">
        <v>3294</v>
      </c>
      <c r="T41" s="351" t="s">
        <v>3250</v>
      </c>
      <c r="U41" s="351" t="s">
        <v>2615</v>
      </c>
      <c r="V41" s="351" t="s">
        <v>2328</v>
      </c>
      <c r="W41" s="311">
        <v>7397460</v>
      </c>
      <c r="X41" s="311">
        <v>259848.00000000003</v>
      </c>
      <c r="Y41" s="311">
        <v>332554.89090909087</v>
      </c>
      <c r="Z41" s="311">
        <v>747629.63636363635</v>
      </c>
      <c r="AA41" s="311">
        <v>523340.74545454548</v>
      </c>
      <c r="AB41" s="68">
        <f t="shared" si="8"/>
        <v>9260833.2727272734</v>
      </c>
      <c r="AC41" s="68">
        <f t="shared" si="9"/>
        <v>9260833.2727272734</v>
      </c>
      <c r="AD41" s="127">
        <f t="shared" si="10"/>
        <v>9260833.2727272734</v>
      </c>
      <c r="AE41" s="24"/>
    </row>
    <row r="42" spans="1:31" ht="75">
      <c r="A42" s="474">
        <f t="shared" si="11"/>
        <v>29</v>
      </c>
      <c r="B42" s="146" t="s">
        <v>1179</v>
      </c>
      <c r="C42" s="33" t="s">
        <v>8</v>
      </c>
      <c r="D42" s="68">
        <v>1</v>
      </c>
      <c r="E42" s="66">
        <v>1</v>
      </c>
      <c r="F42" s="351">
        <f t="shared" si="2"/>
        <v>1</v>
      </c>
      <c r="G42" s="76" t="s">
        <v>1182</v>
      </c>
      <c r="H42" s="76">
        <v>2200</v>
      </c>
      <c r="I42" s="76">
        <v>300</v>
      </c>
      <c r="J42" s="76" t="s">
        <v>1148</v>
      </c>
      <c r="K42" s="143">
        <v>55</v>
      </c>
      <c r="L42" s="76">
        <v>1.1000000000000001</v>
      </c>
      <c r="M42" s="144" t="s">
        <v>1149</v>
      </c>
      <c r="N42" s="76" t="s">
        <v>1331</v>
      </c>
      <c r="O42" s="76" t="s">
        <v>1332</v>
      </c>
      <c r="P42" s="76"/>
      <c r="Q42" s="144"/>
      <c r="R42" s="351">
        <v>1</v>
      </c>
      <c r="S42" s="351" t="s">
        <v>3295</v>
      </c>
      <c r="T42" s="351" t="s">
        <v>3250</v>
      </c>
      <c r="U42" s="351" t="s">
        <v>2615</v>
      </c>
      <c r="V42" s="351" t="s">
        <v>2328</v>
      </c>
      <c r="W42" s="311">
        <v>7397460</v>
      </c>
      <c r="X42" s="311">
        <v>259848.00000000003</v>
      </c>
      <c r="Y42" s="311">
        <v>332554.89090909087</v>
      </c>
      <c r="Z42" s="311">
        <v>747629.63636363635</v>
      </c>
      <c r="AA42" s="311">
        <v>523340.74545454548</v>
      </c>
      <c r="AB42" s="68">
        <f t="shared" si="8"/>
        <v>9260833.2727272734</v>
      </c>
      <c r="AC42" s="68">
        <f t="shared" si="9"/>
        <v>9260833.2727272734</v>
      </c>
      <c r="AD42" s="127">
        <f t="shared" si="10"/>
        <v>9260833.2727272734</v>
      </c>
      <c r="AE42" s="24"/>
    </row>
    <row r="43" spans="1:31" ht="75">
      <c r="A43" s="474">
        <f t="shared" si="11"/>
        <v>30</v>
      </c>
      <c r="B43" s="146" t="s">
        <v>1179</v>
      </c>
      <c r="C43" s="33" t="s">
        <v>8</v>
      </c>
      <c r="D43" s="68">
        <v>1</v>
      </c>
      <c r="E43" s="66">
        <v>1</v>
      </c>
      <c r="F43" s="351">
        <f t="shared" si="2"/>
        <v>1</v>
      </c>
      <c r="G43" s="76" t="s">
        <v>1183</v>
      </c>
      <c r="H43" s="76">
        <v>5000</v>
      </c>
      <c r="I43" s="76">
        <v>300</v>
      </c>
      <c r="J43" s="76" t="s">
        <v>1148</v>
      </c>
      <c r="K43" s="143">
        <v>55</v>
      </c>
      <c r="L43" s="76">
        <v>1.5</v>
      </c>
      <c r="M43" s="144" t="s">
        <v>1149</v>
      </c>
      <c r="N43" s="76" t="s">
        <v>1331</v>
      </c>
      <c r="O43" s="76" t="s">
        <v>1332</v>
      </c>
      <c r="P43" s="76"/>
      <c r="Q43" s="144"/>
      <c r="R43" s="351">
        <v>1</v>
      </c>
      <c r="S43" s="351" t="s">
        <v>3287</v>
      </c>
      <c r="T43" s="351" t="s">
        <v>3251</v>
      </c>
      <c r="U43" s="351" t="s">
        <v>2615</v>
      </c>
      <c r="V43" s="351" t="s">
        <v>2328</v>
      </c>
      <c r="W43" s="311">
        <v>14628060</v>
      </c>
      <c r="X43" s="311">
        <v>259848.00000000003</v>
      </c>
      <c r="Y43" s="311">
        <v>568682.77272727271</v>
      </c>
      <c r="Z43" s="311">
        <v>1470525.9090909092</v>
      </c>
      <c r="AA43" s="311">
        <v>1029368.1363636365</v>
      </c>
      <c r="AB43" s="68">
        <f t="shared" si="8"/>
        <v>17956484.81818182</v>
      </c>
      <c r="AC43" s="68">
        <f t="shared" si="9"/>
        <v>17956484.81818182</v>
      </c>
      <c r="AD43" s="127">
        <f t="shared" si="10"/>
        <v>17956484.81818182</v>
      </c>
      <c r="AE43" s="26"/>
    </row>
    <row r="44" spans="1:31">
      <c r="A44" s="140"/>
      <c r="B44" s="142" t="s">
        <v>1184</v>
      </c>
      <c r="C44" s="33"/>
      <c r="D44" s="68"/>
      <c r="E44" s="66"/>
      <c r="F44" s="351"/>
      <c r="G44" s="76"/>
      <c r="H44" s="76"/>
      <c r="I44" s="76"/>
      <c r="J44" s="76"/>
      <c r="K44" s="143"/>
      <c r="L44" s="76"/>
      <c r="M44" s="144"/>
      <c r="N44" s="76"/>
      <c r="O44" s="76"/>
      <c r="P44" s="145"/>
      <c r="Q44" s="144"/>
      <c r="R44" s="351"/>
      <c r="S44" s="351"/>
      <c r="T44" s="351"/>
      <c r="U44" s="351"/>
      <c r="V44" s="351"/>
      <c r="W44" s="66"/>
      <c r="X44" s="66"/>
      <c r="Y44" s="66"/>
      <c r="Z44" s="66"/>
      <c r="AA44" s="66"/>
      <c r="AB44" s="66"/>
      <c r="AC44" s="66"/>
      <c r="AD44" s="66"/>
      <c r="AE44" s="26"/>
    </row>
    <row r="45" spans="1:31" ht="75">
      <c r="A45" s="474">
        <v>29</v>
      </c>
      <c r="B45" s="146" t="s">
        <v>1174</v>
      </c>
      <c r="C45" s="33" t="s">
        <v>8</v>
      </c>
      <c r="D45" s="68">
        <v>1</v>
      </c>
      <c r="E45" s="66">
        <v>1</v>
      </c>
      <c r="F45" s="351">
        <f t="shared" si="2"/>
        <v>1</v>
      </c>
      <c r="G45" s="76" t="s">
        <v>1185</v>
      </c>
      <c r="H45" s="76">
        <v>1300</v>
      </c>
      <c r="I45" s="76">
        <v>150</v>
      </c>
      <c r="J45" s="76" t="s">
        <v>1148</v>
      </c>
      <c r="K45" s="143">
        <v>55</v>
      </c>
      <c r="L45" s="76">
        <v>0.75</v>
      </c>
      <c r="M45" s="144" t="s">
        <v>1130</v>
      </c>
      <c r="N45" s="76" t="s">
        <v>1331</v>
      </c>
      <c r="O45" s="76" t="s">
        <v>1332</v>
      </c>
      <c r="P45" s="145"/>
      <c r="Q45" s="144"/>
      <c r="R45" s="351">
        <v>1</v>
      </c>
      <c r="S45" s="351" t="s">
        <v>3662</v>
      </c>
      <c r="T45" s="351" t="s">
        <v>3249</v>
      </c>
      <c r="U45" s="351" t="s">
        <v>2615</v>
      </c>
      <c r="V45" s="351" t="s">
        <v>2328</v>
      </c>
      <c r="W45" s="311">
        <v>6173820</v>
      </c>
      <c r="X45" s="311">
        <v>259848.00000000003</v>
      </c>
      <c r="Y45" s="311">
        <v>241929.91818181818</v>
      </c>
      <c r="Z45" s="311">
        <v>620809.72727272729</v>
      </c>
      <c r="AA45" s="311">
        <v>434566.80909090914</v>
      </c>
      <c r="AB45" s="68">
        <f t="shared" ref="AB45:AB53" si="12">SUM(W45:AA45)</f>
        <v>7730974.4545454551</v>
      </c>
      <c r="AC45" s="68">
        <f t="shared" ref="AC45:AC53" si="13">F45*AB45</f>
        <v>7730974.4545454551</v>
      </c>
      <c r="AD45" s="127">
        <f t="shared" ref="AD45:AD53" si="14">R45*AB45</f>
        <v>7730974.4545454551</v>
      </c>
      <c r="AE45" s="26"/>
    </row>
    <row r="46" spans="1:31" ht="75">
      <c r="A46" s="474">
        <f>A45+1</f>
        <v>30</v>
      </c>
      <c r="B46" s="146" t="s">
        <v>1186</v>
      </c>
      <c r="C46" s="33" t="s">
        <v>8</v>
      </c>
      <c r="D46" s="68">
        <v>1</v>
      </c>
      <c r="E46" s="66">
        <v>1</v>
      </c>
      <c r="F46" s="351">
        <f t="shared" si="2"/>
        <v>1</v>
      </c>
      <c r="G46" s="76" t="s">
        <v>1187</v>
      </c>
      <c r="H46" s="76">
        <v>3000</v>
      </c>
      <c r="I46" s="76">
        <v>250</v>
      </c>
      <c r="J46" s="76" t="s">
        <v>1148</v>
      </c>
      <c r="K46" s="143">
        <v>55</v>
      </c>
      <c r="L46" s="76">
        <v>0.75</v>
      </c>
      <c r="M46" s="144" t="s">
        <v>1149</v>
      </c>
      <c r="N46" s="76" t="s">
        <v>1331</v>
      </c>
      <c r="O46" s="76" t="s">
        <v>1332</v>
      </c>
      <c r="P46" s="76" t="s">
        <v>1273</v>
      </c>
      <c r="Q46" s="144"/>
      <c r="R46" s="351">
        <v>1</v>
      </c>
      <c r="S46" s="351" t="s">
        <v>3282</v>
      </c>
      <c r="T46" s="351" t="s">
        <v>3252</v>
      </c>
      <c r="U46" s="351" t="s">
        <v>2615</v>
      </c>
      <c r="V46" s="351" t="s">
        <v>2328</v>
      </c>
      <c r="W46" s="311">
        <v>7731180</v>
      </c>
      <c r="X46" s="311">
        <v>259848.00000000003</v>
      </c>
      <c r="Y46" s="311">
        <v>369521.30000000005</v>
      </c>
      <c r="Z46" s="311">
        <v>783301</v>
      </c>
      <c r="AA46" s="311">
        <v>548310.70000000007</v>
      </c>
      <c r="AB46" s="68">
        <f t="shared" si="12"/>
        <v>9692161</v>
      </c>
      <c r="AC46" s="68">
        <f t="shared" si="13"/>
        <v>9692161</v>
      </c>
      <c r="AD46" s="127">
        <f t="shared" si="14"/>
        <v>9692161</v>
      </c>
      <c r="AE46" s="26"/>
    </row>
    <row r="47" spans="1:31" ht="60">
      <c r="A47" s="474">
        <f t="shared" ref="A47:A52" si="15">A46+1</f>
        <v>31</v>
      </c>
      <c r="B47" s="146" t="s">
        <v>1188</v>
      </c>
      <c r="C47" s="33" t="s">
        <v>8</v>
      </c>
      <c r="D47" s="68">
        <v>1</v>
      </c>
      <c r="E47" s="66">
        <v>1</v>
      </c>
      <c r="F47" s="351">
        <f t="shared" si="2"/>
        <v>1</v>
      </c>
      <c r="G47" s="76" t="s">
        <v>1189</v>
      </c>
      <c r="H47" s="76">
        <v>150</v>
      </c>
      <c r="I47" s="76">
        <v>20</v>
      </c>
      <c r="J47" s="76" t="s">
        <v>1129</v>
      </c>
      <c r="K47" s="143">
        <v>55</v>
      </c>
      <c r="L47" s="76">
        <v>0.37</v>
      </c>
      <c r="M47" s="144" t="s">
        <v>1130</v>
      </c>
      <c r="N47" s="76" t="s">
        <v>1331</v>
      </c>
      <c r="O47" s="76" t="s">
        <v>1332</v>
      </c>
      <c r="P47" s="76" t="s">
        <v>1273</v>
      </c>
      <c r="Q47" s="144"/>
      <c r="R47" s="351">
        <v>1</v>
      </c>
      <c r="S47" s="351" t="s">
        <v>3254</v>
      </c>
      <c r="T47" s="351" t="s">
        <v>2617</v>
      </c>
      <c r="U47" s="351" t="s">
        <v>2615</v>
      </c>
      <c r="V47" s="351" t="s">
        <v>2328</v>
      </c>
      <c r="W47" s="311">
        <v>344844</v>
      </c>
      <c r="X47" s="311">
        <v>0</v>
      </c>
      <c r="Y47" s="311">
        <v>136854.29999999999</v>
      </c>
      <c r="Z47" s="311">
        <v>45591</v>
      </c>
      <c r="AA47" s="311">
        <v>31913.700000000004</v>
      </c>
      <c r="AB47" s="68">
        <f t="shared" si="12"/>
        <v>559203</v>
      </c>
      <c r="AC47" s="68">
        <f t="shared" si="13"/>
        <v>559203</v>
      </c>
      <c r="AD47" s="127">
        <f t="shared" si="14"/>
        <v>559203</v>
      </c>
      <c r="AE47" s="26"/>
    </row>
    <row r="48" spans="1:31" ht="75">
      <c r="A48" s="474">
        <f>A47+1</f>
        <v>32</v>
      </c>
      <c r="B48" s="146" t="s">
        <v>1190</v>
      </c>
      <c r="C48" s="33" t="s">
        <v>8</v>
      </c>
      <c r="D48" s="68">
        <v>1</v>
      </c>
      <c r="E48" s="66">
        <v>1</v>
      </c>
      <c r="F48" s="351">
        <f t="shared" si="2"/>
        <v>1</v>
      </c>
      <c r="G48" s="76" t="s">
        <v>1191</v>
      </c>
      <c r="H48" s="76">
        <v>5500</v>
      </c>
      <c r="I48" s="76">
        <v>300</v>
      </c>
      <c r="J48" s="76" t="s">
        <v>1148</v>
      </c>
      <c r="K48" s="143">
        <v>55</v>
      </c>
      <c r="L48" s="76">
        <v>1.5</v>
      </c>
      <c r="M48" s="144" t="s">
        <v>1149</v>
      </c>
      <c r="N48" s="76" t="s">
        <v>1331</v>
      </c>
      <c r="O48" s="76" t="s">
        <v>1332</v>
      </c>
      <c r="P48" s="76"/>
      <c r="Q48" s="144"/>
      <c r="R48" s="351">
        <v>1</v>
      </c>
      <c r="S48" s="351" t="s">
        <v>3663</v>
      </c>
      <c r="T48" s="351" t="s">
        <v>3253</v>
      </c>
      <c r="U48" s="351" t="s">
        <v>2615</v>
      </c>
      <c r="V48" s="351" t="s">
        <v>2328</v>
      </c>
      <c r="W48" s="311">
        <v>15462360</v>
      </c>
      <c r="X48" s="311">
        <v>259848.00000000003</v>
      </c>
      <c r="Y48" s="311">
        <v>568682.77272727271</v>
      </c>
      <c r="Z48" s="311">
        <v>1551525.9090909092</v>
      </c>
      <c r="AA48" s="311">
        <v>1086068.1363636365</v>
      </c>
      <c r="AB48" s="68">
        <f t="shared" si="12"/>
        <v>18928484.81818182</v>
      </c>
      <c r="AC48" s="68">
        <f t="shared" si="13"/>
        <v>18928484.81818182</v>
      </c>
      <c r="AD48" s="127">
        <f t="shared" si="14"/>
        <v>18928484.81818182</v>
      </c>
      <c r="AE48" s="26"/>
    </row>
    <row r="49" spans="1:31" ht="75">
      <c r="A49" s="474">
        <f t="shared" si="15"/>
        <v>33</v>
      </c>
      <c r="B49" s="146" t="s">
        <v>1190</v>
      </c>
      <c r="C49" s="33" t="s">
        <v>8</v>
      </c>
      <c r="D49" s="68">
        <v>1</v>
      </c>
      <c r="E49" s="66">
        <v>1</v>
      </c>
      <c r="F49" s="351">
        <f t="shared" si="2"/>
        <v>1</v>
      </c>
      <c r="G49" s="76" t="s">
        <v>1192</v>
      </c>
      <c r="H49" s="76">
        <v>5500</v>
      </c>
      <c r="I49" s="76">
        <v>300</v>
      </c>
      <c r="J49" s="76" t="s">
        <v>1148</v>
      </c>
      <c r="K49" s="143">
        <v>55</v>
      </c>
      <c r="L49" s="76">
        <v>1.1000000000000001</v>
      </c>
      <c r="M49" s="144" t="s">
        <v>1149</v>
      </c>
      <c r="N49" s="76" t="s">
        <v>1331</v>
      </c>
      <c r="O49" s="76" t="s">
        <v>1332</v>
      </c>
      <c r="P49" s="76"/>
      <c r="Q49" s="144"/>
      <c r="R49" s="351">
        <v>1</v>
      </c>
      <c r="S49" s="351" t="s">
        <v>3664</v>
      </c>
      <c r="T49" s="351" t="s">
        <v>3253</v>
      </c>
      <c r="U49" s="351" t="s">
        <v>2615</v>
      </c>
      <c r="V49" s="351" t="s">
        <v>2328</v>
      </c>
      <c r="W49" s="311">
        <v>15462360</v>
      </c>
      <c r="X49" s="311">
        <v>259848.00000000003</v>
      </c>
      <c r="Y49" s="311">
        <v>568682.77272727271</v>
      </c>
      <c r="Z49" s="311">
        <v>1551525.9090909092</v>
      </c>
      <c r="AA49" s="311">
        <v>1086068.1363636365</v>
      </c>
      <c r="AB49" s="68">
        <f t="shared" si="12"/>
        <v>18928484.81818182</v>
      </c>
      <c r="AC49" s="68">
        <f t="shared" si="13"/>
        <v>18928484.81818182</v>
      </c>
      <c r="AD49" s="127">
        <f t="shared" si="14"/>
        <v>18928484.81818182</v>
      </c>
      <c r="AE49" s="26"/>
    </row>
    <row r="50" spans="1:31" ht="75">
      <c r="A50" s="474">
        <f t="shared" si="15"/>
        <v>34</v>
      </c>
      <c r="B50" s="146" t="s">
        <v>1190</v>
      </c>
      <c r="C50" s="33" t="s">
        <v>8</v>
      </c>
      <c r="D50" s="68">
        <v>1</v>
      </c>
      <c r="E50" s="66">
        <v>1</v>
      </c>
      <c r="F50" s="351">
        <f t="shared" si="2"/>
        <v>1</v>
      </c>
      <c r="G50" s="76" t="s">
        <v>1193</v>
      </c>
      <c r="H50" s="76">
        <v>4000</v>
      </c>
      <c r="I50" s="76">
        <v>300</v>
      </c>
      <c r="J50" s="76" t="s">
        <v>1148</v>
      </c>
      <c r="K50" s="143">
        <v>55</v>
      </c>
      <c r="L50" s="76">
        <v>1.5</v>
      </c>
      <c r="M50" s="144" t="s">
        <v>1149</v>
      </c>
      <c r="N50" s="76" t="s">
        <v>1331</v>
      </c>
      <c r="O50" s="76" t="s">
        <v>1332</v>
      </c>
      <c r="P50" s="76"/>
      <c r="Q50" s="144"/>
      <c r="R50" s="351">
        <v>1</v>
      </c>
      <c r="S50" s="351" t="s">
        <v>3288</v>
      </c>
      <c r="T50" s="351" t="s">
        <v>3251</v>
      </c>
      <c r="U50" s="351" t="s">
        <v>2615</v>
      </c>
      <c r="V50" s="351" t="s">
        <v>2328</v>
      </c>
      <c r="W50" s="311">
        <v>14628060</v>
      </c>
      <c r="X50" s="311">
        <v>259848.00000000003</v>
      </c>
      <c r="Y50" s="311">
        <v>568682.77272727271</v>
      </c>
      <c r="Z50" s="311">
        <v>1470525.9090909092</v>
      </c>
      <c r="AA50" s="311">
        <v>1029368.1363636365</v>
      </c>
      <c r="AB50" s="68">
        <f t="shared" si="12"/>
        <v>17956484.81818182</v>
      </c>
      <c r="AC50" s="68">
        <f t="shared" si="13"/>
        <v>17956484.81818182</v>
      </c>
      <c r="AD50" s="127">
        <f t="shared" si="14"/>
        <v>17956484.81818182</v>
      </c>
      <c r="AE50" s="26"/>
    </row>
    <row r="51" spans="1:31" ht="75">
      <c r="A51" s="474">
        <f t="shared" si="15"/>
        <v>35</v>
      </c>
      <c r="B51" s="146" t="s">
        <v>1190</v>
      </c>
      <c r="C51" s="33" t="s">
        <v>8</v>
      </c>
      <c r="D51" s="68">
        <v>1</v>
      </c>
      <c r="E51" s="66">
        <v>1</v>
      </c>
      <c r="F51" s="351">
        <f t="shared" si="2"/>
        <v>1</v>
      </c>
      <c r="G51" s="76" t="s">
        <v>1194</v>
      </c>
      <c r="H51" s="76">
        <v>3500</v>
      </c>
      <c r="I51" s="76">
        <v>300</v>
      </c>
      <c r="J51" s="76" t="s">
        <v>1148</v>
      </c>
      <c r="K51" s="143">
        <v>55</v>
      </c>
      <c r="L51" s="76">
        <v>1.5</v>
      </c>
      <c r="M51" s="144" t="s">
        <v>1149</v>
      </c>
      <c r="N51" s="76" t="s">
        <v>1331</v>
      </c>
      <c r="O51" s="76" t="s">
        <v>1332</v>
      </c>
      <c r="P51" s="76"/>
      <c r="Q51" s="144"/>
      <c r="R51" s="351">
        <v>1</v>
      </c>
      <c r="S51" s="351" t="s">
        <v>3665</v>
      </c>
      <c r="T51" s="351" t="s">
        <v>3251</v>
      </c>
      <c r="U51" s="351" t="s">
        <v>2615</v>
      </c>
      <c r="V51" s="351" t="s">
        <v>2328</v>
      </c>
      <c r="W51" s="311">
        <v>13886460</v>
      </c>
      <c r="X51" s="311">
        <v>259848.00000000003</v>
      </c>
      <c r="Y51" s="311">
        <v>369521.30000000005</v>
      </c>
      <c r="Z51" s="311">
        <v>1380901</v>
      </c>
      <c r="AA51" s="311">
        <v>966630.70000000007</v>
      </c>
      <c r="AB51" s="68">
        <f t="shared" si="12"/>
        <v>16863361</v>
      </c>
      <c r="AC51" s="68">
        <f t="shared" si="13"/>
        <v>16863361</v>
      </c>
      <c r="AD51" s="127">
        <f t="shared" si="14"/>
        <v>16863361</v>
      </c>
      <c r="AE51" s="26"/>
    </row>
    <row r="52" spans="1:31" ht="75">
      <c r="A52" s="474">
        <f t="shared" si="15"/>
        <v>36</v>
      </c>
      <c r="B52" s="146" t="s">
        <v>1190</v>
      </c>
      <c r="C52" s="33" t="s">
        <v>8</v>
      </c>
      <c r="D52" s="68">
        <v>1</v>
      </c>
      <c r="E52" s="66">
        <v>1</v>
      </c>
      <c r="F52" s="351">
        <f t="shared" si="2"/>
        <v>1</v>
      </c>
      <c r="G52" s="76" t="s">
        <v>1195</v>
      </c>
      <c r="H52" s="76">
        <v>500</v>
      </c>
      <c r="I52" s="76">
        <v>150</v>
      </c>
      <c r="J52" s="76" t="s">
        <v>1148</v>
      </c>
      <c r="K52" s="143">
        <v>55</v>
      </c>
      <c r="L52" s="76">
        <v>0.55000000000000004</v>
      </c>
      <c r="M52" s="144" t="s">
        <v>1149</v>
      </c>
      <c r="N52" s="76" t="s">
        <v>1331</v>
      </c>
      <c r="O52" s="76" t="s">
        <v>1332</v>
      </c>
      <c r="P52" s="76"/>
      <c r="Q52" s="144"/>
      <c r="R52" s="351">
        <v>1</v>
      </c>
      <c r="S52" s="351" t="s">
        <v>3284</v>
      </c>
      <c r="T52" s="351" t="s">
        <v>3249</v>
      </c>
      <c r="U52" s="351" t="s">
        <v>2615</v>
      </c>
      <c r="V52" s="351" t="s">
        <v>2328</v>
      </c>
      <c r="W52" s="311">
        <v>6062580</v>
      </c>
      <c r="X52" s="311">
        <v>259848.00000000003</v>
      </c>
      <c r="Y52" s="311">
        <v>241929.91818181818</v>
      </c>
      <c r="Z52" s="311">
        <v>610009.72727272729</v>
      </c>
      <c r="AA52" s="311">
        <v>427006.80909090914</v>
      </c>
      <c r="AB52" s="68">
        <f t="shared" si="12"/>
        <v>7601374.4545454551</v>
      </c>
      <c r="AC52" s="68">
        <f t="shared" si="13"/>
        <v>7601374.4545454551</v>
      </c>
      <c r="AD52" s="127">
        <f t="shared" si="14"/>
        <v>7601374.4545454551</v>
      </c>
      <c r="AE52" s="26"/>
    </row>
    <row r="53" spans="1:31" s="84" customFormat="1" ht="75">
      <c r="B53" s="29" t="s">
        <v>1977</v>
      </c>
      <c r="C53" s="147" t="s">
        <v>8</v>
      </c>
      <c r="D53" s="127">
        <v>1</v>
      </c>
      <c r="E53" s="127"/>
      <c r="F53" s="352">
        <v>1</v>
      </c>
      <c r="G53" s="30" t="s">
        <v>1978</v>
      </c>
      <c r="H53" s="30">
        <v>600</v>
      </c>
      <c r="I53" s="30">
        <v>150</v>
      </c>
      <c r="J53" s="76" t="s">
        <v>1148</v>
      </c>
      <c r="K53" s="143">
        <v>55</v>
      </c>
      <c r="L53" s="76">
        <v>0.55000000000000004</v>
      </c>
      <c r="M53" s="144" t="s">
        <v>1149</v>
      </c>
      <c r="N53" s="76" t="s">
        <v>1331</v>
      </c>
      <c r="O53" s="76" t="s">
        <v>1332</v>
      </c>
      <c r="P53" s="30"/>
      <c r="Q53" s="29"/>
      <c r="R53" s="352">
        <v>1</v>
      </c>
      <c r="S53" s="351" t="s">
        <v>3285</v>
      </c>
      <c r="T53" s="351" t="s">
        <v>3249</v>
      </c>
      <c r="U53" s="351" t="s">
        <v>2615</v>
      </c>
      <c r="V53" s="351" t="s">
        <v>2328</v>
      </c>
      <c r="W53" s="311">
        <v>6062580</v>
      </c>
      <c r="X53" s="311">
        <v>259848.00000000003</v>
      </c>
      <c r="Y53" s="311">
        <v>241929.91818181818</v>
      </c>
      <c r="Z53" s="311">
        <v>610009.72727272729</v>
      </c>
      <c r="AA53" s="311">
        <v>427006.80909090914</v>
      </c>
      <c r="AB53" s="68">
        <f t="shared" si="12"/>
        <v>7601374.4545454551</v>
      </c>
      <c r="AC53" s="68">
        <f t="shared" si="13"/>
        <v>7601374.4545454551</v>
      </c>
      <c r="AD53" s="127">
        <f t="shared" si="14"/>
        <v>7601374.4545454551</v>
      </c>
      <c r="AE53" s="486"/>
    </row>
    <row r="54" spans="1:31">
      <c r="A54" s="140"/>
      <c r="B54" s="142" t="s">
        <v>1196</v>
      </c>
      <c r="C54" s="19"/>
      <c r="D54" s="68"/>
      <c r="E54" s="67"/>
      <c r="F54" s="351"/>
      <c r="G54" s="76"/>
      <c r="H54" s="76"/>
      <c r="I54" s="76"/>
      <c r="J54" s="76"/>
      <c r="K54" s="143"/>
      <c r="L54" s="76"/>
      <c r="M54" s="144"/>
      <c r="N54" s="76"/>
      <c r="O54" s="76"/>
      <c r="P54" s="145"/>
      <c r="Q54" s="144"/>
      <c r="R54" s="351"/>
      <c r="S54" s="26"/>
      <c r="T54" s="26"/>
      <c r="U54" s="26"/>
      <c r="V54" s="26"/>
      <c r="W54" s="66"/>
      <c r="X54" s="66"/>
      <c r="Y54" s="66"/>
      <c r="Z54" s="66"/>
      <c r="AA54" s="66"/>
      <c r="AB54" s="66"/>
      <c r="AC54" s="66"/>
      <c r="AD54" s="66"/>
      <c r="AE54" s="26"/>
    </row>
    <row r="55" spans="1:31" ht="75">
      <c r="A55" s="474">
        <f>A52+1</f>
        <v>37</v>
      </c>
      <c r="B55" s="146" t="s">
        <v>1174</v>
      </c>
      <c r="C55" s="33" t="s">
        <v>8</v>
      </c>
      <c r="D55" s="68">
        <v>1</v>
      </c>
      <c r="E55" s="66">
        <v>1</v>
      </c>
      <c r="F55" s="351">
        <f t="shared" si="2"/>
        <v>1</v>
      </c>
      <c r="G55" s="76" t="s">
        <v>1197</v>
      </c>
      <c r="H55" s="76">
        <v>1300</v>
      </c>
      <c r="I55" s="76">
        <v>150</v>
      </c>
      <c r="J55" s="76" t="s">
        <v>1148</v>
      </c>
      <c r="K55" s="143">
        <v>55</v>
      </c>
      <c r="L55" s="76">
        <v>0.75</v>
      </c>
      <c r="M55" s="144" t="s">
        <v>1130</v>
      </c>
      <c r="N55" s="76" t="s">
        <v>1331</v>
      </c>
      <c r="O55" s="76" t="s">
        <v>1332</v>
      </c>
      <c r="P55" s="76" t="s">
        <v>1273</v>
      </c>
      <c r="Q55" s="718"/>
      <c r="R55" s="351">
        <v>1</v>
      </c>
      <c r="S55" s="351" t="s">
        <v>3666</v>
      </c>
      <c r="T55" s="351" t="s">
        <v>3257</v>
      </c>
      <c r="U55" s="351" t="s">
        <v>2615</v>
      </c>
      <c r="V55" s="351" t="s">
        <v>2328</v>
      </c>
      <c r="W55" s="311">
        <v>6173820</v>
      </c>
      <c r="X55" s="311">
        <v>259848.00000000003</v>
      </c>
      <c r="Y55" s="311">
        <v>241929.91818181818</v>
      </c>
      <c r="Z55" s="311">
        <v>620809.72727272729</v>
      </c>
      <c r="AA55" s="311">
        <v>434566.80909090914</v>
      </c>
      <c r="AB55" s="68">
        <f t="shared" ref="AB55:AB62" si="16">SUM(W55:AA55)</f>
        <v>7730974.4545454551</v>
      </c>
      <c r="AC55" s="68">
        <f t="shared" ref="AC55:AC62" si="17">F55*AB55</f>
        <v>7730974.4545454551</v>
      </c>
      <c r="AD55" s="127">
        <f t="shared" ref="AD55:AD62" si="18">R55*AB55</f>
        <v>7730974.4545454551</v>
      </c>
      <c r="AE55" s="26"/>
    </row>
    <row r="56" spans="1:31" ht="60">
      <c r="A56" s="474">
        <f t="shared" ref="A56:A62" si="19">A55+1</f>
        <v>38</v>
      </c>
      <c r="B56" s="146" t="s">
        <v>1188</v>
      </c>
      <c r="C56" s="33" t="s">
        <v>8</v>
      </c>
      <c r="D56" s="68">
        <v>1</v>
      </c>
      <c r="E56" s="66">
        <v>1</v>
      </c>
      <c r="F56" s="351">
        <f t="shared" si="2"/>
        <v>1</v>
      </c>
      <c r="G56" s="76" t="s">
        <v>1198</v>
      </c>
      <c r="H56" s="76">
        <v>150</v>
      </c>
      <c r="I56" s="76">
        <v>20</v>
      </c>
      <c r="J56" s="76" t="s">
        <v>1129</v>
      </c>
      <c r="K56" s="143">
        <v>55</v>
      </c>
      <c r="L56" s="76">
        <v>0.37</v>
      </c>
      <c r="M56" s="144" t="s">
        <v>1130</v>
      </c>
      <c r="N56" s="76" t="s">
        <v>1331</v>
      </c>
      <c r="O56" s="76" t="s">
        <v>1332</v>
      </c>
      <c r="P56" s="76"/>
      <c r="Q56" s="718"/>
      <c r="R56" s="351">
        <v>1</v>
      </c>
      <c r="S56" s="351" t="s">
        <v>3255</v>
      </c>
      <c r="T56" s="351" t="s">
        <v>2617</v>
      </c>
      <c r="U56" s="351" t="s">
        <v>2615</v>
      </c>
      <c r="V56" s="351" t="s">
        <v>2328</v>
      </c>
      <c r="W56" s="311">
        <v>344844</v>
      </c>
      <c r="X56" s="311">
        <v>0</v>
      </c>
      <c r="Y56" s="311">
        <v>136854.29999999999</v>
      </c>
      <c r="Z56" s="311">
        <v>45591</v>
      </c>
      <c r="AA56" s="311">
        <v>31913.700000000004</v>
      </c>
      <c r="AB56" s="68">
        <f t="shared" si="16"/>
        <v>559203</v>
      </c>
      <c r="AC56" s="68">
        <f t="shared" si="17"/>
        <v>559203</v>
      </c>
      <c r="AD56" s="127">
        <f t="shared" si="18"/>
        <v>559203</v>
      </c>
      <c r="AE56" s="26"/>
    </row>
    <row r="57" spans="1:31" ht="75">
      <c r="A57" s="474">
        <f t="shared" si="19"/>
        <v>39</v>
      </c>
      <c r="B57" s="146" t="s">
        <v>1199</v>
      </c>
      <c r="C57" s="33" t="s">
        <v>8</v>
      </c>
      <c r="D57" s="68">
        <v>2</v>
      </c>
      <c r="E57" s="66">
        <v>2</v>
      </c>
      <c r="F57" s="351">
        <f t="shared" si="2"/>
        <v>2</v>
      </c>
      <c r="G57" s="76" t="s">
        <v>1200</v>
      </c>
      <c r="H57" s="76">
        <v>2500</v>
      </c>
      <c r="I57" s="76">
        <v>250</v>
      </c>
      <c r="J57" s="76" t="s">
        <v>1148</v>
      </c>
      <c r="K57" s="143">
        <v>55</v>
      </c>
      <c r="L57" s="76">
        <v>1.1000000000000001</v>
      </c>
      <c r="M57" s="144" t="s">
        <v>1149</v>
      </c>
      <c r="N57" s="76" t="s">
        <v>1331</v>
      </c>
      <c r="O57" s="76" t="s">
        <v>1332</v>
      </c>
      <c r="P57" s="76" t="s">
        <v>1273</v>
      </c>
      <c r="Q57" s="144"/>
      <c r="R57" s="351">
        <v>2</v>
      </c>
      <c r="S57" s="351" t="s">
        <v>3296</v>
      </c>
      <c r="T57" s="351" t="s">
        <v>3250</v>
      </c>
      <c r="U57" s="351" t="s">
        <v>2615</v>
      </c>
      <c r="V57" s="351" t="s">
        <v>2328</v>
      </c>
      <c r="W57" s="311">
        <v>7397460</v>
      </c>
      <c r="X57" s="311">
        <v>259848.00000000003</v>
      </c>
      <c r="Y57" s="311">
        <v>332554.89090909087</v>
      </c>
      <c r="Z57" s="311">
        <v>747629.63636363635</v>
      </c>
      <c r="AA57" s="311">
        <v>523340.74545454548</v>
      </c>
      <c r="AB57" s="68">
        <f t="shared" si="16"/>
        <v>9260833.2727272734</v>
      </c>
      <c r="AC57" s="68">
        <f t="shared" si="17"/>
        <v>18521666.545454547</v>
      </c>
      <c r="AD57" s="127">
        <f t="shared" si="18"/>
        <v>18521666.545454547</v>
      </c>
      <c r="AE57" s="26"/>
    </row>
    <row r="58" spans="1:31" ht="75">
      <c r="A58" s="474">
        <f t="shared" si="19"/>
        <v>40</v>
      </c>
      <c r="B58" s="146" t="s">
        <v>1199</v>
      </c>
      <c r="C58" s="33" t="s">
        <v>8</v>
      </c>
      <c r="D58" s="68">
        <v>1</v>
      </c>
      <c r="E58" s="66">
        <v>1</v>
      </c>
      <c r="F58" s="351">
        <f t="shared" si="2"/>
        <v>1</v>
      </c>
      <c r="G58" s="76" t="s">
        <v>1201</v>
      </c>
      <c r="H58" s="76">
        <v>3800</v>
      </c>
      <c r="I58" s="76">
        <v>300</v>
      </c>
      <c r="J58" s="76" t="s">
        <v>1148</v>
      </c>
      <c r="K58" s="143">
        <v>55</v>
      </c>
      <c r="L58" s="76">
        <v>1.5</v>
      </c>
      <c r="M58" s="144" t="s">
        <v>1149</v>
      </c>
      <c r="N58" s="76" t="s">
        <v>1331</v>
      </c>
      <c r="O58" s="76" t="s">
        <v>1332</v>
      </c>
      <c r="P58" s="76"/>
      <c r="Q58" s="144"/>
      <c r="R58" s="351">
        <v>1</v>
      </c>
      <c r="S58" s="351" t="s">
        <v>3289</v>
      </c>
      <c r="T58" s="351" t="s">
        <v>3251</v>
      </c>
      <c r="U58" s="351" t="s">
        <v>2615</v>
      </c>
      <c r="V58" s="351" t="s">
        <v>2328</v>
      </c>
      <c r="W58" s="311">
        <v>14628060</v>
      </c>
      <c r="X58" s="311">
        <v>259848.00000000003</v>
      </c>
      <c r="Y58" s="311">
        <v>369521.30000000005</v>
      </c>
      <c r="Z58" s="311">
        <v>1452901</v>
      </c>
      <c r="AA58" s="311">
        <v>1017030.7000000001</v>
      </c>
      <c r="AB58" s="68">
        <f t="shared" si="16"/>
        <v>17727361</v>
      </c>
      <c r="AC58" s="68">
        <f t="shared" si="17"/>
        <v>17727361</v>
      </c>
      <c r="AD58" s="127">
        <f t="shared" si="18"/>
        <v>17727361</v>
      </c>
      <c r="AE58" s="26"/>
    </row>
    <row r="59" spans="1:31" ht="75">
      <c r="A59" s="474">
        <f t="shared" si="19"/>
        <v>41</v>
      </c>
      <c r="B59" s="146" t="s">
        <v>1199</v>
      </c>
      <c r="C59" s="33" t="s">
        <v>8</v>
      </c>
      <c r="D59" s="68">
        <v>1</v>
      </c>
      <c r="E59" s="66">
        <v>1</v>
      </c>
      <c r="F59" s="351">
        <f t="shared" si="2"/>
        <v>1</v>
      </c>
      <c r="G59" s="76" t="s">
        <v>1202</v>
      </c>
      <c r="H59" s="76">
        <v>2000</v>
      </c>
      <c r="I59" s="76">
        <v>200</v>
      </c>
      <c r="J59" s="76" t="s">
        <v>1148</v>
      </c>
      <c r="K59" s="143">
        <v>55</v>
      </c>
      <c r="L59" s="76">
        <v>0.75</v>
      </c>
      <c r="M59" s="144" t="s">
        <v>1130</v>
      </c>
      <c r="N59" s="76" t="s">
        <v>1331</v>
      </c>
      <c r="O59" s="76" t="s">
        <v>1332</v>
      </c>
      <c r="P59" s="76"/>
      <c r="Q59" s="144"/>
      <c r="R59" s="351">
        <v>1</v>
      </c>
      <c r="S59" s="351" t="s">
        <v>3297</v>
      </c>
      <c r="T59" s="351" t="s">
        <v>3256</v>
      </c>
      <c r="U59" s="351" t="s">
        <v>2615</v>
      </c>
      <c r="V59" s="351" t="s">
        <v>2328</v>
      </c>
      <c r="W59" s="311">
        <v>7397460</v>
      </c>
      <c r="X59" s="311">
        <v>259848.00000000003</v>
      </c>
      <c r="Y59" s="311">
        <v>332554.89090909087</v>
      </c>
      <c r="Z59" s="311">
        <v>747629.63636363635</v>
      </c>
      <c r="AA59" s="311">
        <v>523340.74545454548</v>
      </c>
      <c r="AB59" s="68">
        <f t="shared" si="16"/>
        <v>9260833.2727272734</v>
      </c>
      <c r="AC59" s="68">
        <f t="shared" si="17"/>
        <v>9260833.2727272734</v>
      </c>
      <c r="AD59" s="127">
        <f t="shared" si="18"/>
        <v>9260833.2727272734</v>
      </c>
      <c r="AE59" s="26"/>
    </row>
    <row r="60" spans="1:31" ht="75">
      <c r="A60" s="474">
        <f t="shared" si="19"/>
        <v>42</v>
      </c>
      <c r="B60" s="146" t="s">
        <v>1199</v>
      </c>
      <c r="C60" s="33" t="s">
        <v>8</v>
      </c>
      <c r="D60" s="68">
        <v>2</v>
      </c>
      <c r="E60" s="66">
        <v>2</v>
      </c>
      <c r="F60" s="351">
        <f t="shared" si="2"/>
        <v>2</v>
      </c>
      <c r="G60" s="76" t="s">
        <v>1203</v>
      </c>
      <c r="H60" s="76">
        <v>4000</v>
      </c>
      <c r="I60" s="76">
        <v>300</v>
      </c>
      <c r="J60" s="76" t="s">
        <v>1148</v>
      </c>
      <c r="K60" s="143">
        <v>55</v>
      </c>
      <c r="L60" s="76">
        <v>0.75</v>
      </c>
      <c r="M60" s="144" t="s">
        <v>1130</v>
      </c>
      <c r="N60" s="76" t="s">
        <v>1331</v>
      </c>
      <c r="O60" s="76" t="s">
        <v>1332</v>
      </c>
      <c r="P60" s="76"/>
      <c r="Q60" s="144"/>
      <c r="R60" s="351">
        <v>2</v>
      </c>
      <c r="S60" s="351" t="s">
        <v>3290</v>
      </c>
      <c r="T60" s="351" t="s">
        <v>3251</v>
      </c>
      <c r="U60" s="351" t="s">
        <v>2615</v>
      </c>
      <c r="V60" s="351" t="s">
        <v>2328</v>
      </c>
      <c r="W60" s="311">
        <v>14628060</v>
      </c>
      <c r="X60" s="311">
        <v>259848.00000000003</v>
      </c>
      <c r="Y60" s="311">
        <v>568682.77272727271</v>
      </c>
      <c r="Z60" s="311">
        <v>1470525.9090909092</v>
      </c>
      <c r="AA60" s="311">
        <v>1029368.1363636365</v>
      </c>
      <c r="AB60" s="68">
        <f t="shared" si="16"/>
        <v>17956484.81818182</v>
      </c>
      <c r="AC60" s="68">
        <f t="shared" si="17"/>
        <v>35912969.63636364</v>
      </c>
      <c r="AD60" s="127">
        <f t="shared" si="18"/>
        <v>35912969.63636364</v>
      </c>
      <c r="AE60" s="26"/>
    </row>
    <row r="61" spans="1:31" ht="75">
      <c r="A61" s="474">
        <f t="shared" si="19"/>
        <v>43</v>
      </c>
      <c r="B61" s="146" t="s">
        <v>1199</v>
      </c>
      <c r="C61" s="33" t="s">
        <v>8</v>
      </c>
      <c r="D61" s="68">
        <v>1</v>
      </c>
      <c r="E61" s="66">
        <v>1</v>
      </c>
      <c r="F61" s="351">
        <f t="shared" si="2"/>
        <v>1</v>
      </c>
      <c r="G61" s="76" t="s">
        <v>1204</v>
      </c>
      <c r="H61" s="76">
        <v>3500</v>
      </c>
      <c r="I61" s="76">
        <v>300</v>
      </c>
      <c r="J61" s="76" t="s">
        <v>1148</v>
      </c>
      <c r="K61" s="143">
        <v>55</v>
      </c>
      <c r="L61" s="76">
        <v>1.5</v>
      </c>
      <c r="M61" s="144" t="s">
        <v>1149</v>
      </c>
      <c r="N61" s="76" t="s">
        <v>1331</v>
      </c>
      <c r="O61" s="76" t="s">
        <v>1332</v>
      </c>
      <c r="P61" s="76"/>
      <c r="Q61" s="144"/>
      <c r="R61" s="351">
        <v>1</v>
      </c>
      <c r="S61" s="351" t="s">
        <v>3291</v>
      </c>
      <c r="T61" s="351" t="s">
        <v>3251</v>
      </c>
      <c r="U61" s="351" t="s">
        <v>2615</v>
      </c>
      <c r="V61" s="351" t="s">
        <v>2328</v>
      </c>
      <c r="W61" s="311">
        <v>13886460</v>
      </c>
      <c r="X61" s="311">
        <v>259848.00000000003</v>
      </c>
      <c r="Y61" s="311">
        <v>369521.30000000005</v>
      </c>
      <c r="Z61" s="311">
        <v>1380901</v>
      </c>
      <c r="AA61" s="311">
        <v>966630.70000000007</v>
      </c>
      <c r="AB61" s="68">
        <f t="shared" si="16"/>
        <v>16863361</v>
      </c>
      <c r="AC61" s="68">
        <f t="shared" si="17"/>
        <v>16863361</v>
      </c>
      <c r="AD61" s="127">
        <f t="shared" si="18"/>
        <v>16863361</v>
      </c>
      <c r="AE61" s="26"/>
    </row>
    <row r="62" spans="1:31" ht="75">
      <c r="A62" s="474">
        <f t="shared" si="19"/>
        <v>44</v>
      </c>
      <c r="B62" s="146" t="s">
        <v>1199</v>
      </c>
      <c r="C62" s="33" t="s">
        <v>8</v>
      </c>
      <c r="D62" s="68">
        <v>1</v>
      </c>
      <c r="E62" s="66">
        <v>1</v>
      </c>
      <c r="F62" s="351">
        <f t="shared" si="2"/>
        <v>1</v>
      </c>
      <c r="G62" s="76" t="s">
        <v>1205</v>
      </c>
      <c r="H62" s="76">
        <v>600</v>
      </c>
      <c r="I62" s="76">
        <v>150</v>
      </c>
      <c r="J62" s="76" t="s">
        <v>1148</v>
      </c>
      <c r="K62" s="143">
        <v>55</v>
      </c>
      <c r="L62" s="76">
        <v>1.5</v>
      </c>
      <c r="M62" s="144" t="s">
        <v>1149</v>
      </c>
      <c r="N62" s="76" t="s">
        <v>1331</v>
      </c>
      <c r="O62" s="76" t="s">
        <v>1332</v>
      </c>
      <c r="P62" s="76"/>
      <c r="Q62" s="144"/>
      <c r="R62" s="351">
        <v>1</v>
      </c>
      <c r="S62" s="351" t="s">
        <v>3286</v>
      </c>
      <c r="T62" s="351" t="s">
        <v>3257</v>
      </c>
      <c r="U62" s="351" t="s">
        <v>2615</v>
      </c>
      <c r="V62" s="351" t="s">
        <v>2328</v>
      </c>
      <c r="W62" s="311">
        <v>6062580</v>
      </c>
      <c r="X62" s="311">
        <v>259848.00000000003</v>
      </c>
      <c r="Y62" s="311">
        <v>241929.91818181818</v>
      </c>
      <c r="Z62" s="311">
        <v>610009.72727272729</v>
      </c>
      <c r="AA62" s="311">
        <v>427006.80909090914</v>
      </c>
      <c r="AB62" s="68">
        <f t="shared" si="16"/>
        <v>7601374.4545454551</v>
      </c>
      <c r="AC62" s="68">
        <f t="shared" si="17"/>
        <v>7601374.4545454551</v>
      </c>
      <c r="AD62" s="127">
        <f t="shared" si="18"/>
        <v>7601374.4545454551</v>
      </c>
      <c r="AE62" s="26"/>
    </row>
    <row r="63" spans="1:31">
      <c r="A63" s="140"/>
      <c r="B63" s="142" t="s">
        <v>1206</v>
      </c>
      <c r="C63" s="476"/>
      <c r="D63" s="68"/>
      <c r="E63" s="66"/>
      <c r="F63" s="351"/>
      <c r="G63" s="76"/>
      <c r="H63" s="76"/>
      <c r="I63" s="76"/>
      <c r="J63" s="76"/>
      <c r="K63" s="143"/>
      <c r="L63" s="76"/>
      <c r="M63" s="144"/>
      <c r="N63" s="76"/>
      <c r="O63" s="76"/>
      <c r="P63" s="76"/>
      <c r="Q63" s="144"/>
      <c r="R63" s="351"/>
      <c r="S63" s="351"/>
      <c r="T63" s="351"/>
      <c r="U63" s="351"/>
      <c r="V63" s="26"/>
      <c r="W63" s="66"/>
      <c r="X63" s="66"/>
      <c r="Y63" s="66"/>
      <c r="Z63" s="66"/>
      <c r="AA63" s="66"/>
      <c r="AB63" s="66"/>
      <c r="AC63" s="66"/>
      <c r="AD63" s="66"/>
      <c r="AE63" s="26"/>
    </row>
    <row r="64" spans="1:31" ht="75">
      <c r="A64" s="474">
        <v>45</v>
      </c>
      <c r="B64" s="146" t="s">
        <v>1207</v>
      </c>
      <c r="C64" s="33" t="s">
        <v>8</v>
      </c>
      <c r="D64" s="68">
        <v>1</v>
      </c>
      <c r="E64" s="66">
        <v>1</v>
      </c>
      <c r="F64" s="351">
        <f t="shared" si="2"/>
        <v>1</v>
      </c>
      <c r="G64" s="76" t="s">
        <v>1208</v>
      </c>
      <c r="H64" s="76">
        <v>1300</v>
      </c>
      <c r="I64" s="76">
        <v>150</v>
      </c>
      <c r="J64" s="76" t="s">
        <v>1148</v>
      </c>
      <c r="K64" s="143">
        <v>55</v>
      </c>
      <c r="L64" s="76">
        <v>0.55000000000000004</v>
      </c>
      <c r="M64" s="144" t="s">
        <v>1130</v>
      </c>
      <c r="N64" s="76" t="s">
        <v>1331</v>
      </c>
      <c r="O64" s="76" t="s">
        <v>1332</v>
      </c>
      <c r="P64" s="76"/>
      <c r="Q64" s="144"/>
      <c r="R64" s="351">
        <v>1</v>
      </c>
      <c r="S64" s="351" t="s">
        <v>3667</v>
      </c>
      <c r="T64" s="351" t="s">
        <v>3257</v>
      </c>
      <c r="U64" s="351" t="s">
        <v>2615</v>
      </c>
      <c r="V64" s="351" t="s">
        <v>2328</v>
      </c>
      <c r="W64" s="311">
        <v>6173820</v>
      </c>
      <c r="X64" s="311">
        <v>259848.00000000003</v>
      </c>
      <c r="Y64" s="311">
        <v>241929.91818181818</v>
      </c>
      <c r="Z64" s="311">
        <v>620809.72727272729</v>
      </c>
      <c r="AA64" s="311">
        <v>434566.80909090914</v>
      </c>
      <c r="AB64" s="68">
        <f t="shared" ref="AB64:AB72" si="20">SUM(W64:AA64)</f>
        <v>7730974.4545454551</v>
      </c>
      <c r="AC64" s="68">
        <f t="shared" ref="AC64:AC72" si="21">F64*AB64</f>
        <v>7730974.4545454551</v>
      </c>
      <c r="AD64" s="127">
        <f t="shared" ref="AD64:AD72" si="22">R64*AB64</f>
        <v>7730974.4545454551</v>
      </c>
      <c r="AE64" s="26"/>
    </row>
    <row r="65" spans="1:31" ht="75">
      <c r="A65" s="474">
        <f>A64+1</f>
        <v>46</v>
      </c>
      <c r="B65" s="146" t="s">
        <v>1209</v>
      </c>
      <c r="C65" s="33" t="s">
        <v>8</v>
      </c>
      <c r="D65" s="68">
        <v>1</v>
      </c>
      <c r="E65" s="66">
        <v>1</v>
      </c>
      <c r="F65" s="351">
        <f t="shared" si="2"/>
        <v>1</v>
      </c>
      <c r="G65" s="76" t="s">
        <v>1210</v>
      </c>
      <c r="H65" s="76">
        <v>600</v>
      </c>
      <c r="I65" s="76">
        <v>150</v>
      </c>
      <c r="J65" s="76" t="s">
        <v>1148</v>
      </c>
      <c r="K65" s="143">
        <v>55</v>
      </c>
      <c r="L65" s="76">
        <v>0.55000000000000004</v>
      </c>
      <c r="M65" s="144" t="s">
        <v>1130</v>
      </c>
      <c r="N65" s="76" t="s">
        <v>1331</v>
      </c>
      <c r="O65" s="76" t="s">
        <v>1332</v>
      </c>
      <c r="P65" s="76"/>
      <c r="Q65" s="144"/>
      <c r="R65" s="351">
        <v>1</v>
      </c>
      <c r="S65" s="351" t="s">
        <v>2782</v>
      </c>
      <c r="T65" s="351" t="s">
        <v>2624</v>
      </c>
      <c r="U65" s="351" t="s">
        <v>2615</v>
      </c>
      <c r="V65" s="351" t="s">
        <v>2328</v>
      </c>
      <c r="W65" s="311">
        <v>2002320</v>
      </c>
      <c r="X65" s="311">
        <v>259848.00000000003</v>
      </c>
      <c r="Y65" s="311">
        <v>241929.91818181818</v>
      </c>
      <c r="Z65" s="311">
        <v>215809.72727272726</v>
      </c>
      <c r="AA65" s="311">
        <v>151066.80909090908</v>
      </c>
      <c r="AB65" s="68">
        <f t="shared" si="20"/>
        <v>2870974.4545454541</v>
      </c>
      <c r="AC65" s="68">
        <f t="shared" si="21"/>
        <v>2870974.4545454541</v>
      </c>
      <c r="AD65" s="127">
        <f t="shared" si="22"/>
        <v>2870974.4545454541</v>
      </c>
      <c r="AE65" s="26"/>
    </row>
    <row r="66" spans="1:31" ht="60">
      <c r="A66" s="474">
        <f t="shared" ref="A66:A72" si="23">A65+1</f>
        <v>47</v>
      </c>
      <c r="B66" s="146" t="s">
        <v>1188</v>
      </c>
      <c r="C66" s="33" t="s">
        <v>8</v>
      </c>
      <c r="D66" s="68">
        <v>1</v>
      </c>
      <c r="E66" s="66">
        <v>1</v>
      </c>
      <c r="F66" s="351">
        <f t="shared" si="2"/>
        <v>1</v>
      </c>
      <c r="G66" s="76" t="s">
        <v>1211</v>
      </c>
      <c r="H66" s="76">
        <v>150</v>
      </c>
      <c r="I66" s="76">
        <v>20</v>
      </c>
      <c r="J66" s="76" t="s">
        <v>1129</v>
      </c>
      <c r="K66" s="143">
        <v>55</v>
      </c>
      <c r="L66" s="76">
        <v>0.37</v>
      </c>
      <c r="M66" s="144" t="s">
        <v>1130</v>
      </c>
      <c r="N66" s="76" t="s">
        <v>1331</v>
      </c>
      <c r="O66" s="76" t="s">
        <v>1332</v>
      </c>
      <c r="P66" s="76"/>
      <c r="Q66" s="144"/>
      <c r="R66" s="351">
        <v>1</v>
      </c>
      <c r="S66" s="351" t="s">
        <v>3258</v>
      </c>
      <c r="T66" s="351" t="s">
        <v>2617</v>
      </c>
      <c r="U66" s="351" t="s">
        <v>2615</v>
      </c>
      <c r="V66" s="351" t="s">
        <v>2328</v>
      </c>
      <c r="W66" s="311">
        <v>344844</v>
      </c>
      <c r="X66" s="311">
        <v>0</v>
      </c>
      <c r="Y66" s="311">
        <v>136854.29999999999</v>
      </c>
      <c r="Z66" s="311">
        <v>45591</v>
      </c>
      <c r="AA66" s="311">
        <v>31913.700000000004</v>
      </c>
      <c r="AB66" s="68">
        <f t="shared" si="20"/>
        <v>559203</v>
      </c>
      <c r="AC66" s="68">
        <f t="shared" si="21"/>
        <v>559203</v>
      </c>
      <c r="AD66" s="127">
        <f t="shared" si="22"/>
        <v>559203</v>
      </c>
      <c r="AE66" s="26"/>
    </row>
    <row r="67" spans="1:31" ht="75">
      <c r="A67" s="474">
        <f t="shared" si="23"/>
        <v>48</v>
      </c>
      <c r="B67" s="146" t="s">
        <v>1188</v>
      </c>
      <c r="C67" s="33" t="s">
        <v>8</v>
      </c>
      <c r="D67" s="68">
        <v>3</v>
      </c>
      <c r="E67" s="66">
        <v>3</v>
      </c>
      <c r="F67" s="351">
        <f t="shared" si="2"/>
        <v>3</v>
      </c>
      <c r="G67" s="76" t="s">
        <v>1212</v>
      </c>
      <c r="H67" s="76">
        <v>1000</v>
      </c>
      <c r="I67" s="76">
        <v>50</v>
      </c>
      <c r="J67" s="76" t="s">
        <v>1129</v>
      </c>
      <c r="K67" s="143">
        <v>55</v>
      </c>
      <c r="L67" s="76">
        <v>0.37</v>
      </c>
      <c r="M67" s="144" t="s">
        <v>1130</v>
      </c>
      <c r="N67" s="76" t="s">
        <v>1331</v>
      </c>
      <c r="O67" s="76" t="s">
        <v>1332</v>
      </c>
      <c r="P67" s="76"/>
      <c r="Q67" s="144"/>
      <c r="R67" s="351">
        <v>3</v>
      </c>
      <c r="S67" s="351" t="s">
        <v>3223</v>
      </c>
      <c r="T67" s="351" t="s">
        <v>2616</v>
      </c>
      <c r="U67" s="351" t="s">
        <v>2615</v>
      </c>
      <c r="V67" s="351" t="s">
        <v>2328</v>
      </c>
      <c r="W67" s="311">
        <v>422712</v>
      </c>
      <c r="X67" s="311">
        <v>0</v>
      </c>
      <c r="Y67" s="311">
        <v>164231.11818181816</v>
      </c>
      <c r="Z67" s="311">
        <v>55573.727272727272</v>
      </c>
      <c r="AA67" s="311">
        <v>38901.609090909093</v>
      </c>
      <c r="AB67" s="68">
        <f t="shared" si="20"/>
        <v>681418.45454545459</v>
      </c>
      <c r="AC67" s="68">
        <f t="shared" si="21"/>
        <v>2044255.3636363638</v>
      </c>
      <c r="AD67" s="127">
        <f t="shared" si="22"/>
        <v>2044255.3636363638</v>
      </c>
      <c r="AE67" s="26"/>
    </row>
    <row r="68" spans="1:31" ht="75">
      <c r="A68" s="474">
        <f t="shared" si="23"/>
        <v>49</v>
      </c>
      <c r="B68" s="146" t="s">
        <v>1213</v>
      </c>
      <c r="C68" s="33" t="s">
        <v>8</v>
      </c>
      <c r="D68" s="68">
        <v>1</v>
      </c>
      <c r="E68" s="66">
        <v>1</v>
      </c>
      <c r="F68" s="351">
        <f t="shared" si="2"/>
        <v>1</v>
      </c>
      <c r="G68" s="76" t="s">
        <v>1214</v>
      </c>
      <c r="H68" s="76">
        <v>600</v>
      </c>
      <c r="I68" s="76">
        <v>150</v>
      </c>
      <c r="J68" s="76" t="s">
        <v>1148</v>
      </c>
      <c r="K68" s="143">
        <v>55</v>
      </c>
      <c r="L68" s="76">
        <v>0.37</v>
      </c>
      <c r="M68" s="144" t="s">
        <v>1149</v>
      </c>
      <c r="N68" s="76" t="s">
        <v>1331</v>
      </c>
      <c r="O68" s="76" t="s">
        <v>1332</v>
      </c>
      <c r="P68" s="76"/>
      <c r="Q68" s="144"/>
      <c r="R68" s="351">
        <v>1</v>
      </c>
      <c r="S68" s="351" t="s">
        <v>2783</v>
      </c>
      <c r="T68" s="351" t="s">
        <v>2624</v>
      </c>
      <c r="U68" s="351" t="s">
        <v>2615</v>
      </c>
      <c r="V68" s="351" t="s">
        <v>2328</v>
      </c>
      <c r="W68" s="311">
        <v>2002320</v>
      </c>
      <c r="X68" s="311">
        <v>259848.00000000003</v>
      </c>
      <c r="Y68" s="311">
        <v>241929.91818181818</v>
      </c>
      <c r="Z68" s="311">
        <v>215809.72727272726</v>
      </c>
      <c r="AA68" s="311">
        <v>151066.80909090908</v>
      </c>
      <c r="AB68" s="68">
        <f t="shared" si="20"/>
        <v>2870974.4545454541</v>
      </c>
      <c r="AC68" s="68">
        <f t="shared" si="21"/>
        <v>2870974.4545454541</v>
      </c>
      <c r="AD68" s="127">
        <f t="shared" si="22"/>
        <v>2870974.4545454541</v>
      </c>
      <c r="AE68" s="26"/>
    </row>
    <row r="69" spans="1:31" ht="75">
      <c r="A69" s="474">
        <f t="shared" si="23"/>
        <v>50</v>
      </c>
      <c r="B69" s="146" t="s">
        <v>1213</v>
      </c>
      <c r="C69" s="33" t="s">
        <v>8</v>
      </c>
      <c r="D69" s="68">
        <v>1</v>
      </c>
      <c r="E69" s="66">
        <v>1</v>
      </c>
      <c r="F69" s="351">
        <f t="shared" si="2"/>
        <v>1</v>
      </c>
      <c r="G69" s="76" t="s">
        <v>1215</v>
      </c>
      <c r="H69" s="76">
        <v>2200</v>
      </c>
      <c r="I69" s="76">
        <v>250</v>
      </c>
      <c r="J69" s="76" t="s">
        <v>1148</v>
      </c>
      <c r="K69" s="143">
        <v>55</v>
      </c>
      <c r="L69" s="76">
        <v>1.1000000000000001</v>
      </c>
      <c r="M69" s="144" t="s">
        <v>1149</v>
      </c>
      <c r="N69" s="76" t="s">
        <v>1331</v>
      </c>
      <c r="O69" s="76" t="s">
        <v>1332</v>
      </c>
      <c r="P69" s="76"/>
      <c r="Q69" s="144"/>
      <c r="R69" s="351">
        <v>1</v>
      </c>
      <c r="S69" s="351" t="s">
        <v>3298</v>
      </c>
      <c r="T69" s="351" t="s">
        <v>3256</v>
      </c>
      <c r="U69" s="351" t="s">
        <v>2615</v>
      </c>
      <c r="V69" s="351" t="s">
        <v>2328</v>
      </c>
      <c r="W69" s="311">
        <v>7397460</v>
      </c>
      <c r="X69" s="311">
        <v>259848.00000000003</v>
      </c>
      <c r="Y69" s="311">
        <v>332554.89090909087</v>
      </c>
      <c r="Z69" s="311">
        <v>747629.63636363635</v>
      </c>
      <c r="AA69" s="311">
        <v>523340.74545454548</v>
      </c>
      <c r="AB69" s="68">
        <f t="shared" si="20"/>
        <v>9260833.2727272734</v>
      </c>
      <c r="AC69" s="68">
        <f t="shared" si="21"/>
        <v>9260833.2727272734</v>
      </c>
      <c r="AD69" s="127">
        <f t="shared" si="22"/>
        <v>9260833.2727272734</v>
      </c>
      <c r="AE69" s="26"/>
    </row>
    <row r="70" spans="1:31" ht="75">
      <c r="A70" s="474">
        <f t="shared" si="23"/>
        <v>51</v>
      </c>
      <c r="B70" s="146" t="s">
        <v>1213</v>
      </c>
      <c r="C70" s="33" t="s">
        <v>8</v>
      </c>
      <c r="D70" s="68">
        <v>1</v>
      </c>
      <c r="E70" s="66">
        <v>1</v>
      </c>
      <c r="F70" s="351">
        <f t="shared" si="2"/>
        <v>1</v>
      </c>
      <c r="G70" s="76" t="s">
        <v>1216</v>
      </c>
      <c r="H70" s="76">
        <v>4500</v>
      </c>
      <c r="I70" s="76">
        <v>300</v>
      </c>
      <c r="J70" s="76" t="s">
        <v>1148</v>
      </c>
      <c r="K70" s="143">
        <v>55</v>
      </c>
      <c r="L70" s="76">
        <v>1.5</v>
      </c>
      <c r="M70" s="144" t="s">
        <v>1149</v>
      </c>
      <c r="N70" s="76" t="s">
        <v>1331</v>
      </c>
      <c r="O70" s="76" t="s">
        <v>1332</v>
      </c>
      <c r="P70" s="76"/>
      <c r="Q70" s="144"/>
      <c r="R70" s="351">
        <v>1</v>
      </c>
      <c r="S70" s="351" t="s">
        <v>3292</v>
      </c>
      <c r="T70" s="351" t="s">
        <v>3251</v>
      </c>
      <c r="U70" s="351" t="s">
        <v>2615</v>
      </c>
      <c r="V70" s="351" t="s">
        <v>2328</v>
      </c>
      <c r="W70" s="311">
        <v>14628060</v>
      </c>
      <c r="X70" s="311">
        <v>259848.00000000003</v>
      </c>
      <c r="Y70" s="311">
        <v>568682.77272727271</v>
      </c>
      <c r="Z70" s="311">
        <v>1470525.9090909092</v>
      </c>
      <c r="AA70" s="311">
        <v>1029368.1363636365</v>
      </c>
      <c r="AB70" s="68">
        <f t="shared" si="20"/>
        <v>17956484.81818182</v>
      </c>
      <c r="AC70" s="68">
        <f t="shared" si="21"/>
        <v>17956484.81818182</v>
      </c>
      <c r="AD70" s="127">
        <f t="shared" si="22"/>
        <v>17956484.81818182</v>
      </c>
      <c r="AE70" s="26"/>
    </row>
    <row r="71" spans="1:31" ht="75">
      <c r="A71" s="474">
        <f t="shared" si="23"/>
        <v>52</v>
      </c>
      <c r="B71" s="146" t="s">
        <v>1213</v>
      </c>
      <c r="C71" s="33" t="s">
        <v>8</v>
      </c>
      <c r="D71" s="68">
        <v>1</v>
      </c>
      <c r="E71" s="66">
        <v>1</v>
      </c>
      <c r="F71" s="351">
        <f t="shared" si="2"/>
        <v>1</v>
      </c>
      <c r="G71" s="76" t="s">
        <v>1217</v>
      </c>
      <c r="H71" s="76">
        <v>6500</v>
      </c>
      <c r="I71" s="76">
        <v>300</v>
      </c>
      <c r="J71" s="76" t="s">
        <v>1148</v>
      </c>
      <c r="K71" s="143">
        <v>55</v>
      </c>
      <c r="L71" s="76">
        <v>1.5</v>
      </c>
      <c r="M71" s="144" t="s">
        <v>1149</v>
      </c>
      <c r="N71" s="76" t="s">
        <v>1331</v>
      </c>
      <c r="O71" s="76" t="s">
        <v>1332</v>
      </c>
      <c r="P71" s="76"/>
      <c r="Q71" s="144"/>
      <c r="R71" s="351">
        <v>1</v>
      </c>
      <c r="S71" s="351" t="s">
        <v>3668</v>
      </c>
      <c r="T71" s="351" t="s">
        <v>3253</v>
      </c>
      <c r="U71" s="351" t="s">
        <v>2615</v>
      </c>
      <c r="V71" s="351" t="s">
        <v>2328</v>
      </c>
      <c r="W71" s="311">
        <v>15462360</v>
      </c>
      <c r="X71" s="311">
        <v>259848.00000000003</v>
      </c>
      <c r="Y71" s="311">
        <v>635069.24545454548</v>
      </c>
      <c r="Z71" s="311">
        <v>1557400.8181818184</v>
      </c>
      <c r="AA71" s="311">
        <v>1090180.5727272728</v>
      </c>
      <c r="AB71" s="68">
        <f t="shared" si="20"/>
        <v>19004858.636363637</v>
      </c>
      <c r="AC71" s="68">
        <f t="shared" si="21"/>
        <v>19004858.636363637</v>
      </c>
      <c r="AD71" s="127">
        <f t="shared" si="22"/>
        <v>19004858.636363637</v>
      </c>
      <c r="AE71" s="26"/>
    </row>
    <row r="72" spans="1:31" ht="75">
      <c r="A72" s="474">
        <f t="shared" si="23"/>
        <v>53</v>
      </c>
      <c r="B72" s="146" t="s">
        <v>1213</v>
      </c>
      <c r="C72" s="33" t="s">
        <v>8</v>
      </c>
      <c r="D72" s="68">
        <v>1</v>
      </c>
      <c r="E72" s="66">
        <v>1</v>
      </c>
      <c r="F72" s="351">
        <f t="shared" si="2"/>
        <v>1</v>
      </c>
      <c r="G72" s="76" t="s">
        <v>1218</v>
      </c>
      <c r="H72" s="76">
        <v>5000</v>
      </c>
      <c r="I72" s="76">
        <v>350</v>
      </c>
      <c r="J72" s="76" t="s">
        <v>1148</v>
      </c>
      <c r="K72" s="143">
        <v>55</v>
      </c>
      <c r="L72" s="76">
        <v>1.5</v>
      </c>
      <c r="M72" s="144" t="s">
        <v>1149</v>
      </c>
      <c r="N72" s="76" t="s">
        <v>1331</v>
      </c>
      <c r="O72" s="76" t="s">
        <v>1332</v>
      </c>
      <c r="P72" s="76"/>
      <c r="Q72" s="144"/>
      <c r="R72" s="351">
        <v>1</v>
      </c>
      <c r="S72" s="351" t="s">
        <v>3293</v>
      </c>
      <c r="T72" s="351" t="s">
        <v>3251</v>
      </c>
      <c r="U72" s="351" t="s">
        <v>2615</v>
      </c>
      <c r="V72" s="351" t="s">
        <v>2328</v>
      </c>
      <c r="W72" s="311">
        <v>14628060</v>
      </c>
      <c r="X72" s="311">
        <v>259848.00000000003</v>
      </c>
      <c r="Y72" s="311">
        <v>568682.77272727271</v>
      </c>
      <c r="Z72" s="311">
        <v>1470525.9090909092</v>
      </c>
      <c r="AA72" s="311">
        <v>1029368.1363636365</v>
      </c>
      <c r="AB72" s="68">
        <f t="shared" si="20"/>
        <v>17956484.81818182</v>
      </c>
      <c r="AC72" s="68">
        <f t="shared" si="21"/>
        <v>17956484.81818182</v>
      </c>
      <c r="AD72" s="127">
        <f t="shared" si="22"/>
        <v>17956484.81818182</v>
      </c>
      <c r="AE72" s="26"/>
    </row>
    <row r="73" spans="1:31">
      <c r="A73" s="140"/>
      <c r="B73" s="142" t="s">
        <v>1219</v>
      </c>
      <c r="C73" s="476"/>
      <c r="D73" s="68"/>
      <c r="E73" s="66"/>
      <c r="F73" s="351"/>
      <c r="G73" s="76"/>
      <c r="H73" s="76"/>
      <c r="I73" s="76"/>
      <c r="J73" s="76"/>
      <c r="K73" s="143"/>
      <c r="L73" s="76"/>
      <c r="M73" s="144"/>
      <c r="N73" s="76"/>
      <c r="O73" s="76"/>
      <c r="P73" s="145"/>
      <c r="Q73" s="144"/>
      <c r="R73" s="351"/>
      <c r="S73" s="351"/>
      <c r="T73" s="351"/>
      <c r="U73" s="351"/>
      <c r="V73" s="26"/>
      <c r="W73" s="66"/>
      <c r="X73" s="66"/>
      <c r="Y73" s="66"/>
      <c r="Z73" s="66"/>
      <c r="AA73" s="66"/>
      <c r="AB73" s="66"/>
      <c r="AC73" s="66"/>
      <c r="AD73" s="66"/>
      <c r="AE73" s="26"/>
    </row>
    <row r="74" spans="1:31" ht="75">
      <c r="A74" s="474">
        <v>50</v>
      </c>
      <c r="B74" s="146" t="s">
        <v>1207</v>
      </c>
      <c r="C74" s="33" t="s">
        <v>8</v>
      </c>
      <c r="D74" s="68">
        <v>1</v>
      </c>
      <c r="E74" s="66">
        <v>1</v>
      </c>
      <c r="F74" s="351">
        <f t="shared" si="2"/>
        <v>1</v>
      </c>
      <c r="G74" s="76" t="s">
        <v>1220</v>
      </c>
      <c r="H74" s="76">
        <v>1300</v>
      </c>
      <c r="I74" s="76">
        <v>250</v>
      </c>
      <c r="J74" s="76" t="s">
        <v>1148</v>
      </c>
      <c r="K74" s="143">
        <v>55</v>
      </c>
      <c r="L74" s="76">
        <v>0.75</v>
      </c>
      <c r="M74" s="144" t="s">
        <v>1130</v>
      </c>
      <c r="N74" s="76" t="s">
        <v>1331</v>
      </c>
      <c r="O74" s="76" t="s">
        <v>1332</v>
      </c>
      <c r="P74" s="145"/>
      <c r="Q74" s="144"/>
      <c r="R74" s="351">
        <v>1</v>
      </c>
      <c r="S74" s="351" t="s">
        <v>3669</v>
      </c>
      <c r="T74" s="351" t="s">
        <v>3257</v>
      </c>
      <c r="U74" s="351" t="s">
        <v>2615</v>
      </c>
      <c r="V74" s="351" t="s">
        <v>2328</v>
      </c>
      <c r="W74" s="311">
        <v>6173820</v>
      </c>
      <c r="X74" s="311">
        <v>259848.00000000003</v>
      </c>
      <c r="Y74" s="311">
        <v>241929.91818181818</v>
      </c>
      <c r="Z74" s="311">
        <v>620809.72727272729</v>
      </c>
      <c r="AA74" s="311">
        <v>434566.80909090914</v>
      </c>
      <c r="AB74" s="68">
        <f t="shared" ref="AB74:AB84" si="24">SUM(W74:AA74)</f>
        <v>7730974.4545454551</v>
      </c>
      <c r="AC74" s="68">
        <f t="shared" ref="AC74:AC84" si="25">F74*AB74</f>
        <v>7730974.4545454551</v>
      </c>
      <c r="AD74" s="127">
        <f t="shared" ref="AD74:AD84" si="26">R74*AB74</f>
        <v>7730974.4545454551</v>
      </c>
      <c r="AE74" s="26"/>
    </row>
    <row r="75" spans="1:31" ht="75">
      <c r="A75" s="474">
        <f>A74+1</f>
        <v>51</v>
      </c>
      <c r="B75" s="146" t="s">
        <v>1209</v>
      </c>
      <c r="C75" s="33" t="s">
        <v>8</v>
      </c>
      <c r="D75" s="68">
        <v>1</v>
      </c>
      <c r="E75" s="66">
        <v>1</v>
      </c>
      <c r="F75" s="351">
        <f t="shared" si="2"/>
        <v>1</v>
      </c>
      <c r="G75" s="76" t="s">
        <v>1221</v>
      </c>
      <c r="H75" s="76">
        <v>2000</v>
      </c>
      <c r="I75" s="76">
        <v>250</v>
      </c>
      <c r="J75" s="76" t="s">
        <v>1148</v>
      </c>
      <c r="K75" s="143">
        <v>55</v>
      </c>
      <c r="L75" s="76">
        <v>0.75</v>
      </c>
      <c r="M75" s="144" t="s">
        <v>1130</v>
      </c>
      <c r="N75" s="76" t="s">
        <v>1331</v>
      </c>
      <c r="O75" s="76" t="s">
        <v>1332</v>
      </c>
      <c r="P75" s="145"/>
      <c r="Q75" s="144"/>
      <c r="R75" s="351">
        <v>1</v>
      </c>
      <c r="S75" s="351" t="s">
        <v>3299</v>
      </c>
      <c r="T75" s="351" t="s">
        <v>3256</v>
      </c>
      <c r="U75" s="351" t="s">
        <v>2615</v>
      </c>
      <c r="V75" s="351" t="s">
        <v>2328</v>
      </c>
      <c r="W75" s="311">
        <v>7397460</v>
      </c>
      <c r="X75" s="311">
        <v>259848.00000000003</v>
      </c>
      <c r="Y75" s="311">
        <v>332554.89090909087</v>
      </c>
      <c r="Z75" s="311">
        <v>747629.63636363635</v>
      </c>
      <c r="AA75" s="311">
        <v>523340.74545454548</v>
      </c>
      <c r="AB75" s="68">
        <f t="shared" si="24"/>
        <v>9260833.2727272734</v>
      </c>
      <c r="AC75" s="68">
        <f t="shared" si="25"/>
        <v>9260833.2727272734</v>
      </c>
      <c r="AD75" s="127">
        <f t="shared" si="26"/>
        <v>9260833.2727272734</v>
      </c>
      <c r="AE75" s="26"/>
    </row>
    <row r="76" spans="1:31" ht="75">
      <c r="A76" s="474">
        <f t="shared" ref="A76:A84" si="27">A75+1</f>
        <v>52</v>
      </c>
      <c r="B76" s="146" t="s">
        <v>1222</v>
      </c>
      <c r="C76" s="33" t="s">
        <v>8</v>
      </c>
      <c r="D76" s="68">
        <v>1</v>
      </c>
      <c r="E76" s="66">
        <v>1</v>
      </c>
      <c r="F76" s="351">
        <f t="shared" si="2"/>
        <v>1</v>
      </c>
      <c r="G76" s="76" t="s">
        <v>1223</v>
      </c>
      <c r="H76" s="76">
        <v>750</v>
      </c>
      <c r="I76" s="76">
        <v>250</v>
      </c>
      <c r="J76" s="76" t="s">
        <v>1148</v>
      </c>
      <c r="K76" s="143">
        <v>55</v>
      </c>
      <c r="L76" s="76">
        <v>0.37</v>
      </c>
      <c r="M76" s="144" t="s">
        <v>1130</v>
      </c>
      <c r="N76" s="76" t="s">
        <v>1331</v>
      </c>
      <c r="O76" s="76" t="s">
        <v>1332</v>
      </c>
      <c r="P76" s="145"/>
      <c r="Q76" s="144"/>
      <c r="R76" s="351">
        <v>1</v>
      </c>
      <c r="S76" s="351" t="s">
        <v>2784</v>
      </c>
      <c r="T76" s="351" t="s">
        <v>2624</v>
      </c>
      <c r="U76" s="351" t="s">
        <v>2615</v>
      </c>
      <c r="V76" s="351" t="s">
        <v>2328</v>
      </c>
      <c r="W76" s="311">
        <v>2002320</v>
      </c>
      <c r="X76" s="311">
        <v>259848.00000000003</v>
      </c>
      <c r="Y76" s="311">
        <v>241929.91818181818</v>
      </c>
      <c r="Z76" s="311">
        <v>215809.72727272726</v>
      </c>
      <c r="AA76" s="311">
        <v>151066.80909090908</v>
      </c>
      <c r="AB76" s="68">
        <f t="shared" si="24"/>
        <v>2870974.4545454541</v>
      </c>
      <c r="AC76" s="68">
        <f t="shared" si="25"/>
        <v>2870974.4545454541</v>
      </c>
      <c r="AD76" s="127">
        <f t="shared" si="26"/>
        <v>2870974.4545454541</v>
      </c>
      <c r="AE76" s="26"/>
    </row>
    <row r="77" spans="1:31" ht="75">
      <c r="A77" s="474">
        <f t="shared" si="27"/>
        <v>53</v>
      </c>
      <c r="B77" s="146" t="s">
        <v>1224</v>
      </c>
      <c r="C77" s="33" t="s">
        <v>8</v>
      </c>
      <c r="D77" s="68">
        <v>1</v>
      </c>
      <c r="E77" s="66">
        <v>1</v>
      </c>
      <c r="F77" s="351">
        <f t="shared" si="2"/>
        <v>1</v>
      </c>
      <c r="G77" s="76" t="s">
        <v>1225</v>
      </c>
      <c r="H77" s="76">
        <v>1200</v>
      </c>
      <c r="I77" s="76">
        <v>250</v>
      </c>
      <c r="J77" s="76" t="s">
        <v>1148</v>
      </c>
      <c r="K77" s="143">
        <v>55</v>
      </c>
      <c r="L77" s="76">
        <v>0.75</v>
      </c>
      <c r="M77" s="144" t="s">
        <v>1130</v>
      </c>
      <c r="N77" s="76" t="s">
        <v>1331</v>
      </c>
      <c r="O77" s="76" t="s">
        <v>1332</v>
      </c>
      <c r="P77" s="145"/>
      <c r="Q77" s="144"/>
      <c r="R77" s="351">
        <v>1</v>
      </c>
      <c r="S77" s="351" t="s">
        <v>3670</v>
      </c>
      <c r="T77" s="351" t="s">
        <v>3257</v>
      </c>
      <c r="U77" s="351" t="s">
        <v>2615</v>
      </c>
      <c r="V77" s="351" t="s">
        <v>2328</v>
      </c>
      <c r="W77" s="311">
        <v>6173820</v>
      </c>
      <c r="X77" s="311">
        <v>259848.00000000003</v>
      </c>
      <c r="Y77" s="311">
        <v>241929.91818181818</v>
      </c>
      <c r="Z77" s="311">
        <v>620809.72727272729</v>
      </c>
      <c r="AA77" s="311">
        <v>434566.80909090914</v>
      </c>
      <c r="AB77" s="68">
        <f t="shared" si="24"/>
        <v>7730974.4545454551</v>
      </c>
      <c r="AC77" s="68">
        <f t="shared" si="25"/>
        <v>7730974.4545454551</v>
      </c>
      <c r="AD77" s="127">
        <f t="shared" si="26"/>
        <v>7730974.4545454551</v>
      </c>
      <c r="AE77" s="26"/>
    </row>
    <row r="78" spans="1:31" ht="75">
      <c r="A78" s="474">
        <f t="shared" si="27"/>
        <v>54</v>
      </c>
      <c r="B78" s="146" t="s">
        <v>1226</v>
      </c>
      <c r="C78" s="33" t="s">
        <v>8</v>
      </c>
      <c r="D78" s="68">
        <v>1</v>
      </c>
      <c r="E78" s="66">
        <v>1</v>
      </c>
      <c r="F78" s="351">
        <f t="shared" si="2"/>
        <v>1</v>
      </c>
      <c r="G78" s="76" t="s">
        <v>1227</v>
      </c>
      <c r="H78" s="76">
        <v>700</v>
      </c>
      <c r="I78" s="76">
        <v>250</v>
      </c>
      <c r="J78" s="76" t="s">
        <v>1148</v>
      </c>
      <c r="K78" s="143">
        <v>55</v>
      </c>
      <c r="L78" s="76">
        <v>0.37</v>
      </c>
      <c r="M78" s="144" t="s">
        <v>1130</v>
      </c>
      <c r="N78" s="76" t="s">
        <v>1331</v>
      </c>
      <c r="O78" s="76" t="s">
        <v>1332</v>
      </c>
      <c r="P78" s="145"/>
      <c r="Q78" s="144"/>
      <c r="R78" s="351">
        <v>1</v>
      </c>
      <c r="S78" s="351" t="s">
        <v>2785</v>
      </c>
      <c r="T78" s="351" t="s">
        <v>2624</v>
      </c>
      <c r="U78" s="351" t="s">
        <v>2615</v>
      </c>
      <c r="V78" s="351" t="s">
        <v>2328</v>
      </c>
      <c r="W78" s="311">
        <v>2002320</v>
      </c>
      <c r="X78" s="311">
        <v>259848.00000000003</v>
      </c>
      <c r="Y78" s="311">
        <v>241929.91818181818</v>
      </c>
      <c r="Z78" s="311">
        <v>215809.72727272726</v>
      </c>
      <c r="AA78" s="311">
        <v>151066.80909090908</v>
      </c>
      <c r="AB78" s="68">
        <f t="shared" si="24"/>
        <v>2870974.4545454541</v>
      </c>
      <c r="AC78" s="68">
        <f t="shared" si="25"/>
        <v>2870974.4545454541</v>
      </c>
      <c r="AD78" s="127">
        <f t="shared" si="26"/>
        <v>2870974.4545454541</v>
      </c>
      <c r="AE78" s="26"/>
    </row>
    <row r="79" spans="1:31" ht="75">
      <c r="A79" s="474">
        <f t="shared" si="27"/>
        <v>55</v>
      </c>
      <c r="B79" s="146" t="s">
        <v>1228</v>
      </c>
      <c r="C79" s="33" t="s">
        <v>8</v>
      </c>
      <c r="D79" s="68">
        <v>1</v>
      </c>
      <c r="E79" s="66">
        <v>1</v>
      </c>
      <c r="F79" s="351">
        <f t="shared" ref="F79:F142" si="28">E79</f>
        <v>1</v>
      </c>
      <c r="G79" s="76" t="s">
        <v>1229</v>
      </c>
      <c r="H79" s="76">
        <v>9500</v>
      </c>
      <c r="I79" s="76">
        <v>300</v>
      </c>
      <c r="J79" s="76" t="s">
        <v>1148</v>
      </c>
      <c r="K79" s="143">
        <v>55</v>
      </c>
      <c r="L79" s="76">
        <v>4</v>
      </c>
      <c r="M79" s="144" t="s">
        <v>1149</v>
      </c>
      <c r="N79" s="76" t="s">
        <v>1331</v>
      </c>
      <c r="O79" s="76" t="s">
        <v>1332</v>
      </c>
      <c r="P79" s="145"/>
      <c r="Q79" s="144"/>
      <c r="R79" s="351">
        <v>1</v>
      </c>
      <c r="S79" s="351" t="s">
        <v>3671</v>
      </c>
      <c r="T79" s="351" t="s">
        <v>3672</v>
      </c>
      <c r="U79" s="351" t="s">
        <v>2615</v>
      </c>
      <c r="V79" s="351" t="s">
        <v>2328</v>
      </c>
      <c r="W79" s="311">
        <v>20034324</v>
      </c>
      <c r="X79" s="311">
        <v>259848.00000000003</v>
      </c>
      <c r="Y79" s="311">
        <v>964523.82727272739</v>
      </c>
      <c r="Z79" s="311">
        <v>2030436.0909090911</v>
      </c>
      <c r="AA79" s="311">
        <v>1421305.2636363639</v>
      </c>
      <c r="AB79" s="68">
        <f t="shared" si="24"/>
        <v>24710437.181818184</v>
      </c>
      <c r="AC79" s="68">
        <f t="shared" si="25"/>
        <v>24710437.181818184</v>
      </c>
      <c r="AD79" s="127">
        <f t="shared" si="26"/>
        <v>24710437.181818184</v>
      </c>
      <c r="AE79" s="329"/>
    </row>
    <row r="80" spans="1:31" ht="75">
      <c r="A80" s="474">
        <f t="shared" si="27"/>
        <v>56</v>
      </c>
      <c r="B80" s="146" t="s">
        <v>1230</v>
      </c>
      <c r="C80" s="33" t="s">
        <v>8</v>
      </c>
      <c r="D80" s="68">
        <v>1</v>
      </c>
      <c r="E80" s="66">
        <v>1</v>
      </c>
      <c r="F80" s="351">
        <f t="shared" si="28"/>
        <v>1</v>
      </c>
      <c r="G80" s="76" t="s">
        <v>1231</v>
      </c>
      <c r="H80" s="76">
        <v>2200</v>
      </c>
      <c r="I80" s="76">
        <v>300</v>
      </c>
      <c r="J80" s="76" t="s">
        <v>1148</v>
      </c>
      <c r="K80" s="143">
        <v>55</v>
      </c>
      <c r="L80" s="76">
        <v>1.1000000000000001</v>
      </c>
      <c r="M80" s="144" t="s">
        <v>1149</v>
      </c>
      <c r="N80" s="76" t="s">
        <v>1331</v>
      </c>
      <c r="O80" s="76" t="s">
        <v>1332</v>
      </c>
      <c r="P80" s="76" t="s">
        <v>1273</v>
      </c>
      <c r="Q80" s="144"/>
      <c r="R80" s="351">
        <v>1</v>
      </c>
      <c r="S80" s="351" t="s">
        <v>3300</v>
      </c>
      <c r="T80" s="351" t="s">
        <v>3256</v>
      </c>
      <c r="U80" s="351" t="s">
        <v>2615</v>
      </c>
      <c r="V80" s="351" t="s">
        <v>2328</v>
      </c>
      <c r="W80" s="311">
        <v>7397460</v>
      </c>
      <c r="X80" s="311">
        <v>259848.00000000003</v>
      </c>
      <c r="Y80" s="311">
        <v>332554.89090909087</v>
      </c>
      <c r="Z80" s="311">
        <v>747629.63636363635</v>
      </c>
      <c r="AA80" s="311">
        <v>523340.74545454548</v>
      </c>
      <c r="AB80" s="68">
        <f t="shared" si="24"/>
        <v>9260833.2727272734</v>
      </c>
      <c r="AC80" s="68">
        <f t="shared" si="25"/>
        <v>9260833.2727272734</v>
      </c>
      <c r="AD80" s="127">
        <f t="shared" si="26"/>
        <v>9260833.2727272734</v>
      </c>
      <c r="AE80" s="330"/>
    </row>
    <row r="81" spans="1:31" ht="75">
      <c r="A81" s="474">
        <f t="shared" si="27"/>
        <v>57</v>
      </c>
      <c r="B81" s="146" t="s">
        <v>1230</v>
      </c>
      <c r="C81" s="33" t="s">
        <v>8</v>
      </c>
      <c r="D81" s="68">
        <v>1</v>
      </c>
      <c r="E81" s="66">
        <v>1</v>
      </c>
      <c r="F81" s="351">
        <f t="shared" si="28"/>
        <v>1</v>
      </c>
      <c r="G81" s="76" t="s">
        <v>1232</v>
      </c>
      <c r="H81" s="76">
        <v>4500</v>
      </c>
      <c r="I81" s="76">
        <v>300</v>
      </c>
      <c r="J81" s="76" t="s">
        <v>1148</v>
      </c>
      <c r="K81" s="143">
        <v>55</v>
      </c>
      <c r="L81" s="76">
        <v>1.5</v>
      </c>
      <c r="M81" s="144" t="s">
        <v>1149</v>
      </c>
      <c r="N81" s="76" t="s">
        <v>1331</v>
      </c>
      <c r="O81" s="76" t="s">
        <v>1332</v>
      </c>
      <c r="P81" s="76"/>
      <c r="Q81" s="144"/>
      <c r="R81" s="351">
        <v>1</v>
      </c>
      <c r="S81" s="351" t="s">
        <v>3302</v>
      </c>
      <c r="T81" s="351" t="s">
        <v>3251</v>
      </c>
      <c r="U81" s="351" t="s">
        <v>2615</v>
      </c>
      <c r="V81" s="351" t="s">
        <v>2328</v>
      </c>
      <c r="W81" s="311">
        <v>14628060</v>
      </c>
      <c r="X81" s="311">
        <v>259848.00000000003</v>
      </c>
      <c r="Y81" s="311">
        <v>568682.77272727271</v>
      </c>
      <c r="Z81" s="311">
        <v>1470525.9090909092</v>
      </c>
      <c r="AA81" s="311">
        <v>1029368.1363636365</v>
      </c>
      <c r="AB81" s="68">
        <f t="shared" si="24"/>
        <v>17956484.81818182</v>
      </c>
      <c r="AC81" s="68">
        <f t="shared" si="25"/>
        <v>17956484.81818182</v>
      </c>
      <c r="AD81" s="127">
        <f t="shared" si="26"/>
        <v>17956484.81818182</v>
      </c>
      <c r="AE81" s="331"/>
    </row>
    <row r="82" spans="1:31" ht="75">
      <c r="A82" s="474">
        <f t="shared" si="27"/>
        <v>58</v>
      </c>
      <c r="B82" s="146" t="s">
        <v>1230</v>
      </c>
      <c r="C82" s="33" t="s">
        <v>8</v>
      </c>
      <c r="D82" s="68">
        <v>1</v>
      </c>
      <c r="E82" s="66">
        <v>1</v>
      </c>
      <c r="F82" s="351">
        <f t="shared" si="28"/>
        <v>1</v>
      </c>
      <c r="G82" s="76" t="s">
        <v>1233</v>
      </c>
      <c r="H82" s="76">
        <v>6500</v>
      </c>
      <c r="I82" s="76">
        <v>300</v>
      </c>
      <c r="J82" s="76" t="s">
        <v>1148</v>
      </c>
      <c r="K82" s="143">
        <v>55</v>
      </c>
      <c r="L82" s="76">
        <v>1.5</v>
      </c>
      <c r="M82" s="144" t="s">
        <v>1149</v>
      </c>
      <c r="N82" s="76" t="s">
        <v>1331</v>
      </c>
      <c r="O82" s="76" t="s">
        <v>1332</v>
      </c>
      <c r="P82" s="76"/>
      <c r="Q82" s="144"/>
      <c r="R82" s="351">
        <v>1</v>
      </c>
      <c r="S82" s="351" t="s">
        <v>3673</v>
      </c>
      <c r="T82" s="351" t="s">
        <v>3253</v>
      </c>
      <c r="U82" s="351" t="s">
        <v>2615</v>
      </c>
      <c r="V82" s="351" t="s">
        <v>2328</v>
      </c>
      <c r="W82" s="311">
        <v>15462360</v>
      </c>
      <c r="X82" s="311">
        <v>259848.00000000003</v>
      </c>
      <c r="Y82" s="311">
        <v>635069.24545454548</v>
      </c>
      <c r="Z82" s="311">
        <v>1557400.8181818184</v>
      </c>
      <c r="AA82" s="311">
        <v>1090180.5727272728</v>
      </c>
      <c r="AB82" s="68">
        <f t="shared" si="24"/>
        <v>19004858.636363637</v>
      </c>
      <c r="AC82" s="68">
        <f t="shared" si="25"/>
        <v>19004858.636363637</v>
      </c>
      <c r="AD82" s="127">
        <f t="shared" si="26"/>
        <v>19004858.636363637</v>
      </c>
      <c r="AE82" s="333"/>
    </row>
    <row r="83" spans="1:31" ht="75">
      <c r="A83" s="474">
        <f t="shared" si="27"/>
        <v>59</v>
      </c>
      <c r="B83" s="146" t="s">
        <v>1230</v>
      </c>
      <c r="C83" s="33" t="s">
        <v>8</v>
      </c>
      <c r="D83" s="68">
        <v>2</v>
      </c>
      <c r="E83" s="66">
        <v>2</v>
      </c>
      <c r="F83" s="351">
        <f t="shared" si="28"/>
        <v>2</v>
      </c>
      <c r="G83" s="76" t="s">
        <v>1234</v>
      </c>
      <c r="H83" s="76">
        <v>4000</v>
      </c>
      <c r="I83" s="76">
        <v>300</v>
      </c>
      <c r="J83" s="76" t="s">
        <v>1148</v>
      </c>
      <c r="K83" s="143">
        <v>55</v>
      </c>
      <c r="L83" s="76">
        <v>1.5</v>
      </c>
      <c r="M83" s="144" t="s">
        <v>1149</v>
      </c>
      <c r="N83" s="76" t="s">
        <v>1331</v>
      </c>
      <c r="O83" s="76" t="s">
        <v>1332</v>
      </c>
      <c r="P83" s="76"/>
      <c r="Q83" s="144"/>
      <c r="R83" s="351">
        <v>2</v>
      </c>
      <c r="S83" s="351" t="s">
        <v>3303</v>
      </c>
      <c r="T83" s="351" t="s">
        <v>3251</v>
      </c>
      <c r="U83" s="351" t="s">
        <v>2615</v>
      </c>
      <c r="V83" s="351" t="s">
        <v>2328</v>
      </c>
      <c r="W83" s="311">
        <v>14628060</v>
      </c>
      <c r="X83" s="311">
        <v>259848.00000000003</v>
      </c>
      <c r="Y83" s="311">
        <v>568682.77272727271</v>
      </c>
      <c r="Z83" s="311">
        <v>1470525.9090909092</v>
      </c>
      <c r="AA83" s="311">
        <v>1029368.1363636365</v>
      </c>
      <c r="AB83" s="68">
        <f t="shared" si="24"/>
        <v>17956484.81818182</v>
      </c>
      <c r="AC83" s="68">
        <f t="shared" si="25"/>
        <v>35912969.63636364</v>
      </c>
      <c r="AD83" s="127">
        <f t="shared" si="26"/>
        <v>35912969.63636364</v>
      </c>
      <c r="AE83" s="333"/>
    </row>
    <row r="84" spans="1:31" ht="75">
      <c r="A84" s="474">
        <f t="shared" si="27"/>
        <v>60</v>
      </c>
      <c r="B84" s="146" t="s">
        <v>1235</v>
      </c>
      <c r="C84" s="33" t="s">
        <v>8</v>
      </c>
      <c r="D84" s="68">
        <v>1</v>
      </c>
      <c r="E84" s="66">
        <v>1</v>
      </c>
      <c r="F84" s="351">
        <f t="shared" si="28"/>
        <v>1</v>
      </c>
      <c r="G84" s="76" t="s">
        <v>1236</v>
      </c>
      <c r="H84" s="76">
        <v>26000</v>
      </c>
      <c r="I84" s="76">
        <v>300</v>
      </c>
      <c r="J84" s="76" t="s">
        <v>1148</v>
      </c>
      <c r="K84" s="143">
        <v>55</v>
      </c>
      <c r="L84" s="76">
        <v>15</v>
      </c>
      <c r="M84" s="144" t="s">
        <v>1149</v>
      </c>
      <c r="N84" s="76" t="s">
        <v>1331</v>
      </c>
      <c r="O84" s="76" t="s">
        <v>1332</v>
      </c>
      <c r="P84" s="76"/>
      <c r="Q84" s="144"/>
      <c r="R84" s="351">
        <v>1</v>
      </c>
      <c r="S84" s="351" t="s">
        <v>3674</v>
      </c>
      <c r="T84" s="351" t="s">
        <v>3655</v>
      </c>
      <c r="U84" s="351" t="s">
        <v>2615</v>
      </c>
      <c r="V84" s="351" t="s">
        <v>2328</v>
      </c>
      <c r="W84" s="311">
        <v>31703400</v>
      </c>
      <c r="X84" s="311">
        <v>259848.00000000003</v>
      </c>
      <c r="Y84" s="311">
        <v>1724120.0999999999</v>
      </c>
      <c r="Z84" s="311">
        <v>3230577</v>
      </c>
      <c r="AA84" s="311">
        <v>2261403.9000000004</v>
      </c>
      <c r="AB84" s="68">
        <f t="shared" si="24"/>
        <v>39179349</v>
      </c>
      <c r="AC84" s="68">
        <f t="shared" si="25"/>
        <v>39179349</v>
      </c>
      <c r="AD84" s="127">
        <f t="shared" si="26"/>
        <v>39179349</v>
      </c>
      <c r="AE84" s="333"/>
    </row>
    <row r="85" spans="1:31">
      <c r="A85" s="140"/>
      <c r="B85" s="142" t="s">
        <v>1237</v>
      </c>
      <c r="C85" s="477"/>
      <c r="D85" s="68"/>
      <c r="E85" s="66"/>
      <c r="F85" s="351"/>
      <c r="G85" s="76"/>
      <c r="H85" s="76"/>
      <c r="I85" s="76"/>
      <c r="J85" s="76"/>
      <c r="K85" s="143"/>
      <c r="L85" s="76"/>
      <c r="M85" s="144"/>
      <c r="N85" s="76"/>
      <c r="O85" s="76"/>
      <c r="P85" s="145"/>
      <c r="Q85" s="144"/>
      <c r="R85" s="351"/>
      <c r="S85" s="351"/>
      <c r="T85" s="351"/>
      <c r="U85" s="351"/>
      <c r="V85" s="334"/>
      <c r="W85" s="66"/>
      <c r="X85" s="66"/>
      <c r="Y85" s="66"/>
      <c r="Z85" s="66"/>
      <c r="AA85" s="66"/>
      <c r="AB85" s="66"/>
      <c r="AC85" s="66"/>
      <c r="AD85" s="66"/>
      <c r="AE85" s="334"/>
    </row>
    <row r="86" spans="1:31" ht="75">
      <c r="A86" s="474">
        <v>61</v>
      </c>
      <c r="B86" s="146" t="s">
        <v>1238</v>
      </c>
      <c r="C86" s="33" t="s">
        <v>8</v>
      </c>
      <c r="D86" s="68">
        <v>1</v>
      </c>
      <c r="E86" s="66">
        <v>1</v>
      </c>
      <c r="F86" s="351">
        <f t="shared" si="28"/>
        <v>1</v>
      </c>
      <c r="G86" s="76" t="s">
        <v>1239</v>
      </c>
      <c r="H86" s="76">
        <v>650</v>
      </c>
      <c r="I86" s="76">
        <v>25</v>
      </c>
      <c r="J86" s="76" t="s">
        <v>1129</v>
      </c>
      <c r="K86" s="143">
        <v>55</v>
      </c>
      <c r="L86" s="76">
        <v>0.37</v>
      </c>
      <c r="M86" s="144" t="s">
        <v>1130</v>
      </c>
      <c r="N86" s="76" t="s">
        <v>1331</v>
      </c>
      <c r="O86" s="76" t="s">
        <v>1332</v>
      </c>
      <c r="P86" s="76" t="s">
        <v>1273</v>
      </c>
      <c r="Q86" s="144"/>
      <c r="R86" s="351">
        <v>1</v>
      </c>
      <c r="S86" s="351" t="s">
        <v>3224</v>
      </c>
      <c r="T86" s="351" t="s">
        <v>2616</v>
      </c>
      <c r="U86" s="351" t="s">
        <v>2615</v>
      </c>
      <c r="V86" s="351" t="s">
        <v>2328</v>
      </c>
      <c r="W86" s="311">
        <v>422712</v>
      </c>
      <c r="X86" s="311">
        <v>0</v>
      </c>
      <c r="Y86" s="311">
        <v>164231.11818181816</v>
      </c>
      <c r="Z86" s="311">
        <v>55573.727272727272</v>
      </c>
      <c r="AA86" s="311">
        <v>38901.609090909093</v>
      </c>
      <c r="AB86" s="68">
        <f t="shared" ref="AB86:AB88" si="29">SUM(W86:AA86)</f>
        <v>681418.45454545459</v>
      </c>
      <c r="AC86" s="68">
        <f>F86*AB86</f>
        <v>681418.45454545459</v>
      </c>
      <c r="AD86" s="127">
        <f>R86*AB86</f>
        <v>681418.45454545459</v>
      </c>
      <c r="AE86" s="330"/>
    </row>
    <row r="87" spans="1:31" ht="75">
      <c r="A87" s="474">
        <v>62</v>
      </c>
      <c r="B87" s="146" t="s">
        <v>1240</v>
      </c>
      <c r="C87" s="33" t="s">
        <v>8</v>
      </c>
      <c r="D87" s="68">
        <v>1</v>
      </c>
      <c r="E87" s="66">
        <v>1</v>
      </c>
      <c r="F87" s="351">
        <f t="shared" si="28"/>
        <v>1</v>
      </c>
      <c r="G87" s="76" t="s">
        <v>1241</v>
      </c>
      <c r="H87" s="76">
        <v>700</v>
      </c>
      <c r="I87" s="76">
        <v>150</v>
      </c>
      <c r="J87" s="76" t="s">
        <v>1148</v>
      </c>
      <c r="K87" s="143">
        <v>55</v>
      </c>
      <c r="L87" s="76">
        <v>0.37</v>
      </c>
      <c r="M87" s="144" t="s">
        <v>1130</v>
      </c>
      <c r="N87" s="76" t="s">
        <v>1331</v>
      </c>
      <c r="O87" s="76" t="s">
        <v>1332</v>
      </c>
      <c r="P87" s="76"/>
      <c r="Q87" s="144"/>
      <c r="R87" s="351">
        <v>1</v>
      </c>
      <c r="S87" s="351" t="s">
        <v>2786</v>
      </c>
      <c r="T87" s="351" t="s">
        <v>2624</v>
      </c>
      <c r="U87" s="351" t="s">
        <v>2615</v>
      </c>
      <c r="V87" s="351" t="s">
        <v>2328</v>
      </c>
      <c r="W87" s="311">
        <v>2002320</v>
      </c>
      <c r="X87" s="311">
        <v>259848.00000000003</v>
      </c>
      <c r="Y87" s="311">
        <v>241929.91818181818</v>
      </c>
      <c r="Z87" s="311">
        <v>215809.72727272726</v>
      </c>
      <c r="AA87" s="311">
        <v>151066.80909090908</v>
      </c>
      <c r="AB87" s="68">
        <f t="shared" si="29"/>
        <v>2870974.4545454541</v>
      </c>
      <c r="AC87" s="68">
        <f>F87*AB87</f>
        <v>2870974.4545454541</v>
      </c>
      <c r="AD87" s="127">
        <f>R87*AB87</f>
        <v>2870974.4545454541</v>
      </c>
      <c r="AE87" s="334"/>
    </row>
    <row r="88" spans="1:31" ht="90">
      <c r="A88" s="474">
        <v>63</v>
      </c>
      <c r="B88" s="146" t="s">
        <v>1242</v>
      </c>
      <c r="C88" s="33" t="s">
        <v>8</v>
      </c>
      <c r="D88" s="68">
        <v>3</v>
      </c>
      <c r="E88" s="66">
        <v>3</v>
      </c>
      <c r="F88" s="351">
        <f t="shared" si="28"/>
        <v>3</v>
      </c>
      <c r="G88" s="76" t="s">
        <v>1243</v>
      </c>
      <c r="H88" s="76">
        <v>100</v>
      </c>
      <c r="I88" s="76">
        <v>50</v>
      </c>
      <c r="J88" s="76" t="s">
        <v>1176</v>
      </c>
      <c r="K88" s="143">
        <v>55</v>
      </c>
      <c r="L88" s="76">
        <v>0.03</v>
      </c>
      <c r="M88" s="144" t="s">
        <v>1130</v>
      </c>
      <c r="N88" s="76" t="s">
        <v>1331</v>
      </c>
      <c r="O88" s="76" t="s">
        <v>1332</v>
      </c>
      <c r="P88" s="76"/>
      <c r="Q88" s="144"/>
      <c r="R88" s="351">
        <v>3</v>
      </c>
      <c r="S88" s="351" t="s">
        <v>3210</v>
      </c>
      <c r="T88" s="351" t="s">
        <v>2614</v>
      </c>
      <c r="U88" s="351" t="s">
        <v>2613</v>
      </c>
      <c r="V88" s="351" t="s">
        <v>2526</v>
      </c>
      <c r="W88" s="311">
        <v>1166559.9750000001</v>
      </c>
      <c r="X88" s="311">
        <v>0</v>
      </c>
      <c r="Y88" s="311">
        <v>159031.4916666667</v>
      </c>
      <c r="Z88" s="311">
        <v>127331.83333333333</v>
      </c>
      <c r="AA88" s="311">
        <v>89132.28333333334</v>
      </c>
      <c r="AB88" s="68">
        <f t="shared" si="29"/>
        <v>1542055.5833333335</v>
      </c>
      <c r="AC88" s="68">
        <f>F88*AB88</f>
        <v>4626166.75</v>
      </c>
      <c r="AD88" s="127">
        <f>R88*AB88</f>
        <v>4626166.75</v>
      </c>
      <c r="AE88" s="334"/>
    </row>
    <row r="89" spans="1:31">
      <c r="A89" s="140"/>
      <c r="B89" s="142" t="s">
        <v>1244</v>
      </c>
      <c r="C89" s="33"/>
      <c r="D89" s="68"/>
      <c r="E89" s="66"/>
      <c r="F89" s="351"/>
      <c r="G89" s="76"/>
      <c r="H89" s="76"/>
      <c r="I89" s="76"/>
      <c r="J89" s="76"/>
      <c r="K89" s="143"/>
      <c r="L89" s="76"/>
      <c r="M89" s="144"/>
      <c r="N89" s="76"/>
      <c r="O89" s="76"/>
      <c r="P89" s="145"/>
      <c r="Q89" s="144"/>
      <c r="R89" s="351"/>
      <c r="S89" s="351"/>
      <c r="T89" s="351"/>
      <c r="U89" s="351"/>
      <c r="V89" s="35"/>
      <c r="W89" s="65"/>
      <c r="X89" s="65"/>
      <c r="Y89" s="65"/>
      <c r="Z89" s="65"/>
      <c r="AA89" s="65"/>
      <c r="AB89" s="65"/>
      <c r="AC89" s="65"/>
      <c r="AD89" s="65"/>
      <c r="AE89" s="35"/>
    </row>
    <row r="90" spans="1:31" ht="75">
      <c r="A90" s="474">
        <v>64</v>
      </c>
      <c r="B90" s="146" t="s">
        <v>1245</v>
      </c>
      <c r="C90" s="33" t="s">
        <v>8</v>
      </c>
      <c r="D90" s="68">
        <v>1</v>
      </c>
      <c r="E90" s="66">
        <v>1</v>
      </c>
      <c r="F90" s="351">
        <f t="shared" si="28"/>
        <v>1</v>
      </c>
      <c r="G90" s="76" t="s">
        <v>1246</v>
      </c>
      <c r="H90" s="76">
        <v>3500</v>
      </c>
      <c r="I90" s="76">
        <v>50</v>
      </c>
      <c r="J90" s="76" t="s">
        <v>1129</v>
      </c>
      <c r="K90" s="143">
        <v>55</v>
      </c>
      <c r="L90" s="76">
        <v>0.75</v>
      </c>
      <c r="M90" s="144" t="s">
        <v>1130</v>
      </c>
      <c r="N90" s="76" t="s">
        <v>1331</v>
      </c>
      <c r="O90" s="76" t="s">
        <v>1332</v>
      </c>
      <c r="P90" s="76" t="s">
        <v>1273</v>
      </c>
      <c r="Q90" s="144"/>
      <c r="R90" s="351">
        <v>1</v>
      </c>
      <c r="S90" s="351" t="s">
        <v>3675</v>
      </c>
      <c r="T90" s="351" t="s">
        <v>2621</v>
      </c>
      <c r="U90" s="351" t="s">
        <v>2615</v>
      </c>
      <c r="V90" s="351" t="s">
        <v>2328</v>
      </c>
      <c r="W90" s="311">
        <v>4088070</v>
      </c>
      <c r="X90" s="311">
        <v>259848.00000000003</v>
      </c>
      <c r="Y90" s="311">
        <v>390084.2181818182</v>
      </c>
      <c r="Z90" s="311">
        <v>431420.72727272729</v>
      </c>
      <c r="AA90" s="311">
        <v>301994.50909090909</v>
      </c>
      <c r="AB90" s="68">
        <f>SUM(W90:AA90)</f>
        <v>5471417.4545454541</v>
      </c>
      <c r="AC90" s="68">
        <f>F90*AB90</f>
        <v>5471417.4545454541</v>
      </c>
      <c r="AD90" s="127">
        <f>R90*AB90</f>
        <v>5471417.4545454541</v>
      </c>
      <c r="AE90" s="335"/>
    </row>
    <row r="91" spans="1:31">
      <c r="A91" s="140"/>
      <c r="B91" s="142" t="s">
        <v>1247</v>
      </c>
      <c r="C91" s="33"/>
      <c r="D91" s="68"/>
      <c r="E91" s="66"/>
      <c r="F91" s="351"/>
      <c r="G91" s="76"/>
      <c r="H91" s="76"/>
      <c r="I91" s="76"/>
      <c r="J91" s="76"/>
      <c r="K91" s="143"/>
      <c r="L91" s="76"/>
      <c r="M91" s="144"/>
      <c r="N91" s="76"/>
      <c r="O91" s="76"/>
      <c r="P91" s="145"/>
      <c r="Q91" s="144"/>
      <c r="R91" s="351"/>
      <c r="S91" s="351"/>
      <c r="T91" s="351"/>
      <c r="U91" s="351"/>
      <c r="V91" s="335"/>
      <c r="W91" s="66"/>
      <c r="X91" s="66"/>
      <c r="Y91" s="66"/>
      <c r="Z91" s="66"/>
      <c r="AA91" s="66"/>
      <c r="AB91" s="66"/>
      <c r="AC91" s="66"/>
      <c r="AD91" s="66"/>
      <c r="AE91" s="335"/>
    </row>
    <row r="92" spans="1:31" ht="75">
      <c r="A92" s="474">
        <v>65</v>
      </c>
      <c r="B92" s="146" t="s">
        <v>1248</v>
      </c>
      <c r="C92" s="33" t="s">
        <v>8</v>
      </c>
      <c r="D92" s="68">
        <v>2</v>
      </c>
      <c r="E92" s="66">
        <v>2</v>
      </c>
      <c r="F92" s="351">
        <f t="shared" si="28"/>
        <v>2</v>
      </c>
      <c r="G92" s="76" t="s">
        <v>1249</v>
      </c>
      <c r="H92" s="76">
        <v>7000</v>
      </c>
      <c r="I92" s="76">
        <v>450</v>
      </c>
      <c r="J92" s="76" t="s">
        <v>1250</v>
      </c>
      <c r="K92" s="143">
        <v>55</v>
      </c>
      <c r="L92" s="76">
        <v>3.7</v>
      </c>
      <c r="M92" s="144" t="s">
        <v>1130</v>
      </c>
      <c r="N92" s="76" t="s">
        <v>1331</v>
      </c>
      <c r="O92" s="76" t="s">
        <v>1332</v>
      </c>
      <c r="P92" s="76" t="s">
        <v>1273</v>
      </c>
      <c r="Q92" s="144"/>
      <c r="R92" s="351">
        <v>2</v>
      </c>
      <c r="S92" s="351" t="s">
        <v>3676</v>
      </c>
      <c r="T92" s="351" t="s">
        <v>3672</v>
      </c>
      <c r="U92" s="351" t="s">
        <v>2615</v>
      </c>
      <c r="V92" s="351" t="s">
        <v>2328</v>
      </c>
      <c r="W92" s="311">
        <v>20034324</v>
      </c>
      <c r="X92" s="311">
        <v>259848.00000000003</v>
      </c>
      <c r="Y92" s="311">
        <v>635069.24545454548</v>
      </c>
      <c r="Z92" s="311">
        <v>2001280.8181818184</v>
      </c>
      <c r="AA92" s="311">
        <v>1400896.572727273</v>
      </c>
      <c r="AB92" s="68">
        <f>SUM(W92:AA92)</f>
        <v>24331418.636363637</v>
      </c>
      <c r="AC92" s="68">
        <f>F92*AB92</f>
        <v>48662837.272727273</v>
      </c>
      <c r="AD92" s="127">
        <f>R92*AB92</f>
        <v>48662837.272727273</v>
      </c>
      <c r="AE92" s="335"/>
    </row>
    <row r="93" spans="1:31">
      <c r="A93" s="140"/>
      <c r="B93" s="142" t="s">
        <v>1251</v>
      </c>
      <c r="C93" s="33" t="s">
        <v>8</v>
      </c>
      <c r="D93" s="68"/>
      <c r="E93" s="66"/>
      <c r="F93" s="351"/>
      <c r="G93" s="76"/>
      <c r="H93" s="76"/>
      <c r="I93" s="76"/>
      <c r="J93" s="76"/>
      <c r="K93" s="143"/>
      <c r="L93" s="76"/>
      <c r="M93" s="144"/>
      <c r="N93" s="76"/>
      <c r="O93" s="76"/>
      <c r="P93" s="145"/>
      <c r="Q93" s="144"/>
      <c r="R93" s="351"/>
      <c r="S93" s="351"/>
      <c r="T93" s="351"/>
      <c r="U93" s="351"/>
      <c r="V93" s="335"/>
      <c r="W93" s="66"/>
      <c r="X93" s="66"/>
      <c r="Y93" s="66"/>
      <c r="Z93" s="66"/>
      <c r="AA93" s="66"/>
      <c r="AB93" s="66"/>
      <c r="AC93" s="66"/>
      <c r="AD93" s="66"/>
      <c r="AE93" s="335"/>
    </row>
    <row r="94" spans="1:31" ht="75">
      <c r="A94" s="474">
        <v>66</v>
      </c>
      <c r="B94" s="146" t="s">
        <v>1252</v>
      </c>
      <c r="C94" s="33" t="s">
        <v>8</v>
      </c>
      <c r="D94" s="68">
        <v>1</v>
      </c>
      <c r="E94" s="66">
        <v>1</v>
      </c>
      <c r="F94" s="351">
        <f t="shared" si="28"/>
        <v>1</v>
      </c>
      <c r="G94" s="76" t="s">
        <v>1253</v>
      </c>
      <c r="H94" s="76">
        <v>1200</v>
      </c>
      <c r="I94" s="76">
        <v>50</v>
      </c>
      <c r="J94" s="76" t="s">
        <v>1129</v>
      </c>
      <c r="K94" s="143">
        <v>55</v>
      </c>
      <c r="L94" s="76">
        <v>0.37</v>
      </c>
      <c r="M94" s="144" t="s">
        <v>1130</v>
      </c>
      <c r="N94" s="76" t="s">
        <v>1331</v>
      </c>
      <c r="O94" s="76" t="s">
        <v>1332</v>
      </c>
      <c r="P94" s="76" t="s">
        <v>1273</v>
      </c>
      <c r="Q94" s="144"/>
      <c r="R94" s="351">
        <v>1</v>
      </c>
      <c r="S94" s="351" t="s">
        <v>3259</v>
      </c>
      <c r="T94" s="351" t="s">
        <v>2626</v>
      </c>
      <c r="U94" s="351" t="s">
        <v>2615</v>
      </c>
      <c r="V94" s="351" t="s">
        <v>2328</v>
      </c>
      <c r="W94" s="311">
        <v>540626.4</v>
      </c>
      <c r="X94" s="311">
        <v>0</v>
      </c>
      <c r="Y94" s="311">
        <v>239515.8272727273</v>
      </c>
      <c r="Z94" s="311">
        <v>73684.090909090912</v>
      </c>
      <c r="AA94" s="311">
        <v>51578.86363636364</v>
      </c>
      <c r="AB94" s="68">
        <f t="shared" ref="AB94:AB97" si="30">SUM(W94:AA94)</f>
        <v>905405.18181818188</v>
      </c>
      <c r="AC94" s="68">
        <f>F94*AB94</f>
        <v>905405.18181818188</v>
      </c>
      <c r="AD94" s="127">
        <f>R94*AB94</f>
        <v>905405.18181818188</v>
      </c>
      <c r="AE94" s="14"/>
    </row>
    <row r="95" spans="1:31" ht="75">
      <c r="A95" s="474">
        <v>67</v>
      </c>
      <c r="B95" s="146" t="s">
        <v>1254</v>
      </c>
      <c r="C95" s="33" t="s">
        <v>8</v>
      </c>
      <c r="D95" s="68">
        <v>1</v>
      </c>
      <c r="E95" s="66">
        <v>1</v>
      </c>
      <c r="F95" s="351">
        <f t="shared" si="28"/>
        <v>1</v>
      </c>
      <c r="G95" s="76" t="s">
        <v>1255</v>
      </c>
      <c r="H95" s="76">
        <v>2200</v>
      </c>
      <c r="I95" s="76">
        <v>50</v>
      </c>
      <c r="J95" s="76" t="s">
        <v>1129</v>
      </c>
      <c r="K95" s="143">
        <v>55</v>
      </c>
      <c r="L95" s="76">
        <v>0.37</v>
      </c>
      <c r="M95" s="144" t="s">
        <v>1130</v>
      </c>
      <c r="N95" s="76" t="s">
        <v>1331</v>
      </c>
      <c r="O95" s="76" t="s">
        <v>1332</v>
      </c>
      <c r="P95" s="76"/>
      <c r="Q95" s="144"/>
      <c r="R95" s="351">
        <v>1</v>
      </c>
      <c r="S95" s="351" t="s">
        <v>3678</v>
      </c>
      <c r="T95" s="351" t="s">
        <v>3677</v>
      </c>
      <c r="U95" s="351" t="s">
        <v>2615</v>
      </c>
      <c r="V95" s="351" t="s">
        <v>2328</v>
      </c>
      <c r="W95" s="311">
        <v>3737664</v>
      </c>
      <c r="X95" s="311">
        <v>259848.00000000003</v>
      </c>
      <c r="Y95" s="311">
        <v>345598.17272727273</v>
      </c>
      <c r="Z95" s="311">
        <v>393463.90909090912</v>
      </c>
      <c r="AA95" s="311">
        <v>275424.73636363639</v>
      </c>
      <c r="AB95" s="68">
        <f t="shared" si="30"/>
        <v>5011998.8181818184</v>
      </c>
      <c r="AC95" s="68">
        <f>F95*AB95</f>
        <v>5011998.8181818184</v>
      </c>
      <c r="AD95" s="127">
        <f>R95*AB95</f>
        <v>5011998.8181818184</v>
      </c>
      <c r="AE95" s="335"/>
    </row>
    <row r="96" spans="1:31" ht="75">
      <c r="A96" s="474">
        <v>68</v>
      </c>
      <c r="B96" s="146" t="s">
        <v>1245</v>
      </c>
      <c r="C96" s="33" t="s">
        <v>8</v>
      </c>
      <c r="D96" s="68">
        <v>2</v>
      </c>
      <c r="E96" s="66">
        <v>2</v>
      </c>
      <c r="F96" s="351">
        <f t="shared" si="28"/>
        <v>2</v>
      </c>
      <c r="G96" s="76" t="s">
        <v>1256</v>
      </c>
      <c r="H96" s="76">
        <v>3500</v>
      </c>
      <c r="I96" s="76">
        <v>50</v>
      </c>
      <c r="J96" s="76" t="s">
        <v>1129</v>
      </c>
      <c r="K96" s="143">
        <v>55</v>
      </c>
      <c r="L96" s="76">
        <v>0.55000000000000004</v>
      </c>
      <c r="M96" s="144" t="s">
        <v>1130</v>
      </c>
      <c r="N96" s="76" t="s">
        <v>1331</v>
      </c>
      <c r="O96" s="76" t="s">
        <v>1332</v>
      </c>
      <c r="P96" s="76"/>
      <c r="Q96" s="144"/>
      <c r="R96" s="351">
        <v>2</v>
      </c>
      <c r="S96" s="351" t="s">
        <v>3679</v>
      </c>
      <c r="T96" s="351" t="s">
        <v>3653</v>
      </c>
      <c r="U96" s="351" t="s">
        <v>2615</v>
      </c>
      <c r="V96" s="351" t="s">
        <v>2328</v>
      </c>
      <c r="W96" s="311">
        <v>4088070</v>
      </c>
      <c r="X96" s="311">
        <v>259848.00000000003</v>
      </c>
      <c r="Y96" s="311">
        <v>390084.2181818182</v>
      </c>
      <c r="Z96" s="311">
        <v>431420.72727272729</v>
      </c>
      <c r="AA96" s="311">
        <v>301994.50909090909</v>
      </c>
      <c r="AB96" s="68">
        <f t="shared" si="30"/>
        <v>5471417.4545454541</v>
      </c>
      <c r="AC96" s="68">
        <f>F96*AB96</f>
        <v>10942834.909090908</v>
      </c>
      <c r="AD96" s="127">
        <f>R96*AB96</f>
        <v>10942834.909090908</v>
      </c>
      <c r="AE96" s="335"/>
    </row>
    <row r="97" spans="1:31" ht="75">
      <c r="A97" s="474">
        <v>69</v>
      </c>
      <c r="B97" s="146" t="s">
        <v>1257</v>
      </c>
      <c r="C97" s="33" t="s">
        <v>8</v>
      </c>
      <c r="D97" s="68">
        <v>2</v>
      </c>
      <c r="E97" s="66">
        <v>2</v>
      </c>
      <c r="F97" s="351">
        <f t="shared" si="28"/>
        <v>2</v>
      </c>
      <c r="G97" s="76" t="s">
        <v>1258</v>
      </c>
      <c r="H97" s="76">
        <v>30000</v>
      </c>
      <c r="I97" s="76">
        <v>550</v>
      </c>
      <c r="J97" s="76" t="s">
        <v>1250</v>
      </c>
      <c r="K97" s="143">
        <v>55</v>
      </c>
      <c r="L97" s="76">
        <v>15</v>
      </c>
      <c r="M97" s="144" t="s">
        <v>1149</v>
      </c>
      <c r="N97" s="76" t="s">
        <v>1331</v>
      </c>
      <c r="O97" s="76" t="s">
        <v>1332</v>
      </c>
      <c r="P97" s="76"/>
      <c r="Q97" s="144"/>
      <c r="R97" s="351">
        <v>2</v>
      </c>
      <c r="S97" s="351" t="s">
        <v>3228</v>
      </c>
      <c r="T97" s="351" t="s">
        <v>2789</v>
      </c>
      <c r="U97" s="351" t="s">
        <v>2615</v>
      </c>
      <c r="V97" s="351" t="s">
        <v>2328</v>
      </c>
      <c r="W97" s="311">
        <v>45274680</v>
      </c>
      <c r="X97" s="311">
        <v>259848.00000000003</v>
      </c>
      <c r="Y97" s="311">
        <v>2229872.1454545455</v>
      </c>
      <c r="Z97" s="311">
        <v>4592933.8181818184</v>
      </c>
      <c r="AA97" s="311">
        <v>3215053.6727272728</v>
      </c>
      <c r="AB97" s="68">
        <f t="shared" si="30"/>
        <v>55572387.63636364</v>
      </c>
      <c r="AC97" s="68">
        <f>F97*AB97</f>
        <v>111144775.27272728</v>
      </c>
      <c r="AD97" s="127">
        <f>R97*AB97</f>
        <v>111144775.27272728</v>
      </c>
      <c r="AE97" s="330"/>
    </row>
    <row r="98" spans="1:31">
      <c r="A98" s="140"/>
      <c r="B98" s="142" t="s">
        <v>1259</v>
      </c>
      <c r="C98" s="33" t="s">
        <v>8</v>
      </c>
      <c r="D98" s="68"/>
      <c r="E98" s="66"/>
      <c r="F98" s="351"/>
      <c r="G98" s="76"/>
      <c r="H98" s="76"/>
      <c r="I98" s="76"/>
      <c r="J98" s="76"/>
      <c r="K98" s="143"/>
      <c r="L98" s="76"/>
      <c r="M98" s="144"/>
      <c r="N98" s="76"/>
      <c r="O98" s="76"/>
      <c r="P98" s="76"/>
      <c r="Q98" s="144"/>
      <c r="R98" s="351"/>
      <c r="S98" s="351"/>
      <c r="T98" s="351"/>
      <c r="U98" s="351"/>
      <c r="V98" s="330"/>
      <c r="W98" s="66"/>
      <c r="X98" s="66"/>
      <c r="Y98" s="66"/>
      <c r="Z98" s="66"/>
      <c r="AA98" s="66"/>
      <c r="AB98" s="66"/>
      <c r="AC98" s="66"/>
      <c r="AD98" s="66"/>
      <c r="AE98" s="330"/>
    </row>
    <row r="99" spans="1:31" ht="75">
      <c r="A99" s="474">
        <v>70</v>
      </c>
      <c r="B99" s="146" t="s">
        <v>1260</v>
      </c>
      <c r="C99" s="33" t="s">
        <v>8</v>
      </c>
      <c r="D99" s="68">
        <v>2</v>
      </c>
      <c r="E99" s="66">
        <v>2</v>
      </c>
      <c r="F99" s="351">
        <f t="shared" si="28"/>
        <v>2</v>
      </c>
      <c r="G99" s="76" t="s">
        <v>1261</v>
      </c>
      <c r="H99" s="76">
        <v>50000</v>
      </c>
      <c r="I99" s="76">
        <v>600</v>
      </c>
      <c r="J99" s="76" t="s">
        <v>1250</v>
      </c>
      <c r="K99" s="143">
        <v>55</v>
      </c>
      <c r="L99" s="76">
        <v>22</v>
      </c>
      <c r="M99" s="144" t="s">
        <v>1149</v>
      </c>
      <c r="N99" s="76" t="s">
        <v>1331</v>
      </c>
      <c r="O99" s="76" t="s">
        <v>1332</v>
      </c>
      <c r="P99" s="76"/>
      <c r="Q99" s="144"/>
      <c r="R99" s="351">
        <v>2</v>
      </c>
      <c r="S99" s="351" t="s">
        <v>3278</v>
      </c>
      <c r="T99" s="351" t="s">
        <v>2627</v>
      </c>
      <c r="U99" s="351" t="s">
        <v>2615</v>
      </c>
      <c r="V99" s="351" t="s">
        <v>2328</v>
      </c>
      <c r="W99" s="311">
        <v>60069600</v>
      </c>
      <c r="X99" s="311">
        <v>259848.00000000003</v>
      </c>
      <c r="Y99" s="311">
        <v>3646989.7363636368</v>
      </c>
      <c r="Z99" s="311">
        <v>6154742.4545454551</v>
      </c>
      <c r="AA99" s="311">
        <v>4308319.7181818187</v>
      </c>
      <c r="AB99" s="68">
        <f t="shared" ref="AB99:AB100" si="31">SUM(W99:AA99)</f>
        <v>74439499.909090906</v>
      </c>
      <c r="AC99" s="68">
        <f>F99*AB99</f>
        <v>148878999.81818181</v>
      </c>
      <c r="AD99" s="127">
        <f>R99*AB99</f>
        <v>148878999.81818181</v>
      </c>
      <c r="AE99" s="330"/>
    </row>
    <row r="100" spans="1:31" ht="75">
      <c r="A100" s="474">
        <v>71</v>
      </c>
      <c r="B100" s="146" t="s">
        <v>1248</v>
      </c>
      <c r="C100" s="33" t="s">
        <v>8</v>
      </c>
      <c r="D100" s="68">
        <v>2</v>
      </c>
      <c r="E100" s="66">
        <v>2</v>
      </c>
      <c r="F100" s="351">
        <f t="shared" si="28"/>
        <v>2</v>
      </c>
      <c r="G100" s="76" t="s">
        <v>1262</v>
      </c>
      <c r="H100" s="76">
        <v>4500</v>
      </c>
      <c r="I100" s="76">
        <v>400</v>
      </c>
      <c r="J100" s="76" t="s">
        <v>1250</v>
      </c>
      <c r="K100" s="143">
        <v>55</v>
      </c>
      <c r="L100" s="76">
        <v>4</v>
      </c>
      <c r="M100" s="144" t="s">
        <v>1149</v>
      </c>
      <c r="N100" s="76" t="s">
        <v>1331</v>
      </c>
      <c r="O100" s="76" t="s">
        <v>1332</v>
      </c>
      <c r="P100" s="76"/>
      <c r="Q100" s="144"/>
      <c r="R100" s="351">
        <v>2</v>
      </c>
      <c r="S100" s="351" t="s">
        <v>3281</v>
      </c>
      <c r="T100" s="351" t="s">
        <v>2625</v>
      </c>
      <c r="U100" s="351" t="s">
        <v>2615</v>
      </c>
      <c r="V100" s="351" t="s">
        <v>2328</v>
      </c>
      <c r="W100" s="311">
        <v>14361084</v>
      </c>
      <c r="X100" s="311">
        <v>259848.00000000003</v>
      </c>
      <c r="Y100" s="311">
        <v>568682.77272727271</v>
      </c>
      <c r="Z100" s="311">
        <v>1444605.9090909092</v>
      </c>
      <c r="AA100" s="311">
        <v>1011224.1363636365</v>
      </c>
      <c r="AB100" s="68">
        <f t="shared" si="31"/>
        <v>17645444.81818182</v>
      </c>
      <c r="AC100" s="68">
        <f>F100*AB100</f>
        <v>35290889.63636364</v>
      </c>
      <c r="AD100" s="127">
        <f>R100*AB100</f>
        <v>35290889.63636364</v>
      </c>
      <c r="AE100" s="12"/>
    </row>
    <row r="101" spans="1:31" s="79" customFormat="1">
      <c r="A101" s="478" t="s">
        <v>114</v>
      </c>
      <c r="B101" s="479" t="s">
        <v>1263</v>
      </c>
      <c r="C101" s="480"/>
      <c r="D101" s="221"/>
      <c r="E101" s="222"/>
      <c r="F101" s="349"/>
      <c r="G101" s="481"/>
      <c r="H101" s="481"/>
      <c r="I101" s="481"/>
      <c r="J101" s="481"/>
      <c r="K101" s="481"/>
      <c r="L101" s="481"/>
      <c r="M101" s="481"/>
      <c r="N101" s="481"/>
      <c r="O101" s="481"/>
      <c r="P101" s="481"/>
      <c r="Q101" s="479"/>
      <c r="R101" s="349"/>
      <c r="S101" s="349"/>
      <c r="T101" s="349"/>
      <c r="U101" s="349"/>
      <c r="V101" s="349"/>
      <c r="W101" s="222"/>
      <c r="X101" s="222"/>
      <c r="Y101" s="222"/>
      <c r="Z101" s="222"/>
      <c r="AA101" s="222"/>
      <c r="AB101" s="222"/>
      <c r="AC101" s="222"/>
      <c r="AD101" s="222"/>
      <c r="AE101" s="483"/>
    </row>
    <row r="102" spans="1:31">
      <c r="A102" s="482"/>
      <c r="B102" s="78" t="s">
        <v>1126</v>
      </c>
      <c r="C102" s="33"/>
      <c r="D102" s="68"/>
      <c r="E102" s="66"/>
      <c r="F102" s="351"/>
      <c r="G102" s="76"/>
      <c r="H102" s="76"/>
      <c r="I102" s="76"/>
      <c r="J102" s="76"/>
      <c r="K102" s="76"/>
      <c r="L102" s="76"/>
      <c r="M102" s="76"/>
      <c r="N102" s="76"/>
      <c r="O102" s="76"/>
      <c r="P102" s="76"/>
      <c r="Q102" s="75"/>
      <c r="R102" s="351"/>
      <c r="S102" s="363"/>
      <c r="T102" s="363"/>
      <c r="U102" s="363"/>
      <c r="V102" s="12"/>
      <c r="W102" s="66"/>
      <c r="X102" s="66"/>
      <c r="Y102" s="66"/>
      <c r="Z102" s="66"/>
      <c r="AA102" s="66"/>
      <c r="AB102" s="66"/>
      <c r="AC102" s="66"/>
      <c r="AD102" s="66"/>
      <c r="AE102" s="12"/>
    </row>
    <row r="103" spans="1:31" ht="105">
      <c r="A103" s="482">
        <v>1</v>
      </c>
      <c r="B103" s="75" t="s">
        <v>1264</v>
      </c>
      <c r="C103" s="33" t="s">
        <v>8</v>
      </c>
      <c r="D103" s="68">
        <v>2</v>
      </c>
      <c r="E103" s="66">
        <v>2</v>
      </c>
      <c r="F103" s="351">
        <f t="shared" si="28"/>
        <v>2</v>
      </c>
      <c r="G103" s="76" t="s">
        <v>1265</v>
      </c>
      <c r="H103" s="76" t="s">
        <v>1266</v>
      </c>
      <c r="I103" s="76" t="s">
        <v>1267</v>
      </c>
      <c r="J103" s="76" t="s">
        <v>1268</v>
      </c>
      <c r="K103" s="76" t="s">
        <v>1269</v>
      </c>
      <c r="L103" s="76" t="s">
        <v>1270</v>
      </c>
      <c r="M103" s="76" t="s">
        <v>1149</v>
      </c>
      <c r="N103" s="76" t="s">
        <v>1271</v>
      </c>
      <c r="O103" s="76" t="s">
        <v>1272</v>
      </c>
      <c r="P103" s="76" t="s">
        <v>1273</v>
      </c>
      <c r="Q103" s="75"/>
      <c r="R103" s="351">
        <v>2</v>
      </c>
      <c r="S103" s="351" t="s">
        <v>3229</v>
      </c>
      <c r="T103" s="351" t="s">
        <v>3280</v>
      </c>
      <c r="U103" s="351" t="s">
        <v>2615</v>
      </c>
      <c r="V103" s="351" t="s">
        <v>2328</v>
      </c>
      <c r="W103" s="311">
        <v>57377592</v>
      </c>
      <c r="X103" s="311">
        <v>259848.00000000003</v>
      </c>
      <c r="Y103" s="311">
        <v>2229872.1454545455</v>
      </c>
      <c r="Z103" s="311">
        <v>5767973.8181818184</v>
      </c>
      <c r="AA103" s="311">
        <v>4037581.6727272728</v>
      </c>
      <c r="AB103" s="68">
        <f t="shared" ref="AB103:AB105" si="32">SUM(W103:AA103)</f>
        <v>69672867.63636364</v>
      </c>
      <c r="AC103" s="68">
        <f>F103*AB103</f>
        <v>139345735.27272728</v>
      </c>
      <c r="AD103" s="127">
        <f>R103*AB103</f>
        <v>139345735.27272728</v>
      </c>
      <c r="AE103" s="336"/>
    </row>
    <row r="104" spans="1:31" ht="105">
      <c r="A104" s="482">
        <v>2</v>
      </c>
      <c r="B104" s="75" t="s">
        <v>1264</v>
      </c>
      <c r="C104" s="33" t="s">
        <v>8</v>
      </c>
      <c r="D104" s="68">
        <v>1</v>
      </c>
      <c r="E104" s="66">
        <v>1</v>
      </c>
      <c r="F104" s="351">
        <f t="shared" si="28"/>
        <v>1</v>
      </c>
      <c r="G104" s="76" t="s">
        <v>1274</v>
      </c>
      <c r="H104" s="76" t="s">
        <v>1275</v>
      </c>
      <c r="I104" s="76" t="s">
        <v>1276</v>
      </c>
      <c r="J104" s="76" t="s">
        <v>1268</v>
      </c>
      <c r="K104" s="76" t="s">
        <v>1269</v>
      </c>
      <c r="L104" s="76" t="s">
        <v>1277</v>
      </c>
      <c r="M104" s="76" t="s">
        <v>1149</v>
      </c>
      <c r="N104" s="76" t="s">
        <v>1271</v>
      </c>
      <c r="O104" s="76" t="s">
        <v>1272</v>
      </c>
      <c r="P104" s="76" t="s">
        <v>1273</v>
      </c>
      <c r="Q104" s="75"/>
      <c r="R104" s="351">
        <v>1</v>
      </c>
      <c r="S104" s="351" t="s">
        <v>3230</v>
      </c>
      <c r="T104" s="351" t="s">
        <v>2788</v>
      </c>
      <c r="U104" s="351" t="s">
        <v>2615</v>
      </c>
      <c r="V104" s="351" t="s">
        <v>2328</v>
      </c>
      <c r="W104" s="311">
        <v>124032600</v>
      </c>
      <c r="X104" s="311">
        <v>259848.00000000003</v>
      </c>
      <c r="Y104" s="311">
        <v>3646989.7363636368</v>
      </c>
      <c r="Z104" s="311">
        <v>12364742.454545455</v>
      </c>
      <c r="AA104" s="311">
        <v>8655319.7181818187</v>
      </c>
      <c r="AB104" s="68">
        <f t="shared" si="32"/>
        <v>148959499.90909091</v>
      </c>
      <c r="AC104" s="68">
        <f>F104*AB104</f>
        <v>148959499.90909091</v>
      </c>
      <c r="AD104" s="127">
        <f>R104*AB104</f>
        <v>148959499.90909091</v>
      </c>
      <c r="AE104" s="335"/>
    </row>
    <row r="105" spans="1:31" ht="75">
      <c r="A105" s="482">
        <v>3</v>
      </c>
      <c r="B105" s="75" t="s">
        <v>1278</v>
      </c>
      <c r="C105" s="33" t="s">
        <v>8</v>
      </c>
      <c r="D105" s="68">
        <v>1</v>
      </c>
      <c r="E105" s="66">
        <v>1</v>
      </c>
      <c r="F105" s="351">
        <f t="shared" si="28"/>
        <v>1</v>
      </c>
      <c r="G105" s="76" t="s">
        <v>1279</v>
      </c>
      <c r="H105" s="76">
        <v>13500</v>
      </c>
      <c r="I105" s="76">
        <v>450</v>
      </c>
      <c r="J105" s="76" t="s">
        <v>1148</v>
      </c>
      <c r="K105" s="76">
        <v>55</v>
      </c>
      <c r="L105" s="76">
        <v>5.5</v>
      </c>
      <c r="M105" s="76" t="s">
        <v>1149</v>
      </c>
      <c r="N105" s="76" t="s">
        <v>1271</v>
      </c>
      <c r="O105" s="76" t="s">
        <v>1272</v>
      </c>
      <c r="P105" s="76"/>
      <c r="Q105" s="75"/>
      <c r="R105" s="351">
        <v>1</v>
      </c>
      <c r="S105" s="351" t="s">
        <v>3268</v>
      </c>
      <c r="T105" s="351" t="s">
        <v>2628</v>
      </c>
      <c r="U105" s="351" t="s">
        <v>2615</v>
      </c>
      <c r="V105" s="351" t="s">
        <v>2328</v>
      </c>
      <c r="W105" s="311">
        <v>14450076</v>
      </c>
      <c r="X105" s="311">
        <v>259848.00000000003</v>
      </c>
      <c r="Y105" s="311">
        <v>1067868.490909091</v>
      </c>
      <c r="Z105" s="311">
        <v>1497421.6363636365</v>
      </c>
      <c r="AA105" s="311">
        <v>1048195.1454545455</v>
      </c>
      <c r="AB105" s="68">
        <f t="shared" si="32"/>
        <v>18323409.27272727</v>
      </c>
      <c r="AC105" s="68">
        <f>F105*AB105</f>
        <v>18323409.27272727</v>
      </c>
      <c r="AD105" s="127">
        <f>R105*AB105</f>
        <v>18323409.27272727</v>
      </c>
      <c r="AE105" s="333"/>
    </row>
    <row r="106" spans="1:31">
      <c r="A106" s="482"/>
      <c r="B106" s="78" t="s">
        <v>1152</v>
      </c>
      <c r="C106" s="33"/>
      <c r="D106" s="68"/>
      <c r="E106" s="66"/>
      <c r="F106" s="351"/>
      <c r="G106" s="76"/>
      <c r="H106" s="76"/>
      <c r="I106" s="76"/>
      <c r="J106" s="76"/>
      <c r="K106" s="76"/>
      <c r="L106" s="76"/>
      <c r="M106" s="76"/>
      <c r="N106" s="76"/>
      <c r="O106" s="76"/>
      <c r="P106" s="76"/>
      <c r="Q106" s="75"/>
      <c r="R106" s="351"/>
      <c r="S106" s="351"/>
      <c r="T106" s="351"/>
      <c r="U106" s="351"/>
      <c r="V106" s="331"/>
      <c r="W106" s="127"/>
      <c r="X106" s="127"/>
      <c r="Y106" s="127"/>
      <c r="Z106" s="127"/>
      <c r="AA106" s="127"/>
      <c r="AB106" s="127"/>
      <c r="AC106" s="127"/>
      <c r="AD106" s="127"/>
      <c r="AE106" s="331"/>
    </row>
    <row r="107" spans="1:31" ht="105">
      <c r="A107" s="482">
        <v>1</v>
      </c>
      <c r="B107" s="75" t="s">
        <v>1264</v>
      </c>
      <c r="C107" s="33" t="s">
        <v>8</v>
      </c>
      <c r="D107" s="68">
        <v>2</v>
      </c>
      <c r="E107" s="66">
        <v>2</v>
      </c>
      <c r="F107" s="351">
        <f t="shared" si="28"/>
        <v>2</v>
      </c>
      <c r="G107" s="76" t="s">
        <v>1280</v>
      </c>
      <c r="H107" s="76" t="s">
        <v>1266</v>
      </c>
      <c r="I107" s="76" t="s">
        <v>1267</v>
      </c>
      <c r="J107" s="76" t="s">
        <v>1268</v>
      </c>
      <c r="K107" s="76" t="s">
        <v>1269</v>
      </c>
      <c r="L107" s="76" t="s">
        <v>1270</v>
      </c>
      <c r="M107" s="76" t="s">
        <v>1149</v>
      </c>
      <c r="N107" s="76" t="s">
        <v>1271</v>
      </c>
      <c r="O107" s="76" t="s">
        <v>1272</v>
      </c>
      <c r="P107" s="76" t="s">
        <v>1273</v>
      </c>
      <c r="Q107" s="75"/>
      <c r="R107" s="351">
        <v>2</v>
      </c>
      <c r="S107" s="351" t="s">
        <v>3231</v>
      </c>
      <c r="T107" s="351" t="s">
        <v>3280</v>
      </c>
      <c r="U107" s="351" t="s">
        <v>2615</v>
      </c>
      <c r="V107" s="351" t="s">
        <v>2328</v>
      </c>
      <c r="W107" s="311">
        <v>57377592</v>
      </c>
      <c r="X107" s="311">
        <v>259848.00000000003</v>
      </c>
      <c r="Y107" s="311">
        <v>2229872.1454545455</v>
      </c>
      <c r="Z107" s="311">
        <v>5767973.8181818184</v>
      </c>
      <c r="AA107" s="311">
        <v>4037581.6727272728</v>
      </c>
      <c r="AB107" s="68">
        <f t="shared" ref="AB107:AB112" si="33">SUM(W107:AA107)</f>
        <v>69672867.63636364</v>
      </c>
      <c r="AC107" s="68">
        <f t="shared" ref="AC107:AC112" si="34">F107*AB107</f>
        <v>139345735.27272728</v>
      </c>
      <c r="AD107" s="127">
        <f t="shared" ref="AD107:AD112" si="35">R107*AB107</f>
        <v>139345735.27272728</v>
      </c>
      <c r="AE107" s="333"/>
    </row>
    <row r="108" spans="1:31" ht="105">
      <c r="A108" s="482">
        <v>2</v>
      </c>
      <c r="B108" s="75" t="s">
        <v>1264</v>
      </c>
      <c r="C108" s="33" t="s">
        <v>8</v>
      </c>
      <c r="D108" s="68">
        <v>1</v>
      </c>
      <c r="E108" s="66">
        <v>1</v>
      </c>
      <c r="F108" s="351">
        <f t="shared" si="28"/>
        <v>1</v>
      </c>
      <c r="G108" s="76" t="s">
        <v>1281</v>
      </c>
      <c r="H108" s="76" t="s">
        <v>1282</v>
      </c>
      <c r="I108" s="76" t="s">
        <v>1276</v>
      </c>
      <c r="J108" s="76" t="s">
        <v>1268</v>
      </c>
      <c r="K108" s="76" t="s">
        <v>1269</v>
      </c>
      <c r="L108" s="76" t="s">
        <v>1277</v>
      </c>
      <c r="M108" s="76" t="s">
        <v>1149</v>
      </c>
      <c r="N108" s="76" t="s">
        <v>1271</v>
      </c>
      <c r="O108" s="76" t="s">
        <v>1272</v>
      </c>
      <c r="P108" s="76" t="s">
        <v>1273</v>
      </c>
      <c r="Q108" s="75"/>
      <c r="R108" s="351">
        <v>1</v>
      </c>
      <c r="S108" s="351" t="s">
        <v>3232</v>
      </c>
      <c r="T108" s="351" t="s">
        <v>2788</v>
      </c>
      <c r="U108" s="351" t="s">
        <v>2615</v>
      </c>
      <c r="V108" s="351" t="s">
        <v>2328</v>
      </c>
      <c r="W108" s="311">
        <v>124032600</v>
      </c>
      <c r="X108" s="311">
        <v>259848.00000000003</v>
      </c>
      <c r="Y108" s="311">
        <v>4694973.3090909095</v>
      </c>
      <c r="Z108" s="311">
        <v>12457484.363636365</v>
      </c>
      <c r="AA108" s="311">
        <v>8720239.0545454565</v>
      </c>
      <c r="AB108" s="68">
        <f t="shared" si="33"/>
        <v>150165144.72727275</v>
      </c>
      <c r="AC108" s="68">
        <f t="shared" si="34"/>
        <v>150165144.72727275</v>
      </c>
      <c r="AD108" s="127">
        <f t="shared" si="35"/>
        <v>150165144.72727275</v>
      </c>
      <c r="AE108" s="333"/>
    </row>
    <row r="109" spans="1:31" ht="90">
      <c r="A109" s="482">
        <v>3</v>
      </c>
      <c r="B109" s="75" t="s">
        <v>1283</v>
      </c>
      <c r="C109" s="33" t="s">
        <v>8</v>
      </c>
      <c r="D109" s="68">
        <v>2</v>
      </c>
      <c r="E109" s="66">
        <v>2</v>
      </c>
      <c r="F109" s="351">
        <f t="shared" si="28"/>
        <v>2</v>
      </c>
      <c r="G109" s="76" t="s">
        <v>1284</v>
      </c>
      <c r="H109" s="76">
        <v>23000</v>
      </c>
      <c r="I109" s="76">
        <v>900</v>
      </c>
      <c r="J109" s="76" t="s">
        <v>1148</v>
      </c>
      <c r="K109" s="76" t="s">
        <v>1269</v>
      </c>
      <c r="L109" s="76">
        <v>11</v>
      </c>
      <c r="M109" s="76" t="s">
        <v>1149</v>
      </c>
      <c r="N109" s="76" t="s">
        <v>1271</v>
      </c>
      <c r="O109" s="76" t="s">
        <v>1272</v>
      </c>
      <c r="P109" s="76" t="s">
        <v>1273</v>
      </c>
      <c r="Q109" s="75"/>
      <c r="R109" s="351">
        <v>2</v>
      </c>
      <c r="S109" s="351" t="s">
        <v>3274</v>
      </c>
      <c r="T109" s="351" t="s">
        <v>3260</v>
      </c>
      <c r="U109" s="351" t="s">
        <v>2615</v>
      </c>
      <c r="V109" s="351" t="s">
        <v>2328</v>
      </c>
      <c r="W109" s="311">
        <v>38110824</v>
      </c>
      <c r="X109" s="311">
        <v>259848.00000000003</v>
      </c>
      <c r="Y109" s="311">
        <v>1724120.0999999999</v>
      </c>
      <c r="Z109" s="311">
        <v>3852657</v>
      </c>
      <c r="AA109" s="311">
        <v>2696859.9000000004</v>
      </c>
      <c r="AB109" s="68">
        <f t="shared" si="33"/>
        <v>46644309</v>
      </c>
      <c r="AC109" s="68">
        <f t="shared" si="34"/>
        <v>93288618</v>
      </c>
      <c r="AD109" s="127">
        <f t="shared" si="35"/>
        <v>93288618</v>
      </c>
      <c r="AE109" s="333"/>
    </row>
    <row r="110" spans="1:31" ht="75">
      <c r="A110" s="482">
        <v>4</v>
      </c>
      <c r="B110" s="75" t="s">
        <v>1285</v>
      </c>
      <c r="C110" s="33" t="s">
        <v>8</v>
      </c>
      <c r="D110" s="68">
        <v>1</v>
      </c>
      <c r="E110" s="66">
        <v>1</v>
      </c>
      <c r="F110" s="351">
        <f t="shared" si="28"/>
        <v>1</v>
      </c>
      <c r="G110" s="76" t="s">
        <v>1286</v>
      </c>
      <c r="H110" s="76">
        <v>27000</v>
      </c>
      <c r="I110" s="76">
        <v>500</v>
      </c>
      <c r="J110" s="76" t="s">
        <v>1148</v>
      </c>
      <c r="K110" s="76">
        <v>55</v>
      </c>
      <c r="L110" s="76">
        <v>15</v>
      </c>
      <c r="M110" s="76" t="s">
        <v>1149</v>
      </c>
      <c r="N110" s="76" t="s">
        <v>1271</v>
      </c>
      <c r="O110" s="76" t="s">
        <v>1272</v>
      </c>
      <c r="P110" s="76"/>
      <c r="Q110" s="75"/>
      <c r="R110" s="351">
        <v>1</v>
      </c>
      <c r="S110" s="351" t="s">
        <v>3269</v>
      </c>
      <c r="T110" s="351" t="s">
        <v>2620</v>
      </c>
      <c r="U110" s="351" t="s">
        <v>2615</v>
      </c>
      <c r="V110" s="351" t="s">
        <v>2328</v>
      </c>
      <c r="W110" s="311">
        <v>25863300</v>
      </c>
      <c r="X110" s="311">
        <v>259848.00000000003</v>
      </c>
      <c r="Y110" s="311">
        <v>1724120.0999999999</v>
      </c>
      <c r="Z110" s="311">
        <v>2663577</v>
      </c>
      <c r="AA110" s="311">
        <v>1864503.9000000001</v>
      </c>
      <c r="AB110" s="68">
        <f t="shared" si="33"/>
        <v>32375349</v>
      </c>
      <c r="AC110" s="68">
        <f t="shared" si="34"/>
        <v>32375349</v>
      </c>
      <c r="AD110" s="127">
        <f t="shared" si="35"/>
        <v>32375349</v>
      </c>
      <c r="AE110" s="333"/>
    </row>
    <row r="111" spans="1:31" ht="75">
      <c r="A111" s="482">
        <v>5</v>
      </c>
      <c r="B111" s="75" t="s">
        <v>1287</v>
      </c>
      <c r="C111" s="33" t="s">
        <v>8</v>
      </c>
      <c r="D111" s="68">
        <v>1</v>
      </c>
      <c r="E111" s="66">
        <v>1</v>
      </c>
      <c r="F111" s="351">
        <f t="shared" si="28"/>
        <v>1</v>
      </c>
      <c r="G111" s="76" t="s">
        <v>1288</v>
      </c>
      <c r="H111" s="76">
        <v>20500</v>
      </c>
      <c r="I111" s="76">
        <v>450</v>
      </c>
      <c r="J111" s="76" t="s">
        <v>1148</v>
      </c>
      <c r="K111" s="76">
        <v>55</v>
      </c>
      <c r="L111" s="76">
        <v>11</v>
      </c>
      <c r="M111" s="76" t="s">
        <v>1149</v>
      </c>
      <c r="N111" s="76" t="s">
        <v>1271</v>
      </c>
      <c r="O111" s="76" t="s">
        <v>1272</v>
      </c>
      <c r="P111" s="76"/>
      <c r="Q111" s="75"/>
      <c r="R111" s="351">
        <v>1</v>
      </c>
      <c r="S111" s="351" t="s">
        <v>3270</v>
      </c>
      <c r="T111" s="351" t="s">
        <v>2620</v>
      </c>
      <c r="U111" s="351" t="s">
        <v>2615</v>
      </c>
      <c r="V111" s="351" t="s">
        <v>2328</v>
      </c>
      <c r="W111" s="311">
        <v>21925404</v>
      </c>
      <c r="X111" s="311">
        <v>259848.00000000003</v>
      </c>
      <c r="Y111" s="311">
        <v>1724120.0999999999</v>
      </c>
      <c r="Z111" s="311">
        <v>2281257</v>
      </c>
      <c r="AA111" s="311">
        <v>1596879.9000000001</v>
      </c>
      <c r="AB111" s="68">
        <f t="shared" si="33"/>
        <v>27787509</v>
      </c>
      <c r="AC111" s="68">
        <f t="shared" si="34"/>
        <v>27787509</v>
      </c>
      <c r="AD111" s="127">
        <f t="shared" si="35"/>
        <v>27787509</v>
      </c>
      <c r="AE111" s="333"/>
    </row>
    <row r="112" spans="1:31" ht="75">
      <c r="A112" s="482">
        <v>6</v>
      </c>
      <c r="B112" s="75" t="s">
        <v>1285</v>
      </c>
      <c r="C112" s="33" t="s">
        <v>8</v>
      </c>
      <c r="D112" s="68">
        <v>1</v>
      </c>
      <c r="E112" s="66">
        <v>1</v>
      </c>
      <c r="F112" s="351">
        <f t="shared" si="28"/>
        <v>1</v>
      </c>
      <c r="G112" s="76" t="s">
        <v>1289</v>
      </c>
      <c r="H112" s="76">
        <v>21000</v>
      </c>
      <c r="I112" s="76">
        <v>450</v>
      </c>
      <c r="J112" s="76" t="s">
        <v>1148</v>
      </c>
      <c r="K112" s="76">
        <v>55</v>
      </c>
      <c r="L112" s="76">
        <v>11</v>
      </c>
      <c r="M112" s="76" t="s">
        <v>1149</v>
      </c>
      <c r="N112" s="76" t="s">
        <v>1271</v>
      </c>
      <c r="O112" s="76" t="s">
        <v>1272</v>
      </c>
      <c r="P112" s="76"/>
      <c r="Q112" s="75"/>
      <c r="R112" s="351">
        <v>1</v>
      </c>
      <c r="S112" s="351" t="s">
        <v>3271</v>
      </c>
      <c r="T112" s="351" t="s">
        <v>2620</v>
      </c>
      <c r="U112" s="351" t="s">
        <v>2615</v>
      </c>
      <c r="V112" s="351" t="s">
        <v>2328</v>
      </c>
      <c r="W112" s="311">
        <v>21925404</v>
      </c>
      <c r="X112" s="311">
        <v>259848.00000000003</v>
      </c>
      <c r="Y112" s="311">
        <v>1724120.0999999999</v>
      </c>
      <c r="Z112" s="311">
        <v>2281257</v>
      </c>
      <c r="AA112" s="311">
        <v>1596879.9000000001</v>
      </c>
      <c r="AB112" s="68">
        <f t="shared" si="33"/>
        <v>27787509</v>
      </c>
      <c r="AC112" s="68">
        <f t="shared" si="34"/>
        <v>27787509</v>
      </c>
      <c r="AD112" s="127">
        <f t="shared" si="35"/>
        <v>27787509</v>
      </c>
      <c r="AE112" s="333"/>
    </row>
    <row r="113" spans="1:31">
      <c r="A113" s="482"/>
      <c r="B113" s="78" t="s">
        <v>1171</v>
      </c>
      <c r="C113" s="33"/>
      <c r="D113" s="68"/>
      <c r="E113" s="66"/>
      <c r="F113" s="351"/>
      <c r="G113" s="76"/>
      <c r="H113" s="76"/>
      <c r="I113" s="76"/>
      <c r="J113" s="76"/>
      <c r="K113" s="76"/>
      <c r="L113" s="76"/>
      <c r="M113" s="76"/>
      <c r="N113" s="76"/>
      <c r="O113" s="76"/>
      <c r="P113" s="76"/>
      <c r="Q113" s="75"/>
      <c r="R113" s="351"/>
      <c r="S113" s="351"/>
      <c r="T113" s="351"/>
      <c r="U113" s="351"/>
      <c r="V113" s="333"/>
      <c r="W113" s="66"/>
      <c r="X113" s="66"/>
      <c r="Y113" s="66"/>
      <c r="Z113" s="66"/>
      <c r="AA113" s="66"/>
      <c r="AB113" s="66"/>
      <c r="AC113" s="66"/>
      <c r="AD113" s="66"/>
      <c r="AE113" s="333"/>
    </row>
    <row r="114" spans="1:31" ht="75">
      <c r="A114" s="482">
        <v>9</v>
      </c>
      <c r="B114" s="75" t="s">
        <v>1290</v>
      </c>
      <c r="C114" s="33" t="s">
        <v>8</v>
      </c>
      <c r="D114" s="68">
        <v>1</v>
      </c>
      <c r="E114" s="66">
        <v>1</v>
      </c>
      <c r="F114" s="351">
        <f t="shared" si="28"/>
        <v>1</v>
      </c>
      <c r="G114" s="76" t="s">
        <v>1291</v>
      </c>
      <c r="H114" s="76">
        <v>10000</v>
      </c>
      <c r="I114" s="76">
        <v>200</v>
      </c>
      <c r="J114" s="76" t="s">
        <v>1148</v>
      </c>
      <c r="K114" s="76">
        <v>55</v>
      </c>
      <c r="L114" s="76">
        <v>3.5</v>
      </c>
      <c r="M114" s="76" t="s">
        <v>1149</v>
      </c>
      <c r="N114" s="76" t="s">
        <v>1271</v>
      </c>
      <c r="O114" s="76" t="s">
        <v>1272</v>
      </c>
      <c r="P114" s="76"/>
      <c r="Q114" s="75"/>
      <c r="R114" s="351">
        <v>1</v>
      </c>
      <c r="S114" s="351" t="s">
        <v>3233</v>
      </c>
      <c r="T114" s="351" t="s">
        <v>2628</v>
      </c>
      <c r="U114" s="351" t="s">
        <v>2615</v>
      </c>
      <c r="V114" s="351" t="s">
        <v>2328</v>
      </c>
      <c r="W114" s="311">
        <v>12280896</v>
      </c>
      <c r="X114" s="311">
        <v>259848.00000000003</v>
      </c>
      <c r="Y114" s="311">
        <v>1067868.490909091</v>
      </c>
      <c r="Z114" s="311">
        <v>1286821.6363636365</v>
      </c>
      <c r="AA114" s="311">
        <v>900775.14545454551</v>
      </c>
      <c r="AB114" s="68">
        <f>SUM(W114:AA114)</f>
        <v>15796209.272727273</v>
      </c>
      <c r="AC114" s="68">
        <f>F114*AB114</f>
        <v>15796209.272727273</v>
      </c>
      <c r="AD114" s="127">
        <f>R114*AB114</f>
        <v>15796209.272727273</v>
      </c>
      <c r="AE114" s="333"/>
    </row>
    <row r="115" spans="1:31">
      <c r="A115" s="482"/>
      <c r="B115" s="78" t="s">
        <v>1219</v>
      </c>
      <c r="C115" s="33"/>
      <c r="D115" s="68"/>
      <c r="E115" s="66"/>
      <c r="F115" s="351"/>
      <c r="G115" s="76"/>
      <c r="H115" s="76"/>
      <c r="I115" s="76"/>
      <c r="J115" s="76"/>
      <c r="K115" s="76"/>
      <c r="L115" s="76"/>
      <c r="M115" s="76"/>
      <c r="N115" s="76"/>
      <c r="O115" s="76"/>
      <c r="P115" s="76"/>
      <c r="Q115" s="75"/>
      <c r="R115" s="351"/>
      <c r="S115" s="351"/>
      <c r="T115" s="351"/>
      <c r="U115" s="351"/>
      <c r="V115" s="333"/>
      <c r="W115" s="66"/>
      <c r="X115" s="66"/>
      <c r="Y115" s="66"/>
      <c r="Z115" s="66"/>
      <c r="AA115" s="66"/>
      <c r="AB115" s="66"/>
      <c r="AC115" s="66"/>
      <c r="AD115" s="66"/>
      <c r="AE115" s="333"/>
    </row>
    <row r="116" spans="1:31" ht="75">
      <c r="A116" s="482">
        <v>10</v>
      </c>
      <c r="B116" s="75" t="s">
        <v>1292</v>
      </c>
      <c r="C116" s="33" t="s">
        <v>8</v>
      </c>
      <c r="D116" s="68">
        <v>1</v>
      </c>
      <c r="E116" s="66">
        <v>1</v>
      </c>
      <c r="F116" s="351">
        <f t="shared" si="28"/>
        <v>1</v>
      </c>
      <c r="G116" s="76" t="s">
        <v>1293</v>
      </c>
      <c r="H116" s="76">
        <v>17000</v>
      </c>
      <c r="I116" s="76">
        <v>450</v>
      </c>
      <c r="J116" s="76" t="s">
        <v>1148</v>
      </c>
      <c r="K116" s="76">
        <v>55</v>
      </c>
      <c r="L116" s="76">
        <v>11</v>
      </c>
      <c r="M116" s="76" t="s">
        <v>1149</v>
      </c>
      <c r="N116" s="76" t="s">
        <v>1271</v>
      </c>
      <c r="O116" s="76" t="s">
        <v>1272</v>
      </c>
      <c r="P116" s="76"/>
      <c r="Q116" s="75"/>
      <c r="R116" s="351">
        <v>1</v>
      </c>
      <c r="S116" s="351" t="s">
        <v>3234</v>
      </c>
      <c r="T116" s="351" t="s">
        <v>2619</v>
      </c>
      <c r="U116" s="351" t="s">
        <v>2615</v>
      </c>
      <c r="V116" s="351" t="s">
        <v>2328</v>
      </c>
      <c r="W116" s="311">
        <v>16986348</v>
      </c>
      <c r="X116" s="311">
        <v>259848.00000000003</v>
      </c>
      <c r="Y116" s="311">
        <v>1175763.9727272727</v>
      </c>
      <c r="Z116" s="311">
        <v>1753209.9090909092</v>
      </c>
      <c r="AA116" s="311">
        <v>1227246.9363636365</v>
      </c>
      <c r="AB116" s="68">
        <f t="shared" ref="AB116:AB121" si="36">SUM(W116:AA116)</f>
        <v>21402416.81818182</v>
      </c>
      <c r="AC116" s="68">
        <f t="shared" ref="AC116:AC121" si="37">F116*AB116</f>
        <v>21402416.81818182</v>
      </c>
      <c r="AD116" s="127">
        <f t="shared" ref="AD116:AD121" si="38">R116*AB116</f>
        <v>21402416.81818182</v>
      </c>
      <c r="AE116" s="333"/>
    </row>
    <row r="117" spans="1:31" ht="75">
      <c r="A117" s="482">
        <v>11</v>
      </c>
      <c r="B117" s="75" t="s">
        <v>1294</v>
      </c>
      <c r="C117" s="33" t="s">
        <v>8</v>
      </c>
      <c r="D117" s="68">
        <v>1</v>
      </c>
      <c r="E117" s="66">
        <v>1</v>
      </c>
      <c r="F117" s="351">
        <f t="shared" si="28"/>
        <v>1</v>
      </c>
      <c r="G117" s="76" t="s">
        <v>1295</v>
      </c>
      <c r="H117" s="76">
        <v>8000</v>
      </c>
      <c r="I117" s="76">
        <v>350</v>
      </c>
      <c r="J117" s="76" t="s">
        <v>1148</v>
      </c>
      <c r="K117" s="76">
        <v>55</v>
      </c>
      <c r="L117" s="76">
        <v>4</v>
      </c>
      <c r="M117" s="76" t="s">
        <v>1149</v>
      </c>
      <c r="N117" s="76" t="s">
        <v>1271</v>
      </c>
      <c r="O117" s="76" t="s">
        <v>1272</v>
      </c>
      <c r="P117" s="76"/>
      <c r="Q117" s="75"/>
      <c r="R117" s="351">
        <v>1</v>
      </c>
      <c r="S117" s="351" t="s">
        <v>3264</v>
      </c>
      <c r="T117" s="351" t="s">
        <v>2623</v>
      </c>
      <c r="U117" s="351" t="s">
        <v>2615</v>
      </c>
      <c r="V117" s="351" t="s">
        <v>2328</v>
      </c>
      <c r="W117" s="311">
        <v>10245204</v>
      </c>
      <c r="X117" s="311">
        <v>259848.00000000003</v>
      </c>
      <c r="Y117" s="311">
        <v>964523.82727272739</v>
      </c>
      <c r="Z117" s="311">
        <v>1080036.0909090908</v>
      </c>
      <c r="AA117" s="311">
        <v>756025.26363636367</v>
      </c>
      <c r="AB117" s="68">
        <f t="shared" si="36"/>
        <v>13305637.181818182</v>
      </c>
      <c r="AC117" s="68">
        <f t="shared" si="37"/>
        <v>13305637.181818182</v>
      </c>
      <c r="AD117" s="127">
        <f t="shared" si="38"/>
        <v>13305637.181818182</v>
      </c>
      <c r="AE117" s="330"/>
    </row>
    <row r="118" spans="1:31" ht="75">
      <c r="A118" s="482">
        <v>12</v>
      </c>
      <c r="B118" s="75" t="s">
        <v>1294</v>
      </c>
      <c r="C118" s="33" t="s">
        <v>8</v>
      </c>
      <c r="D118" s="68">
        <v>2</v>
      </c>
      <c r="E118" s="66">
        <v>2</v>
      </c>
      <c r="F118" s="351">
        <f t="shared" si="28"/>
        <v>2</v>
      </c>
      <c r="G118" s="76" t="s">
        <v>1296</v>
      </c>
      <c r="H118" s="76">
        <v>18500</v>
      </c>
      <c r="I118" s="76">
        <v>400</v>
      </c>
      <c r="J118" s="76" t="s">
        <v>1148</v>
      </c>
      <c r="K118" s="76">
        <v>55</v>
      </c>
      <c r="L118" s="76">
        <v>11</v>
      </c>
      <c r="M118" s="76" t="s">
        <v>1149</v>
      </c>
      <c r="N118" s="76" t="s">
        <v>1271</v>
      </c>
      <c r="O118" s="76" t="s">
        <v>1272</v>
      </c>
      <c r="P118" s="76"/>
      <c r="Q118" s="75"/>
      <c r="R118" s="351">
        <v>2</v>
      </c>
      <c r="S118" s="351" t="s">
        <v>3235</v>
      </c>
      <c r="T118" s="351" t="s">
        <v>2619</v>
      </c>
      <c r="U118" s="351" t="s">
        <v>2615</v>
      </c>
      <c r="V118" s="351" t="s">
        <v>2328</v>
      </c>
      <c r="W118" s="311">
        <v>16986348</v>
      </c>
      <c r="X118" s="311">
        <v>259848.00000000003</v>
      </c>
      <c r="Y118" s="311">
        <v>1175763.9727272727</v>
      </c>
      <c r="Z118" s="311">
        <v>1753209.9090909092</v>
      </c>
      <c r="AA118" s="311">
        <v>1227246.9363636365</v>
      </c>
      <c r="AB118" s="68">
        <f t="shared" si="36"/>
        <v>21402416.81818182</v>
      </c>
      <c r="AC118" s="68">
        <f t="shared" si="37"/>
        <v>42804833.63636364</v>
      </c>
      <c r="AD118" s="127">
        <f t="shared" si="38"/>
        <v>42804833.63636364</v>
      </c>
      <c r="AE118" s="331"/>
    </row>
    <row r="119" spans="1:31" ht="75">
      <c r="A119" s="482">
        <v>13</v>
      </c>
      <c r="B119" s="75" t="s">
        <v>1297</v>
      </c>
      <c r="C119" s="33" t="s">
        <v>8</v>
      </c>
      <c r="D119" s="68">
        <v>2</v>
      </c>
      <c r="E119" s="66">
        <v>2</v>
      </c>
      <c r="F119" s="351">
        <f t="shared" si="28"/>
        <v>2</v>
      </c>
      <c r="G119" s="76" t="s">
        <v>1298</v>
      </c>
      <c r="H119" s="76">
        <v>15500</v>
      </c>
      <c r="I119" s="76">
        <v>450</v>
      </c>
      <c r="J119" s="76" t="s">
        <v>1148</v>
      </c>
      <c r="K119" s="76">
        <v>55</v>
      </c>
      <c r="L119" s="76">
        <v>11</v>
      </c>
      <c r="M119" s="76" t="s">
        <v>1149</v>
      </c>
      <c r="N119" s="76" t="s">
        <v>1271</v>
      </c>
      <c r="O119" s="76" t="s">
        <v>1272</v>
      </c>
      <c r="P119" s="76"/>
      <c r="Q119" s="75"/>
      <c r="R119" s="351">
        <v>2</v>
      </c>
      <c r="S119" s="351" t="s">
        <v>3265</v>
      </c>
      <c r="T119" s="351" t="s">
        <v>3262</v>
      </c>
      <c r="U119" s="351" t="s">
        <v>2615</v>
      </c>
      <c r="V119" s="351" t="s">
        <v>2328</v>
      </c>
      <c r="W119" s="311">
        <v>15284376</v>
      </c>
      <c r="X119" s="311">
        <v>259848.00000000003</v>
      </c>
      <c r="Y119" s="311">
        <v>1175763.9727272727</v>
      </c>
      <c r="Z119" s="311">
        <v>1587969.9090909092</v>
      </c>
      <c r="AA119" s="311">
        <v>1111578.9363636363</v>
      </c>
      <c r="AB119" s="68">
        <f t="shared" si="36"/>
        <v>19419536.81818182</v>
      </c>
      <c r="AC119" s="68">
        <f t="shared" si="37"/>
        <v>38839073.63636364</v>
      </c>
      <c r="AD119" s="127">
        <f t="shared" si="38"/>
        <v>38839073.63636364</v>
      </c>
      <c r="AE119" s="334"/>
    </row>
    <row r="120" spans="1:31" ht="90">
      <c r="A120" s="482">
        <v>14</v>
      </c>
      <c r="B120" s="75" t="s">
        <v>1299</v>
      </c>
      <c r="C120" s="33" t="s">
        <v>8</v>
      </c>
      <c r="D120" s="68">
        <v>1</v>
      </c>
      <c r="E120" s="66">
        <v>1</v>
      </c>
      <c r="F120" s="351">
        <f t="shared" si="28"/>
        <v>1</v>
      </c>
      <c r="G120" s="76" t="s">
        <v>1300</v>
      </c>
      <c r="H120" s="76">
        <v>33500</v>
      </c>
      <c r="I120" s="76">
        <v>650</v>
      </c>
      <c r="J120" s="76" t="s">
        <v>1148</v>
      </c>
      <c r="K120" s="76" t="s">
        <v>1269</v>
      </c>
      <c r="L120" s="76">
        <v>11</v>
      </c>
      <c r="M120" s="76" t="s">
        <v>1149</v>
      </c>
      <c r="N120" s="76" t="s">
        <v>1271</v>
      </c>
      <c r="O120" s="76" t="s">
        <v>1272</v>
      </c>
      <c r="P120" s="76" t="s">
        <v>1273</v>
      </c>
      <c r="Q120" s="75"/>
      <c r="R120" s="351">
        <v>1</v>
      </c>
      <c r="S120" s="351" t="s">
        <v>3236</v>
      </c>
      <c r="T120" s="351" t="s">
        <v>2620</v>
      </c>
      <c r="U120" s="351" t="s">
        <v>2615</v>
      </c>
      <c r="V120" s="351" t="s">
        <v>2328</v>
      </c>
      <c r="W120" s="311">
        <v>34718004</v>
      </c>
      <c r="X120" s="311">
        <v>259848.00000000003</v>
      </c>
      <c r="Y120" s="311">
        <v>2229872.1454545455</v>
      </c>
      <c r="Z120" s="311">
        <v>3568013.8181818184</v>
      </c>
      <c r="AA120" s="311">
        <v>2497609.6727272728</v>
      </c>
      <c r="AB120" s="68">
        <f t="shared" si="36"/>
        <v>43273347.63636364</v>
      </c>
      <c r="AC120" s="68">
        <f t="shared" si="37"/>
        <v>43273347.63636364</v>
      </c>
      <c r="AD120" s="127">
        <f t="shared" si="38"/>
        <v>43273347.63636364</v>
      </c>
      <c r="AE120" s="335"/>
    </row>
    <row r="121" spans="1:31" ht="75">
      <c r="A121" s="482">
        <v>15</v>
      </c>
      <c r="B121" s="75" t="s">
        <v>1301</v>
      </c>
      <c r="C121" s="33" t="s">
        <v>8</v>
      </c>
      <c r="D121" s="68">
        <v>1</v>
      </c>
      <c r="E121" s="66">
        <v>1</v>
      </c>
      <c r="F121" s="351">
        <f t="shared" si="28"/>
        <v>1</v>
      </c>
      <c r="G121" s="76" t="s">
        <v>1302</v>
      </c>
      <c r="H121" s="76">
        <v>54000</v>
      </c>
      <c r="I121" s="76">
        <v>650</v>
      </c>
      <c r="J121" s="76" t="s">
        <v>1268</v>
      </c>
      <c r="K121" s="76" t="s">
        <v>1269</v>
      </c>
      <c r="L121" s="76">
        <v>11</v>
      </c>
      <c r="M121" s="76" t="s">
        <v>1149</v>
      </c>
      <c r="N121" s="76" t="s">
        <v>1271</v>
      </c>
      <c r="O121" s="76" t="s">
        <v>1272</v>
      </c>
      <c r="P121" s="76" t="s">
        <v>1273</v>
      </c>
      <c r="Q121" s="75"/>
      <c r="R121" s="351">
        <v>1</v>
      </c>
      <c r="S121" s="351" t="s">
        <v>3237</v>
      </c>
      <c r="T121" s="351" t="s">
        <v>2790</v>
      </c>
      <c r="U121" s="351" t="s">
        <v>2615</v>
      </c>
      <c r="V121" s="351" t="s">
        <v>2328</v>
      </c>
      <c r="W121" s="311">
        <v>61615836</v>
      </c>
      <c r="X121" s="311">
        <v>259848.00000000003</v>
      </c>
      <c r="Y121" s="311">
        <v>3646989.7363636368</v>
      </c>
      <c r="Z121" s="311">
        <v>6304862.4545454551</v>
      </c>
      <c r="AA121" s="311">
        <v>4413403.7181818187</v>
      </c>
      <c r="AB121" s="68">
        <f t="shared" si="36"/>
        <v>76240939.909090906</v>
      </c>
      <c r="AC121" s="68">
        <f t="shared" si="37"/>
        <v>76240939.909090906</v>
      </c>
      <c r="AD121" s="127">
        <f t="shared" si="38"/>
        <v>76240939.909090906</v>
      </c>
      <c r="AE121" s="15"/>
    </row>
    <row r="122" spans="1:31">
      <c r="A122" s="482"/>
      <c r="B122" s="78" t="s">
        <v>1244</v>
      </c>
      <c r="C122" s="33"/>
      <c r="D122" s="68"/>
      <c r="E122" s="66"/>
      <c r="F122" s="351"/>
      <c r="G122" s="76"/>
      <c r="H122" s="76"/>
      <c r="I122" s="76"/>
      <c r="J122" s="76"/>
      <c r="K122" s="76"/>
      <c r="L122" s="76"/>
      <c r="M122" s="76"/>
      <c r="N122" s="76"/>
      <c r="O122" s="76"/>
      <c r="P122" s="76"/>
      <c r="Q122" s="75"/>
      <c r="R122" s="351"/>
      <c r="S122" s="351"/>
      <c r="T122" s="351"/>
      <c r="U122" s="351"/>
      <c r="V122" s="335"/>
      <c r="W122" s="66"/>
      <c r="X122" s="66"/>
      <c r="Y122" s="66"/>
      <c r="Z122" s="66"/>
      <c r="AA122" s="66"/>
      <c r="AB122" s="66"/>
      <c r="AC122" s="66"/>
      <c r="AD122" s="66"/>
      <c r="AE122" s="335"/>
    </row>
    <row r="123" spans="1:31" ht="75">
      <c r="A123" s="482">
        <v>16</v>
      </c>
      <c r="B123" s="75" t="s">
        <v>1292</v>
      </c>
      <c r="C123" s="33" t="s">
        <v>8</v>
      </c>
      <c r="D123" s="68">
        <v>1</v>
      </c>
      <c r="E123" s="66">
        <v>1</v>
      </c>
      <c r="F123" s="351">
        <f t="shared" si="28"/>
        <v>1</v>
      </c>
      <c r="G123" s="76" t="s">
        <v>1303</v>
      </c>
      <c r="H123" s="76">
        <v>36000</v>
      </c>
      <c r="I123" s="76">
        <v>700</v>
      </c>
      <c r="J123" s="76" t="s">
        <v>1148</v>
      </c>
      <c r="K123" s="76">
        <v>55</v>
      </c>
      <c r="L123" s="76">
        <v>15</v>
      </c>
      <c r="M123" s="76" t="s">
        <v>1149</v>
      </c>
      <c r="N123" s="76" t="s">
        <v>1271</v>
      </c>
      <c r="O123" s="76" t="s">
        <v>1272</v>
      </c>
      <c r="P123" s="76"/>
      <c r="Q123" s="75"/>
      <c r="R123" s="351">
        <v>1</v>
      </c>
      <c r="S123" s="351" t="s">
        <v>3272</v>
      </c>
      <c r="T123" s="351" t="s">
        <v>2620</v>
      </c>
      <c r="U123" s="351" t="s">
        <v>2615</v>
      </c>
      <c r="V123" s="351" t="s">
        <v>2328</v>
      </c>
      <c r="W123" s="311">
        <v>31937004</v>
      </c>
      <c r="X123" s="311">
        <v>259848.00000000003</v>
      </c>
      <c r="Y123" s="311">
        <v>2229872.1454545455</v>
      </c>
      <c r="Z123" s="311">
        <v>3298013.8181818184</v>
      </c>
      <c r="AA123" s="311">
        <v>2308609.6727272728</v>
      </c>
      <c r="AB123" s="68">
        <f t="shared" ref="AB123:AB126" si="39">SUM(W123:AA123)</f>
        <v>40033347.63636364</v>
      </c>
      <c r="AC123" s="68">
        <f>F123*AB123</f>
        <v>40033347.63636364</v>
      </c>
      <c r="AD123" s="127">
        <f>R123*AB123</f>
        <v>40033347.63636364</v>
      </c>
      <c r="AE123" s="334"/>
    </row>
    <row r="124" spans="1:31" ht="75">
      <c r="A124" s="482">
        <v>17</v>
      </c>
      <c r="B124" s="75" t="s">
        <v>1304</v>
      </c>
      <c r="C124" s="33" t="s">
        <v>8</v>
      </c>
      <c r="D124" s="68">
        <v>1</v>
      </c>
      <c r="E124" s="66">
        <v>1</v>
      </c>
      <c r="F124" s="351">
        <f t="shared" si="28"/>
        <v>1</v>
      </c>
      <c r="G124" s="76" t="s">
        <v>1305</v>
      </c>
      <c r="H124" s="76">
        <v>26000</v>
      </c>
      <c r="I124" s="76">
        <v>700</v>
      </c>
      <c r="J124" s="76" t="s">
        <v>1148</v>
      </c>
      <c r="K124" s="76">
        <v>55</v>
      </c>
      <c r="L124" s="76">
        <v>11</v>
      </c>
      <c r="M124" s="76" t="s">
        <v>1149</v>
      </c>
      <c r="N124" s="76" t="s">
        <v>1271</v>
      </c>
      <c r="O124" s="76" t="s">
        <v>1272</v>
      </c>
      <c r="P124" s="76"/>
      <c r="Q124" s="75"/>
      <c r="R124" s="351">
        <v>1</v>
      </c>
      <c r="S124" s="351" t="s">
        <v>3275</v>
      </c>
      <c r="T124" s="351" t="s">
        <v>3260</v>
      </c>
      <c r="U124" s="351" t="s">
        <v>2615</v>
      </c>
      <c r="V124" s="351" t="s">
        <v>2328</v>
      </c>
      <c r="W124" s="311">
        <v>30424140</v>
      </c>
      <c r="X124" s="311">
        <v>259848.00000000003</v>
      </c>
      <c r="Y124" s="311">
        <v>1724120.0999999999</v>
      </c>
      <c r="Z124" s="311">
        <v>3106377</v>
      </c>
      <c r="AA124" s="311">
        <v>2174463.9000000004</v>
      </c>
      <c r="AB124" s="68">
        <f t="shared" si="39"/>
        <v>37688949</v>
      </c>
      <c r="AC124" s="68">
        <f>F124*AB124</f>
        <v>37688949</v>
      </c>
      <c r="AD124" s="127">
        <f>R124*AB124</f>
        <v>37688949</v>
      </c>
      <c r="AE124" s="17"/>
    </row>
    <row r="125" spans="1:31" ht="75">
      <c r="A125" s="482">
        <v>18</v>
      </c>
      <c r="B125" s="75" t="s">
        <v>1306</v>
      </c>
      <c r="C125" s="33" t="s">
        <v>8</v>
      </c>
      <c r="D125" s="68">
        <v>1</v>
      </c>
      <c r="E125" s="66">
        <v>1</v>
      </c>
      <c r="F125" s="351">
        <f t="shared" si="28"/>
        <v>1</v>
      </c>
      <c r="G125" s="76" t="s">
        <v>1307</v>
      </c>
      <c r="H125" s="76">
        <v>62000</v>
      </c>
      <c r="I125" s="76">
        <v>800</v>
      </c>
      <c r="J125" s="76" t="s">
        <v>1148</v>
      </c>
      <c r="K125" s="76">
        <v>55</v>
      </c>
      <c r="L125" s="76">
        <v>33</v>
      </c>
      <c r="M125" s="76" t="s">
        <v>1149</v>
      </c>
      <c r="N125" s="76" t="s">
        <v>1271</v>
      </c>
      <c r="O125" s="76" t="s">
        <v>1272</v>
      </c>
      <c r="P125" s="76"/>
      <c r="Q125" s="75"/>
      <c r="R125" s="351">
        <v>1</v>
      </c>
      <c r="S125" s="351" t="s">
        <v>3238</v>
      </c>
      <c r="T125" s="351" t="s">
        <v>2629</v>
      </c>
      <c r="U125" s="351" t="s">
        <v>2615</v>
      </c>
      <c r="V125" s="351" t="s">
        <v>2328</v>
      </c>
      <c r="W125" s="311">
        <v>46064484</v>
      </c>
      <c r="X125" s="311">
        <v>259848.00000000003</v>
      </c>
      <c r="Y125" s="311">
        <v>4694973.3090909095</v>
      </c>
      <c r="Z125" s="311">
        <v>4887764.3636363633</v>
      </c>
      <c r="AA125" s="311">
        <v>3421435.0545454547</v>
      </c>
      <c r="AB125" s="68">
        <f t="shared" si="39"/>
        <v>59328504.727272727</v>
      </c>
      <c r="AC125" s="68">
        <f>F125*AB125</f>
        <v>59328504.727272727</v>
      </c>
      <c r="AD125" s="127">
        <f>R125*AB125</f>
        <v>59328504.727272727</v>
      </c>
      <c r="AE125" s="335"/>
    </row>
    <row r="126" spans="1:31" ht="75">
      <c r="A126" s="482">
        <v>19</v>
      </c>
      <c r="B126" s="75" t="s">
        <v>1308</v>
      </c>
      <c r="C126" s="33" t="s">
        <v>8</v>
      </c>
      <c r="D126" s="68">
        <v>1</v>
      </c>
      <c r="E126" s="66">
        <v>1</v>
      </c>
      <c r="F126" s="351">
        <f t="shared" si="28"/>
        <v>1</v>
      </c>
      <c r="G126" s="76" t="s">
        <v>1309</v>
      </c>
      <c r="H126" s="76">
        <v>43000</v>
      </c>
      <c r="I126" s="76">
        <v>900</v>
      </c>
      <c r="J126" s="76" t="s">
        <v>1268</v>
      </c>
      <c r="K126" s="76" t="s">
        <v>1269</v>
      </c>
      <c r="L126" s="76">
        <v>11</v>
      </c>
      <c r="M126" s="76" t="s">
        <v>1149</v>
      </c>
      <c r="N126" s="76" t="s">
        <v>1271</v>
      </c>
      <c r="O126" s="76" t="s">
        <v>1272</v>
      </c>
      <c r="P126" s="76" t="s">
        <v>1273</v>
      </c>
      <c r="Q126" s="75"/>
      <c r="R126" s="351">
        <v>1</v>
      </c>
      <c r="S126" s="351" t="s">
        <v>3239</v>
      </c>
      <c r="T126" s="351" t="s">
        <v>2787</v>
      </c>
      <c r="U126" s="351" t="s">
        <v>2615</v>
      </c>
      <c r="V126" s="351" t="s">
        <v>2328</v>
      </c>
      <c r="W126" s="311">
        <v>49457304</v>
      </c>
      <c r="X126" s="311">
        <v>259848.00000000003</v>
      </c>
      <c r="Y126" s="311">
        <v>3135815.7454545456</v>
      </c>
      <c r="Z126" s="311">
        <v>5079185.8181818184</v>
      </c>
      <c r="AA126" s="311">
        <v>3555430.0727272728</v>
      </c>
      <c r="AB126" s="68">
        <f t="shared" si="39"/>
        <v>61487583.636363633</v>
      </c>
      <c r="AC126" s="68">
        <f>F126*AB126</f>
        <v>61487583.636363633</v>
      </c>
      <c r="AD126" s="127">
        <f>R126*AB126</f>
        <v>61487583.636363633</v>
      </c>
      <c r="AE126" s="334"/>
    </row>
    <row r="127" spans="1:31">
      <c r="A127" s="482"/>
      <c r="B127" s="78" t="s">
        <v>1247</v>
      </c>
      <c r="C127" s="33"/>
      <c r="D127" s="68"/>
      <c r="E127" s="66"/>
      <c r="F127" s="351"/>
      <c r="G127" s="76"/>
      <c r="H127" s="76"/>
      <c r="I127" s="76"/>
      <c r="J127" s="76"/>
      <c r="K127" s="76"/>
      <c r="L127" s="76"/>
      <c r="M127" s="76"/>
      <c r="N127" s="76"/>
      <c r="O127" s="76"/>
      <c r="P127" s="76"/>
      <c r="Q127" s="75"/>
      <c r="R127" s="351"/>
      <c r="S127" s="351"/>
      <c r="T127" s="351"/>
      <c r="U127" s="351"/>
      <c r="V127" s="331"/>
      <c r="W127" s="127"/>
      <c r="X127" s="127"/>
      <c r="Y127" s="127"/>
      <c r="Z127" s="127"/>
      <c r="AA127" s="127"/>
      <c r="AB127" s="127"/>
      <c r="AC127" s="127"/>
      <c r="AD127" s="127"/>
      <c r="AE127" s="331"/>
    </row>
    <row r="128" spans="1:31" ht="75">
      <c r="A128" s="482">
        <v>20</v>
      </c>
      <c r="B128" s="75" t="s">
        <v>1297</v>
      </c>
      <c r="C128" s="33" t="s">
        <v>8</v>
      </c>
      <c r="D128" s="68">
        <v>1</v>
      </c>
      <c r="E128" s="66">
        <v>1</v>
      </c>
      <c r="F128" s="351">
        <f t="shared" si="28"/>
        <v>1</v>
      </c>
      <c r="G128" s="76" t="s">
        <v>1310</v>
      </c>
      <c r="H128" s="76">
        <v>15500</v>
      </c>
      <c r="I128" s="76">
        <v>450</v>
      </c>
      <c r="J128" s="76" t="s">
        <v>1148</v>
      </c>
      <c r="K128" s="76">
        <v>55</v>
      </c>
      <c r="L128" s="76">
        <v>11</v>
      </c>
      <c r="M128" s="76" t="s">
        <v>1149</v>
      </c>
      <c r="N128" s="76" t="s">
        <v>1271</v>
      </c>
      <c r="O128" s="76" t="s">
        <v>1272</v>
      </c>
      <c r="P128" s="76"/>
      <c r="Q128" s="75"/>
      <c r="R128" s="351">
        <v>1</v>
      </c>
      <c r="S128" s="351" t="s">
        <v>3266</v>
      </c>
      <c r="T128" s="351" t="s">
        <v>3262</v>
      </c>
      <c r="U128" s="351" t="s">
        <v>2615</v>
      </c>
      <c r="V128" s="351" t="s">
        <v>2328</v>
      </c>
      <c r="W128" s="311">
        <v>15284376</v>
      </c>
      <c r="X128" s="311">
        <v>259848.00000000003</v>
      </c>
      <c r="Y128" s="311">
        <v>1175763.9727272727</v>
      </c>
      <c r="Z128" s="311">
        <v>1587969.9090909092</v>
      </c>
      <c r="AA128" s="311">
        <v>1111578.9363636363</v>
      </c>
      <c r="AB128" s="68">
        <f t="shared" ref="AB128:AB132" si="40">SUM(W128:AA128)</f>
        <v>19419536.81818182</v>
      </c>
      <c r="AC128" s="68">
        <f>F128*AB128</f>
        <v>19419536.81818182</v>
      </c>
      <c r="AD128" s="127">
        <f>R128*AB128</f>
        <v>19419536.81818182</v>
      </c>
      <c r="AE128" s="335"/>
    </row>
    <row r="129" spans="1:31" ht="75">
      <c r="A129" s="482">
        <v>21</v>
      </c>
      <c r="B129" s="75" t="s">
        <v>1311</v>
      </c>
      <c r="C129" s="33" t="s">
        <v>8</v>
      </c>
      <c r="D129" s="68">
        <v>1</v>
      </c>
      <c r="E129" s="66">
        <v>2</v>
      </c>
      <c r="F129" s="351">
        <f t="shared" si="28"/>
        <v>2</v>
      </c>
      <c r="G129" s="76" t="s">
        <v>1312</v>
      </c>
      <c r="H129" s="76">
        <v>29000</v>
      </c>
      <c r="I129" s="76">
        <v>700</v>
      </c>
      <c r="J129" s="76" t="s">
        <v>1148</v>
      </c>
      <c r="K129" s="76">
        <v>55</v>
      </c>
      <c r="L129" s="76">
        <v>11</v>
      </c>
      <c r="M129" s="76" t="s">
        <v>1149</v>
      </c>
      <c r="N129" s="76" t="s">
        <v>1271</v>
      </c>
      <c r="O129" s="76" t="s">
        <v>1272</v>
      </c>
      <c r="P129" s="76"/>
      <c r="Q129" s="75"/>
      <c r="R129" s="351">
        <v>2</v>
      </c>
      <c r="S129" s="351" t="s">
        <v>3276</v>
      </c>
      <c r="T129" s="351" t="s">
        <v>3260</v>
      </c>
      <c r="U129" s="351" t="s">
        <v>2615</v>
      </c>
      <c r="V129" s="351" t="s">
        <v>2328</v>
      </c>
      <c r="W129" s="311">
        <v>30424140</v>
      </c>
      <c r="X129" s="311">
        <v>259848.00000000003</v>
      </c>
      <c r="Y129" s="311">
        <v>1724120.0999999999</v>
      </c>
      <c r="Z129" s="311">
        <v>3106377</v>
      </c>
      <c r="AA129" s="311">
        <v>2174463.9000000004</v>
      </c>
      <c r="AB129" s="68">
        <f t="shared" si="40"/>
        <v>37688949</v>
      </c>
      <c r="AC129" s="68">
        <f>F129*AB129</f>
        <v>75377898</v>
      </c>
      <c r="AD129" s="127">
        <f>R129*AB129</f>
        <v>75377898</v>
      </c>
      <c r="AE129" s="335"/>
    </row>
    <row r="130" spans="1:31" ht="75">
      <c r="A130" s="482">
        <v>22</v>
      </c>
      <c r="B130" s="75" t="s">
        <v>1311</v>
      </c>
      <c r="C130" s="33" t="s">
        <v>8</v>
      </c>
      <c r="D130" s="68">
        <v>1</v>
      </c>
      <c r="E130" s="66">
        <v>1</v>
      </c>
      <c r="F130" s="351">
        <f t="shared" si="28"/>
        <v>1</v>
      </c>
      <c r="G130" s="76" t="s">
        <v>1313</v>
      </c>
      <c r="H130" s="76">
        <v>58000</v>
      </c>
      <c r="I130" s="76">
        <v>700</v>
      </c>
      <c r="J130" s="76" t="s">
        <v>1148</v>
      </c>
      <c r="K130" s="76">
        <v>55</v>
      </c>
      <c r="L130" s="76">
        <v>33</v>
      </c>
      <c r="M130" s="76" t="s">
        <v>1149</v>
      </c>
      <c r="N130" s="76" t="s">
        <v>1271</v>
      </c>
      <c r="O130" s="76" t="s">
        <v>1272</v>
      </c>
      <c r="P130" s="76"/>
      <c r="Q130" s="75"/>
      <c r="R130" s="351">
        <v>1</v>
      </c>
      <c r="S130" s="351" t="s">
        <v>3273</v>
      </c>
      <c r="T130" s="351" t="s">
        <v>2622</v>
      </c>
      <c r="U130" s="351" t="s">
        <v>2615</v>
      </c>
      <c r="V130" s="351" t="s">
        <v>2328</v>
      </c>
      <c r="W130" s="311">
        <v>32604444</v>
      </c>
      <c r="X130" s="311">
        <v>259848.00000000003</v>
      </c>
      <c r="Y130" s="311">
        <v>3646989.7363636368</v>
      </c>
      <c r="Z130" s="311">
        <v>3488222.4545454551</v>
      </c>
      <c r="AA130" s="311">
        <v>2441755.7181818187</v>
      </c>
      <c r="AB130" s="68">
        <f t="shared" si="40"/>
        <v>42441259.909090906</v>
      </c>
      <c r="AC130" s="68">
        <f>F130*AB130</f>
        <v>42441259.909090906</v>
      </c>
      <c r="AD130" s="127">
        <f>R130*AB130</f>
        <v>42441259.909090906</v>
      </c>
      <c r="AE130" s="335"/>
    </row>
    <row r="131" spans="1:31" ht="75">
      <c r="A131" s="482">
        <v>23</v>
      </c>
      <c r="B131" s="75" t="s">
        <v>1314</v>
      </c>
      <c r="C131" s="33" t="s">
        <v>8</v>
      </c>
      <c r="D131" s="68">
        <v>1</v>
      </c>
      <c r="E131" s="66">
        <v>1</v>
      </c>
      <c r="F131" s="351">
        <f t="shared" si="28"/>
        <v>1</v>
      </c>
      <c r="G131" s="76" t="s">
        <v>1315</v>
      </c>
      <c r="H131" s="76">
        <v>32500</v>
      </c>
      <c r="I131" s="76">
        <v>700</v>
      </c>
      <c r="J131" s="76" t="s">
        <v>1148</v>
      </c>
      <c r="K131" s="76">
        <v>55</v>
      </c>
      <c r="L131" s="76">
        <v>11</v>
      </c>
      <c r="M131" s="76" t="s">
        <v>1149</v>
      </c>
      <c r="N131" s="76" t="s">
        <v>1271</v>
      </c>
      <c r="O131" s="76" t="s">
        <v>1272</v>
      </c>
      <c r="P131" s="76"/>
      <c r="Q131" s="75"/>
      <c r="R131" s="351">
        <v>1</v>
      </c>
      <c r="S131" s="351" t="s">
        <v>3240</v>
      </c>
      <c r="T131" s="351" t="s">
        <v>2620</v>
      </c>
      <c r="U131" s="351" t="s">
        <v>2615</v>
      </c>
      <c r="V131" s="351" t="s">
        <v>2328</v>
      </c>
      <c r="W131" s="311">
        <v>31937004</v>
      </c>
      <c r="X131" s="311">
        <v>259848.00000000003</v>
      </c>
      <c r="Y131" s="311">
        <v>2229872.1454545455</v>
      </c>
      <c r="Z131" s="311">
        <v>3298013.8181818184</v>
      </c>
      <c r="AA131" s="311">
        <v>2308609.6727272728</v>
      </c>
      <c r="AB131" s="68">
        <f t="shared" si="40"/>
        <v>40033347.63636364</v>
      </c>
      <c r="AC131" s="68">
        <f>F131*AB131</f>
        <v>40033347.63636364</v>
      </c>
      <c r="AD131" s="127">
        <f>R131*AB131</f>
        <v>40033347.63636364</v>
      </c>
      <c r="AE131" s="335"/>
    </row>
    <row r="132" spans="1:31" ht="75">
      <c r="A132" s="482">
        <v>24</v>
      </c>
      <c r="B132" s="75" t="s">
        <v>1308</v>
      </c>
      <c r="C132" s="33" t="s">
        <v>8</v>
      </c>
      <c r="D132" s="68">
        <v>1</v>
      </c>
      <c r="E132" s="66">
        <v>1</v>
      </c>
      <c r="F132" s="351">
        <f t="shared" si="28"/>
        <v>1</v>
      </c>
      <c r="G132" s="76" t="s">
        <v>1316</v>
      </c>
      <c r="H132" s="76">
        <v>43000</v>
      </c>
      <c r="I132" s="76">
        <v>900</v>
      </c>
      <c r="J132" s="76" t="s">
        <v>1268</v>
      </c>
      <c r="K132" s="76" t="s">
        <v>1269</v>
      </c>
      <c r="L132" s="76">
        <v>33</v>
      </c>
      <c r="M132" s="76" t="s">
        <v>1149</v>
      </c>
      <c r="N132" s="76" t="s">
        <v>1271</v>
      </c>
      <c r="O132" s="76" t="s">
        <v>1272</v>
      </c>
      <c r="P132" s="76"/>
      <c r="Q132" s="75"/>
      <c r="R132" s="351">
        <v>1</v>
      </c>
      <c r="S132" s="351" t="s">
        <v>3241</v>
      </c>
      <c r="T132" s="351" t="s">
        <v>2787</v>
      </c>
      <c r="U132" s="351" t="s">
        <v>2615</v>
      </c>
      <c r="V132" s="351" t="s">
        <v>2328</v>
      </c>
      <c r="W132" s="311">
        <v>49724280</v>
      </c>
      <c r="X132" s="311">
        <v>259848.00000000003</v>
      </c>
      <c r="Y132" s="311">
        <v>3135815.7454545456</v>
      </c>
      <c r="Z132" s="311">
        <v>5105105.8181818184</v>
      </c>
      <c r="AA132" s="311">
        <v>3573574.0727272728</v>
      </c>
      <c r="AB132" s="68">
        <f t="shared" si="40"/>
        <v>61798623.636363633</v>
      </c>
      <c r="AC132" s="68">
        <f>F132*AB132</f>
        <v>61798623.636363633</v>
      </c>
      <c r="AD132" s="127">
        <f>R132*AB132</f>
        <v>61798623.636363633</v>
      </c>
      <c r="AE132" s="335"/>
    </row>
    <row r="133" spans="1:31">
      <c r="A133" s="482"/>
      <c r="B133" s="78" t="s">
        <v>1251</v>
      </c>
      <c r="C133" s="33"/>
      <c r="D133" s="68"/>
      <c r="E133" s="66"/>
      <c r="F133" s="351"/>
      <c r="G133" s="76"/>
      <c r="H133" s="76"/>
      <c r="I133" s="76"/>
      <c r="J133" s="76"/>
      <c r="K133" s="76"/>
      <c r="L133" s="76"/>
      <c r="M133" s="76"/>
      <c r="N133" s="76"/>
      <c r="O133" s="76"/>
      <c r="P133" s="76"/>
      <c r="Q133" s="75"/>
      <c r="R133" s="351"/>
      <c r="S133" s="351"/>
      <c r="T133" s="351"/>
      <c r="U133" s="351"/>
      <c r="V133" s="330"/>
      <c r="W133" s="66"/>
      <c r="X133" s="66"/>
      <c r="Y133" s="66"/>
      <c r="Z133" s="66"/>
      <c r="AA133" s="66"/>
      <c r="AB133" s="66"/>
      <c r="AC133" s="66"/>
      <c r="AD133" s="66"/>
      <c r="AE133" s="330"/>
    </row>
    <row r="134" spans="1:31" ht="75">
      <c r="A134" s="482">
        <v>25</v>
      </c>
      <c r="B134" s="75" t="s">
        <v>1311</v>
      </c>
      <c r="C134" s="33" t="s">
        <v>8</v>
      </c>
      <c r="D134" s="68">
        <v>1</v>
      </c>
      <c r="E134" s="66">
        <v>1</v>
      </c>
      <c r="F134" s="351">
        <f t="shared" si="28"/>
        <v>1</v>
      </c>
      <c r="G134" s="76" t="s">
        <v>1317</v>
      </c>
      <c r="H134" s="76">
        <v>58000</v>
      </c>
      <c r="I134" s="76">
        <v>700</v>
      </c>
      <c r="J134" s="76" t="s">
        <v>1148</v>
      </c>
      <c r="K134" s="76">
        <v>55</v>
      </c>
      <c r="L134" s="76">
        <v>33</v>
      </c>
      <c r="M134" s="76" t="s">
        <v>1149</v>
      </c>
      <c r="N134" s="76" t="s">
        <v>1271</v>
      </c>
      <c r="O134" s="76" t="s">
        <v>1272</v>
      </c>
      <c r="P134" s="76"/>
      <c r="Q134" s="75"/>
      <c r="R134" s="351">
        <v>1</v>
      </c>
      <c r="S134" s="351" t="s">
        <v>3273</v>
      </c>
      <c r="T134" s="351" t="s">
        <v>2630</v>
      </c>
      <c r="U134" s="351" t="s">
        <v>2615</v>
      </c>
      <c r="V134" s="351" t="s">
        <v>2328</v>
      </c>
      <c r="W134" s="311">
        <v>32604444</v>
      </c>
      <c r="X134" s="311">
        <v>259848.00000000003</v>
      </c>
      <c r="Y134" s="311">
        <v>3646989.7363636368</v>
      </c>
      <c r="Z134" s="311">
        <v>3488222.4545454551</v>
      </c>
      <c r="AA134" s="311">
        <v>2441755.7181818187</v>
      </c>
      <c r="AB134" s="68">
        <f t="shared" ref="AB134:AB136" si="41">SUM(W134:AA134)</f>
        <v>42441259.909090906</v>
      </c>
      <c r="AC134" s="68">
        <f>F134*AB134</f>
        <v>42441259.909090906</v>
      </c>
      <c r="AD134" s="127">
        <f>R134*AB134</f>
        <v>42441259.909090906</v>
      </c>
      <c r="AE134" s="330"/>
    </row>
    <row r="135" spans="1:31" ht="75">
      <c r="A135" s="482">
        <v>26</v>
      </c>
      <c r="B135" s="75" t="s">
        <v>1314</v>
      </c>
      <c r="C135" s="33" t="s">
        <v>8</v>
      </c>
      <c r="D135" s="68">
        <v>1</v>
      </c>
      <c r="E135" s="66">
        <v>1</v>
      </c>
      <c r="F135" s="351">
        <f t="shared" si="28"/>
        <v>1</v>
      </c>
      <c r="G135" s="76" t="s">
        <v>1318</v>
      </c>
      <c r="H135" s="76">
        <v>32500</v>
      </c>
      <c r="I135" s="76">
        <v>700</v>
      </c>
      <c r="J135" s="76" t="s">
        <v>1148</v>
      </c>
      <c r="K135" s="76">
        <v>55</v>
      </c>
      <c r="L135" s="76">
        <v>11</v>
      </c>
      <c r="M135" s="76" t="s">
        <v>1149</v>
      </c>
      <c r="N135" s="76" t="s">
        <v>1271</v>
      </c>
      <c r="O135" s="76" t="s">
        <v>1272</v>
      </c>
      <c r="P135" s="76"/>
      <c r="Q135" s="75"/>
      <c r="R135" s="351">
        <v>1</v>
      </c>
      <c r="S135" s="351" t="s">
        <v>3242</v>
      </c>
      <c r="T135" s="351" t="s">
        <v>2631</v>
      </c>
      <c r="U135" s="351" t="s">
        <v>2615</v>
      </c>
      <c r="V135" s="351" t="s">
        <v>2328</v>
      </c>
      <c r="W135" s="311">
        <v>31937004</v>
      </c>
      <c r="X135" s="311">
        <v>259848.00000000003</v>
      </c>
      <c r="Y135" s="311">
        <v>2229872.1454545455</v>
      </c>
      <c r="Z135" s="311">
        <v>3298013.8181818184</v>
      </c>
      <c r="AA135" s="311">
        <v>2308609.6727272728</v>
      </c>
      <c r="AB135" s="68">
        <f t="shared" si="41"/>
        <v>40033347.63636364</v>
      </c>
      <c r="AC135" s="68">
        <f>F135*AB135</f>
        <v>40033347.63636364</v>
      </c>
      <c r="AD135" s="127">
        <f>R135*AB135</f>
        <v>40033347.63636364</v>
      </c>
      <c r="AE135" s="330"/>
    </row>
    <row r="136" spans="1:31" ht="75">
      <c r="A136" s="482">
        <v>27</v>
      </c>
      <c r="B136" s="75" t="s">
        <v>1308</v>
      </c>
      <c r="C136" s="33" t="s">
        <v>8</v>
      </c>
      <c r="D136" s="68">
        <v>1</v>
      </c>
      <c r="E136" s="66">
        <v>1</v>
      </c>
      <c r="F136" s="351">
        <f t="shared" si="28"/>
        <v>1</v>
      </c>
      <c r="G136" s="76" t="s">
        <v>1319</v>
      </c>
      <c r="H136" s="76">
        <v>43000</v>
      </c>
      <c r="I136" s="76">
        <v>900</v>
      </c>
      <c r="J136" s="76" t="s">
        <v>1268</v>
      </c>
      <c r="K136" s="76" t="s">
        <v>1269</v>
      </c>
      <c r="L136" s="76">
        <v>33</v>
      </c>
      <c r="M136" s="76" t="s">
        <v>1149</v>
      </c>
      <c r="N136" s="76" t="s">
        <v>1271</v>
      </c>
      <c r="O136" s="76" t="s">
        <v>1272</v>
      </c>
      <c r="P136" s="76"/>
      <c r="Q136" s="75"/>
      <c r="R136" s="351">
        <v>1</v>
      </c>
      <c r="S136" s="351" t="s">
        <v>3243</v>
      </c>
      <c r="T136" s="351" t="s">
        <v>2787</v>
      </c>
      <c r="U136" s="351" t="s">
        <v>2615</v>
      </c>
      <c r="V136" s="351" t="s">
        <v>2328</v>
      </c>
      <c r="W136" s="311">
        <v>49724280</v>
      </c>
      <c r="X136" s="311">
        <v>259848.00000000003</v>
      </c>
      <c r="Y136" s="311">
        <v>3135815.7454545456</v>
      </c>
      <c r="Z136" s="311">
        <v>5105105.8181818184</v>
      </c>
      <c r="AA136" s="311">
        <v>3573574.0727272728</v>
      </c>
      <c r="AB136" s="68">
        <f t="shared" si="41"/>
        <v>61798623.636363633</v>
      </c>
      <c r="AC136" s="68">
        <f>F136*AB136</f>
        <v>61798623.636363633</v>
      </c>
      <c r="AD136" s="127">
        <f>R136*AB136</f>
        <v>61798623.636363633</v>
      </c>
      <c r="AE136" s="330"/>
    </row>
    <row r="137" spans="1:31">
      <c r="A137" s="482"/>
      <c r="B137" s="78" t="s">
        <v>1259</v>
      </c>
      <c r="C137" s="33"/>
      <c r="D137" s="68"/>
      <c r="E137" s="66"/>
      <c r="F137" s="351"/>
      <c r="G137" s="76"/>
      <c r="H137" s="76"/>
      <c r="I137" s="76"/>
      <c r="J137" s="76"/>
      <c r="K137" s="76"/>
      <c r="L137" s="76"/>
      <c r="M137" s="76"/>
      <c r="N137" s="76"/>
      <c r="O137" s="76"/>
      <c r="P137" s="76"/>
      <c r="Q137" s="75"/>
      <c r="R137" s="351"/>
      <c r="S137" s="351"/>
      <c r="T137" s="351"/>
      <c r="U137" s="351"/>
      <c r="V137" s="335"/>
      <c r="W137" s="66"/>
      <c r="X137" s="66"/>
      <c r="Y137" s="66"/>
      <c r="Z137" s="66"/>
      <c r="AA137" s="66"/>
      <c r="AB137" s="66"/>
      <c r="AC137" s="66"/>
      <c r="AD137" s="66"/>
      <c r="AE137" s="335"/>
    </row>
    <row r="138" spans="1:31" ht="75">
      <c r="A138" s="482">
        <v>28</v>
      </c>
      <c r="B138" s="75" t="s">
        <v>1320</v>
      </c>
      <c r="C138" s="33" t="s">
        <v>8</v>
      </c>
      <c r="D138" s="68">
        <v>1</v>
      </c>
      <c r="E138" s="66">
        <v>1</v>
      </c>
      <c r="F138" s="351">
        <f t="shared" si="28"/>
        <v>1</v>
      </c>
      <c r="G138" s="76" t="s">
        <v>1321</v>
      </c>
      <c r="H138" s="76">
        <v>36000</v>
      </c>
      <c r="I138" s="76">
        <v>700</v>
      </c>
      <c r="J138" s="76" t="s">
        <v>1148</v>
      </c>
      <c r="K138" s="76">
        <v>55</v>
      </c>
      <c r="L138" s="76">
        <v>18.5</v>
      </c>
      <c r="M138" s="76" t="s">
        <v>1149</v>
      </c>
      <c r="N138" s="76" t="s">
        <v>1271</v>
      </c>
      <c r="O138" s="76" t="s">
        <v>1272</v>
      </c>
      <c r="P138" s="76"/>
      <c r="Q138" s="75"/>
      <c r="R138" s="351">
        <v>1</v>
      </c>
      <c r="S138" s="351" t="s">
        <v>3244</v>
      </c>
      <c r="T138" s="351" t="s">
        <v>2631</v>
      </c>
      <c r="U138" s="351" t="s">
        <v>2615</v>
      </c>
      <c r="V138" s="351" t="s">
        <v>2328</v>
      </c>
      <c r="W138" s="311">
        <v>31937004</v>
      </c>
      <c r="X138" s="311">
        <v>259848.00000000003</v>
      </c>
      <c r="Y138" s="311">
        <v>2229872.1454545455</v>
      </c>
      <c r="Z138" s="311">
        <v>3298013.8181818184</v>
      </c>
      <c r="AA138" s="311">
        <v>2308609.6727272728</v>
      </c>
      <c r="AB138" s="68">
        <f t="shared" ref="AB138:AB144" si="42">SUM(W138:AA138)</f>
        <v>40033347.63636364</v>
      </c>
      <c r="AC138" s="68">
        <f t="shared" ref="AC138:AC144" si="43">F138*AB138</f>
        <v>40033347.63636364</v>
      </c>
      <c r="AD138" s="127">
        <f t="shared" ref="AD138:AD144" si="44">R138*AB138</f>
        <v>40033347.63636364</v>
      </c>
      <c r="AE138" s="335"/>
    </row>
    <row r="139" spans="1:31" ht="75">
      <c r="A139" s="482">
        <v>29</v>
      </c>
      <c r="B139" s="75" t="s">
        <v>1304</v>
      </c>
      <c r="C139" s="33" t="s">
        <v>8</v>
      </c>
      <c r="D139" s="68">
        <v>1</v>
      </c>
      <c r="E139" s="66">
        <v>1</v>
      </c>
      <c r="F139" s="351">
        <f t="shared" si="28"/>
        <v>1</v>
      </c>
      <c r="G139" s="76" t="s">
        <v>1322</v>
      </c>
      <c r="H139" s="76">
        <v>26000</v>
      </c>
      <c r="I139" s="76">
        <v>700</v>
      </c>
      <c r="J139" s="76" t="s">
        <v>1148</v>
      </c>
      <c r="K139" s="76">
        <v>55</v>
      </c>
      <c r="L139" s="76">
        <v>18.5</v>
      </c>
      <c r="M139" s="76" t="s">
        <v>1149</v>
      </c>
      <c r="N139" s="76" t="s">
        <v>1271</v>
      </c>
      <c r="O139" s="76" t="s">
        <v>1272</v>
      </c>
      <c r="P139" s="76"/>
      <c r="Q139" s="75"/>
      <c r="R139" s="351">
        <v>1</v>
      </c>
      <c r="S139" s="351" t="s">
        <v>3277</v>
      </c>
      <c r="T139" s="351" t="s">
        <v>3260</v>
      </c>
      <c r="U139" s="351" t="s">
        <v>2615</v>
      </c>
      <c r="V139" s="351" t="s">
        <v>2328</v>
      </c>
      <c r="W139" s="311">
        <v>30424140</v>
      </c>
      <c r="X139" s="311">
        <v>259848.00000000003</v>
      </c>
      <c r="Y139" s="311">
        <v>1724120.0999999999</v>
      </c>
      <c r="Z139" s="311">
        <v>3106377</v>
      </c>
      <c r="AA139" s="311">
        <v>2174463.9000000004</v>
      </c>
      <c r="AB139" s="68">
        <f t="shared" si="42"/>
        <v>37688949</v>
      </c>
      <c r="AC139" s="68">
        <f t="shared" si="43"/>
        <v>37688949</v>
      </c>
      <c r="AD139" s="127">
        <f t="shared" si="44"/>
        <v>37688949</v>
      </c>
      <c r="AE139" s="331"/>
    </row>
    <row r="140" spans="1:31" ht="75">
      <c r="A140" s="482">
        <v>30</v>
      </c>
      <c r="B140" s="75" t="s">
        <v>1297</v>
      </c>
      <c r="C140" s="33" t="s">
        <v>8</v>
      </c>
      <c r="D140" s="68">
        <v>1</v>
      </c>
      <c r="E140" s="66">
        <v>1</v>
      </c>
      <c r="F140" s="351">
        <f t="shared" si="28"/>
        <v>1</v>
      </c>
      <c r="G140" s="76" t="s">
        <v>1323</v>
      </c>
      <c r="H140" s="76">
        <v>15500</v>
      </c>
      <c r="I140" s="76">
        <v>450</v>
      </c>
      <c r="J140" s="76" t="s">
        <v>1148</v>
      </c>
      <c r="K140" s="76">
        <v>55</v>
      </c>
      <c r="L140" s="76">
        <v>11</v>
      </c>
      <c r="M140" s="76" t="s">
        <v>1149</v>
      </c>
      <c r="N140" s="76" t="s">
        <v>1271</v>
      </c>
      <c r="O140" s="76" t="s">
        <v>1272</v>
      </c>
      <c r="P140" s="76"/>
      <c r="Q140" s="75"/>
      <c r="R140" s="351">
        <v>1</v>
      </c>
      <c r="S140" s="351" t="s">
        <v>3267</v>
      </c>
      <c r="T140" s="351" t="s">
        <v>3263</v>
      </c>
      <c r="U140" s="351" t="s">
        <v>2615</v>
      </c>
      <c r="V140" s="351" t="s">
        <v>2328</v>
      </c>
      <c r="W140" s="311">
        <v>15284376</v>
      </c>
      <c r="X140" s="311">
        <v>259848.00000000003</v>
      </c>
      <c r="Y140" s="311">
        <v>1175763.9727272727</v>
      </c>
      <c r="Z140" s="311">
        <v>1587969.9090909092</v>
      </c>
      <c r="AA140" s="311">
        <v>1111578.9363636363</v>
      </c>
      <c r="AB140" s="68">
        <f t="shared" si="42"/>
        <v>19419536.81818182</v>
      </c>
      <c r="AC140" s="68">
        <f t="shared" si="43"/>
        <v>19419536.81818182</v>
      </c>
      <c r="AD140" s="127">
        <f t="shared" si="44"/>
        <v>19419536.81818182</v>
      </c>
      <c r="AE140" s="334"/>
    </row>
    <row r="141" spans="1:31" ht="75">
      <c r="A141" s="482">
        <v>31</v>
      </c>
      <c r="B141" s="75" t="s">
        <v>1311</v>
      </c>
      <c r="C141" s="33" t="s">
        <v>8</v>
      </c>
      <c r="D141" s="68">
        <v>1</v>
      </c>
      <c r="E141" s="66">
        <v>1</v>
      </c>
      <c r="F141" s="351">
        <f t="shared" si="28"/>
        <v>1</v>
      </c>
      <c r="G141" s="76" t="s">
        <v>1324</v>
      </c>
      <c r="H141" s="76">
        <v>58000</v>
      </c>
      <c r="I141" s="76">
        <v>700</v>
      </c>
      <c r="J141" s="76" t="s">
        <v>1148</v>
      </c>
      <c r="K141" s="76">
        <v>55</v>
      </c>
      <c r="L141" s="76">
        <v>33</v>
      </c>
      <c r="M141" s="76" t="s">
        <v>1149</v>
      </c>
      <c r="N141" s="76" t="s">
        <v>1271</v>
      </c>
      <c r="O141" s="76" t="s">
        <v>1272</v>
      </c>
      <c r="P141" s="76"/>
      <c r="Q141" s="75"/>
      <c r="R141" s="351">
        <v>1</v>
      </c>
      <c r="S141" s="351" t="s">
        <v>3273</v>
      </c>
      <c r="T141" s="351" t="s">
        <v>2630</v>
      </c>
      <c r="U141" s="351" t="s">
        <v>2615</v>
      </c>
      <c r="V141" s="351" t="s">
        <v>2328</v>
      </c>
      <c r="W141" s="311">
        <v>32604444</v>
      </c>
      <c r="X141" s="311">
        <v>259848.00000000003</v>
      </c>
      <c r="Y141" s="311">
        <v>3646989.7363636368</v>
      </c>
      <c r="Z141" s="311">
        <v>3488222.4545454551</v>
      </c>
      <c r="AA141" s="311">
        <v>2441755.7181818187</v>
      </c>
      <c r="AB141" s="68">
        <f t="shared" si="42"/>
        <v>42441259.909090906</v>
      </c>
      <c r="AC141" s="68">
        <f t="shared" si="43"/>
        <v>42441259.909090906</v>
      </c>
      <c r="AD141" s="127">
        <f t="shared" si="44"/>
        <v>42441259.909090906</v>
      </c>
      <c r="AE141" s="330"/>
    </row>
    <row r="142" spans="1:31" ht="75">
      <c r="A142" s="482">
        <v>32</v>
      </c>
      <c r="B142" s="75" t="s">
        <v>1325</v>
      </c>
      <c r="C142" s="33" t="s">
        <v>8</v>
      </c>
      <c r="D142" s="68">
        <v>1</v>
      </c>
      <c r="E142" s="66">
        <v>1</v>
      </c>
      <c r="F142" s="351">
        <f t="shared" si="28"/>
        <v>1</v>
      </c>
      <c r="G142" s="76" t="s">
        <v>1326</v>
      </c>
      <c r="H142" s="76">
        <v>62000</v>
      </c>
      <c r="I142" s="76">
        <v>800</v>
      </c>
      <c r="J142" s="76" t="s">
        <v>1148</v>
      </c>
      <c r="K142" s="76">
        <v>55</v>
      </c>
      <c r="L142" s="76">
        <v>33</v>
      </c>
      <c r="M142" s="76" t="s">
        <v>1149</v>
      </c>
      <c r="N142" s="76" t="s">
        <v>1271</v>
      </c>
      <c r="O142" s="76" t="s">
        <v>1272</v>
      </c>
      <c r="P142" s="76"/>
      <c r="Q142" s="75"/>
      <c r="R142" s="351">
        <v>1</v>
      </c>
      <c r="S142" s="351" t="s">
        <v>3245</v>
      </c>
      <c r="T142" s="351" t="s">
        <v>2632</v>
      </c>
      <c r="U142" s="351" t="s">
        <v>2615</v>
      </c>
      <c r="V142" s="351" t="s">
        <v>2328</v>
      </c>
      <c r="W142" s="311">
        <v>46064484</v>
      </c>
      <c r="X142" s="311">
        <v>259848.00000000003</v>
      </c>
      <c r="Y142" s="311">
        <v>4694973.3090909095</v>
      </c>
      <c r="Z142" s="311">
        <v>4887764.3636363633</v>
      </c>
      <c r="AA142" s="311">
        <v>3421435.0545454547</v>
      </c>
      <c r="AB142" s="68">
        <f t="shared" si="42"/>
        <v>59328504.727272727</v>
      </c>
      <c r="AC142" s="68">
        <f t="shared" si="43"/>
        <v>59328504.727272727</v>
      </c>
      <c r="AD142" s="127">
        <f t="shared" si="44"/>
        <v>59328504.727272727</v>
      </c>
      <c r="AE142" s="15"/>
    </row>
    <row r="143" spans="1:31" ht="75">
      <c r="A143" s="482">
        <v>33</v>
      </c>
      <c r="B143" s="75" t="s">
        <v>1308</v>
      </c>
      <c r="C143" s="33" t="s">
        <v>8</v>
      </c>
      <c r="D143" s="68">
        <v>1</v>
      </c>
      <c r="E143" s="66">
        <v>1</v>
      </c>
      <c r="F143" s="351">
        <f t="shared" ref="F143:F144" si="45">E143</f>
        <v>1</v>
      </c>
      <c r="G143" s="76" t="s">
        <v>1327</v>
      </c>
      <c r="H143" s="76">
        <v>43000</v>
      </c>
      <c r="I143" s="76">
        <v>900</v>
      </c>
      <c r="J143" s="76" t="s">
        <v>1268</v>
      </c>
      <c r="K143" s="76" t="s">
        <v>1269</v>
      </c>
      <c r="L143" s="76">
        <v>33</v>
      </c>
      <c r="M143" s="76" t="s">
        <v>1149</v>
      </c>
      <c r="N143" s="76" t="s">
        <v>1271</v>
      </c>
      <c r="O143" s="76" t="s">
        <v>1272</v>
      </c>
      <c r="P143" s="76"/>
      <c r="Q143" s="75"/>
      <c r="R143" s="351">
        <v>1</v>
      </c>
      <c r="S143" s="351" t="s">
        <v>3246</v>
      </c>
      <c r="T143" s="351" t="s">
        <v>2787</v>
      </c>
      <c r="U143" s="351" t="s">
        <v>2615</v>
      </c>
      <c r="V143" s="351" t="s">
        <v>2328</v>
      </c>
      <c r="W143" s="311">
        <v>49724280</v>
      </c>
      <c r="X143" s="311">
        <v>259848.00000000003</v>
      </c>
      <c r="Y143" s="311">
        <v>3135815.7454545456</v>
      </c>
      <c r="Z143" s="311">
        <v>5105105.8181818184</v>
      </c>
      <c r="AA143" s="311">
        <v>3573574.0727272728</v>
      </c>
      <c r="AB143" s="68">
        <f t="shared" si="42"/>
        <v>61798623.636363633</v>
      </c>
      <c r="AC143" s="68">
        <f t="shared" si="43"/>
        <v>61798623.636363633</v>
      </c>
      <c r="AD143" s="127">
        <f t="shared" si="44"/>
        <v>61798623.636363633</v>
      </c>
      <c r="AE143" s="335"/>
    </row>
    <row r="144" spans="1:31" ht="75">
      <c r="A144" s="488">
        <v>34</v>
      </c>
      <c r="B144" s="154" t="s">
        <v>1328</v>
      </c>
      <c r="C144" s="489" t="s">
        <v>8</v>
      </c>
      <c r="D144" s="309">
        <v>1</v>
      </c>
      <c r="E144" s="287">
        <v>1</v>
      </c>
      <c r="F144" s="353">
        <f t="shared" si="45"/>
        <v>1</v>
      </c>
      <c r="G144" s="153" t="s">
        <v>1329</v>
      </c>
      <c r="H144" s="153">
        <v>54000</v>
      </c>
      <c r="I144" s="153">
        <v>1200</v>
      </c>
      <c r="J144" s="153" t="s">
        <v>1268</v>
      </c>
      <c r="K144" s="153" t="s">
        <v>1269</v>
      </c>
      <c r="L144" s="153">
        <v>33</v>
      </c>
      <c r="M144" s="153" t="s">
        <v>1149</v>
      </c>
      <c r="N144" s="153" t="s">
        <v>1271</v>
      </c>
      <c r="O144" s="153" t="s">
        <v>1272</v>
      </c>
      <c r="P144" s="153"/>
      <c r="Q144" s="154"/>
      <c r="R144" s="353">
        <v>1</v>
      </c>
      <c r="S144" s="351" t="s">
        <v>3279</v>
      </c>
      <c r="T144" s="351" t="s">
        <v>3261</v>
      </c>
      <c r="U144" s="351" t="s">
        <v>2615</v>
      </c>
      <c r="V144" s="351" t="s">
        <v>2328</v>
      </c>
      <c r="W144" s="311">
        <v>101406384</v>
      </c>
      <c r="X144" s="311">
        <v>259848.00000000003</v>
      </c>
      <c r="Y144" s="311">
        <v>3646989.7363636368</v>
      </c>
      <c r="Z144" s="311">
        <v>10168022.454545455</v>
      </c>
      <c r="AA144" s="311">
        <v>7117615.7181818187</v>
      </c>
      <c r="AB144" s="68">
        <f t="shared" si="42"/>
        <v>122598859.90909091</v>
      </c>
      <c r="AC144" s="68">
        <f t="shared" si="43"/>
        <v>122598859.90909091</v>
      </c>
      <c r="AD144" s="127">
        <f t="shared" si="44"/>
        <v>122598859.90909091</v>
      </c>
      <c r="AE144" s="490"/>
    </row>
    <row r="145" spans="1:31" s="71" customFormat="1" ht="14.25">
      <c r="A145" s="449" t="s">
        <v>1124</v>
      </c>
      <c r="B145" s="450" t="s">
        <v>1882</v>
      </c>
      <c r="C145" s="284"/>
      <c r="D145" s="385"/>
      <c r="E145" s="284"/>
      <c r="F145" s="485"/>
      <c r="G145" s="462"/>
      <c r="H145" s="462"/>
      <c r="I145" s="462"/>
      <c r="J145" s="462"/>
      <c r="K145" s="464"/>
      <c r="L145" s="465"/>
      <c r="M145" s="462"/>
      <c r="N145" s="462"/>
      <c r="O145" s="462"/>
      <c r="P145" s="462"/>
      <c r="Q145" s="266"/>
      <c r="R145" s="485"/>
      <c r="S145" s="462"/>
      <c r="T145" s="501"/>
      <c r="U145" s="288"/>
      <c r="V145" s="288"/>
      <c r="W145" s="279"/>
      <c r="X145" s="279"/>
      <c r="Y145" s="279"/>
      <c r="Z145" s="279"/>
      <c r="AA145" s="279"/>
      <c r="AB145" s="279"/>
      <c r="AC145" s="279">
        <f>SUBTOTAL(9,AC146:AC149)</f>
        <v>0</v>
      </c>
      <c r="AD145" s="279">
        <f>SUBTOTAL(9,AD146:AD149)</f>
        <v>0</v>
      </c>
      <c r="AE145" s="288"/>
    </row>
    <row r="146" spans="1:31" s="79" customFormat="1">
      <c r="A146" s="76"/>
      <c r="B146" s="267" t="s">
        <v>2293</v>
      </c>
      <c r="C146" s="137"/>
      <c r="D146" s="137"/>
      <c r="E146" s="137"/>
      <c r="F146" s="137"/>
      <c r="G146" s="137"/>
      <c r="H146" s="137"/>
      <c r="I146" s="137"/>
      <c r="J146" s="137"/>
      <c r="K146" s="16"/>
      <c r="L146" s="33"/>
      <c r="M146" s="137"/>
      <c r="N146" s="455"/>
      <c r="O146" s="455"/>
      <c r="P146" s="455"/>
      <c r="Q146" s="455"/>
      <c r="R146" s="455"/>
      <c r="S146" s="137"/>
      <c r="T146" s="138"/>
      <c r="U146" s="26"/>
      <c r="V146" s="26"/>
      <c r="W146" s="66"/>
      <c r="X146" s="66"/>
      <c r="Y146" s="66"/>
      <c r="Z146" s="66"/>
      <c r="AA146" s="66"/>
      <c r="AB146" s="66"/>
      <c r="AC146" s="66"/>
      <c r="AD146" s="66"/>
      <c r="AE146" s="26"/>
    </row>
    <row r="147" spans="1:31" s="79" customFormat="1">
      <c r="A147" s="76"/>
      <c r="B147" s="267" t="s">
        <v>2294</v>
      </c>
      <c r="C147" s="137"/>
      <c r="D147" s="137"/>
      <c r="E147" s="137"/>
      <c r="F147" s="137"/>
      <c r="G147" s="137"/>
      <c r="H147" s="137"/>
      <c r="I147" s="137"/>
      <c r="J147" s="137"/>
      <c r="K147" s="16"/>
      <c r="L147" s="33"/>
      <c r="M147" s="137"/>
      <c r="N147" s="455"/>
      <c r="O147" s="455"/>
      <c r="P147" s="455"/>
      <c r="Q147" s="455"/>
      <c r="R147" s="455"/>
      <c r="S147" s="137"/>
      <c r="T147" s="138"/>
      <c r="U147" s="26"/>
      <c r="V147" s="26"/>
      <c r="W147" s="66"/>
      <c r="X147" s="66"/>
      <c r="Y147" s="66"/>
      <c r="Z147" s="66"/>
      <c r="AA147" s="66"/>
      <c r="AB147" s="66"/>
      <c r="AC147" s="66"/>
      <c r="AD147" s="66"/>
      <c r="AE147" s="26"/>
    </row>
    <row r="148" spans="1:31" s="79" customFormat="1">
      <c r="A148" s="76"/>
      <c r="B148" s="267" t="s">
        <v>2295</v>
      </c>
      <c r="C148" s="137"/>
      <c r="D148" s="137"/>
      <c r="E148" s="137"/>
      <c r="F148" s="137"/>
      <c r="G148" s="137"/>
      <c r="H148" s="137"/>
      <c r="I148" s="137"/>
      <c r="J148" s="137"/>
      <c r="K148" s="16"/>
      <c r="L148" s="33"/>
      <c r="M148" s="137"/>
      <c r="N148" s="455"/>
      <c r="O148" s="455"/>
      <c r="P148" s="455"/>
      <c r="Q148" s="455"/>
      <c r="R148" s="455"/>
      <c r="S148" s="137"/>
      <c r="T148" s="138"/>
      <c r="U148" s="26"/>
      <c r="V148" s="26"/>
      <c r="W148" s="66"/>
      <c r="X148" s="66"/>
      <c r="Y148" s="66"/>
      <c r="Z148" s="66"/>
      <c r="AA148" s="66"/>
      <c r="AB148" s="66"/>
      <c r="AC148" s="66"/>
      <c r="AD148" s="66"/>
      <c r="AE148" s="26"/>
    </row>
    <row r="149" spans="1:31" s="79" customFormat="1">
      <c r="A149" s="153"/>
      <c r="B149" s="491" t="s">
        <v>2296</v>
      </c>
      <c r="C149" s="492"/>
      <c r="D149" s="492"/>
      <c r="E149" s="492"/>
      <c r="F149" s="492"/>
      <c r="G149" s="492"/>
      <c r="H149" s="492"/>
      <c r="I149" s="492"/>
      <c r="J149" s="492"/>
      <c r="K149" s="493"/>
      <c r="L149" s="489"/>
      <c r="M149" s="492"/>
      <c r="N149" s="494"/>
      <c r="O149" s="494"/>
      <c r="P149" s="494"/>
      <c r="Q149" s="494"/>
      <c r="R149" s="494"/>
      <c r="S149" s="492"/>
      <c r="T149" s="495"/>
      <c r="U149" s="377"/>
      <c r="V149" s="377"/>
      <c r="W149" s="287"/>
      <c r="X149" s="287"/>
      <c r="Y149" s="287"/>
      <c r="Z149" s="287"/>
      <c r="AA149" s="287"/>
      <c r="AB149" s="287"/>
      <c r="AC149" s="287"/>
      <c r="AD149" s="287"/>
      <c r="AE149" s="377"/>
    </row>
    <row r="150" spans="1:31" s="71" customFormat="1" ht="14.25">
      <c r="A150" s="261" t="s">
        <v>2291</v>
      </c>
      <c r="B150" s="262" t="s">
        <v>2292</v>
      </c>
      <c r="C150" s="263"/>
      <c r="D150" s="388"/>
      <c r="E150" s="263"/>
      <c r="F150" s="496"/>
      <c r="G150" s="497"/>
      <c r="H150" s="497"/>
      <c r="I150" s="497"/>
      <c r="J150" s="497"/>
      <c r="K150" s="498"/>
      <c r="L150" s="499"/>
      <c r="M150" s="497"/>
      <c r="N150" s="497"/>
      <c r="O150" s="497"/>
      <c r="P150" s="497"/>
      <c r="Q150" s="500"/>
      <c r="R150" s="496"/>
      <c r="S150" s="497"/>
      <c r="T150" s="497"/>
      <c r="U150" s="389"/>
      <c r="V150" s="389"/>
      <c r="W150" s="390"/>
      <c r="X150" s="390"/>
      <c r="Y150" s="390"/>
      <c r="Z150" s="390"/>
      <c r="AA150" s="390"/>
      <c r="AB150" s="390"/>
      <c r="AC150" s="497">
        <f>AC9+AC145</f>
        <v>3207776308.8257575</v>
      </c>
      <c r="AD150" s="497">
        <f>AD9+AD145</f>
        <v>3207776308.8257575</v>
      </c>
      <c r="AE150" s="389"/>
    </row>
  </sheetData>
  <autoFilter ref="A8:AE150" xr:uid="{466BE8AC-4B71-4621-877A-7A75178D878C}"/>
  <mergeCells count="18">
    <mergeCell ref="R5:AE5"/>
    <mergeCell ref="R6:R7"/>
    <mergeCell ref="S6:V6"/>
    <mergeCell ref="W6:AB6"/>
    <mergeCell ref="AC6:AD6"/>
    <mergeCell ref="AE6:AE7"/>
    <mergeCell ref="F6:F7"/>
    <mergeCell ref="C6:C7"/>
    <mergeCell ref="D6:D7"/>
    <mergeCell ref="Q55:Q56"/>
    <mergeCell ref="A5:Q5"/>
    <mergeCell ref="A6:A7"/>
    <mergeCell ref="B6:B7"/>
    <mergeCell ref="O6:O7"/>
    <mergeCell ref="P6:P7"/>
    <mergeCell ref="Q6:Q7"/>
    <mergeCell ref="G6:G7"/>
    <mergeCell ref="E6:E7"/>
  </mergeCells>
  <conditionalFormatting sqref="C145 C150">
    <cfRule type="cellIs" dxfId="1" priority="2" operator="equal">
      <formula>0</formula>
    </cfRule>
  </conditionalFormatting>
  <conditionalFormatting sqref="K145:K150">
    <cfRule type="cellIs" dxfId="0" priority="1" operator="equal">
      <formula>0</formula>
    </cfRule>
  </conditionalFormatting>
  <printOptions horizontalCentered="1"/>
  <pageMargins left="0.39370078740157483" right="0.39370078740157483" top="0.59055118110236227" bottom="0.39370078740157483" header="0.19685039370078741" footer="0.19685039370078741"/>
  <pageSetup scale="27" fitToHeight="100" orientation="landscape" horizontalDpi="1200" verticalDpi="1200" r:id="rId1"/>
  <headerFooter>
    <oddFooter>Page &amp;P&amp;R&amp;A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8255-3D20-4417-8D90-25CE98BAECF4}">
  <sheetPr>
    <tabColor theme="5" tint="0.79998168889431442"/>
    <outlinePr summaryBelow="0"/>
    <pageSetUpPr fitToPage="1"/>
  </sheetPr>
  <dimension ref="A1:S1548"/>
  <sheetViews>
    <sheetView topLeftCell="A4" zoomScaleNormal="100" zoomScaleSheetLayoutView="55" workbookViewId="0">
      <pane xSplit="6" ySplit="5" topLeftCell="L1523" activePane="bottomRight" state="frozen"/>
      <selection activeCell="A4" sqref="A4"/>
      <selection pane="topRight" activeCell="G4" sqref="G4"/>
      <selection pane="bottomLeft" activeCell="A9" sqref="A9"/>
      <selection pane="bottomRight" activeCell="S1548" sqref="S1548"/>
    </sheetView>
  </sheetViews>
  <sheetFormatPr defaultColWidth="9.140625" defaultRowHeight="15"/>
  <cols>
    <col min="1" max="1" width="5.7109375" style="89" customWidth="1"/>
    <col min="2" max="2" width="60.7109375" style="70" customWidth="1"/>
    <col min="3" max="3" width="10.7109375" style="89" customWidth="1"/>
    <col min="4" max="4" width="10.7109375" style="548" customWidth="1"/>
    <col min="5" max="5" width="25.7109375" style="89" customWidth="1"/>
    <col min="6" max="6" width="10.7109375" style="343" customWidth="1"/>
    <col min="7" max="7" width="40.7109375" style="343" customWidth="1"/>
    <col min="8" max="10" width="15.7109375" style="343" customWidth="1"/>
    <col min="11" max="16" width="15.7109375" style="300" customWidth="1"/>
    <col min="17" max="17" width="17" style="300" customWidth="1"/>
    <col min="18" max="18" width="17.28515625" style="300" customWidth="1"/>
    <col min="19" max="19" width="20.7109375" style="343" customWidth="1"/>
    <col min="20" max="16384" width="9.140625" style="70"/>
  </cols>
  <sheetData>
    <row r="1" spans="1:19">
      <c r="A1" s="41" t="s">
        <v>0</v>
      </c>
    </row>
    <row r="2" spans="1:19">
      <c r="A2" s="41" t="s">
        <v>1</v>
      </c>
    </row>
    <row r="3" spans="1:19">
      <c r="A3" s="41" t="s">
        <v>1045</v>
      </c>
    </row>
    <row r="4" spans="1:19">
      <c r="A4" s="394"/>
      <c r="F4" s="325"/>
      <c r="G4" s="325"/>
      <c r="H4" s="325"/>
      <c r="I4" s="325"/>
      <c r="J4" s="325"/>
      <c r="K4" s="34"/>
      <c r="L4" s="34"/>
      <c r="M4" s="34"/>
      <c r="N4" s="34"/>
      <c r="O4" s="34"/>
      <c r="P4" s="34"/>
      <c r="Q4" s="34"/>
      <c r="R4" s="34"/>
      <c r="S4" s="325"/>
    </row>
    <row r="5" spans="1:19">
      <c r="A5" s="707" t="s">
        <v>1864</v>
      </c>
      <c r="B5" s="707"/>
      <c r="C5" s="707"/>
      <c r="D5" s="707"/>
      <c r="E5" s="707"/>
      <c r="F5" s="690" t="s">
        <v>2325</v>
      </c>
      <c r="G5" s="690"/>
      <c r="H5" s="690"/>
      <c r="I5" s="690"/>
      <c r="J5" s="690"/>
      <c r="K5" s="690"/>
      <c r="L5" s="690"/>
      <c r="M5" s="690"/>
      <c r="N5" s="690"/>
      <c r="O5" s="690"/>
      <c r="P5" s="690"/>
      <c r="Q5" s="690"/>
      <c r="R5" s="690"/>
      <c r="S5" s="690"/>
    </row>
    <row r="6" spans="1:19">
      <c r="A6" s="726" t="s">
        <v>3</v>
      </c>
      <c r="B6" s="726" t="s">
        <v>1865</v>
      </c>
      <c r="C6" s="726" t="s">
        <v>1881</v>
      </c>
      <c r="D6" s="713" t="s">
        <v>1866</v>
      </c>
      <c r="E6" s="726" t="s">
        <v>752</v>
      </c>
      <c r="F6" s="676" t="s">
        <v>1867</v>
      </c>
      <c r="G6" s="677" t="s">
        <v>1868</v>
      </c>
      <c r="H6" s="677"/>
      <c r="I6" s="677"/>
      <c r="J6" s="677"/>
      <c r="K6" s="677" t="s">
        <v>1869</v>
      </c>
      <c r="L6" s="677"/>
      <c r="M6" s="677"/>
      <c r="N6" s="677"/>
      <c r="O6" s="677"/>
      <c r="P6" s="677"/>
      <c r="Q6" s="692" t="s">
        <v>1870</v>
      </c>
      <c r="R6" s="693"/>
      <c r="S6" s="666" t="s">
        <v>5</v>
      </c>
    </row>
    <row r="7" spans="1:19" ht="28.5">
      <c r="A7" s="727"/>
      <c r="B7" s="727"/>
      <c r="C7" s="727"/>
      <c r="D7" s="725"/>
      <c r="E7" s="727"/>
      <c r="F7" s="676"/>
      <c r="G7" s="258" t="s">
        <v>1871</v>
      </c>
      <c r="H7" s="258" t="s">
        <v>1847</v>
      </c>
      <c r="I7" s="258" t="s">
        <v>1848</v>
      </c>
      <c r="J7" s="258" t="s">
        <v>1849</v>
      </c>
      <c r="K7" s="259" t="s">
        <v>1850</v>
      </c>
      <c r="L7" s="259" t="s">
        <v>1859</v>
      </c>
      <c r="M7" s="259" t="s">
        <v>1872</v>
      </c>
      <c r="N7" s="259" t="s">
        <v>1873</v>
      </c>
      <c r="O7" s="259" t="s">
        <v>1851</v>
      </c>
      <c r="P7" s="259" t="s">
        <v>1874</v>
      </c>
      <c r="Q7" s="223" t="s">
        <v>1875</v>
      </c>
      <c r="R7" s="223" t="s">
        <v>1876</v>
      </c>
      <c r="S7" s="666"/>
    </row>
    <row r="8" spans="1:19" ht="28.5">
      <c r="A8" s="285">
        <v>1</v>
      </c>
      <c r="B8" s="285">
        <v>2</v>
      </c>
      <c r="C8" s="285">
        <v>3</v>
      </c>
      <c r="D8" s="435">
        <v>4</v>
      </c>
      <c r="E8" s="285">
        <v>5</v>
      </c>
      <c r="F8" s="364">
        <v>6</v>
      </c>
      <c r="G8" s="228">
        <v>7</v>
      </c>
      <c r="H8" s="228">
        <v>8</v>
      </c>
      <c r="I8" s="228">
        <v>9</v>
      </c>
      <c r="J8" s="228">
        <v>10</v>
      </c>
      <c r="K8" s="228">
        <v>11</v>
      </c>
      <c r="L8" s="228">
        <v>12</v>
      </c>
      <c r="M8" s="228">
        <v>13</v>
      </c>
      <c r="N8" s="228">
        <v>14</v>
      </c>
      <c r="O8" s="228">
        <v>15</v>
      </c>
      <c r="P8" s="228" t="s">
        <v>1877</v>
      </c>
      <c r="Q8" s="228" t="s">
        <v>1878</v>
      </c>
      <c r="R8" s="228" t="s">
        <v>1879</v>
      </c>
      <c r="S8" s="228">
        <v>19</v>
      </c>
    </row>
    <row r="9" spans="1:19" s="71" customFormat="1" ht="14.25">
      <c r="A9" s="239" t="s">
        <v>111</v>
      </c>
      <c r="B9" s="240" t="s">
        <v>112</v>
      </c>
      <c r="C9" s="243"/>
      <c r="D9" s="549"/>
      <c r="E9" s="243"/>
      <c r="F9" s="382"/>
      <c r="G9" s="382"/>
      <c r="H9" s="382"/>
      <c r="I9" s="382"/>
      <c r="J9" s="382"/>
      <c r="K9" s="384"/>
      <c r="L9" s="384"/>
      <c r="M9" s="384"/>
      <c r="N9" s="384"/>
      <c r="O9" s="384"/>
      <c r="P9" s="384"/>
      <c r="Q9" s="384">
        <f>SUBTOTAL(9,Q10:Q1109)</f>
        <v>39162586780.694069</v>
      </c>
      <c r="R9" s="384">
        <f>SUBTOTAL(9,R10:R1109)</f>
        <v>39162586780.694069</v>
      </c>
      <c r="S9" s="382"/>
    </row>
    <row r="10" spans="1:19" ht="28.5">
      <c r="A10" s="288"/>
      <c r="B10" s="289" t="s">
        <v>1333</v>
      </c>
      <c r="C10" s="288"/>
      <c r="D10" s="386"/>
      <c r="E10" s="288"/>
      <c r="F10" s="378"/>
      <c r="G10" s="554"/>
      <c r="H10" s="378"/>
      <c r="I10" s="378"/>
      <c r="J10" s="378"/>
      <c r="K10" s="218"/>
      <c r="L10" s="218"/>
      <c r="M10" s="218"/>
      <c r="N10" s="218"/>
      <c r="O10" s="218"/>
      <c r="P10" s="218"/>
      <c r="Q10" s="218"/>
      <c r="R10" s="218"/>
      <c r="S10" s="378"/>
    </row>
    <row r="11" spans="1:19" s="538" customFormat="1">
      <c r="A11" s="288" t="s">
        <v>2219</v>
      </c>
      <c r="B11" s="289" t="s">
        <v>2215</v>
      </c>
      <c r="C11" s="288"/>
      <c r="D11" s="386"/>
      <c r="E11" s="288"/>
      <c r="F11" s="378"/>
      <c r="G11" s="378"/>
      <c r="H11" s="378"/>
      <c r="I11" s="378"/>
      <c r="J11" s="378"/>
      <c r="K11" s="218"/>
      <c r="L11" s="218"/>
      <c r="M11" s="218"/>
      <c r="N11" s="218"/>
      <c r="O11" s="218"/>
      <c r="P11" s="218"/>
      <c r="Q11" s="218"/>
      <c r="R11" s="218"/>
      <c r="S11" s="378"/>
    </row>
    <row r="12" spans="1:19" s="538" customFormat="1">
      <c r="A12" s="539" t="s">
        <v>113</v>
      </c>
      <c r="B12" s="540" t="s">
        <v>2216</v>
      </c>
      <c r="C12" s="539"/>
      <c r="D12" s="487"/>
      <c r="E12" s="539"/>
      <c r="F12" s="326"/>
      <c r="G12" s="326"/>
      <c r="H12" s="326"/>
      <c r="I12" s="326"/>
      <c r="J12" s="558"/>
      <c r="K12" s="222"/>
      <c r="L12" s="222"/>
      <c r="M12" s="222"/>
      <c r="N12" s="222"/>
      <c r="O12" s="222"/>
      <c r="P12" s="222"/>
      <c r="Q12" s="222"/>
      <c r="R12" s="222"/>
      <c r="S12" s="326"/>
    </row>
    <row r="13" spans="1:19">
      <c r="A13" s="215" t="s">
        <v>2218</v>
      </c>
      <c r="B13" s="216" t="s">
        <v>2217</v>
      </c>
      <c r="C13" s="24"/>
      <c r="D13" s="351"/>
      <c r="E13" s="24"/>
      <c r="F13" s="26"/>
      <c r="G13" s="26"/>
      <c r="H13" s="26"/>
      <c r="I13" s="26"/>
      <c r="J13" s="559"/>
      <c r="K13" s="66"/>
      <c r="L13" s="66"/>
      <c r="M13" s="66"/>
      <c r="N13" s="66"/>
      <c r="O13" s="66"/>
      <c r="P13" s="66"/>
      <c r="Q13" s="66"/>
      <c r="R13" s="66"/>
      <c r="S13" s="26"/>
    </row>
    <row r="14" spans="1:19">
      <c r="A14" s="24" t="s">
        <v>1698</v>
      </c>
      <c r="B14" s="72" t="s">
        <v>1334</v>
      </c>
      <c r="C14" s="24"/>
      <c r="D14" s="351"/>
      <c r="E14" s="26"/>
      <c r="F14" s="26"/>
      <c r="G14" s="26"/>
      <c r="H14" s="26"/>
      <c r="I14" s="26"/>
      <c r="J14" s="559"/>
      <c r="K14" s="66"/>
      <c r="L14" s="66"/>
      <c r="M14" s="66"/>
      <c r="N14" s="66"/>
      <c r="O14" s="66"/>
      <c r="P14" s="66"/>
      <c r="Q14" s="66"/>
      <c r="R14" s="66"/>
      <c r="S14" s="26"/>
    </row>
    <row r="15" spans="1:19" ht="30">
      <c r="A15" s="24"/>
      <c r="B15" s="25" t="s">
        <v>1335</v>
      </c>
      <c r="C15" s="26" t="s">
        <v>1336</v>
      </c>
      <c r="D15" s="351">
        <v>87</v>
      </c>
      <c r="E15" s="26"/>
      <c r="F15" s="351">
        <v>87</v>
      </c>
      <c r="G15" s="351" t="s">
        <v>3123</v>
      </c>
      <c r="H15" s="351"/>
      <c r="I15" s="351" t="s">
        <v>2596</v>
      </c>
      <c r="J15" s="560" t="s">
        <v>2328</v>
      </c>
      <c r="K15" s="311">
        <v>634510.80000000005</v>
      </c>
      <c r="L15" s="311">
        <v>0</v>
      </c>
      <c r="M15" s="311">
        <v>313575.00000000006</v>
      </c>
      <c r="N15" s="311">
        <v>85962</v>
      </c>
      <c r="O15" s="311">
        <v>60173.400000000009</v>
      </c>
      <c r="P15" s="68">
        <f>SUM(K15:O15)</f>
        <v>1094221.2</v>
      </c>
      <c r="Q15" s="68">
        <f t="shared" ref="Q15:Q28" si="0">D15*P15</f>
        <v>95197244.399999991</v>
      </c>
      <c r="R15" s="127">
        <f t="shared" ref="R15:R28" si="1">F15*P15</f>
        <v>95197244.399999991</v>
      </c>
      <c r="S15" s="26"/>
    </row>
    <row r="16" spans="1:19" ht="30">
      <c r="A16" s="26"/>
      <c r="B16" s="25" t="s">
        <v>1337</v>
      </c>
      <c r="C16" s="26" t="s">
        <v>1336</v>
      </c>
      <c r="D16" s="351">
        <v>112</v>
      </c>
      <c r="E16" s="26"/>
      <c r="F16" s="351">
        <v>112</v>
      </c>
      <c r="G16" s="351" t="s">
        <v>3123</v>
      </c>
      <c r="H16" s="351"/>
      <c r="I16" s="351" t="s">
        <v>2596</v>
      </c>
      <c r="J16" s="560" t="s">
        <v>2328</v>
      </c>
      <c r="K16" s="311">
        <v>846014.4</v>
      </c>
      <c r="L16" s="311">
        <v>0</v>
      </c>
      <c r="M16" s="311">
        <v>418100.00000000006</v>
      </c>
      <c r="N16" s="311">
        <v>114616</v>
      </c>
      <c r="O16" s="311">
        <v>80231.200000000012</v>
      </c>
      <c r="P16" s="68">
        <f t="shared" ref="P16:P28" si="2">SUM(K16:O16)</f>
        <v>1458961.6</v>
      </c>
      <c r="Q16" s="68">
        <f t="shared" si="0"/>
        <v>163403699.20000002</v>
      </c>
      <c r="R16" s="127">
        <f t="shared" si="1"/>
        <v>163403699.20000002</v>
      </c>
      <c r="S16" s="26"/>
    </row>
    <row r="17" spans="1:19" ht="30">
      <c r="A17" s="26"/>
      <c r="B17" s="25" t="s">
        <v>1338</v>
      </c>
      <c r="C17" s="26" t="s">
        <v>1336</v>
      </c>
      <c r="D17" s="351">
        <v>93</v>
      </c>
      <c r="E17" s="26"/>
      <c r="F17" s="351">
        <v>93</v>
      </c>
      <c r="G17" s="351" t="s">
        <v>3123</v>
      </c>
      <c r="H17" s="351"/>
      <c r="I17" s="351" t="s">
        <v>2596</v>
      </c>
      <c r="J17" s="560" t="s">
        <v>2328</v>
      </c>
      <c r="K17" s="311">
        <v>1073541</v>
      </c>
      <c r="L17" s="311">
        <v>0</v>
      </c>
      <c r="M17" s="311">
        <v>522625.00000000006</v>
      </c>
      <c r="N17" s="311">
        <v>144740</v>
      </c>
      <c r="O17" s="311">
        <v>101318.00000000001</v>
      </c>
      <c r="P17" s="68">
        <f t="shared" si="2"/>
        <v>1842224</v>
      </c>
      <c r="Q17" s="68">
        <f t="shared" si="0"/>
        <v>171326832</v>
      </c>
      <c r="R17" s="127">
        <f t="shared" si="1"/>
        <v>171326832</v>
      </c>
      <c r="S17" s="26"/>
    </row>
    <row r="18" spans="1:19" ht="30">
      <c r="A18" s="26"/>
      <c r="B18" s="25" t="s">
        <v>1339</v>
      </c>
      <c r="C18" s="26" t="s">
        <v>1336</v>
      </c>
      <c r="D18" s="351">
        <v>23</v>
      </c>
      <c r="E18" s="26"/>
      <c r="F18" s="351">
        <v>23</v>
      </c>
      <c r="G18" s="351" t="s">
        <v>3123</v>
      </c>
      <c r="H18" s="351"/>
      <c r="I18" s="351" t="s">
        <v>2596</v>
      </c>
      <c r="J18" s="560" t="s">
        <v>2328</v>
      </c>
      <c r="K18" s="311">
        <v>1108791.6000000001</v>
      </c>
      <c r="L18" s="311">
        <v>0</v>
      </c>
      <c r="M18" s="311">
        <v>540045.83333333337</v>
      </c>
      <c r="N18" s="311">
        <v>149515.66666666669</v>
      </c>
      <c r="O18" s="311">
        <v>104660.96666666669</v>
      </c>
      <c r="P18" s="68">
        <f t="shared" si="2"/>
        <v>1903014.0666666671</v>
      </c>
      <c r="Q18" s="68">
        <f t="shared" si="0"/>
        <v>43769323.533333346</v>
      </c>
      <c r="R18" s="127">
        <f t="shared" si="1"/>
        <v>43769323.533333346</v>
      </c>
      <c r="S18" s="26"/>
    </row>
    <row r="19" spans="1:19" ht="30">
      <c r="A19" s="26"/>
      <c r="B19" s="25" t="s">
        <v>1340</v>
      </c>
      <c r="C19" s="26" t="s">
        <v>1336</v>
      </c>
      <c r="D19" s="351">
        <v>125</v>
      </c>
      <c r="E19" s="26"/>
      <c r="F19" s="351">
        <v>125</v>
      </c>
      <c r="G19" s="351" t="s">
        <v>3123</v>
      </c>
      <c r="H19" s="351"/>
      <c r="I19" s="351" t="s">
        <v>2596</v>
      </c>
      <c r="J19" s="560" t="s">
        <v>2328</v>
      </c>
      <c r="K19" s="311">
        <v>1214543.4000000001</v>
      </c>
      <c r="L19" s="311">
        <v>0</v>
      </c>
      <c r="M19" s="311">
        <v>592308.33333333337</v>
      </c>
      <c r="N19" s="311">
        <v>163842.66666666669</v>
      </c>
      <c r="O19" s="311">
        <v>114689.86666666668</v>
      </c>
      <c r="P19" s="68">
        <f t="shared" si="2"/>
        <v>2085384.2666666668</v>
      </c>
      <c r="Q19" s="68">
        <f t="shared" si="0"/>
        <v>260673033.33333334</v>
      </c>
      <c r="R19" s="127">
        <f t="shared" si="1"/>
        <v>260673033.33333334</v>
      </c>
      <c r="S19" s="26"/>
    </row>
    <row r="20" spans="1:19" ht="30">
      <c r="A20" s="26"/>
      <c r="B20" s="25" t="s">
        <v>1341</v>
      </c>
      <c r="C20" s="26" t="s">
        <v>1336</v>
      </c>
      <c r="D20" s="351">
        <v>46</v>
      </c>
      <c r="E20" s="26"/>
      <c r="F20" s="351">
        <v>46</v>
      </c>
      <c r="G20" s="351" t="s">
        <v>3123</v>
      </c>
      <c r="H20" s="351"/>
      <c r="I20" s="351" t="s">
        <v>2596</v>
      </c>
      <c r="J20" s="560" t="s">
        <v>2328</v>
      </c>
      <c r="K20" s="311">
        <v>1249794</v>
      </c>
      <c r="L20" s="311">
        <v>0</v>
      </c>
      <c r="M20" s="311">
        <v>609729.16666666674</v>
      </c>
      <c r="N20" s="311">
        <v>168618.33333333337</v>
      </c>
      <c r="O20" s="311">
        <v>118032.83333333336</v>
      </c>
      <c r="P20" s="68">
        <f t="shared" si="2"/>
        <v>2146174.3333333335</v>
      </c>
      <c r="Q20" s="68">
        <f t="shared" si="0"/>
        <v>98724019.333333343</v>
      </c>
      <c r="R20" s="127">
        <f t="shared" si="1"/>
        <v>98724019.333333343</v>
      </c>
      <c r="S20" s="26"/>
    </row>
    <row r="21" spans="1:19" ht="30">
      <c r="A21" s="26"/>
      <c r="B21" s="25" t="s">
        <v>1342</v>
      </c>
      <c r="C21" s="26" t="s">
        <v>1336</v>
      </c>
      <c r="D21" s="351">
        <v>32</v>
      </c>
      <c r="E21" s="26"/>
      <c r="F21" s="351">
        <v>32</v>
      </c>
      <c r="G21" s="351" t="s">
        <v>3123</v>
      </c>
      <c r="H21" s="351"/>
      <c r="I21" s="351" t="s">
        <v>2596</v>
      </c>
      <c r="J21" s="560" t="s">
        <v>2328</v>
      </c>
      <c r="K21" s="311">
        <v>1371568.8</v>
      </c>
      <c r="L21" s="311">
        <v>0</v>
      </c>
      <c r="M21" s="311">
        <v>661991.66666666674</v>
      </c>
      <c r="N21" s="311">
        <v>184415.33333333337</v>
      </c>
      <c r="O21" s="311">
        <v>129090.73333333335</v>
      </c>
      <c r="P21" s="68">
        <f t="shared" si="2"/>
        <v>2347066.5333333337</v>
      </c>
      <c r="Q21" s="68">
        <f t="shared" si="0"/>
        <v>75106129.066666678</v>
      </c>
      <c r="R21" s="127">
        <f t="shared" si="1"/>
        <v>75106129.066666678</v>
      </c>
      <c r="S21" s="26"/>
    </row>
    <row r="22" spans="1:19" ht="30">
      <c r="A22" s="26"/>
      <c r="B22" s="25" t="s">
        <v>1343</v>
      </c>
      <c r="C22" s="26" t="s">
        <v>1336</v>
      </c>
      <c r="D22" s="351">
        <v>16</v>
      </c>
      <c r="E22" s="26"/>
      <c r="F22" s="351">
        <v>16</v>
      </c>
      <c r="G22" s="351" t="s">
        <v>3123</v>
      </c>
      <c r="H22" s="351"/>
      <c r="I22" s="351" t="s">
        <v>2596</v>
      </c>
      <c r="J22" s="560" t="s">
        <v>2328</v>
      </c>
      <c r="K22" s="311">
        <v>1406819.4000000001</v>
      </c>
      <c r="L22" s="311">
        <v>0</v>
      </c>
      <c r="M22" s="311">
        <v>679412.50000000012</v>
      </c>
      <c r="N22" s="311">
        <v>189191</v>
      </c>
      <c r="O22" s="311">
        <v>132433.70000000001</v>
      </c>
      <c r="P22" s="68">
        <f t="shared" si="2"/>
        <v>2407856.6000000006</v>
      </c>
      <c r="Q22" s="68">
        <f t="shared" si="0"/>
        <v>38525705.600000009</v>
      </c>
      <c r="R22" s="127">
        <f t="shared" si="1"/>
        <v>38525705.600000009</v>
      </c>
      <c r="S22" s="26"/>
    </row>
    <row r="23" spans="1:19" ht="30">
      <c r="A23" s="26"/>
      <c r="B23" s="25" t="s">
        <v>1344</v>
      </c>
      <c r="C23" s="26" t="s">
        <v>1336</v>
      </c>
      <c r="D23" s="352">
        <v>7</v>
      </c>
      <c r="E23" s="26"/>
      <c r="F23" s="352">
        <v>7</v>
      </c>
      <c r="G23" s="351" t="s">
        <v>3123</v>
      </c>
      <c r="H23" s="351"/>
      <c r="I23" s="351" t="s">
        <v>2596</v>
      </c>
      <c r="J23" s="560" t="s">
        <v>2328</v>
      </c>
      <c r="K23" s="311">
        <v>3599834.0000000005</v>
      </c>
      <c r="L23" s="311">
        <v>0</v>
      </c>
      <c r="M23" s="311">
        <v>1707241.666666667</v>
      </c>
      <c r="N23" s="311">
        <v>481343.33333333343</v>
      </c>
      <c r="O23" s="311">
        <v>336940.33333333343</v>
      </c>
      <c r="P23" s="68">
        <f t="shared" si="2"/>
        <v>6125359.333333334</v>
      </c>
      <c r="Q23" s="68">
        <f t="shared" si="0"/>
        <v>42877515.333333336</v>
      </c>
      <c r="R23" s="127">
        <f t="shared" si="1"/>
        <v>42877515.333333336</v>
      </c>
      <c r="S23" s="26"/>
    </row>
    <row r="24" spans="1:19" ht="30">
      <c r="A24" s="26"/>
      <c r="B24" s="25" t="s">
        <v>1345</v>
      </c>
      <c r="C24" s="26" t="s">
        <v>1336</v>
      </c>
      <c r="D24" s="351">
        <v>7</v>
      </c>
      <c r="E24" s="26"/>
      <c r="F24" s="351">
        <v>7</v>
      </c>
      <c r="G24" s="351" t="s">
        <v>3123</v>
      </c>
      <c r="H24" s="351"/>
      <c r="I24" s="351" t="s">
        <v>2596</v>
      </c>
      <c r="J24" s="560" t="s">
        <v>2328</v>
      </c>
      <c r="K24" s="311">
        <v>1512571.2000000002</v>
      </c>
      <c r="L24" s="311">
        <v>0</v>
      </c>
      <c r="M24" s="311">
        <v>731675.00000000012</v>
      </c>
      <c r="N24" s="311">
        <v>203518</v>
      </c>
      <c r="O24" s="311">
        <v>142462.6</v>
      </c>
      <c r="P24" s="68">
        <f t="shared" si="2"/>
        <v>2590226.8000000003</v>
      </c>
      <c r="Q24" s="68">
        <f t="shared" si="0"/>
        <v>18131587.600000001</v>
      </c>
      <c r="R24" s="127">
        <f t="shared" si="1"/>
        <v>18131587.600000001</v>
      </c>
      <c r="S24" s="26"/>
    </row>
    <row r="25" spans="1:19" ht="30">
      <c r="A25" s="26"/>
      <c r="B25" s="25" t="s">
        <v>1346</v>
      </c>
      <c r="C25" s="26" t="s">
        <v>1336</v>
      </c>
      <c r="D25" s="351">
        <v>58</v>
      </c>
      <c r="E25" s="26"/>
      <c r="F25" s="351">
        <v>58</v>
      </c>
      <c r="G25" s="351" t="s">
        <v>3123</v>
      </c>
      <c r="H25" s="351"/>
      <c r="I25" s="351" t="s">
        <v>2596</v>
      </c>
      <c r="J25" s="560" t="s">
        <v>2328</v>
      </c>
      <c r="K25" s="311">
        <v>1547821.8</v>
      </c>
      <c r="L25" s="311">
        <v>0</v>
      </c>
      <c r="M25" s="311">
        <v>749095.83333333349</v>
      </c>
      <c r="N25" s="311">
        <v>208293.66666666669</v>
      </c>
      <c r="O25" s="311">
        <v>145805.56666666668</v>
      </c>
      <c r="P25" s="68">
        <f t="shared" si="2"/>
        <v>2651016.8666666672</v>
      </c>
      <c r="Q25" s="68">
        <f t="shared" si="0"/>
        <v>153758978.26666671</v>
      </c>
      <c r="R25" s="127">
        <f t="shared" si="1"/>
        <v>153758978.26666671</v>
      </c>
      <c r="S25" s="26"/>
    </row>
    <row r="26" spans="1:19" ht="30">
      <c r="A26" s="26"/>
      <c r="B26" s="25" t="s">
        <v>1347</v>
      </c>
      <c r="C26" s="26" t="s">
        <v>1336</v>
      </c>
      <c r="D26" s="351">
        <v>9</v>
      </c>
      <c r="E26" s="26"/>
      <c r="F26" s="351">
        <v>9</v>
      </c>
      <c r="G26" s="351" t="s">
        <v>3123</v>
      </c>
      <c r="H26" s="351"/>
      <c r="I26" s="351" t="s">
        <v>2596</v>
      </c>
      <c r="J26" s="560" t="s">
        <v>2328</v>
      </c>
      <c r="K26" s="311">
        <v>2552998</v>
      </c>
      <c r="L26" s="311">
        <v>0</v>
      </c>
      <c r="M26" s="311">
        <v>1219458.3333333335</v>
      </c>
      <c r="N26" s="311">
        <v>342136.66666666674</v>
      </c>
      <c r="O26" s="311">
        <v>239495.66666666672</v>
      </c>
      <c r="P26" s="68">
        <f t="shared" si="2"/>
        <v>4354088.666666667</v>
      </c>
      <c r="Q26" s="68">
        <f t="shared" si="0"/>
        <v>39186798</v>
      </c>
      <c r="R26" s="127">
        <f t="shared" si="1"/>
        <v>39186798</v>
      </c>
      <c r="S26" s="26"/>
    </row>
    <row r="27" spans="1:19" s="84" customFormat="1" ht="30">
      <c r="A27" s="30"/>
      <c r="B27" s="29" t="s">
        <v>1665</v>
      </c>
      <c r="C27" s="30" t="s">
        <v>117</v>
      </c>
      <c r="D27" s="352">
        <v>12</v>
      </c>
      <c r="E27" s="30"/>
      <c r="F27" s="352">
        <v>12</v>
      </c>
      <c r="G27" s="351" t="s">
        <v>3123</v>
      </c>
      <c r="H27" s="351"/>
      <c r="I27" s="351" t="s">
        <v>2596</v>
      </c>
      <c r="J27" s="560" t="s">
        <v>2328</v>
      </c>
      <c r="K27" s="311">
        <v>916515.60000000009</v>
      </c>
      <c r="L27" s="311">
        <v>0</v>
      </c>
      <c r="M27" s="311">
        <v>452941.66666666674</v>
      </c>
      <c r="N27" s="311">
        <v>124167.33333333336</v>
      </c>
      <c r="O27" s="311">
        <v>86917.133333333346</v>
      </c>
      <c r="P27" s="68">
        <f t="shared" si="2"/>
        <v>1580541.7333333334</v>
      </c>
      <c r="Q27" s="68">
        <f t="shared" si="0"/>
        <v>18966500.800000001</v>
      </c>
      <c r="R27" s="127">
        <f t="shared" si="1"/>
        <v>18966500.800000001</v>
      </c>
      <c r="S27" s="15"/>
    </row>
    <row r="28" spans="1:19" s="84" customFormat="1" ht="30">
      <c r="A28" s="30"/>
      <c r="B28" s="29" t="s">
        <v>1979</v>
      </c>
      <c r="C28" s="30" t="s">
        <v>117</v>
      </c>
      <c r="D28" s="352">
        <v>4</v>
      </c>
      <c r="E28" s="30"/>
      <c r="F28" s="352">
        <v>4</v>
      </c>
      <c r="G28" s="351" t="s">
        <v>3123</v>
      </c>
      <c r="H28" s="351"/>
      <c r="I28" s="351" t="s">
        <v>2596</v>
      </c>
      <c r="J28" s="560" t="s">
        <v>2328</v>
      </c>
      <c r="K28" s="311">
        <v>1198520.4000000001</v>
      </c>
      <c r="L28" s="311">
        <v>0</v>
      </c>
      <c r="M28" s="311">
        <v>592308.33333333337</v>
      </c>
      <c r="N28" s="311">
        <v>162372.66666666669</v>
      </c>
      <c r="O28" s="311">
        <v>113660.86666666668</v>
      </c>
      <c r="P28" s="68">
        <f t="shared" si="2"/>
        <v>2066862.2666666668</v>
      </c>
      <c r="Q28" s="68">
        <f t="shared" si="0"/>
        <v>8267449.0666666673</v>
      </c>
      <c r="R28" s="127">
        <f t="shared" si="1"/>
        <v>8267449.0666666673</v>
      </c>
      <c r="S28" s="18"/>
    </row>
    <row r="29" spans="1:19">
      <c r="A29" s="24" t="s">
        <v>1348</v>
      </c>
      <c r="B29" s="27" t="s">
        <v>1349</v>
      </c>
      <c r="C29" s="24"/>
      <c r="D29" s="351"/>
      <c r="E29" s="26"/>
      <c r="F29" s="351"/>
      <c r="G29" s="26"/>
      <c r="H29" s="26"/>
      <c r="I29" s="26"/>
      <c r="J29" s="559"/>
      <c r="K29" s="66"/>
      <c r="L29" s="66"/>
      <c r="M29" s="66"/>
      <c r="N29" s="66"/>
      <c r="O29" s="66"/>
      <c r="P29" s="66"/>
      <c r="Q29" s="66"/>
      <c r="R29" s="66"/>
      <c r="S29" s="26"/>
    </row>
    <row r="30" spans="1:19" ht="30">
      <c r="A30" s="26"/>
      <c r="B30" s="25" t="s">
        <v>1338</v>
      </c>
      <c r="C30" s="26" t="s">
        <v>1350</v>
      </c>
      <c r="D30" s="351">
        <v>4</v>
      </c>
      <c r="E30" s="26"/>
      <c r="F30" s="351">
        <v>4</v>
      </c>
      <c r="G30" s="351" t="s">
        <v>3123</v>
      </c>
      <c r="H30" s="351"/>
      <c r="I30" s="351" t="s">
        <v>2596</v>
      </c>
      <c r="J30" s="560" t="s">
        <v>2328</v>
      </c>
      <c r="K30" s="311">
        <v>3005654.9675675682</v>
      </c>
      <c r="L30" s="311">
        <v>0</v>
      </c>
      <c r="M30" s="311">
        <v>984277.08333333349</v>
      </c>
      <c r="N30" s="311">
        <v>362852.32882882887</v>
      </c>
      <c r="O30" s="311">
        <v>253996.63018018025</v>
      </c>
      <c r="P30" s="68">
        <f t="shared" ref="P30:P36" si="3">SUM(K30:O30)</f>
        <v>4606781.0099099111</v>
      </c>
      <c r="Q30" s="68">
        <f t="shared" ref="Q30:Q36" si="4">D30*P30</f>
        <v>18427124.039639644</v>
      </c>
      <c r="R30" s="127">
        <f t="shared" ref="R30:R36" si="5">F30*P30</f>
        <v>18427124.039639644</v>
      </c>
      <c r="S30" s="26"/>
    </row>
    <row r="31" spans="1:19" ht="30">
      <c r="A31" s="26"/>
      <c r="B31" s="25" t="s">
        <v>1339</v>
      </c>
      <c r="C31" s="26" t="s">
        <v>1350</v>
      </c>
      <c r="D31" s="351">
        <v>2</v>
      </c>
      <c r="E31" s="26"/>
      <c r="F31" s="351">
        <v>2</v>
      </c>
      <c r="G31" s="351" t="s">
        <v>3123</v>
      </c>
      <c r="H31" s="351"/>
      <c r="I31" s="351" t="s">
        <v>2596</v>
      </c>
      <c r="J31" s="560" t="s">
        <v>2328</v>
      </c>
      <c r="K31" s="311">
        <v>3105690.4540540543</v>
      </c>
      <c r="L31" s="311">
        <v>0</v>
      </c>
      <c r="M31" s="311">
        <v>1017376.6666666669</v>
      </c>
      <c r="N31" s="311">
        <v>374959.06306306313</v>
      </c>
      <c r="O31" s="311">
        <v>262471.34414414421</v>
      </c>
      <c r="P31" s="68">
        <f t="shared" si="3"/>
        <v>4760497.5279279286</v>
      </c>
      <c r="Q31" s="68">
        <f t="shared" si="4"/>
        <v>9520995.0558558572</v>
      </c>
      <c r="R31" s="127">
        <f t="shared" si="5"/>
        <v>9520995.0558558572</v>
      </c>
      <c r="S31" s="26"/>
    </row>
    <row r="32" spans="1:19" ht="30">
      <c r="A32" s="26"/>
      <c r="B32" s="25" t="s">
        <v>1340</v>
      </c>
      <c r="C32" s="26" t="s">
        <v>1350</v>
      </c>
      <c r="D32" s="351">
        <v>4</v>
      </c>
      <c r="E32" s="26"/>
      <c r="F32" s="351">
        <v>4</v>
      </c>
      <c r="G32" s="351" t="s">
        <v>3123</v>
      </c>
      <c r="H32" s="351"/>
      <c r="I32" s="351" t="s">
        <v>2596</v>
      </c>
      <c r="J32" s="560" t="s">
        <v>2328</v>
      </c>
      <c r="K32" s="311">
        <v>3969806.5135135138</v>
      </c>
      <c r="L32" s="311">
        <v>0</v>
      </c>
      <c r="M32" s="311">
        <v>1303078.3333333335</v>
      </c>
      <c r="N32" s="311">
        <v>479519.09909909911</v>
      </c>
      <c r="O32" s="311">
        <v>335663.36936936941</v>
      </c>
      <c r="P32" s="68">
        <f t="shared" si="3"/>
        <v>6088067.3153153146</v>
      </c>
      <c r="Q32" s="68">
        <f t="shared" si="4"/>
        <v>24352269.261261258</v>
      </c>
      <c r="R32" s="127">
        <f t="shared" si="5"/>
        <v>24352269.261261258</v>
      </c>
      <c r="S32" s="26"/>
    </row>
    <row r="33" spans="1:19" s="84" customFormat="1" ht="30">
      <c r="A33" s="30"/>
      <c r="B33" s="29" t="s">
        <v>1671</v>
      </c>
      <c r="C33" s="30" t="s">
        <v>1350</v>
      </c>
      <c r="D33" s="352">
        <v>5</v>
      </c>
      <c r="E33" s="30"/>
      <c r="F33" s="352">
        <v>5</v>
      </c>
      <c r="G33" s="351" t="s">
        <v>3123</v>
      </c>
      <c r="H33" s="351"/>
      <c r="I33" s="351" t="s">
        <v>2596</v>
      </c>
      <c r="J33" s="560" t="s">
        <v>2328</v>
      </c>
      <c r="K33" s="311">
        <v>6460992.7452000007</v>
      </c>
      <c r="L33" s="311">
        <v>0</v>
      </c>
      <c r="M33" s="311">
        <v>2118373.3333333335</v>
      </c>
      <c r="N33" s="311">
        <v>780218.29466666677</v>
      </c>
      <c r="O33" s="311">
        <v>546152.80626666674</v>
      </c>
      <c r="P33" s="68">
        <f t="shared" si="3"/>
        <v>9905737.1794666685</v>
      </c>
      <c r="Q33" s="68">
        <f t="shared" si="4"/>
        <v>49528685.897333339</v>
      </c>
      <c r="R33" s="127">
        <f t="shared" si="5"/>
        <v>49528685.897333339</v>
      </c>
      <c r="S33" s="40"/>
    </row>
    <row r="34" spans="1:19" s="84" customFormat="1" ht="30">
      <c r="A34" s="30"/>
      <c r="B34" s="29" t="s">
        <v>1980</v>
      </c>
      <c r="C34" s="30" t="s">
        <v>1350</v>
      </c>
      <c r="D34" s="352">
        <v>2</v>
      </c>
      <c r="E34" s="30"/>
      <c r="F34" s="352">
        <v>2</v>
      </c>
      <c r="G34" s="351" t="s">
        <v>3123</v>
      </c>
      <c r="H34" s="351"/>
      <c r="I34" s="351" t="s">
        <v>2596</v>
      </c>
      <c r="J34" s="560" t="s">
        <v>2328</v>
      </c>
      <c r="K34" s="311">
        <v>1793969.2623999999</v>
      </c>
      <c r="L34" s="311">
        <v>0</v>
      </c>
      <c r="M34" s="311">
        <v>590566.25000000012</v>
      </c>
      <c r="N34" s="311">
        <v>216846.83600000001</v>
      </c>
      <c r="O34" s="311">
        <v>151792.78520000001</v>
      </c>
      <c r="P34" s="68">
        <f t="shared" si="3"/>
        <v>2753175.1335999998</v>
      </c>
      <c r="Q34" s="68">
        <f t="shared" si="4"/>
        <v>5506350.2671999997</v>
      </c>
      <c r="R34" s="127">
        <f t="shared" si="5"/>
        <v>5506350.2671999997</v>
      </c>
      <c r="S34" s="40"/>
    </row>
    <row r="35" spans="1:19" s="84" customFormat="1" ht="30">
      <c r="A35" s="30"/>
      <c r="B35" s="29" t="s">
        <v>1981</v>
      </c>
      <c r="C35" s="30" t="s">
        <v>1350</v>
      </c>
      <c r="D35" s="352">
        <v>2</v>
      </c>
      <c r="E35" s="30"/>
      <c r="F35" s="352">
        <v>2</v>
      </c>
      <c r="G35" s="351" t="s">
        <v>3123</v>
      </c>
      <c r="H35" s="351"/>
      <c r="I35" s="351" t="s">
        <v>2596</v>
      </c>
      <c r="J35" s="560" t="s">
        <v>2328</v>
      </c>
      <c r="K35" s="311">
        <v>5214837.0344000002</v>
      </c>
      <c r="L35" s="311">
        <v>0</v>
      </c>
      <c r="M35" s="311">
        <v>1707241.666666667</v>
      </c>
      <c r="N35" s="311">
        <v>629508.74933333346</v>
      </c>
      <c r="O35" s="311">
        <v>440656.12453333341</v>
      </c>
      <c r="P35" s="68">
        <f t="shared" si="3"/>
        <v>7992243.5749333343</v>
      </c>
      <c r="Q35" s="68">
        <f t="shared" si="4"/>
        <v>15984487.149866669</v>
      </c>
      <c r="R35" s="127">
        <f t="shared" si="5"/>
        <v>15984487.149866669</v>
      </c>
      <c r="S35" s="15"/>
    </row>
    <row r="36" spans="1:19" s="84" customFormat="1" ht="30">
      <c r="A36" s="30"/>
      <c r="B36" s="29" t="s">
        <v>1982</v>
      </c>
      <c r="C36" s="30" t="s">
        <v>1350</v>
      </c>
      <c r="D36" s="352">
        <v>1</v>
      </c>
      <c r="E36" s="30"/>
      <c r="F36" s="352">
        <v>1</v>
      </c>
      <c r="G36" s="351" t="s">
        <v>3123</v>
      </c>
      <c r="H36" s="351"/>
      <c r="I36" s="351" t="s">
        <v>2596</v>
      </c>
      <c r="J36" s="560" t="s">
        <v>2328</v>
      </c>
      <c r="K36" s="311">
        <v>6311415.9038000004</v>
      </c>
      <c r="L36" s="311">
        <v>0</v>
      </c>
      <c r="M36" s="311">
        <v>2069595.0000000002</v>
      </c>
      <c r="N36" s="311">
        <v>762178.98200000008</v>
      </c>
      <c r="O36" s="311">
        <v>533525.28740000003</v>
      </c>
      <c r="P36" s="68">
        <f t="shared" si="3"/>
        <v>9676715.1732000001</v>
      </c>
      <c r="Q36" s="68">
        <f t="shared" si="4"/>
        <v>9676715.1732000001</v>
      </c>
      <c r="R36" s="127">
        <f t="shared" si="5"/>
        <v>9676715.1732000001</v>
      </c>
      <c r="S36" s="36"/>
    </row>
    <row r="37" spans="1:19">
      <c r="A37" s="24" t="s">
        <v>1351</v>
      </c>
      <c r="B37" s="27" t="s">
        <v>1352</v>
      </c>
      <c r="C37" s="24"/>
      <c r="D37" s="351"/>
      <c r="E37" s="26"/>
      <c r="F37" s="351"/>
      <c r="G37" s="327"/>
      <c r="H37" s="327"/>
      <c r="I37" s="327"/>
      <c r="J37" s="561"/>
      <c r="K37" s="66"/>
      <c r="L37" s="66"/>
      <c r="M37" s="66"/>
      <c r="N37" s="66"/>
      <c r="O37" s="66"/>
      <c r="P37" s="66"/>
      <c r="Q37" s="66"/>
      <c r="R37" s="66"/>
      <c r="S37" s="26"/>
    </row>
    <row r="38" spans="1:19" ht="30">
      <c r="A38" s="24"/>
      <c r="B38" s="25" t="s">
        <v>1353</v>
      </c>
      <c r="C38" s="26" t="s">
        <v>1350</v>
      </c>
      <c r="D38" s="351">
        <v>4</v>
      </c>
      <c r="E38" s="26"/>
      <c r="F38" s="351">
        <v>4</v>
      </c>
      <c r="G38" s="351" t="s">
        <v>3123</v>
      </c>
      <c r="H38" s="351"/>
      <c r="I38" s="351" t="s">
        <v>2596</v>
      </c>
      <c r="J38" s="560" t="s">
        <v>2328</v>
      </c>
      <c r="K38" s="311">
        <v>468737.70810810814</v>
      </c>
      <c r="L38" s="311">
        <v>0</v>
      </c>
      <c r="M38" s="311">
        <v>184660.83333333337</v>
      </c>
      <c r="N38" s="311">
        <v>59345.126126126132</v>
      </c>
      <c r="O38" s="311">
        <v>41541.588288288294</v>
      </c>
      <c r="P38" s="68">
        <f t="shared" ref="P38:P39" si="6">SUM(K38:O38)</f>
        <v>754285.255855856</v>
      </c>
      <c r="Q38" s="68">
        <f>D38*P38</f>
        <v>3017141.023423424</v>
      </c>
      <c r="R38" s="127">
        <f>F38*P38</f>
        <v>3017141.023423424</v>
      </c>
      <c r="S38" s="26"/>
    </row>
    <row r="39" spans="1:19" ht="30">
      <c r="A39" s="26"/>
      <c r="B39" s="25" t="s">
        <v>1354</v>
      </c>
      <c r="C39" s="26" t="s">
        <v>1350</v>
      </c>
      <c r="D39" s="351">
        <v>4</v>
      </c>
      <c r="E39" s="26"/>
      <c r="F39" s="351">
        <v>4</v>
      </c>
      <c r="G39" s="351" t="s">
        <v>3123</v>
      </c>
      <c r="H39" s="351"/>
      <c r="I39" s="351" t="s">
        <v>2596</v>
      </c>
      <c r="J39" s="560" t="s">
        <v>2328</v>
      </c>
      <c r="K39" s="311">
        <v>616235.91891891882</v>
      </c>
      <c r="L39" s="311">
        <v>0</v>
      </c>
      <c r="M39" s="311">
        <v>236923.33333333337</v>
      </c>
      <c r="N39" s="311">
        <v>77502.072072072071</v>
      </c>
      <c r="O39" s="311">
        <v>54251.450450450458</v>
      </c>
      <c r="P39" s="68">
        <f t="shared" si="6"/>
        <v>984912.77477477468</v>
      </c>
      <c r="Q39" s="68">
        <f>D39*P39</f>
        <v>3939651.0990990987</v>
      </c>
      <c r="R39" s="127">
        <f>F39*P39</f>
        <v>3939651.0990990987</v>
      </c>
      <c r="S39" s="26"/>
    </row>
    <row r="40" spans="1:19">
      <c r="A40" s="26"/>
      <c r="B40" s="25" t="s">
        <v>1355</v>
      </c>
      <c r="C40" s="26" t="s">
        <v>1350</v>
      </c>
      <c r="D40" s="351">
        <v>0</v>
      </c>
      <c r="E40" s="26"/>
      <c r="F40" s="351">
        <v>0</v>
      </c>
      <c r="G40" s="351"/>
      <c r="H40" s="351"/>
      <c r="I40" s="351"/>
      <c r="J40" s="560"/>
      <c r="K40" s="311"/>
      <c r="L40" s="311"/>
      <c r="M40" s="311"/>
      <c r="N40" s="311"/>
      <c r="O40" s="311"/>
      <c r="P40" s="68"/>
      <c r="Q40" s="68"/>
      <c r="R40" s="127"/>
      <c r="S40" s="26"/>
    </row>
    <row r="41" spans="1:19" ht="30">
      <c r="A41" s="26"/>
      <c r="B41" s="25" t="s">
        <v>1356</v>
      </c>
      <c r="C41" s="26" t="s">
        <v>1350</v>
      </c>
      <c r="D41" s="351">
        <v>1</v>
      </c>
      <c r="E41" s="26"/>
      <c r="F41" s="351">
        <v>1</v>
      </c>
      <c r="G41" s="351" t="s">
        <v>3123</v>
      </c>
      <c r="H41" s="351"/>
      <c r="I41" s="351" t="s">
        <v>2596</v>
      </c>
      <c r="J41" s="560" t="s">
        <v>2328</v>
      </c>
      <c r="K41" s="311">
        <v>628621.26486486499</v>
      </c>
      <c r="L41" s="311">
        <v>0</v>
      </c>
      <c r="M41" s="311">
        <v>242149.58333333334</v>
      </c>
      <c r="N41" s="311">
        <v>79100.842342342352</v>
      </c>
      <c r="O41" s="311">
        <v>55370.589639639642</v>
      </c>
      <c r="P41" s="68">
        <f t="shared" ref="P41:P53" si="7">SUM(K41:O41)</f>
        <v>1005242.2801801803</v>
      </c>
      <c r="Q41" s="68">
        <f t="shared" ref="Q41:Q53" si="8">D41*P41</f>
        <v>1005242.2801801803</v>
      </c>
      <c r="R41" s="127">
        <f t="shared" ref="R41:R53" si="9">F41*P41</f>
        <v>1005242.2801801803</v>
      </c>
      <c r="S41" s="26"/>
    </row>
    <row r="42" spans="1:19" ht="30">
      <c r="A42" s="26"/>
      <c r="B42" s="25" t="s">
        <v>1357</v>
      </c>
      <c r="C42" s="26" t="s">
        <v>1350</v>
      </c>
      <c r="D42" s="351">
        <v>3</v>
      </c>
      <c r="E42" s="26"/>
      <c r="F42" s="351">
        <v>3</v>
      </c>
      <c r="G42" s="351" t="s">
        <v>3123</v>
      </c>
      <c r="H42" s="351"/>
      <c r="I42" s="351" t="s">
        <v>2596</v>
      </c>
      <c r="J42" s="560" t="s">
        <v>2328</v>
      </c>
      <c r="K42" s="311">
        <v>670540.89729729737</v>
      </c>
      <c r="L42" s="311">
        <v>0</v>
      </c>
      <c r="M42" s="311">
        <v>259570.41666666672</v>
      </c>
      <c r="N42" s="311">
        <v>84488.346846846864</v>
      </c>
      <c r="O42" s="311">
        <v>59141.842792792799</v>
      </c>
      <c r="P42" s="68">
        <f t="shared" si="7"/>
        <v>1073741.5036036037</v>
      </c>
      <c r="Q42" s="68">
        <f t="shared" si="8"/>
        <v>3221224.5108108111</v>
      </c>
      <c r="R42" s="127">
        <f t="shared" si="9"/>
        <v>3221224.5108108111</v>
      </c>
      <c r="S42" s="24"/>
    </row>
    <row r="43" spans="1:19" ht="30">
      <c r="A43" s="26"/>
      <c r="B43" s="25" t="s">
        <v>1358</v>
      </c>
      <c r="C43" s="26" t="s">
        <v>1350</v>
      </c>
      <c r="D43" s="351">
        <v>1</v>
      </c>
      <c r="E43" s="26"/>
      <c r="F43" s="351">
        <v>1</v>
      </c>
      <c r="G43" s="351" t="s">
        <v>3123</v>
      </c>
      <c r="H43" s="351"/>
      <c r="I43" s="351" t="s">
        <v>2596</v>
      </c>
      <c r="J43" s="560" t="s">
        <v>2328</v>
      </c>
      <c r="K43" s="311">
        <v>723893.15675675683</v>
      </c>
      <c r="L43" s="311">
        <v>0</v>
      </c>
      <c r="M43" s="311">
        <v>280475.41666666669</v>
      </c>
      <c r="N43" s="311">
        <v>91233.049549549556</v>
      </c>
      <c r="O43" s="311">
        <v>63863.134684684694</v>
      </c>
      <c r="P43" s="68">
        <f t="shared" si="7"/>
        <v>1159464.7576576578</v>
      </c>
      <c r="Q43" s="68">
        <f t="shared" si="8"/>
        <v>1159464.7576576578</v>
      </c>
      <c r="R43" s="127">
        <f t="shared" si="9"/>
        <v>1159464.7576576578</v>
      </c>
      <c r="S43" s="24"/>
    </row>
    <row r="44" spans="1:19" ht="30">
      <c r="A44" s="26"/>
      <c r="B44" s="25" t="s">
        <v>1359</v>
      </c>
      <c r="C44" s="26" t="s">
        <v>1350</v>
      </c>
      <c r="D44" s="351">
        <v>1</v>
      </c>
      <c r="E44" s="26"/>
      <c r="F44" s="351">
        <v>1</v>
      </c>
      <c r="G44" s="351" t="s">
        <v>3123</v>
      </c>
      <c r="H44" s="351"/>
      <c r="I44" s="351" t="s">
        <v>2596</v>
      </c>
      <c r="J44" s="560" t="s">
        <v>2328</v>
      </c>
      <c r="K44" s="311">
        <v>735325.78378378379</v>
      </c>
      <c r="L44" s="311">
        <v>0</v>
      </c>
      <c r="M44" s="311">
        <v>283959.58333333337</v>
      </c>
      <c r="N44" s="311">
        <v>92590.247747747751</v>
      </c>
      <c r="O44" s="311">
        <v>64813.173423423425</v>
      </c>
      <c r="P44" s="68">
        <f t="shared" si="7"/>
        <v>1176688.7882882883</v>
      </c>
      <c r="Q44" s="68">
        <f t="shared" si="8"/>
        <v>1176688.7882882883</v>
      </c>
      <c r="R44" s="127">
        <f t="shared" si="9"/>
        <v>1176688.7882882883</v>
      </c>
      <c r="S44" s="26"/>
    </row>
    <row r="45" spans="1:19" ht="30">
      <c r="A45" s="26"/>
      <c r="B45" s="25" t="s">
        <v>1360</v>
      </c>
      <c r="C45" s="26" t="s">
        <v>1350</v>
      </c>
      <c r="D45" s="351">
        <v>1</v>
      </c>
      <c r="E45" s="26"/>
      <c r="F45" s="351">
        <v>1</v>
      </c>
      <c r="G45" s="351" t="s">
        <v>3123</v>
      </c>
      <c r="H45" s="351"/>
      <c r="I45" s="351" t="s">
        <v>2596</v>
      </c>
      <c r="J45" s="560" t="s">
        <v>2328</v>
      </c>
      <c r="K45" s="311">
        <v>745805.691891892</v>
      </c>
      <c r="L45" s="311">
        <v>0</v>
      </c>
      <c r="M45" s="311">
        <v>289185.83333333337</v>
      </c>
      <c r="N45" s="311">
        <v>94014.207207207219</v>
      </c>
      <c r="O45" s="311">
        <v>65809.945045045053</v>
      </c>
      <c r="P45" s="68">
        <f t="shared" si="7"/>
        <v>1194815.6774774776</v>
      </c>
      <c r="Q45" s="68">
        <f t="shared" si="8"/>
        <v>1194815.6774774776</v>
      </c>
      <c r="R45" s="127">
        <f t="shared" si="9"/>
        <v>1194815.6774774776</v>
      </c>
      <c r="S45" s="26"/>
    </row>
    <row r="46" spans="1:19" ht="30">
      <c r="A46" s="26"/>
      <c r="B46" s="25" t="s">
        <v>1361</v>
      </c>
      <c r="C46" s="26" t="s">
        <v>1350</v>
      </c>
      <c r="D46" s="351">
        <v>2</v>
      </c>
      <c r="E46" s="26"/>
      <c r="F46" s="351">
        <v>2</v>
      </c>
      <c r="G46" s="351" t="s">
        <v>3123</v>
      </c>
      <c r="H46" s="351"/>
      <c r="I46" s="351" t="s">
        <v>2596</v>
      </c>
      <c r="J46" s="560" t="s">
        <v>2328</v>
      </c>
      <c r="K46" s="311">
        <v>827566.29729729739</v>
      </c>
      <c r="L46" s="311">
        <v>0</v>
      </c>
      <c r="M46" s="311">
        <v>315317.08333333337</v>
      </c>
      <c r="N46" s="311">
        <v>103827.68018018019</v>
      </c>
      <c r="O46" s="311">
        <v>72679.376126126139</v>
      </c>
      <c r="P46" s="68">
        <f t="shared" si="7"/>
        <v>1319390.436936937</v>
      </c>
      <c r="Q46" s="68">
        <f t="shared" si="8"/>
        <v>2638780.8738738741</v>
      </c>
      <c r="R46" s="127">
        <f t="shared" si="9"/>
        <v>2638780.8738738741</v>
      </c>
      <c r="S46" s="26"/>
    </row>
    <row r="47" spans="1:19" ht="30">
      <c r="A47" s="26"/>
      <c r="B47" s="25" t="s">
        <v>1362</v>
      </c>
      <c r="C47" s="26" t="s">
        <v>1350</v>
      </c>
      <c r="D47" s="351">
        <v>2</v>
      </c>
      <c r="E47" s="26"/>
      <c r="F47" s="351">
        <v>2</v>
      </c>
      <c r="G47" s="351" t="s">
        <v>3123</v>
      </c>
      <c r="H47" s="351"/>
      <c r="I47" s="351" t="s">
        <v>2596</v>
      </c>
      <c r="J47" s="560" t="s">
        <v>2328</v>
      </c>
      <c r="K47" s="311">
        <v>850431.55135135143</v>
      </c>
      <c r="L47" s="311">
        <v>0</v>
      </c>
      <c r="M47" s="311">
        <v>324027.50000000006</v>
      </c>
      <c r="N47" s="311">
        <v>106696.24324324325</v>
      </c>
      <c r="O47" s="311">
        <v>74687.370270270272</v>
      </c>
      <c r="P47" s="68">
        <f t="shared" si="7"/>
        <v>1355842.6648648651</v>
      </c>
      <c r="Q47" s="68">
        <f t="shared" si="8"/>
        <v>2711685.3297297303</v>
      </c>
      <c r="R47" s="127">
        <f t="shared" si="9"/>
        <v>2711685.3297297303</v>
      </c>
      <c r="S47" s="26"/>
    </row>
    <row r="48" spans="1:19" ht="30">
      <c r="A48" s="26"/>
      <c r="B48" s="25" t="s">
        <v>1363</v>
      </c>
      <c r="C48" s="26" t="s">
        <v>1350</v>
      </c>
      <c r="D48" s="351">
        <v>2</v>
      </c>
      <c r="E48" s="26"/>
      <c r="F48" s="351">
        <v>2</v>
      </c>
      <c r="G48" s="351" t="s">
        <v>3123</v>
      </c>
      <c r="H48" s="351"/>
      <c r="I48" s="351" t="s">
        <v>2596</v>
      </c>
      <c r="J48" s="560" t="s">
        <v>2328</v>
      </c>
      <c r="K48" s="311">
        <v>892351.18378378381</v>
      </c>
      <c r="L48" s="311">
        <v>0</v>
      </c>
      <c r="M48" s="311">
        <v>339706.25000000006</v>
      </c>
      <c r="N48" s="311">
        <v>111929.58108108109</v>
      </c>
      <c r="O48" s="311">
        <v>78350.706756756772</v>
      </c>
      <c r="P48" s="68">
        <f t="shared" si="7"/>
        <v>1422337.7216216219</v>
      </c>
      <c r="Q48" s="68">
        <f t="shared" si="8"/>
        <v>2844675.4432432437</v>
      </c>
      <c r="R48" s="127">
        <f t="shared" si="9"/>
        <v>2844675.4432432437</v>
      </c>
      <c r="S48" s="26"/>
    </row>
    <row r="49" spans="1:19" s="84" customFormat="1" ht="30">
      <c r="A49" s="30"/>
      <c r="B49" s="29" t="s">
        <v>1983</v>
      </c>
      <c r="C49" s="30" t="s">
        <v>1350</v>
      </c>
      <c r="D49" s="352">
        <v>1</v>
      </c>
      <c r="E49" s="30"/>
      <c r="F49" s="352">
        <v>1</v>
      </c>
      <c r="G49" s="351" t="s">
        <v>3123</v>
      </c>
      <c r="H49" s="351"/>
      <c r="I49" s="351" t="s">
        <v>2596</v>
      </c>
      <c r="J49" s="560" t="s">
        <v>2328</v>
      </c>
      <c r="K49" s="311">
        <v>551623.821</v>
      </c>
      <c r="L49" s="311">
        <v>0</v>
      </c>
      <c r="M49" s="311">
        <v>217760.41666666669</v>
      </c>
      <c r="N49" s="311">
        <v>69878.523333333331</v>
      </c>
      <c r="O49" s="311">
        <v>48914.966333333337</v>
      </c>
      <c r="P49" s="68">
        <f t="shared" si="7"/>
        <v>888177.72733333334</v>
      </c>
      <c r="Q49" s="68">
        <f t="shared" si="8"/>
        <v>888177.72733333334</v>
      </c>
      <c r="R49" s="127">
        <f t="shared" si="9"/>
        <v>888177.72733333334</v>
      </c>
      <c r="S49" s="37"/>
    </row>
    <row r="50" spans="1:19" s="84" customFormat="1" ht="30">
      <c r="A50" s="30"/>
      <c r="B50" s="29" t="s">
        <v>1984</v>
      </c>
      <c r="C50" s="30" t="s">
        <v>1350</v>
      </c>
      <c r="D50" s="352">
        <v>1</v>
      </c>
      <c r="E50" s="30"/>
      <c r="F50" s="352">
        <v>1</v>
      </c>
      <c r="G50" s="351" t="s">
        <v>3123</v>
      </c>
      <c r="H50" s="351"/>
      <c r="I50" s="351" t="s">
        <v>2596</v>
      </c>
      <c r="J50" s="560" t="s">
        <v>2328</v>
      </c>
      <c r="K50" s="311">
        <v>635290.58600000013</v>
      </c>
      <c r="L50" s="311">
        <v>0</v>
      </c>
      <c r="M50" s="311">
        <v>245633.75</v>
      </c>
      <c r="N50" s="311">
        <v>80021.040000000008</v>
      </c>
      <c r="O50" s="311">
        <v>56014.72800000001</v>
      </c>
      <c r="P50" s="68">
        <f t="shared" si="7"/>
        <v>1016960.1040000002</v>
      </c>
      <c r="Q50" s="68">
        <f t="shared" si="8"/>
        <v>1016960.1040000002</v>
      </c>
      <c r="R50" s="127">
        <f t="shared" si="9"/>
        <v>1016960.1040000002</v>
      </c>
      <c r="S50" s="37"/>
    </row>
    <row r="51" spans="1:19" s="84" customFormat="1" ht="30">
      <c r="A51" s="30"/>
      <c r="B51" s="29" t="s">
        <v>1985</v>
      </c>
      <c r="C51" s="30" t="s">
        <v>1350</v>
      </c>
      <c r="D51" s="352">
        <v>1</v>
      </c>
      <c r="E51" s="30"/>
      <c r="F51" s="352">
        <v>1</v>
      </c>
      <c r="G51" s="351" t="s">
        <v>3123</v>
      </c>
      <c r="H51" s="351"/>
      <c r="I51" s="351" t="s">
        <v>2596</v>
      </c>
      <c r="J51" s="560" t="s">
        <v>2328</v>
      </c>
      <c r="K51" s="311">
        <v>916169.50320000004</v>
      </c>
      <c r="L51" s="311">
        <v>0</v>
      </c>
      <c r="M51" s="311">
        <v>350158.74999999994</v>
      </c>
      <c r="N51" s="311">
        <v>115039.74800000001</v>
      </c>
      <c r="O51" s="311">
        <v>80527.823600000003</v>
      </c>
      <c r="P51" s="68">
        <f t="shared" si="7"/>
        <v>1461895.8247999998</v>
      </c>
      <c r="Q51" s="68">
        <f t="shared" si="8"/>
        <v>1461895.8247999998</v>
      </c>
      <c r="R51" s="127">
        <f t="shared" si="9"/>
        <v>1461895.8247999998</v>
      </c>
      <c r="S51" s="37"/>
    </row>
    <row r="52" spans="1:19" s="84" customFormat="1" ht="30">
      <c r="A52" s="30"/>
      <c r="B52" s="29" t="s">
        <v>1986</v>
      </c>
      <c r="C52" s="30" t="s">
        <v>1350</v>
      </c>
      <c r="D52" s="352">
        <v>4</v>
      </c>
      <c r="E52" s="30"/>
      <c r="F52" s="352">
        <v>4</v>
      </c>
      <c r="G52" s="351" t="s">
        <v>3123</v>
      </c>
      <c r="H52" s="351"/>
      <c r="I52" s="351" t="s">
        <v>2596</v>
      </c>
      <c r="J52" s="560" t="s">
        <v>2328</v>
      </c>
      <c r="K52" s="311">
        <v>1148632.2554000001</v>
      </c>
      <c r="L52" s="311">
        <v>0</v>
      </c>
      <c r="M52" s="311">
        <v>440747.08333333331</v>
      </c>
      <c r="N52" s="311">
        <v>144383.27266666666</v>
      </c>
      <c r="O52" s="311">
        <v>101068.29086666666</v>
      </c>
      <c r="P52" s="68">
        <f t="shared" si="7"/>
        <v>1834830.9022666668</v>
      </c>
      <c r="Q52" s="68">
        <f t="shared" si="8"/>
        <v>7339323.609066667</v>
      </c>
      <c r="R52" s="127">
        <f t="shared" si="9"/>
        <v>7339323.609066667</v>
      </c>
      <c r="S52" s="37"/>
    </row>
    <row r="53" spans="1:19" s="84" customFormat="1" ht="30">
      <c r="A53" s="30"/>
      <c r="B53" s="29" t="s">
        <v>1987</v>
      </c>
      <c r="C53" s="30" t="s">
        <v>1350</v>
      </c>
      <c r="D53" s="352">
        <v>1</v>
      </c>
      <c r="E53" s="30"/>
      <c r="F53" s="352">
        <v>1</v>
      </c>
      <c r="G53" s="351" t="s">
        <v>3123</v>
      </c>
      <c r="H53" s="351"/>
      <c r="I53" s="351" t="s">
        <v>2596</v>
      </c>
      <c r="J53" s="560" t="s">
        <v>2328</v>
      </c>
      <c r="K53" s="311">
        <v>1494209.9102</v>
      </c>
      <c r="L53" s="311">
        <v>0</v>
      </c>
      <c r="M53" s="311">
        <v>574887.50000000012</v>
      </c>
      <c r="N53" s="311">
        <v>187958.478</v>
      </c>
      <c r="O53" s="311">
        <v>131570.93460000001</v>
      </c>
      <c r="P53" s="68">
        <f t="shared" si="7"/>
        <v>2388626.8228000002</v>
      </c>
      <c r="Q53" s="68">
        <f t="shared" si="8"/>
        <v>2388626.8228000002</v>
      </c>
      <c r="R53" s="127">
        <f t="shared" si="9"/>
        <v>2388626.8228000002</v>
      </c>
      <c r="S53" s="37"/>
    </row>
    <row r="54" spans="1:19">
      <c r="A54" s="24">
        <v>1.4</v>
      </c>
      <c r="B54" s="27" t="s">
        <v>1364</v>
      </c>
      <c r="C54" s="24"/>
      <c r="D54" s="351"/>
      <c r="E54" s="24"/>
      <c r="F54" s="351"/>
      <c r="G54" s="26"/>
      <c r="H54" s="26"/>
      <c r="I54" s="26"/>
      <c r="J54" s="559"/>
      <c r="K54" s="66"/>
      <c r="L54" s="66"/>
      <c r="M54" s="66"/>
      <c r="N54" s="66"/>
      <c r="O54" s="66"/>
      <c r="P54" s="66"/>
      <c r="Q54" s="66"/>
      <c r="R54" s="66"/>
      <c r="S54" s="26"/>
    </row>
    <row r="55" spans="1:19" ht="30">
      <c r="A55" s="24"/>
      <c r="B55" s="25" t="s">
        <v>1365</v>
      </c>
      <c r="C55" s="26" t="s">
        <v>1350</v>
      </c>
      <c r="D55" s="351">
        <v>2</v>
      </c>
      <c r="E55" s="24"/>
      <c r="F55" s="351">
        <v>2</v>
      </c>
      <c r="G55" s="26" t="s">
        <v>3123</v>
      </c>
      <c r="H55" s="26"/>
      <c r="I55" s="26" t="s">
        <v>2596</v>
      </c>
      <c r="J55" s="559" t="s">
        <v>2328</v>
      </c>
      <c r="K55" s="311">
        <v>3591577.1027027029</v>
      </c>
      <c r="L55" s="311">
        <v>0</v>
      </c>
      <c r="M55" s="311">
        <v>1017376.6666666669</v>
      </c>
      <c r="N55" s="311">
        <v>419535.81981981988</v>
      </c>
      <c r="O55" s="311">
        <v>293675.07387387392</v>
      </c>
      <c r="P55" s="68">
        <f t="shared" ref="P55:P58" si="10">SUM(K55:O55)</f>
        <v>5322164.6630630633</v>
      </c>
      <c r="Q55" s="68">
        <f>D55*P55</f>
        <v>10644329.326126127</v>
      </c>
      <c r="R55" s="127">
        <f>F55*P55</f>
        <v>10644329.326126127</v>
      </c>
      <c r="S55" s="26"/>
    </row>
    <row r="56" spans="1:19" ht="30">
      <c r="A56" s="24"/>
      <c r="B56" s="25" t="s">
        <v>1366</v>
      </c>
      <c r="C56" s="26" t="s">
        <v>1350</v>
      </c>
      <c r="D56" s="351">
        <v>2</v>
      </c>
      <c r="E56" s="24"/>
      <c r="F56" s="351">
        <v>2</v>
      </c>
      <c r="G56" s="26" t="s">
        <v>3123</v>
      </c>
      <c r="H56" s="26"/>
      <c r="I56" s="26" t="s">
        <v>2596</v>
      </c>
      <c r="J56" s="559" t="s">
        <v>2328</v>
      </c>
      <c r="K56" s="311">
        <v>3462960.0486486484</v>
      </c>
      <c r="L56" s="311">
        <v>0</v>
      </c>
      <c r="M56" s="311">
        <v>1029571.2500000001</v>
      </c>
      <c r="N56" s="311">
        <v>408815.25675675675</v>
      </c>
      <c r="O56" s="311">
        <v>286170.67972972972</v>
      </c>
      <c r="P56" s="68">
        <f t="shared" si="10"/>
        <v>5187517.2351351352</v>
      </c>
      <c r="Q56" s="68">
        <f>D56*P56</f>
        <v>10375034.47027027</v>
      </c>
      <c r="R56" s="127">
        <f>F56*P56</f>
        <v>10375034.47027027</v>
      </c>
      <c r="S56" s="26"/>
    </row>
    <row r="57" spans="1:19" ht="30">
      <c r="A57" s="24"/>
      <c r="B57" s="25" t="s">
        <v>1367</v>
      </c>
      <c r="C57" s="26" t="s">
        <v>1350</v>
      </c>
      <c r="D57" s="351">
        <v>2</v>
      </c>
      <c r="E57" s="24"/>
      <c r="F57" s="351">
        <v>2</v>
      </c>
      <c r="G57" s="26" t="s">
        <v>3123</v>
      </c>
      <c r="H57" s="26"/>
      <c r="I57" s="26" t="s">
        <v>2596</v>
      </c>
      <c r="J57" s="559" t="s">
        <v>2328</v>
      </c>
      <c r="K57" s="311">
        <v>6417168.1945945946</v>
      </c>
      <c r="L57" s="311">
        <v>0</v>
      </c>
      <c r="M57" s="311">
        <v>1578327.5000000002</v>
      </c>
      <c r="N57" s="311">
        <v>728406.0270270271</v>
      </c>
      <c r="O57" s="311">
        <v>509884.21891891898</v>
      </c>
      <c r="P57" s="68">
        <f t="shared" si="10"/>
        <v>9233785.940540541</v>
      </c>
      <c r="Q57" s="68">
        <f>D57*P57</f>
        <v>18467571.881081082</v>
      </c>
      <c r="R57" s="127">
        <f>F57*P57</f>
        <v>18467571.881081082</v>
      </c>
      <c r="S57" s="26"/>
    </row>
    <row r="58" spans="1:19" ht="30">
      <c r="A58" s="24"/>
      <c r="B58" s="25" t="s">
        <v>1368</v>
      </c>
      <c r="C58" s="26" t="s">
        <v>1350</v>
      </c>
      <c r="D58" s="351">
        <v>1</v>
      </c>
      <c r="E58" s="24"/>
      <c r="F58" s="351">
        <v>1</v>
      </c>
      <c r="G58" s="26" t="s">
        <v>3123</v>
      </c>
      <c r="H58" s="26"/>
      <c r="I58" s="26" t="s">
        <v>2596</v>
      </c>
      <c r="J58" s="559" t="s">
        <v>2328</v>
      </c>
      <c r="K58" s="311">
        <v>11449169.691891894</v>
      </c>
      <c r="L58" s="311">
        <v>0</v>
      </c>
      <c r="M58" s="311">
        <v>2782107.083333334</v>
      </c>
      <c r="N58" s="311">
        <v>1296586.7072072076</v>
      </c>
      <c r="O58" s="311">
        <v>907610.69504504523</v>
      </c>
      <c r="P58" s="68">
        <f t="shared" si="10"/>
        <v>16435474.177477481</v>
      </c>
      <c r="Q58" s="68">
        <f>D58*P58</f>
        <v>16435474.177477481</v>
      </c>
      <c r="R58" s="127">
        <f>F58*P58</f>
        <v>16435474.177477481</v>
      </c>
      <c r="S58" s="26"/>
    </row>
    <row r="59" spans="1:19">
      <c r="A59" s="24">
        <v>1.5</v>
      </c>
      <c r="B59" s="72" t="s">
        <v>1369</v>
      </c>
      <c r="C59" s="24"/>
      <c r="D59" s="351"/>
      <c r="E59" s="26"/>
      <c r="F59" s="351"/>
      <c r="G59" s="26"/>
      <c r="H59" s="26"/>
      <c r="I59" s="26"/>
      <c r="J59" s="559"/>
      <c r="K59" s="66"/>
      <c r="L59" s="66"/>
      <c r="M59" s="66"/>
      <c r="N59" s="66"/>
      <c r="O59" s="66"/>
      <c r="P59" s="66"/>
      <c r="Q59" s="66"/>
      <c r="R59" s="66"/>
      <c r="S59" s="26"/>
    </row>
    <row r="60" spans="1:19" ht="30">
      <c r="A60" s="26"/>
      <c r="B60" s="25" t="s">
        <v>1370</v>
      </c>
      <c r="C60" s="26" t="s">
        <v>1350</v>
      </c>
      <c r="D60" s="351">
        <v>123</v>
      </c>
      <c r="E60" s="26"/>
      <c r="F60" s="351">
        <v>123</v>
      </c>
      <c r="G60" s="351" t="s">
        <v>3124</v>
      </c>
      <c r="H60" s="351"/>
      <c r="I60" s="351" t="s">
        <v>2596</v>
      </c>
      <c r="J60" s="560" t="s">
        <v>2328</v>
      </c>
      <c r="K60" s="311">
        <v>463620.60000000003</v>
      </c>
      <c r="L60" s="311">
        <v>0</v>
      </c>
      <c r="M60" s="311">
        <v>246905.00000000003</v>
      </c>
      <c r="N60" s="311">
        <v>64384</v>
      </c>
      <c r="O60" s="311">
        <v>45068.800000000003</v>
      </c>
      <c r="P60" s="68">
        <f>SUM(K60:O60)</f>
        <v>819978.40000000014</v>
      </c>
      <c r="Q60" s="68">
        <f>D60*P60</f>
        <v>100857343.20000002</v>
      </c>
      <c r="R60" s="127">
        <f>F60*P60</f>
        <v>100857343.20000002</v>
      </c>
      <c r="S60" s="26"/>
    </row>
    <row r="61" spans="1:19" s="83" customFormat="1">
      <c r="A61" s="28">
        <v>1.6</v>
      </c>
      <c r="B61" s="82" t="s">
        <v>1988</v>
      </c>
      <c r="C61" s="28">
        <v>0</v>
      </c>
      <c r="D61" s="352"/>
      <c r="E61" s="28"/>
      <c r="F61" s="352"/>
      <c r="G61" s="202"/>
      <c r="H61" s="202"/>
      <c r="I61" s="202"/>
      <c r="J61" s="562"/>
      <c r="K61" s="80"/>
      <c r="L61" s="80"/>
      <c r="M61" s="80"/>
      <c r="N61" s="80"/>
      <c r="O61" s="80"/>
      <c r="P61" s="80"/>
      <c r="Q61" s="80"/>
      <c r="R61" s="80"/>
      <c r="S61" s="202"/>
    </row>
    <row r="62" spans="1:19" s="84" customFormat="1" ht="30">
      <c r="A62" s="30"/>
      <c r="B62" s="29" t="s">
        <v>1989</v>
      </c>
      <c r="C62" s="30" t="s">
        <v>1350</v>
      </c>
      <c r="D62" s="352">
        <v>123</v>
      </c>
      <c r="E62" s="30"/>
      <c r="F62" s="352">
        <v>123</v>
      </c>
      <c r="G62" s="26" t="s">
        <v>3123</v>
      </c>
      <c r="H62" s="26"/>
      <c r="I62" s="26" t="s">
        <v>2596</v>
      </c>
      <c r="J62" s="559" t="s">
        <v>2328</v>
      </c>
      <c r="K62" s="311">
        <v>229605.31719999999</v>
      </c>
      <c r="L62" s="311">
        <v>0</v>
      </c>
      <c r="M62" s="311">
        <v>135882.5</v>
      </c>
      <c r="N62" s="311">
        <v>33089.707999999999</v>
      </c>
      <c r="O62" s="311">
        <v>23162.795599999998</v>
      </c>
      <c r="P62" s="68">
        <f>SUM(K62:O62)</f>
        <v>421740.32079999999</v>
      </c>
      <c r="Q62" s="68">
        <f>D62*P62</f>
        <v>51874059.458399996</v>
      </c>
      <c r="R62" s="127">
        <f>F62*P62</f>
        <v>51874059.458399996</v>
      </c>
      <c r="S62" s="37"/>
    </row>
    <row r="63" spans="1:19" s="83" customFormat="1">
      <c r="A63" s="28">
        <v>1.7</v>
      </c>
      <c r="B63" s="82" t="s">
        <v>1990</v>
      </c>
      <c r="C63" s="28">
        <v>0</v>
      </c>
      <c r="D63" s="352"/>
      <c r="E63" s="28"/>
      <c r="F63" s="352"/>
      <c r="G63" s="200"/>
      <c r="H63" s="200"/>
      <c r="I63" s="200"/>
      <c r="J63" s="563"/>
      <c r="K63" s="80"/>
      <c r="L63" s="80"/>
      <c r="M63" s="80"/>
      <c r="N63" s="80"/>
      <c r="O63" s="80"/>
      <c r="P63" s="80"/>
      <c r="Q63" s="80"/>
      <c r="R63" s="80"/>
      <c r="S63" s="200"/>
    </row>
    <row r="64" spans="1:19" s="84" customFormat="1" ht="30">
      <c r="A64" s="30"/>
      <c r="B64" s="29" t="s">
        <v>1991</v>
      </c>
      <c r="C64" s="30" t="s">
        <v>1350</v>
      </c>
      <c r="D64" s="352">
        <v>1</v>
      </c>
      <c r="E64" s="30"/>
      <c r="F64" s="352">
        <v>1</v>
      </c>
      <c r="G64" s="26" t="s">
        <v>3123</v>
      </c>
      <c r="H64" s="26"/>
      <c r="I64" s="26" t="s">
        <v>2596</v>
      </c>
      <c r="J64" s="559" t="s">
        <v>2328</v>
      </c>
      <c r="K64" s="311">
        <v>1083241.3242000001</v>
      </c>
      <c r="L64" s="311">
        <v>0</v>
      </c>
      <c r="M64" s="311">
        <v>318801.25000000006</v>
      </c>
      <c r="N64" s="311">
        <v>127592.43799999999</v>
      </c>
      <c r="O64" s="311">
        <v>89314.706600000005</v>
      </c>
      <c r="P64" s="68">
        <f t="shared" ref="P64:P66" si="11">SUM(K64:O64)</f>
        <v>1618949.7188000001</v>
      </c>
      <c r="Q64" s="68">
        <f>D64*P64</f>
        <v>1618949.7188000001</v>
      </c>
      <c r="R64" s="127">
        <f>F64*P64</f>
        <v>1618949.7188000001</v>
      </c>
      <c r="S64" s="15"/>
    </row>
    <row r="65" spans="1:19" s="84" customFormat="1" ht="30">
      <c r="A65" s="30"/>
      <c r="B65" s="29" t="s">
        <v>1992</v>
      </c>
      <c r="C65" s="30" t="s">
        <v>1350</v>
      </c>
      <c r="D65" s="352">
        <v>1</v>
      </c>
      <c r="E65" s="30"/>
      <c r="F65" s="352">
        <v>1</v>
      </c>
      <c r="G65" s="26" t="s">
        <v>3123</v>
      </c>
      <c r="H65" s="26"/>
      <c r="I65" s="26" t="s">
        <v>2596</v>
      </c>
      <c r="J65" s="559" t="s">
        <v>2328</v>
      </c>
      <c r="K65" s="311">
        <v>1153742.5241999999</v>
      </c>
      <c r="L65" s="311">
        <v>0</v>
      </c>
      <c r="M65" s="311">
        <v>369321.66666666674</v>
      </c>
      <c r="N65" s="311">
        <v>138531.27133333334</v>
      </c>
      <c r="O65" s="311">
        <v>96971.889933333339</v>
      </c>
      <c r="P65" s="68">
        <f t="shared" si="11"/>
        <v>1758567.3521333332</v>
      </c>
      <c r="Q65" s="68">
        <f>D65*P65</f>
        <v>1758567.3521333332</v>
      </c>
      <c r="R65" s="127">
        <f>F65*P65</f>
        <v>1758567.3521333332</v>
      </c>
      <c r="S65" s="15"/>
    </row>
    <row r="66" spans="1:19" s="84" customFormat="1" ht="30">
      <c r="A66" s="30"/>
      <c r="B66" s="29" t="s">
        <v>1993</v>
      </c>
      <c r="C66" s="30" t="s">
        <v>1350</v>
      </c>
      <c r="D66" s="352">
        <v>1</v>
      </c>
      <c r="E66" s="30"/>
      <c r="F66" s="352">
        <v>1</v>
      </c>
      <c r="G66" s="26" t="s">
        <v>3123</v>
      </c>
      <c r="H66" s="26"/>
      <c r="I66" s="26" t="s">
        <v>2596</v>
      </c>
      <c r="J66" s="559" t="s">
        <v>2328</v>
      </c>
      <c r="K66" s="311">
        <v>2068959.1930000002</v>
      </c>
      <c r="L66" s="311">
        <v>0</v>
      </c>
      <c r="M66" s="311">
        <v>834457.91666666674</v>
      </c>
      <c r="N66" s="311">
        <v>263658.60333333333</v>
      </c>
      <c r="O66" s="311">
        <v>184561.02233333336</v>
      </c>
      <c r="P66" s="68">
        <f t="shared" si="11"/>
        <v>3351636.7353333337</v>
      </c>
      <c r="Q66" s="68">
        <f>D66*P66</f>
        <v>3351636.7353333337</v>
      </c>
      <c r="R66" s="127">
        <f>F66*P66</f>
        <v>3351636.7353333337</v>
      </c>
      <c r="S66" s="26"/>
    </row>
    <row r="67" spans="1:19">
      <c r="A67" s="24">
        <v>1.8</v>
      </c>
      <c r="B67" s="72" t="s">
        <v>1371</v>
      </c>
      <c r="C67" s="24"/>
      <c r="D67" s="351"/>
      <c r="E67" s="26"/>
      <c r="F67" s="351"/>
      <c r="G67" s="26"/>
      <c r="H67" s="26"/>
      <c r="I67" s="26"/>
      <c r="J67" s="559"/>
      <c r="K67" s="66"/>
      <c r="L67" s="66"/>
      <c r="M67" s="66"/>
      <c r="N67" s="66"/>
      <c r="O67" s="66"/>
      <c r="P67" s="66"/>
      <c r="Q67" s="66"/>
      <c r="R67" s="66"/>
      <c r="S67" s="26"/>
    </row>
    <row r="68" spans="1:19">
      <c r="A68" s="24"/>
      <c r="B68" s="25" t="s">
        <v>1346</v>
      </c>
      <c r="C68" s="26" t="s">
        <v>1350</v>
      </c>
      <c r="D68" s="351">
        <v>1</v>
      </c>
      <c r="E68" s="26"/>
      <c r="F68" s="351">
        <v>1</v>
      </c>
      <c r="G68" s="351" t="s">
        <v>3125</v>
      </c>
      <c r="H68" s="351"/>
      <c r="I68" s="351" t="s">
        <v>2596</v>
      </c>
      <c r="J68" s="560" t="s">
        <v>2328</v>
      </c>
      <c r="K68" s="311">
        <v>1140688.6528624999</v>
      </c>
      <c r="L68" s="311">
        <v>0</v>
      </c>
      <c r="M68" s="311">
        <v>295947.00000000006</v>
      </c>
      <c r="N68" s="311">
        <v>130840.33512499998</v>
      </c>
      <c r="O68" s="311">
        <v>91588.234587500003</v>
      </c>
      <c r="P68" s="68">
        <f t="shared" ref="P68:P71" si="12">SUM(K68:O68)</f>
        <v>1659064.222575</v>
      </c>
      <c r="Q68" s="68">
        <f>D68*P68</f>
        <v>1659064.222575</v>
      </c>
      <c r="R68" s="127">
        <f>F68*P68</f>
        <v>1659064.222575</v>
      </c>
      <c r="S68" s="26"/>
    </row>
    <row r="69" spans="1:19">
      <c r="A69" s="24"/>
      <c r="B69" s="25" t="s">
        <v>1372</v>
      </c>
      <c r="C69" s="26" t="s">
        <v>1350</v>
      </c>
      <c r="D69" s="351">
        <v>1</v>
      </c>
      <c r="E69" s="26"/>
      <c r="F69" s="351">
        <v>1</v>
      </c>
      <c r="G69" s="351" t="s">
        <v>3125</v>
      </c>
      <c r="H69" s="351"/>
      <c r="I69" s="351" t="s">
        <v>2596</v>
      </c>
      <c r="J69" s="560" t="s">
        <v>2328</v>
      </c>
      <c r="K69" s="311">
        <v>1116418.6815249999</v>
      </c>
      <c r="L69" s="311">
        <v>0</v>
      </c>
      <c r="M69" s="311">
        <v>295947.00000000006</v>
      </c>
      <c r="N69" s="311">
        <v>128613.73224999999</v>
      </c>
      <c r="O69" s="311">
        <v>90029.612574999992</v>
      </c>
      <c r="P69" s="68">
        <f t="shared" si="12"/>
        <v>1631009.0263499997</v>
      </c>
      <c r="Q69" s="68">
        <f>D69*P69</f>
        <v>1631009.0263499997</v>
      </c>
      <c r="R69" s="127">
        <f>F69*P69</f>
        <v>1631009.0263499997</v>
      </c>
      <c r="S69" s="26"/>
    </row>
    <row r="70" spans="1:19">
      <c r="A70" s="24"/>
      <c r="B70" s="25" t="s">
        <v>1373</v>
      </c>
      <c r="C70" s="26" t="s">
        <v>1350</v>
      </c>
      <c r="D70" s="351">
        <v>3</v>
      </c>
      <c r="E70" s="26"/>
      <c r="F70" s="351">
        <v>3</v>
      </c>
      <c r="G70" s="351" t="s">
        <v>3125</v>
      </c>
      <c r="H70" s="351"/>
      <c r="I70" s="351" t="s">
        <v>2596</v>
      </c>
      <c r="J70" s="560" t="s">
        <v>2328</v>
      </c>
      <c r="K70" s="311">
        <v>913521.72114349995</v>
      </c>
      <c r="L70" s="311">
        <v>0</v>
      </c>
      <c r="M70" s="311">
        <v>224418.00000000003</v>
      </c>
      <c r="N70" s="311">
        <v>103669.332215</v>
      </c>
      <c r="O70" s="311">
        <v>72568.532550500007</v>
      </c>
      <c r="P70" s="68">
        <f t="shared" si="12"/>
        <v>1314177.5859089999</v>
      </c>
      <c r="Q70" s="68">
        <f>D70*P70</f>
        <v>3942532.7577269999</v>
      </c>
      <c r="R70" s="127">
        <f>F70*P70</f>
        <v>3942532.7577269999</v>
      </c>
      <c r="S70" s="26"/>
    </row>
    <row r="71" spans="1:19" s="84" customFormat="1">
      <c r="A71" s="30"/>
      <c r="B71" s="29" t="s">
        <v>1994</v>
      </c>
      <c r="C71" s="30" t="s">
        <v>1350</v>
      </c>
      <c r="D71" s="352">
        <v>1</v>
      </c>
      <c r="E71" s="30"/>
      <c r="F71" s="352">
        <v>1</v>
      </c>
      <c r="G71" s="351" t="s">
        <v>3125</v>
      </c>
      <c r="H71" s="351"/>
      <c r="I71" s="351" t="s">
        <v>2596</v>
      </c>
      <c r="J71" s="560" t="s">
        <v>2328</v>
      </c>
      <c r="K71" s="311">
        <v>1363972.8298000002</v>
      </c>
      <c r="L71" s="311">
        <v>0</v>
      </c>
      <c r="M71" s="311">
        <v>376968.00000000006</v>
      </c>
      <c r="N71" s="311">
        <v>158495.122</v>
      </c>
      <c r="O71" s="311">
        <v>110946.58540000001</v>
      </c>
      <c r="P71" s="68">
        <f t="shared" si="12"/>
        <v>2010382.5372000001</v>
      </c>
      <c r="Q71" s="68">
        <f>D71*P71</f>
        <v>2010382.5372000001</v>
      </c>
      <c r="R71" s="127">
        <f>F71*P71</f>
        <v>2010382.5372000001</v>
      </c>
      <c r="S71" s="37"/>
    </row>
    <row r="72" spans="1:19">
      <c r="A72" s="24">
        <v>1.9</v>
      </c>
      <c r="B72" s="72" t="s">
        <v>1375</v>
      </c>
      <c r="C72" s="24"/>
      <c r="D72" s="351"/>
      <c r="E72" s="26"/>
      <c r="F72" s="351"/>
      <c r="G72" s="26"/>
      <c r="H72" s="26"/>
      <c r="I72" s="26"/>
      <c r="J72" s="559"/>
      <c r="K72" s="66"/>
      <c r="L72" s="66"/>
      <c r="M72" s="66"/>
      <c r="N72" s="66"/>
      <c r="O72" s="66"/>
      <c r="P72" s="66"/>
      <c r="Q72" s="66"/>
      <c r="R72" s="66"/>
      <c r="S72" s="26"/>
    </row>
    <row r="73" spans="1:19" ht="60">
      <c r="A73" s="24"/>
      <c r="B73" s="25" t="s">
        <v>1346</v>
      </c>
      <c r="C73" s="26" t="s">
        <v>1350</v>
      </c>
      <c r="D73" s="351">
        <v>1</v>
      </c>
      <c r="E73" s="26"/>
      <c r="F73" s="351">
        <v>1</v>
      </c>
      <c r="G73" s="351" t="s">
        <v>3126</v>
      </c>
      <c r="H73" s="351"/>
      <c r="I73" s="351" t="s">
        <v>2596</v>
      </c>
      <c r="J73" s="560" t="s">
        <v>2328</v>
      </c>
      <c r="K73" s="311">
        <v>11351567.517427202</v>
      </c>
      <c r="L73" s="311">
        <v>0</v>
      </c>
      <c r="M73" s="311">
        <v>428797.33333333337</v>
      </c>
      <c r="N73" s="311">
        <v>1079374.8792746668</v>
      </c>
      <c r="O73" s="311">
        <v>755562.41549226677</v>
      </c>
      <c r="P73" s="68">
        <f t="shared" ref="P73:P76" si="13">SUM(K73:O73)</f>
        <v>13615302.145527469</v>
      </c>
      <c r="Q73" s="68">
        <f>D73*P73</f>
        <v>13615302.145527469</v>
      </c>
      <c r="R73" s="127">
        <f>F73*P73</f>
        <v>13615302.145527469</v>
      </c>
      <c r="S73" s="26"/>
    </row>
    <row r="74" spans="1:19" ht="60">
      <c r="A74" s="24"/>
      <c r="B74" s="25" t="s">
        <v>1372</v>
      </c>
      <c r="C74" s="26" t="s">
        <v>1350</v>
      </c>
      <c r="D74" s="351">
        <v>1</v>
      </c>
      <c r="E74" s="26"/>
      <c r="F74" s="351">
        <v>1</v>
      </c>
      <c r="G74" s="351" t="s">
        <v>3126</v>
      </c>
      <c r="H74" s="351"/>
      <c r="I74" s="351" t="s">
        <v>2596</v>
      </c>
      <c r="J74" s="560" t="s">
        <v>2328</v>
      </c>
      <c r="K74" s="311">
        <v>13500595.248</v>
      </c>
      <c r="L74" s="311">
        <v>0</v>
      </c>
      <c r="M74" s="311">
        <v>428797.33333333337</v>
      </c>
      <c r="N74" s="311">
        <v>1276533.3866666667</v>
      </c>
      <c r="O74" s="311">
        <v>893573.37066666665</v>
      </c>
      <c r="P74" s="68">
        <f t="shared" si="13"/>
        <v>16099499.338666666</v>
      </c>
      <c r="Q74" s="68">
        <f>D74*P74</f>
        <v>16099499.338666666</v>
      </c>
      <c r="R74" s="127">
        <f>F74*P74</f>
        <v>16099499.338666666</v>
      </c>
      <c r="S74" s="26"/>
    </row>
    <row r="75" spans="1:19" ht="60">
      <c r="A75" s="24"/>
      <c r="B75" s="25" t="s">
        <v>1373</v>
      </c>
      <c r="C75" s="26" t="s">
        <v>1350</v>
      </c>
      <c r="D75" s="351">
        <v>1</v>
      </c>
      <c r="E75" s="26"/>
      <c r="F75" s="351">
        <v>1</v>
      </c>
      <c r="G75" s="351" t="s">
        <v>3126</v>
      </c>
      <c r="H75" s="351"/>
      <c r="I75" s="351" t="s">
        <v>2596</v>
      </c>
      <c r="J75" s="560" t="s">
        <v>2328</v>
      </c>
      <c r="K75" s="311">
        <v>9354910.7745407987</v>
      </c>
      <c r="L75" s="311">
        <v>0</v>
      </c>
      <c r="M75" s="311">
        <v>335911.33333333337</v>
      </c>
      <c r="N75" s="311">
        <v>887975.36157866649</v>
      </c>
      <c r="O75" s="311">
        <v>621582.7531050666</v>
      </c>
      <c r="P75" s="68">
        <f t="shared" si="13"/>
        <v>11200380.222557865</v>
      </c>
      <c r="Q75" s="68">
        <f>D75*P75</f>
        <v>11200380.222557865</v>
      </c>
      <c r="R75" s="127">
        <f>F75*P75</f>
        <v>11200380.222557865</v>
      </c>
      <c r="S75" s="26"/>
    </row>
    <row r="76" spans="1:19" ht="60">
      <c r="A76" s="24"/>
      <c r="B76" s="25" t="s">
        <v>1374</v>
      </c>
      <c r="C76" s="26" t="s">
        <v>1350</v>
      </c>
      <c r="D76" s="351">
        <v>1</v>
      </c>
      <c r="E76" s="26"/>
      <c r="F76" s="351">
        <v>1</v>
      </c>
      <c r="G76" s="351" t="s">
        <v>3126</v>
      </c>
      <c r="H76" s="351"/>
      <c r="I76" s="351" t="s">
        <v>2596</v>
      </c>
      <c r="J76" s="560" t="s">
        <v>2328</v>
      </c>
      <c r="K76" s="311">
        <v>14537501.260800002</v>
      </c>
      <c r="L76" s="311">
        <v>0</v>
      </c>
      <c r="M76" s="311">
        <v>534226.33333333337</v>
      </c>
      <c r="N76" s="311">
        <v>1380992.3786666668</v>
      </c>
      <c r="O76" s="311">
        <v>966694.66506666678</v>
      </c>
      <c r="P76" s="68">
        <f t="shared" si="13"/>
        <v>17419414.637866668</v>
      </c>
      <c r="Q76" s="68">
        <f>D76*P76</f>
        <v>17419414.637866668</v>
      </c>
      <c r="R76" s="127">
        <f>F76*P76</f>
        <v>17419414.637866668</v>
      </c>
      <c r="S76" s="26"/>
    </row>
    <row r="77" spans="1:19">
      <c r="A77" s="73">
        <v>1.1000000000000001</v>
      </c>
      <c r="B77" s="72" t="s">
        <v>1376</v>
      </c>
      <c r="C77" s="24"/>
      <c r="D77" s="351"/>
      <c r="E77" s="26"/>
      <c r="F77" s="351"/>
      <c r="G77" s="26"/>
      <c r="H77" s="26"/>
      <c r="I77" s="26"/>
      <c r="J77" s="559"/>
      <c r="K77" s="66"/>
      <c r="L77" s="66"/>
      <c r="M77" s="66"/>
      <c r="N77" s="66"/>
      <c r="O77" s="66"/>
      <c r="P77" s="66"/>
      <c r="Q77" s="66"/>
      <c r="R77" s="66"/>
      <c r="S77" s="26"/>
    </row>
    <row r="78" spans="1:19">
      <c r="A78" s="24"/>
      <c r="B78" s="25" t="s">
        <v>1345</v>
      </c>
      <c r="C78" s="26" t="s">
        <v>1350</v>
      </c>
      <c r="D78" s="351">
        <v>1</v>
      </c>
      <c r="E78" s="26"/>
      <c r="F78" s="351">
        <v>1</v>
      </c>
      <c r="G78" s="351" t="s">
        <v>3125</v>
      </c>
      <c r="H78" s="351"/>
      <c r="I78" s="351" t="s">
        <v>2596</v>
      </c>
      <c r="J78" s="560" t="s">
        <v>2328</v>
      </c>
      <c r="K78" s="311">
        <v>1111564.6872574999</v>
      </c>
      <c r="L78" s="311">
        <v>0</v>
      </c>
      <c r="M78" s="311">
        <v>295947.00000000006</v>
      </c>
      <c r="N78" s="311">
        <v>128168.41167500001</v>
      </c>
      <c r="O78" s="311">
        <v>89717.88817250001</v>
      </c>
      <c r="P78" s="68">
        <f t="shared" ref="P78:P83" si="14">SUM(K78:O78)</f>
        <v>1625397.9871050001</v>
      </c>
      <c r="Q78" s="68">
        <f t="shared" ref="Q78:Q83" si="15">D78*P78</f>
        <v>1625397.9871050001</v>
      </c>
      <c r="R78" s="127">
        <f t="shared" ref="R78:R83" si="16">F78*P78</f>
        <v>1625397.9871050001</v>
      </c>
      <c r="S78" s="26"/>
    </row>
    <row r="79" spans="1:19">
      <c r="A79" s="24"/>
      <c r="B79" s="25" t="s">
        <v>1343</v>
      </c>
      <c r="C79" s="26" t="s">
        <v>1350</v>
      </c>
      <c r="D79" s="351">
        <v>2</v>
      </c>
      <c r="E79" s="26"/>
      <c r="F79" s="351">
        <v>2</v>
      </c>
      <c r="G79" s="351" t="s">
        <v>3125</v>
      </c>
      <c r="H79" s="351"/>
      <c r="I79" s="351" t="s">
        <v>2596</v>
      </c>
      <c r="J79" s="560" t="s">
        <v>2328</v>
      </c>
      <c r="K79" s="311">
        <v>1022251.1927354999</v>
      </c>
      <c r="L79" s="311">
        <v>0</v>
      </c>
      <c r="M79" s="311">
        <v>224418.00000000003</v>
      </c>
      <c r="N79" s="311">
        <v>113644.513095</v>
      </c>
      <c r="O79" s="311">
        <v>79551.159166500001</v>
      </c>
      <c r="P79" s="68">
        <f t="shared" si="14"/>
        <v>1439864.864997</v>
      </c>
      <c r="Q79" s="68">
        <f t="shared" si="15"/>
        <v>2879729.7299939999</v>
      </c>
      <c r="R79" s="127">
        <f t="shared" si="16"/>
        <v>2879729.7299939999</v>
      </c>
      <c r="S79" s="26"/>
    </row>
    <row r="80" spans="1:19">
      <c r="A80" s="24"/>
      <c r="B80" s="25" t="s">
        <v>1342</v>
      </c>
      <c r="C80" s="26" t="s">
        <v>1350</v>
      </c>
      <c r="D80" s="351">
        <v>1</v>
      </c>
      <c r="E80" s="26"/>
      <c r="F80" s="351">
        <v>1</v>
      </c>
      <c r="G80" s="351" t="s">
        <v>3125</v>
      </c>
      <c r="H80" s="351"/>
      <c r="I80" s="351" t="s">
        <v>2596</v>
      </c>
      <c r="J80" s="560" t="s">
        <v>2328</v>
      </c>
      <c r="K80" s="311">
        <v>978565.24432799988</v>
      </c>
      <c r="L80" s="311">
        <v>0</v>
      </c>
      <c r="M80" s="311">
        <v>224418.00000000003</v>
      </c>
      <c r="N80" s="311">
        <v>109636.62791999998</v>
      </c>
      <c r="O80" s="311">
        <v>76745.639543999991</v>
      </c>
      <c r="P80" s="68">
        <f t="shared" si="14"/>
        <v>1389365.5117919997</v>
      </c>
      <c r="Q80" s="68">
        <f t="shared" si="15"/>
        <v>1389365.5117919997</v>
      </c>
      <c r="R80" s="127">
        <f t="shared" si="16"/>
        <v>1389365.5117919997</v>
      </c>
      <c r="S80" s="26"/>
    </row>
    <row r="81" spans="1:19">
      <c r="A81" s="24"/>
      <c r="B81" s="25" t="s">
        <v>1340</v>
      </c>
      <c r="C81" s="26" t="s">
        <v>1350</v>
      </c>
      <c r="D81" s="351">
        <v>2</v>
      </c>
      <c r="E81" s="26"/>
      <c r="F81" s="351">
        <v>2</v>
      </c>
      <c r="G81" s="351" t="s">
        <v>3125</v>
      </c>
      <c r="H81" s="351"/>
      <c r="I81" s="351" t="s">
        <v>2596</v>
      </c>
      <c r="J81" s="560" t="s">
        <v>2328</v>
      </c>
      <c r="K81" s="311">
        <v>876631.3647105</v>
      </c>
      <c r="L81" s="311">
        <v>0</v>
      </c>
      <c r="M81" s="311">
        <v>224418.00000000003</v>
      </c>
      <c r="N81" s="311">
        <v>100284.89584499999</v>
      </c>
      <c r="O81" s="311">
        <v>70199.427091499994</v>
      </c>
      <c r="P81" s="68">
        <f t="shared" si="14"/>
        <v>1271533.687647</v>
      </c>
      <c r="Q81" s="68">
        <f t="shared" si="15"/>
        <v>2543067.3752939999</v>
      </c>
      <c r="R81" s="127">
        <f t="shared" si="16"/>
        <v>2543067.3752939999</v>
      </c>
      <c r="S81" s="26"/>
    </row>
    <row r="82" spans="1:19">
      <c r="A82" s="24"/>
      <c r="B82" s="25" t="s">
        <v>1338</v>
      </c>
      <c r="C82" s="26" t="s">
        <v>1350</v>
      </c>
      <c r="D82" s="351">
        <v>2</v>
      </c>
      <c r="E82" s="26"/>
      <c r="F82" s="351">
        <v>2</v>
      </c>
      <c r="G82" s="351" t="s">
        <v>3125</v>
      </c>
      <c r="H82" s="351"/>
      <c r="I82" s="351" t="s">
        <v>2596</v>
      </c>
      <c r="J82" s="560" t="s">
        <v>2328</v>
      </c>
      <c r="K82" s="311">
        <v>774697.485093</v>
      </c>
      <c r="L82" s="311">
        <v>0</v>
      </c>
      <c r="M82" s="311">
        <v>162381.00000000003</v>
      </c>
      <c r="N82" s="311">
        <v>85443.163769999999</v>
      </c>
      <c r="O82" s="311">
        <v>59810.214639000005</v>
      </c>
      <c r="P82" s="68">
        <f t="shared" si="14"/>
        <v>1082331.863502</v>
      </c>
      <c r="Q82" s="68">
        <f t="shared" si="15"/>
        <v>2164663.727004</v>
      </c>
      <c r="R82" s="127">
        <f t="shared" si="16"/>
        <v>2164663.727004</v>
      </c>
      <c r="S82" s="26"/>
    </row>
    <row r="83" spans="1:19">
      <c r="A83" s="24"/>
      <c r="B83" s="25" t="s">
        <v>1335</v>
      </c>
      <c r="C83" s="26" t="s">
        <v>1350</v>
      </c>
      <c r="D83" s="351">
        <v>3</v>
      </c>
      <c r="E83" s="26"/>
      <c r="F83" s="351">
        <v>3</v>
      </c>
      <c r="G83" s="351" t="s">
        <v>3125</v>
      </c>
      <c r="H83" s="351"/>
      <c r="I83" s="351" t="s">
        <v>2596</v>
      </c>
      <c r="J83" s="560" t="s">
        <v>2328</v>
      </c>
      <c r="K83" s="311">
        <v>432976.28866100003</v>
      </c>
      <c r="L83" s="311">
        <v>0</v>
      </c>
      <c r="M83" s="311">
        <v>87349.000000000015</v>
      </c>
      <c r="N83" s="311">
        <v>47452.595289999997</v>
      </c>
      <c r="O83" s="311">
        <v>33216.816703000004</v>
      </c>
      <c r="P83" s="68">
        <f t="shared" si="14"/>
        <v>600994.70065400004</v>
      </c>
      <c r="Q83" s="68">
        <f t="shared" si="15"/>
        <v>1802984.1019620001</v>
      </c>
      <c r="R83" s="127">
        <f t="shared" si="16"/>
        <v>1802984.1019620001</v>
      </c>
      <c r="S83" s="26"/>
    </row>
    <row r="84" spans="1:19" ht="57">
      <c r="A84" s="24">
        <v>1.1100000000000001</v>
      </c>
      <c r="B84" s="72" t="s">
        <v>1377</v>
      </c>
      <c r="C84" s="24"/>
      <c r="D84" s="351"/>
      <c r="E84" s="26"/>
      <c r="F84" s="351"/>
      <c r="G84" s="26"/>
      <c r="H84" s="26"/>
      <c r="I84" s="26"/>
      <c r="J84" s="559"/>
      <c r="K84" s="66"/>
      <c r="L84" s="66"/>
      <c r="M84" s="66"/>
      <c r="N84" s="66"/>
      <c r="O84" s="66"/>
      <c r="P84" s="66"/>
      <c r="Q84" s="66"/>
      <c r="R84" s="66"/>
      <c r="S84" s="26"/>
    </row>
    <row r="85" spans="1:19" ht="60">
      <c r="A85" s="26"/>
      <c r="B85" s="25" t="s">
        <v>1378</v>
      </c>
      <c r="C85" s="26" t="s">
        <v>1350</v>
      </c>
      <c r="D85" s="351">
        <v>8</v>
      </c>
      <c r="E85" s="724" t="s">
        <v>1379</v>
      </c>
      <c r="F85" s="351">
        <v>8</v>
      </c>
      <c r="G85" s="351" t="s">
        <v>3348</v>
      </c>
      <c r="H85" s="351"/>
      <c r="I85" s="351" t="s">
        <v>2596</v>
      </c>
      <c r="J85" s="560" t="s">
        <v>2328</v>
      </c>
      <c r="K85" s="311">
        <v>10016511.4</v>
      </c>
      <c r="L85" s="311">
        <v>0</v>
      </c>
      <c r="M85" s="311">
        <v>1868878.7500000005</v>
      </c>
      <c r="N85" s="311">
        <v>1084333.5</v>
      </c>
      <c r="O85" s="311">
        <v>759033.45000000007</v>
      </c>
      <c r="P85" s="68">
        <f t="shared" ref="P85:P87" si="17">SUM(K85:O85)</f>
        <v>13728757.1</v>
      </c>
      <c r="Q85" s="68">
        <f>D85*P85</f>
        <v>109830056.8</v>
      </c>
      <c r="R85" s="127">
        <f>F85*P85</f>
        <v>109830056.8</v>
      </c>
      <c r="S85" s="26"/>
    </row>
    <row r="86" spans="1:19" ht="60">
      <c r="A86" s="26"/>
      <c r="B86" s="25" t="s">
        <v>1380</v>
      </c>
      <c r="C86" s="26" t="s">
        <v>1350</v>
      </c>
      <c r="D86" s="351">
        <v>4</v>
      </c>
      <c r="E86" s="724"/>
      <c r="F86" s="351">
        <v>4</v>
      </c>
      <c r="G86" s="351" t="s">
        <v>3348</v>
      </c>
      <c r="H86" s="351"/>
      <c r="I86" s="351" t="s">
        <v>2596</v>
      </c>
      <c r="J86" s="560" t="s">
        <v>2328</v>
      </c>
      <c r="K86" s="311">
        <v>17518480</v>
      </c>
      <c r="L86" s="311">
        <v>0</v>
      </c>
      <c r="M86" s="311">
        <v>3674195.0000000005</v>
      </c>
      <c r="N86" s="311">
        <v>1932350</v>
      </c>
      <c r="O86" s="311">
        <v>1352645.0000000002</v>
      </c>
      <c r="P86" s="68">
        <f t="shared" si="17"/>
        <v>24477670</v>
      </c>
      <c r="Q86" s="68">
        <f>D86*P86</f>
        <v>97910680</v>
      </c>
      <c r="R86" s="127">
        <f>F86*P86</f>
        <v>97910680</v>
      </c>
      <c r="S86" s="26"/>
    </row>
    <row r="87" spans="1:19" ht="30">
      <c r="A87" s="73">
        <v>1.1200000000000001</v>
      </c>
      <c r="B87" s="72" t="s">
        <v>1381</v>
      </c>
      <c r="C87" s="26" t="s">
        <v>1350</v>
      </c>
      <c r="D87" s="351">
        <v>12</v>
      </c>
      <c r="E87" s="26"/>
      <c r="F87" s="351">
        <v>12</v>
      </c>
      <c r="G87" s="351" t="s">
        <v>3127</v>
      </c>
      <c r="H87" s="351"/>
      <c r="I87" s="351" t="s">
        <v>2596</v>
      </c>
      <c r="J87" s="560" t="s">
        <v>2328</v>
      </c>
      <c r="K87" s="311">
        <v>805147.68241950008</v>
      </c>
      <c r="L87" s="311">
        <v>0</v>
      </c>
      <c r="M87" s="311">
        <v>147391.55000000002</v>
      </c>
      <c r="N87" s="311">
        <v>86910.259855000011</v>
      </c>
      <c r="O87" s="311">
        <v>60837.181898500006</v>
      </c>
      <c r="P87" s="68">
        <f t="shared" si="17"/>
        <v>1100286.6741730003</v>
      </c>
      <c r="Q87" s="68">
        <f>D87*P87</f>
        <v>13203440.090076003</v>
      </c>
      <c r="R87" s="127">
        <f>F87*P87</f>
        <v>13203440.090076003</v>
      </c>
      <c r="S87" s="26"/>
    </row>
    <row r="88" spans="1:19" ht="28.5">
      <c r="A88" s="541" t="s">
        <v>2220</v>
      </c>
      <c r="B88" s="542" t="s">
        <v>2221</v>
      </c>
      <c r="C88" s="543"/>
      <c r="D88" s="515"/>
      <c r="E88" s="543"/>
      <c r="F88" s="515"/>
      <c r="G88" s="543"/>
      <c r="H88" s="543"/>
      <c r="I88" s="543"/>
      <c r="J88" s="564"/>
      <c r="K88" s="247"/>
      <c r="L88" s="247"/>
      <c r="M88" s="247"/>
      <c r="N88" s="247"/>
      <c r="O88" s="247"/>
      <c r="P88" s="247"/>
      <c r="Q88" s="247"/>
      <c r="R88" s="247"/>
      <c r="S88" s="543"/>
    </row>
    <row r="89" spans="1:19">
      <c r="A89" s="24">
        <v>2.1</v>
      </c>
      <c r="B89" s="72" t="s">
        <v>1382</v>
      </c>
      <c r="C89" s="24"/>
      <c r="D89" s="351"/>
      <c r="E89" s="26"/>
      <c r="F89" s="351"/>
      <c r="G89" s="26"/>
      <c r="H89" s="26"/>
      <c r="I89" s="26"/>
      <c r="J89" s="559"/>
      <c r="K89" s="66"/>
      <c r="L89" s="66"/>
      <c r="M89" s="66"/>
      <c r="N89" s="66"/>
      <c r="O89" s="66"/>
      <c r="P89" s="66"/>
      <c r="Q89" s="66"/>
      <c r="R89" s="66"/>
      <c r="S89" s="26"/>
    </row>
    <row r="90" spans="1:19" ht="30">
      <c r="A90" s="24"/>
      <c r="B90" s="25" t="s">
        <v>1383</v>
      </c>
      <c r="C90" s="26" t="s">
        <v>1336</v>
      </c>
      <c r="D90" s="351">
        <v>265</v>
      </c>
      <c r="E90" s="26"/>
      <c r="F90" s="351">
        <v>265</v>
      </c>
      <c r="G90" s="351" t="s">
        <v>3128</v>
      </c>
      <c r="H90" s="351"/>
      <c r="I90" s="351" t="s">
        <v>2596</v>
      </c>
      <c r="J90" s="560" t="s">
        <v>2328</v>
      </c>
      <c r="K90" s="311">
        <v>562941.4</v>
      </c>
      <c r="L90" s="311">
        <v>0</v>
      </c>
      <c r="M90" s="311">
        <v>296154.16666666669</v>
      </c>
      <c r="N90" s="311">
        <v>77854.333333333343</v>
      </c>
      <c r="O90" s="311">
        <v>54498.03333333334</v>
      </c>
      <c r="P90" s="68">
        <f t="shared" ref="P90:P106" si="18">SUM(K90:O90)</f>
        <v>991447.93333333335</v>
      </c>
      <c r="Q90" s="68">
        <f t="shared" ref="Q90:Q106" si="19">D90*P90</f>
        <v>262733702.33333334</v>
      </c>
      <c r="R90" s="127">
        <f t="shared" ref="R90:R106" si="20">F90*P90</f>
        <v>262733702.33333334</v>
      </c>
      <c r="S90" s="329"/>
    </row>
    <row r="91" spans="1:19" ht="30">
      <c r="A91" s="24"/>
      <c r="B91" s="25" t="s">
        <v>1384</v>
      </c>
      <c r="C91" s="26" t="s">
        <v>1336</v>
      </c>
      <c r="D91" s="351">
        <v>119</v>
      </c>
      <c r="E91" s="26"/>
      <c r="F91" s="351">
        <v>119</v>
      </c>
      <c r="G91" s="351" t="s">
        <v>3128</v>
      </c>
      <c r="H91" s="351"/>
      <c r="I91" s="351" t="s">
        <v>2596</v>
      </c>
      <c r="J91" s="560" t="s">
        <v>2328</v>
      </c>
      <c r="K91" s="311">
        <v>728512.4</v>
      </c>
      <c r="L91" s="311">
        <v>0</v>
      </c>
      <c r="M91" s="311">
        <v>383258.33333333349</v>
      </c>
      <c r="N91" s="311">
        <v>100752.66666666669</v>
      </c>
      <c r="O91" s="311">
        <v>70526.866666666683</v>
      </c>
      <c r="P91" s="68">
        <f t="shared" si="18"/>
        <v>1283050.2666666668</v>
      </c>
      <c r="Q91" s="68">
        <f t="shared" si="19"/>
        <v>152682981.73333335</v>
      </c>
      <c r="R91" s="127">
        <f t="shared" si="20"/>
        <v>152682981.73333335</v>
      </c>
      <c r="S91" s="330"/>
    </row>
    <row r="92" spans="1:19" ht="30">
      <c r="A92" s="24"/>
      <c r="B92" s="25" t="s">
        <v>1385</v>
      </c>
      <c r="C92" s="26" t="s">
        <v>1336</v>
      </c>
      <c r="D92" s="351">
        <v>18</v>
      </c>
      <c r="E92" s="26"/>
      <c r="F92" s="351">
        <v>18</v>
      </c>
      <c r="G92" s="351" t="s">
        <v>3128</v>
      </c>
      <c r="H92" s="351"/>
      <c r="I92" s="351" t="s">
        <v>2596</v>
      </c>
      <c r="J92" s="560" t="s">
        <v>2328</v>
      </c>
      <c r="K92" s="311">
        <v>794740.8</v>
      </c>
      <c r="L92" s="311">
        <v>0</v>
      </c>
      <c r="M92" s="311">
        <v>418100.00000000006</v>
      </c>
      <c r="N92" s="311">
        <v>109912</v>
      </c>
      <c r="O92" s="311">
        <v>76938.400000000009</v>
      </c>
      <c r="P92" s="68">
        <f t="shared" si="18"/>
        <v>1399691.2</v>
      </c>
      <c r="Q92" s="68">
        <f t="shared" si="19"/>
        <v>25194441.599999998</v>
      </c>
      <c r="R92" s="127">
        <f t="shared" si="20"/>
        <v>25194441.599999998</v>
      </c>
      <c r="S92" s="331"/>
    </row>
    <row r="93" spans="1:19" ht="30">
      <c r="A93" s="24"/>
      <c r="B93" s="25" t="s">
        <v>1386</v>
      </c>
      <c r="C93" s="26" t="s">
        <v>1336</v>
      </c>
      <c r="D93" s="351">
        <v>47</v>
      </c>
      <c r="E93" s="26"/>
      <c r="F93" s="351">
        <v>47</v>
      </c>
      <c r="G93" s="351" t="s">
        <v>3128</v>
      </c>
      <c r="H93" s="351"/>
      <c r="I93" s="351" t="s">
        <v>2596</v>
      </c>
      <c r="J93" s="560" t="s">
        <v>2328</v>
      </c>
      <c r="K93" s="311">
        <v>860969.20000000007</v>
      </c>
      <c r="L93" s="311">
        <v>0</v>
      </c>
      <c r="M93" s="311">
        <v>452941.66666666674</v>
      </c>
      <c r="N93" s="311">
        <v>119071.33333333336</v>
      </c>
      <c r="O93" s="311">
        <v>83349.933333333349</v>
      </c>
      <c r="P93" s="68">
        <f t="shared" si="18"/>
        <v>1516332.1333333333</v>
      </c>
      <c r="Q93" s="68">
        <f t="shared" si="19"/>
        <v>71267610.266666666</v>
      </c>
      <c r="R93" s="127">
        <f t="shared" si="20"/>
        <v>71267610.266666666</v>
      </c>
      <c r="S93" s="333"/>
    </row>
    <row r="94" spans="1:19" ht="30">
      <c r="A94" s="24"/>
      <c r="B94" s="25" t="s">
        <v>1372</v>
      </c>
      <c r="C94" s="26" t="s">
        <v>1336</v>
      </c>
      <c r="D94" s="352">
        <v>2</v>
      </c>
      <c r="E94" s="26"/>
      <c r="F94" s="352">
        <v>2</v>
      </c>
      <c r="G94" s="351" t="s">
        <v>3128</v>
      </c>
      <c r="H94" s="351"/>
      <c r="I94" s="351" t="s">
        <v>2596</v>
      </c>
      <c r="J94" s="560" t="s">
        <v>2328</v>
      </c>
      <c r="K94" s="311">
        <v>1324568</v>
      </c>
      <c r="L94" s="311">
        <v>0</v>
      </c>
      <c r="M94" s="311">
        <v>696833.33333333349</v>
      </c>
      <c r="N94" s="311">
        <v>183186.66666666669</v>
      </c>
      <c r="O94" s="311">
        <v>128230.66666666669</v>
      </c>
      <c r="P94" s="68">
        <f t="shared" si="18"/>
        <v>2332818.6666666665</v>
      </c>
      <c r="Q94" s="68">
        <f t="shared" si="19"/>
        <v>4665637.333333333</v>
      </c>
      <c r="R94" s="127">
        <f t="shared" si="20"/>
        <v>4665637.333333333</v>
      </c>
      <c r="S94" s="333"/>
    </row>
    <row r="95" spans="1:19" ht="30">
      <c r="A95" s="24"/>
      <c r="B95" s="25" t="s">
        <v>1387</v>
      </c>
      <c r="C95" s="26" t="s">
        <v>1336</v>
      </c>
      <c r="D95" s="351">
        <v>17</v>
      </c>
      <c r="E95" s="26"/>
      <c r="F95" s="351">
        <v>17</v>
      </c>
      <c r="G95" s="351" t="s">
        <v>3128</v>
      </c>
      <c r="H95" s="351"/>
      <c r="I95" s="351" t="s">
        <v>2596</v>
      </c>
      <c r="J95" s="560" t="s">
        <v>2328</v>
      </c>
      <c r="K95" s="311">
        <v>1076745.6000000001</v>
      </c>
      <c r="L95" s="311">
        <v>0</v>
      </c>
      <c r="M95" s="311">
        <v>557466.66666666674</v>
      </c>
      <c r="N95" s="311">
        <v>148117.33333333334</v>
      </c>
      <c r="O95" s="311">
        <v>103682.13333333336</v>
      </c>
      <c r="P95" s="68">
        <f t="shared" si="18"/>
        <v>1886011.7333333334</v>
      </c>
      <c r="Q95" s="68">
        <f t="shared" si="19"/>
        <v>32062199.466666669</v>
      </c>
      <c r="R95" s="127">
        <f t="shared" si="20"/>
        <v>32062199.466666669</v>
      </c>
      <c r="S95" s="334"/>
    </row>
    <row r="96" spans="1:19" ht="30">
      <c r="A96" s="24"/>
      <c r="B96" s="25" t="s">
        <v>1338</v>
      </c>
      <c r="C96" s="26" t="s">
        <v>1336</v>
      </c>
      <c r="D96" s="352">
        <v>44</v>
      </c>
      <c r="E96" s="26"/>
      <c r="F96" s="352">
        <v>44</v>
      </c>
      <c r="G96" s="351" t="s">
        <v>3128</v>
      </c>
      <c r="H96" s="351"/>
      <c r="I96" s="351" t="s">
        <v>2596</v>
      </c>
      <c r="J96" s="560" t="s">
        <v>2328</v>
      </c>
      <c r="K96" s="311">
        <v>1009449.0000000001</v>
      </c>
      <c r="L96" s="311">
        <v>0</v>
      </c>
      <c r="M96" s="311">
        <v>522625.00000000006</v>
      </c>
      <c r="N96" s="311">
        <v>138860</v>
      </c>
      <c r="O96" s="311">
        <v>97202.000000000015</v>
      </c>
      <c r="P96" s="68">
        <f t="shared" si="18"/>
        <v>1768136.0000000002</v>
      </c>
      <c r="Q96" s="68">
        <f t="shared" si="19"/>
        <v>77797984.000000015</v>
      </c>
      <c r="R96" s="127">
        <f t="shared" si="20"/>
        <v>77797984.000000015</v>
      </c>
      <c r="S96" s="334"/>
    </row>
    <row r="97" spans="1:19" ht="30">
      <c r="A97" s="24"/>
      <c r="B97" s="25" t="s">
        <v>1388</v>
      </c>
      <c r="C97" s="26" t="s">
        <v>1336</v>
      </c>
      <c r="D97" s="352">
        <v>15</v>
      </c>
      <c r="E97" s="26"/>
      <c r="F97" s="352">
        <v>15</v>
      </c>
      <c r="G97" s="351" t="s">
        <v>3128</v>
      </c>
      <c r="H97" s="351"/>
      <c r="I97" s="351" t="s">
        <v>2596</v>
      </c>
      <c r="J97" s="560" t="s">
        <v>2328</v>
      </c>
      <c r="K97" s="311">
        <v>1042563.2000000001</v>
      </c>
      <c r="L97" s="311">
        <v>0</v>
      </c>
      <c r="M97" s="311">
        <v>540045.83333333337</v>
      </c>
      <c r="N97" s="311">
        <v>143439.66666666669</v>
      </c>
      <c r="O97" s="311">
        <v>100407.76666666668</v>
      </c>
      <c r="P97" s="68">
        <f t="shared" si="18"/>
        <v>1826456.4666666668</v>
      </c>
      <c r="Q97" s="68">
        <f t="shared" si="19"/>
        <v>27396847</v>
      </c>
      <c r="R97" s="127">
        <f t="shared" si="20"/>
        <v>27396847</v>
      </c>
      <c r="S97" s="334"/>
    </row>
    <row r="98" spans="1:19" ht="30">
      <c r="A98" s="24"/>
      <c r="B98" s="25" t="s">
        <v>1389</v>
      </c>
      <c r="C98" s="26" t="s">
        <v>1336</v>
      </c>
      <c r="D98" s="351">
        <v>180</v>
      </c>
      <c r="E98" s="26"/>
      <c r="F98" s="351">
        <v>180</v>
      </c>
      <c r="G98" s="351" t="s">
        <v>3128</v>
      </c>
      <c r="H98" s="351"/>
      <c r="I98" s="351" t="s">
        <v>2596</v>
      </c>
      <c r="J98" s="560" t="s">
        <v>2328</v>
      </c>
      <c r="K98" s="311">
        <v>1209202.4000000001</v>
      </c>
      <c r="L98" s="311">
        <v>0</v>
      </c>
      <c r="M98" s="311">
        <v>627150.00000000012</v>
      </c>
      <c r="N98" s="311">
        <v>166436</v>
      </c>
      <c r="O98" s="311">
        <v>116505.20000000001</v>
      </c>
      <c r="P98" s="68">
        <f t="shared" si="18"/>
        <v>2119293.6000000006</v>
      </c>
      <c r="Q98" s="68">
        <f t="shared" si="19"/>
        <v>381472848.00000012</v>
      </c>
      <c r="R98" s="127">
        <f t="shared" si="20"/>
        <v>381472848.00000012</v>
      </c>
      <c r="S98" s="35"/>
    </row>
    <row r="99" spans="1:19" ht="30">
      <c r="A99" s="24"/>
      <c r="B99" s="25" t="s">
        <v>1390</v>
      </c>
      <c r="C99" s="26" t="s">
        <v>1336</v>
      </c>
      <c r="D99" s="351">
        <v>11</v>
      </c>
      <c r="E99" s="26"/>
      <c r="F99" s="351">
        <v>11</v>
      </c>
      <c r="G99" s="351" t="s">
        <v>3128</v>
      </c>
      <c r="H99" s="351"/>
      <c r="I99" s="351" t="s">
        <v>2596</v>
      </c>
      <c r="J99" s="560" t="s">
        <v>2328</v>
      </c>
      <c r="K99" s="311">
        <v>1345932</v>
      </c>
      <c r="L99" s="311">
        <v>0</v>
      </c>
      <c r="M99" s="311">
        <v>696833.33333333349</v>
      </c>
      <c r="N99" s="311">
        <v>185146.66666666669</v>
      </c>
      <c r="O99" s="311">
        <v>129602.66666666669</v>
      </c>
      <c r="P99" s="68">
        <f t="shared" si="18"/>
        <v>2357514.6666666665</v>
      </c>
      <c r="Q99" s="68">
        <f t="shared" si="19"/>
        <v>25932661.333333332</v>
      </c>
      <c r="R99" s="127">
        <f t="shared" si="20"/>
        <v>25932661.333333332</v>
      </c>
      <c r="S99" s="335"/>
    </row>
    <row r="100" spans="1:19" ht="30">
      <c r="A100" s="24"/>
      <c r="B100" s="25" t="s">
        <v>1392</v>
      </c>
      <c r="C100" s="26" t="s">
        <v>1336</v>
      </c>
      <c r="D100" s="351">
        <v>83</v>
      </c>
      <c r="E100" s="26"/>
      <c r="F100" s="351">
        <v>83</v>
      </c>
      <c r="G100" s="351" t="s">
        <v>3128</v>
      </c>
      <c r="H100" s="351"/>
      <c r="I100" s="351" t="s">
        <v>2596</v>
      </c>
      <c r="J100" s="560" t="s">
        <v>2328</v>
      </c>
      <c r="K100" s="311">
        <v>1508298.4000000001</v>
      </c>
      <c r="L100" s="311">
        <v>0</v>
      </c>
      <c r="M100" s="311">
        <v>766516.66666666698</v>
      </c>
      <c r="N100" s="311">
        <v>206209.33333333337</v>
      </c>
      <c r="O100" s="311">
        <v>144346.53333333335</v>
      </c>
      <c r="P100" s="68">
        <f t="shared" si="18"/>
        <v>2625370.933333334</v>
      </c>
      <c r="Q100" s="68">
        <f t="shared" si="19"/>
        <v>217905787.46666673</v>
      </c>
      <c r="R100" s="127">
        <f t="shared" si="20"/>
        <v>217905787.46666673</v>
      </c>
      <c r="S100" s="335"/>
    </row>
    <row r="101" spans="1:19" s="84" customFormat="1" ht="30">
      <c r="A101" s="30"/>
      <c r="B101" s="29" t="s">
        <v>1995</v>
      </c>
      <c r="C101" s="30" t="s">
        <v>117</v>
      </c>
      <c r="D101" s="352">
        <v>16</v>
      </c>
      <c r="E101" s="30"/>
      <c r="F101" s="352">
        <v>16</v>
      </c>
      <c r="G101" s="351" t="s">
        <v>3128</v>
      </c>
      <c r="H101" s="351"/>
      <c r="I101" s="351" t="s">
        <v>2596</v>
      </c>
      <c r="J101" s="560" t="s">
        <v>2328</v>
      </c>
      <c r="K101" s="311">
        <v>1279703.6000000001</v>
      </c>
      <c r="L101" s="311">
        <v>0</v>
      </c>
      <c r="M101" s="311">
        <v>661991.66666666674</v>
      </c>
      <c r="N101" s="311">
        <v>175987.33333333337</v>
      </c>
      <c r="O101" s="311">
        <v>123191.13333333336</v>
      </c>
      <c r="P101" s="68">
        <f t="shared" si="18"/>
        <v>2240873.7333333334</v>
      </c>
      <c r="Q101" s="68">
        <f t="shared" si="19"/>
        <v>35853979.733333334</v>
      </c>
      <c r="R101" s="127">
        <f t="shared" si="20"/>
        <v>35853979.733333334</v>
      </c>
      <c r="S101" s="15"/>
    </row>
    <row r="102" spans="1:19" s="84" customFormat="1" ht="30">
      <c r="A102" s="30"/>
      <c r="B102" s="29" t="s">
        <v>1996</v>
      </c>
      <c r="C102" s="30" t="s">
        <v>117</v>
      </c>
      <c r="D102" s="352">
        <v>12</v>
      </c>
      <c r="E102" s="30"/>
      <c r="F102" s="352">
        <v>12</v>
      </c>
      <c r="G102" s="351" t="s">
        <v>3128</v>
      </c>
      <c r="H102" s="351"/>
      <c r="I102" s="351" t="s">
        <v>2596</v>
      </c>
      <c r="J102" s="560" t="s">
        <v>2328</v>
      </c>
      <c r="K102" s="311">
        <v>1350204.8</v>
      </c>
      <c r="L102" s="311">
        <v>0</v>
      </c>
      <c r="M102" s="311">
        <v>696833.33333333349</v>
      </c>
      <c r="N102" s="311">
        <v>185538.66666666669</v>
      </c>
      <c r="O102" s="311">
        <v>129877.06666666668</v>
      </c>
      <c r="P102" s="68">
        <f t="shared" si="18"/>
        <v>2362453.8666666672</v>
      </c>
      <c r="Q102" s="68">
        <f t="shared" si="19"/>
        <v>28349446.400000006</v>
      </c>
      <c r="R102" s="127">
        <f t="shared" si="20"/>
        <v>28349446.400000006</v>
      </c>
      <c r="S102" s="37"/>
    </row>
    <row r="103" spans="1:19" s="84" customFormat="1" ht="30">
      <c r="A103" s="30"/>
      <c r="B103" s="29" t="s">
        <v>1667</v>
      </c>
      <c r="C103" s="30" t="s">
        <v>117</v>
      </c>
      <c r="D103" s="352">
        <v>18</v>
      </c>
      <c r="E103" s="30"/>
      <c r="F103" s="352">
        <v>18</v>
      </c>
      <c r="G103" s="351" t="s">
        <v>3128</v>
      </c>
      <c r="H103" s="351"/>
      <c r="I103" s="351" t="s">
        <v>2596</v>
      </c>
      <c r="J103" s="560" t="s">
        <v>2328</v>
      </c>
      <c r="K103" s="311">
        <v>1042563.2000000001</v>
      </c>
      <c r="L103" s="311">
        <v>0</v>
      </c>
      <c r="M103" s="311">
        <v>540045.83333333337</v>
      </c>
      <c r="N103" s="311">
        <v>143439.66666666669</v>
      </c>
      <c r="O103" s="311">
        <v>100407.76666666668</v>
      </c>
      <c r="P103" s="68">
        <f t="shared" si="18"/>
        <v>1826456.4666666668</v>
      </c>
      <c r="Q103" s="68">
        <f t="shared" si="19"/>
        <v>32876216.400000002</v>
      </c>
      <c r="R103" s="127">
        <f t="shared" si="20"/>
        <v>32876216.400000002</v>
      </c>
      <c r="S103" s="37"/>
    </row>
    <row r="104" spans="1:19" s="84" customFormat="1" ht="30">
      <c r="A104" s="30"/>
      <c r="B104" s="29" t="s">
        <v>1997</v>
      </c>
      <c r="C104" s="30" t="s">
        <v>117</v>
      </c>
      <c r="D104" s="352">
        <v>37</v>
      </c>
      <c r="E104" s="30"/>
      <c r="F104" s="352">
        <v>37</v>
      </c>
      <c r="G104" s="351" t="s">
        <v>3128</v>
      </c>
      <c r="H104" s="351"/>
      <c r="I104" s="351" t="s">
        <v>2596</v>
      </c>
      <c r="J104" s="560" t="s">
        <v>2328</v>
      </c>
      <c r="K104" s="311">
        <v>927197.60000000009</v>
      </c>
      <c r="L104" s="311">
        <v>0</v>
      </c>
      <c r="M104" s="311">
        <v>487783.33333333331</v>
      </c>
      <c r="N104" s="311">
        <v>128230.66666666666</v>
      </c>
      <c r="O104" s="311">
        <v>89761.46666666666</v>
      </c>
      <c r="P104" s="68">
        <f t="shared" si="18"/>
        <v>1632973.0666666667</v>
      </c>
      <c r="Q104" s="68">
        <f t="shared" si="19"/>
        <v>60420003.466666669</v>
      </c>
      <c r="R104" s="127">
        <f t="shared" si="20"/>
        <v>60420003.466666669</v>
      </c>
      <c r="S104" s="37"/>
    </row>
    <row r="105" spans="1:19" s="84" customFormat="1" ht="30">
      <c r="A105" s="30"/>
      <c r="B105" s="29" t="s">
        <v>1571</v>
      </c>
      <c r="C105" s="30" t="s">
        <v>117</v>
      </c>
      <c r="D105" s="352">
        <v>19</v>
      </c>
      <c r="E105" s="30"/>
      <c r="F105" s="352">
        <v>19</v>
      </c>
      <c r="G105" s="351" t="s">
        <v>3128</v>
      </c>
      <c r="H105" s="351"/>
      <c r="I105" s="351" t="s">
        <v>2596</v>
      </c>
      <c r="J105" s="560" t="s">
        <v>2328</v>
      </c>
      <c r="K105" s="311">
        <v>894083.4</v>
      </c>
      <c r="L105" s="311">
        <v>0</v>
      </c>
      <c r="M105" s="311">
        <v>470362.50000000012</v>
      </c>
      <c r="N105" s="311">
        <v>123651</v>
      </c>
      <c r="O105" s="311">
        <v>86555.700000000012</v>
      </c>
      <c r="P105" s="68">
        <f t="shared" si="18"/>
        <v>1574652.6</v>
      </c>
      <c r="Q105" s="68">
        <f t="shared" si="19"/>
        <v>29918399.400000002</v>
      </c>
      <c r="R105" s="127">
        <f t="shared" si="20"/>
        <v>29918399.400000002</v>
      </c>
      <c r="S105" s="37"/>
    </row>
    <row r="106" spans="1:19" s="84" customFormat="1" ht="30">
      <c r="A106" s="30"/>
      <c r="B106" s="29" t="s">
        <v>1998</v>
      </c>
      <c r="C106" s="30" t="s">
        <v>117</v>
      </c>
      <c r="D106" s="352">
        <v>10</v>
      </c>
      <c r="E106" s="30"/>
      <c r="F106" s="352">
        <v>10</v>
      </c>
      <c r="G106" s="351" t="s">
        <v>3128</v>
      </c>
      <c r="H106" s="351"/>
      <c r="I106" s="351" t="s">
        <v>2596</v>
      </c>
      <c r="J106" s="560" t="s">
        <v>2328</v>
      </c>
      <c r="K106" s="311">
        <v>1026540.2000000001</v>
      </c>
      <c r="L106" s="311">
        <v>0</v>
      </c>
      <c r="M106" s="311">
        <v>540045.83333333337</v>
      </c>
      <c r="N106" s="311">
        <v>141969.66666666669</v>
      </c>
      <c r="O106" s="311">
        <v>99378.766666666677</v>
      </c>
      <c r="P106" s="68">
        <f t="shared" si="18"/>
        <v>1807934.4666666668</v>
      </c>
      <c r="Q106" s="68">
        <f t="shared" si="19"/>
        <v>18079344.666666668</v>
      </c>
      <c r="R106" s="127">
        <f t="shared" si="20"/>
        <v>18079344.666666668</v>
      </c>
      <c r="S106" s="39"/>
    </row>
    <row r="107" spans="1:19">
      <c r="A107" s="28">
        <v>2.2000000000000002</v>
      </c>
      <c r="B107" s="81" t="s">
        <v>1999</v>
      </c>
      <c r="C107" s="24"/>
      <c r="D107" s="351"/>
      <c r="E107" s="26"/>
      <c r="F107" s="351"/>
      <c r="G107" s="26"/>
      <c r="H107" s="26"/>
      <c r="I107" s="26"/>
      <c r="J107" s="559"/>
      <c r="K107" s="66"/>
      <c r="L107" s="66"/>
      <c r="M107" s="66"/>
      <c r="N107" s="66"/>
      <c r="O107" s="66"/>
      <c r="P107" s="66"/>
      <c r="Q107" s="66"/>
      <c r="R107" s="66"/>
      <c r="S107" s="26"/>
    </row>
    <row r="108" spans="1:19" s="84" customFormat="1" ht="30">
      <c r="A108" s="30"/>
      <c r="B108" s="29" t="s">
        <v>1372</v>
      </c>
      <c r="C108" s="30" t="s">
        <v>117</v>
      </c>
      <c r="D108" s="352">
        <v>80</v>
      </c>
      <c r="E108" s="30"/>
      <c r="F108" s="352">
        <v>80</v>
      </c>
      <c r="G108" s="351" t="s">
        <v>3128</v>
      </c>
      <c r="H108" s="315"/>
      <c r="I108" s="351" t="s">
        <v>2596</v>
      </c>
      <c r="J108" s="560" t="s">
        <v>2328</v>
      </c>
      <c r="K108" s="311">
        <v>1324568</v>
      </c>
      <c r="L108" s="311">
        <v>0</v>
      </c>
      <c r="M108" s="311">
        <v>696833.33333333349</v>
      </c>
      <c r="N108" s="311">
        <v>183186.66666666669</v>
      </c>
      <c r="O108" s="311">
        <v>128230.66666666669</v>
      </c>
      <c r="P108" s="68">
        <f>SUM(K108:O108)</f>
        <v>2332818.6666666665</v>
      </c>
      <c r="Q108" s="68">
        <f>D108*P108</f>
        <v>186625493.33333331</v>
      </c>
      <c r="R108" s="127">
        <f>F108*P108</f>
        <v>186625493.33333331</v>
      </c>
      <c r="S108" s="315"/>
    </row>
    <row r="109" spans="1:19" s="84" customFormat="1">
      <c r="A109" s="30"/>
      <c r="B109" s="82" t="s">
        <v>2000</v>
      </c>
      <c r="C109" s="30"/>
      <c r="D109" s="352"/>
      <c r="E109" s="30"/>
      <c r="F109" s="352"/>
      <c r="G109" s="509"/>
      <c r="H109" s="509"/>
      <c r="I109" s="509"/>
      <c r="J109" s="565"/>
      <c r="K109" s="127"/>
      <c r="L109" s="127"/>
      <c r="M109" s="127"/>
      <c r="N109" s="127"/>
      <c r="O109" s="127"/>
      <c r="P109" s="127"/>
      <c r="Q109" s="127"/>
      <c r="R109" s="127"/>
      <c r="S109" s="509"/>
    </row>
    <row r="110" spans="1:19" s="84" customFormat="1" ht="45">
      <c r="A110" s="30"/>
      <c r="B110" s="29" t="s">
        <v>2001</v>
      </c>
      <c r="C110" s="30" t="s">
        <v>1350</v>
      </c>
      <c r="D110" s="352">
        <v>1</v>
      </c>
      <c r="E110" s="30"/>
      <c r="F110" s="352">
        <v>1</v>
      </c>
      <c r="G110" s="351" t="s">
        <v>3146</v>
      </c>
      <c r="H110" s="509"/>
      <c r="I110" s="351" t="s">
        <v>2596</v>
      </c>
      <c r="J110" s="560" t="s">
        <v>2328</v>
      </c>
      <c r="K110" s="311">
        <v>3488948.4308000002</v>
      </c>
      <c r="L110" s="311">
        <v>0</v>
      </c>
      <c r="M110" s="311">
        <v>547014.16666666674</v>
      </c>
      <c r="N110" s="311">
        <v>368495.34533333336</v>
      </c>
      <c r="O110" s="311">
        <v>257946.74173333339</v>
      </c>
      <c r="P110" s="68">
        <f>SUM(K110:O110)</f>
        <v>4662404.6845333334</v>
      </c>
      <c r="Q110" s="68">
        <f>D110*P110</f>
        <v>4662404.6845333334</v>
      </c>
      <c r="R110" s="127">
        <f>F110*P110</f>
        <v>4662404.6845333334</v>
      </c>
      <c r="S110" s="509"/>
    </row>
    <row r="111" spans="1:19" s="83" customFormat="1">
      <c r="A111" s="28">
        <v>2.2999999999999998</v>
      </c>
      <c r="B111" s="82" t="s">
        <v>2002</v>
      </c>
      <c r="C111" s="28"/>
      <c r="D111" s="352"/>
      <c r="E111" s="28"/>
      <c r="F111" s="352"/>
      <c r="G111" s="546"/>
      <c r="H111" s="546"/>
      <c r="I111" s="546"/>
      <c r="J111" s="566"/>
      <c r="K111" s="65"/>
      <c r="L111" s="65"/>
      <c r="M111" s="65"/>
      <c r="N111" s="65"/>
      <c r="O111" s="65"/>
      <c r="P111" s="65"/>
      <c r="Q111" s="65"/>
      <c r="R111" s="65"/>
      <c r="S111" s="546"/>
    </row>
    <row r="112" spans="1:19" s="84" customFormat="1">
      <c r="A112" s="30"/>
      <c r="B112" s="29" t="s">
        <v>1392</v>
      </c>
      <c r="C112" s="30" t="s">
        <v>117</v>
      </c>
      <c r="D112" s="352">
        <v>46</v>
      </c>
      <c r="E112" s="30"/>
      <c r="F112" s="352">
        <v>46</v>
      </c>
      <c r="G112" s="315" t="s">
        <v>3125</v>
      </c>
      <c r="H112" s="315"/>
      <c r="I112" s="351" t="s">
        <v>2596</v>
      </c>
      <c r="J112" s="560" t="s">
        <v>2328</v>
      </c>
      <c r="K112" s="311">
        <v>1231653.8276</v>
      </c>
      <c r="L112" s="311">
        <v>0</v>
      </c>
      <c r="M112" s="311">
        <v>662933.33333333349</v>
      </c>
      <c r="N112" s="311">
        <v>171662.43066666668</v>
      </c>
      <c r="O112" s="311">
        <v>120163.70146666668</v>
      </c>
      <c r="P112" s="68">
        <f>SUM(K112:O112)</f>
        <v>2186413.2930666669</v>
      </c>
      <c r="Q112" s="68">
        <f>D112*P112</f>
        <v>100575011.48106667</v>
      </c>
      <c r="R112" s="127">
        <f>F112*P112</f>
        <v>100575011.48106667</v>
      </c>
      <c r="S112" s="315"/>
    </row>
    <row r="113" spans="1:19">
      <c r="A113" s="24">
        <v>2.4</v>
      </c>
      <c r="B113" s="27" t="s">
        <v>1394</v>
      </c>
      <c r="C113" s="24"/>
      <c r="D113" s="351"/>
      <c r="E113" s="24"/>
      <c r="F113" s="351"/>
      <c r="G113" s="335"/>
      <c r="H113" s="335"/>
      <c r="I113" s="335"/>
      <c r="J113" s="567"/>
      <c r="K113" s="66"/>
      <c r="L113" s="66"/>
      <c r="M113" s="66"/>
      <c r="N113" s="66"/>
      <c r="O113" s="66"/>
      <c r="P113" s="66"/>
      <c r="Q113" s="66"/>
      <c r="R113" s="66"/>
      <c r="S113" s="335"/>
    </row>
    <row r="114" spans="1:19" ht="30">
      <c r="A114" s="24"/>
      <c r="B114" s="25" t="s">
        <v>1383</v>
      </c>
      <c r="C114" s="26" t="s">
        <v>1350</v>
      </c>
      <c r="D114" s="351">
        <v>10</v>
      </c>
      <c r="E114" s="24"/>
      <c r="F114" s="351">
        <v>10</v>
      </c>
      <c r="G114" s="351" t="s">
        <v>3128</v>
      </c>
      <c r="H114" s="351"/>
      <c r="I114" s="351" t="s">
        <v>2596</v>
      </c>
      <c r="J114" s="560" t="s">
        <v>2328</v>
      </c>
      <c r="K114" s="311">
        <v>795660.63888888888</v>
      </c>
      <c r="L114" s="311">
        <v>0</v>
      </c>
      <c r="M114" s="311">
        <v>278733.33333333337</v>
      </c>
      <c r="N114" s="311">
        <v>97663.055555555562</v>
      </c>
      <c r="O114" s="311">
        <v>68364.138888888891</v>
      </c>
      <c r="P114" s="68">
        <f t="shared" ref="P114:P120" si="21">SUM(K114:O114)</f>
        <v>1240421.1666666667</v>
      </c>
      <c r="Q114" s="68">
        <f t="shared" ref="Q114:Q120" si="22">D114*P114</f>
        <v>12404211.666666668</v>
      </c>
      <c r="R114" s="127">
        <f t="shared" ref="R114:R120" si="23">F114*P114</f>
        <v>12404211.666666668</v>
      </c>
      <c r="S114" s="330"/>
    </row>
    <row r="115" spans="1:19" ht="30">
      <c r="A115" s="24"/>
      <c r="B115" s="25" t="s">
        <v>1384</v>
      </c>
      <c r="C115" s="26" t="s">
        <v>1350</v>
      </c>
      <c r="D115" s="352">
        <v>8</v>
      </c>
      <c r="E115" s="24"/>
      <c r="F115" s="352">
        <v>8</v>
      </c>
      <c r="G115" s="351" t="s">
        <v>3128</v>
      </c>
      <c r="H115" s="351"/>
      <c r="I115" s="351" t="s">
        <v>2596</v>
      </c>
      <c r="J115" s="560" t="s">
        <v>2328</v>
      </c>
      <c r="K115" s="311">
        <v>1373319.4611111113</v>
      </c>
      <c r="L115" s="311">
        <v>0</v>
      </c>
      <c r="M115" s="311">
        <v>480815</v>
      </c>
      <c r="N115" s="311">
        <v>168542.61111111112</v>
      </c>
      <c r="O115" s="311">
        <v>117979.8277777778</v>
      </c>
      <c r="P115" s="68">
        <f t="shared" si="21"/>
        <v>2140656.9000000004</v>
      </c>
      <c r="Q115" s="68">
        <f t="shared" si="22"/>
        <v>17125255.200000003</v>
      </c>
      <c r="R115" s="127">
        <f t="shared" si="23"/>
        <v>17125255.200000003</v>
      </c>
      <c r="S115" s="330"/>
    </row>
    <row r="116" spans="1:19" ht="30">
      <c r="A116" s="24"/>
      <c r="B116" s="25" t="s">
        <v>1392</v>
      </c>
      <c r="C116" s="26" t="s">
        <v>1350</v>
      </c>
      <c r="D116" s="351">
        <v>4</v>
      </c>
      <c r="E116" s="24"/>
      <c r="F116" s="351">
        <v>4</v>
      </c>
      <c r="G116" s="351" t="s">
        <v>3128</v>
      </c>
      <c r="H116" s="351"/>
      <c r="I116" s="351" t="s">
        <v>2596</v>
      </c>
      <c r="J116" s="560" t="s">
        <v>2328</v>
      </c>
      <c r="K116" s="311">
        <v>5544551.444444445</v>
      </c>
      <c r="L116" s="311">
        <v>0</v>
      </c>
      <c r="M116" s="311">
        <v>1926744.166666667</v>
      </c>
      <c r="N116" s="311">
        <v>679182.77777777787</v>
      </c>
      <c r="O116" s="311">
        <v>475427.9444444445</v>
      </c>
      <c r="P116" s="68">
        <f t="shared" si="21"/>
        <v>8625906.333333334</v>
      </c>
      <c r="Q116" s="68">
        <f t="shared" si="22"/>
        <v>34503625.333333336</v>
      </c>
      <c r="R116" s="127">
        <f t="shared" si="23"/>
        <v>34503625.333333336</v>
      </c>
      <c r="S116" s="12"/>
    </row>
    <row r="117" spans="1:19" s="84" customFormat="1" ht="30">
      <c r="A117" s="30"/>
      <c r="B117" s="29" t="s">
        <v>1389</v>
      </c>
      <c r="C117" s="30" t="s">
        <v>1350</v>
      </c>
      <c r="D117" s="352">
        <v>11</v>
      </c>
      <c r="E117" s="30"/>
      <c r="F117" s="352">
        <v>11</v>
      </c>
      <c r="G117" s="351" t="s">
        <v>3128</v>
      </c>
      <c r="H117" s="26"/>
      <c r="I117" s="351" t="s">
        <v>2596</v>
      </c>
      <c r="J117" s="560" t="s">
        <v>2328</v>
      </c>
      <c r="K117" s="311">
        <v>3949402.45</v>
      </c>
      <c r="L117" s="311">
        <v>0</v>
      </c>
      <c r="M117" s="311">
        <v>1379730.0000000002</v>
      </c>
      <c r="N117" s="311">
        <v>484430.5</v>
      </c>
      <c r="O117" s="311">
        <v>339101.35000000003</v>
      </c>
      <c r="P117" s="68">
        <f t="shared" si="21"/>
        <v>6152664.2999999998</v>
      </c>
      <c r="Q117" s="68">
        <f t="shared" si="22"/>
        <v>67679307.299999997</v>
      </c>
      <c r="R117" s="127">
        <f t="shared" si="23"/>
        <v>67679307.299999997</v>
      </c>
      <c r="S117" s="26"/>
    </row>
    <row r="118" spans="1:19" s="84" customFormat="1" ht="30">
      <c r="A118" s="30"/>
      <c r="B118" s="29" t="s">
        <v>1338</v>
      </c>
      <c r="C118" s="30" t="s">
        <v>1350</v>
      </c>
      <c r="D118" s="352">
        <v>1</v>
      </c>
      <c r="E118" s="30"/>
      <c r="F118" s="352">
        <v>1</v>
      </c>
      <c r="G118" s="351" t="s">
        <v>3128</v>
      </c>
      <c r="H118" s="26"/>
      <c r="I118" s="351" t="s">
        <v>2596</v>
      </c>
      <c r="J118" s="560" t="s">
        <v>2328</v>
      </c>
      <c r="K118" s="311">
        <v>2825210.6106000002</v>
      </c>
      <c r="L118" s="311">
        <v>0</v>
      </c>
      <c r="M118" s="311">
        <v>984277.08333333349</v>
      </c>
      <c r="N118" s="311">
        <v>346297.80066666671</v>
      </c>
      <c r="O118" s="311">
        <v>242408.4604666667</v>
      </c>
      <c r="P118" s="68">
        <f t="shared" si="21"/>
        <v>4398193.9550666669</v>
      </c>
      <c r="Q118" s="68">
        <f t="shared" si="22"/>
        <v>4398193.9550666669</v>
      </c>
      <c r="R118" s="127">
        <f t="shared" si="23"/>
        <v>4398193.9550666669</v>
      </c>
      <c r="S118" s="26"/>
    </row>
    <row r="119" spans="1:19" s="84" customFormat="1" ht="30">
      <c r="A119" s="30"/>
      <c r="B119" s="29" t="s">
        <v>1386</v>
      </c>
      <c r="C119" s="30" t="s">
        <v>1350</v>
      </c>
      <c r="D119" s="352">
        <v>1</v>
      </c>
      <c r="E119" s="30"/>
      <c r="F119" s="352">
        <v>1</v>
      </c>
      <c r="G119" s="351" t="s">
        <v>3128</v>
      </c>
      <c r="H119" s="26"/>
      <c r="I119" s="351" t="s">
        <v>2596</v>
      </c>
      <c r="J119" s="560" t="s">
        <v>2328</v>
      </c>
      <c r="K119" s="311">
        <v>2028244.7500000002</v>
      </c>
      <c r="L119" s="311">
        <v>0</v>
      </c>
      <c r="M119" s="311">
        <v>710770.00000000012</v>
      </c>
      <c r="N119" s="311">
        <v>248977.5</v>
      </c>
      <c r="O119" s="311">
        <v>174284.25000000003</v>
      </c>
      <c r="P119" s="68">
        <f t="shared" si="21"/>
        <v>3162276.5000000005</v>
      </c>
      <c r="Q119" s="68">
        <f t="shared" si="22"/>
        <v>3162276.5000000005</v>
      </c>
      <c r="R119" s="127">
        <f t="shared" si="23"/>
        <v>3162276.5000000005</v>
      </c>
      <c r="S119" s="26"/>
    </row>
    <row r="120" spans="1:19" s="84" customFormat="1" ht="30">
      <c r="A120" s="30"/>
      <c r="B120" s="29" t="s">
        <v>1372</v>
      </c>
      <c r="C120" s="30" t="s">
        <v>1350</v>
      </c>
      <c r="D120" s="352">
        <v>1</v>
      </c>
      <c r="E120" s="30"/>
      <c r="F120" s="352">
        <v>1</v>
      </c>
      <c r="G120" s="351" t="s">
        <v>3128</v>
      </c>
      <c r="H120" s="26"/>
      <c r="I120" s="351" t="s">
        <v>2596</v>
      </c>
      <c r="J120" s="560" t="s">
        <v>2328</v>
      </c>
      <c r="K120" s="311">
        <v>3121013.35</v>
      </c>
      <c r="L120" s="311">
        <v>0</v>
      </c>
      <c r="M120" s="311">
        <v>1094028.3333333335</v>
      </c>
      <c r="N120" s="311">
        <v>383148.16666666674</v>
      </c>
      <c r="O120" s="311">
        <v>268203.71666666673</v>
      </c>
      <c r="P120" s="68">
        <f t="shared" si="21"/>
        <v>4866393.5666666673</v>
      </c>
      <c r="Q120" s="68">
        <f t="shared" si="22"/>
        <v>4866393.5666666673</v>
      </c>
      <c r="R120" s="127">
        <f t="shared" si="23"/>
        <v>4866393.5666666673</v>
      </c>
      <c r="S120" s="26"/>
    </row>
    <row r="121" spans="1:19">
      <c r="A121" s="24">
        <v>2.5</v>
      </c>
      <c r="B121" s="27" t="s">
        <v>1396</v>
      </c>
      <c r="C121" s="24"/>
      <c r="D121" s="351"/>
      <c r="E121" s="24"/>
      <c r="F121" s="351"/>
      <c r="G121" s="336"/>
      <c r="H121" s="336"/>
      <c r="I121" s="336"/>
      <c r="J121" s="568"/>
      <c r="K121" s="66"/>
      <c r="L121" s="66"/>
      <c r="M121" s="66"/>
      <c r="N121" s="66"/>
      <c r="O121" s="66"/>
      <c r="P121" s="66"/>
      <c r="Q121" s="66"/>
      <c r="R121" s="66"/>
      <c r="S121" s="336"/>
    </row>
    <row r="122" spans="1:19" ht="30">
      <c r="A122" s="24"/>
      <c r="B122" s="25" t="s">
        <v>1397</v>
      </c>
      <c r="C122" s="26" t="s">
        <v>1350</v>
      </c>
      <c r="D122" s="351">
        <v>1</v>
      </c>
      <c r="E122" s="24"/>
      <c r="F122" s="351">
        <v>1</v>
      </c>
      <c r="G122" s="351" t="s">
        <v>3128</v>
      </c>
      <c r="H122" s="351"/>
      <c r="I122" s="351" t="s">
        <v>2596</v>
      </c>
      <c r="J122" s="560" t="s">
        <v>2328</v>
      </c>
      <c r="K122" s="311">
        <v>609467.4444444445</v>
      </c>
      <c r="L122" s="311">
        <v>0</v>
      </c>
      <c r="M122" s="311">
        <v>249117.91666666672</v>
      </c>
      <c r="N122" s="311">
        <v>77960.277777777796</v>
      </c>
      <c r="O122" s="311">
        <v>54572.194444444453</v>
      </c>
      <c r="P122" s="68">
        <f t="shared" ref="P122:P144" si="24">SUM(K122:O122)</f>
        <v>991117.83333333349</v>
      </c>
      <c r="Q122" s="68">
        <f t="shared" ref="Q122:Q144" si="25">D122*P122</f>
        <v>991117.83333333349</v>
      </c>
      <c r="R122" s="127">
        <f t="shared" ref="R122:R144" si="26">F122*P122</f>
        <v>991117.83333333349</v>
      </c>
      <c r="S122" s="335"/>
    </row>
    <row r="123" spans="1:19" ht="30">
      <c r="A123" s="24"/>
      <c r="B123" s="25" t="s">
        <v>1398</v>
      </c>
      <c r="C123" s="26" t="s">
        <v>1350</v>
      </c>
      <c r="D123" s="351">
        <v>1</v>
      </c>
      <c r="E123" s="24"/>
      <c r="F123" s="351">
        <v>1</v>
      </c>
      <c r="G123" s="351" t="s">
        <v>3128</v>
      </c>
      <c r="H123" s="351"/>
      <c r="I123" s="351" t="s">
        <v>2596</v>
      </c>
      <c r="J123" s="560" t="s">
        <v>2328</v>
      </c>
      <c r="K123" s="311">
        <v>665577.61666666681</v>
      </c>
      <c r="L123" s="311">
        <v>0</v>
      </c>
      <c r="M123" s="311">
        <v>273507.08333333337</v>
      </c>
      <c r="N123" s="311">
        <v>85266.333333333358</v>
      </c>
      <c r="O123" s="311">
        <v>59686.433333333349</v>
      </c>
      <c r="P123" s="68">
        <f t="shared" si="24"/>
        <v>1084037.4666666668</v>
      </c>
      <c r="Q123" s="68">
        <f t="shared" si="25"/>
        <v>1084037.4666666668</v>
      </c>
      <c r="R123" s="127">
        <f t="shared" si="26"/>
        <v>1084037.4666666668</v>
      </c>
      <c r="S123" s="331"/>
    </row>
    <row r="124" spans="1:19" ht="30">
      <c r="A124" s="24"/>
      <c r="B124" s="25" t="s">
        <v>1399</v>
      </c>
      <c r="C124" s="26" t="s">
        <v>1350</v>
      </c>
      <c r="D124" s="351">
        <v>1</v>
      </c>
      <c r="E124" s="24"/>
      <c r="F124" s="351">
        <v>1</v>
      </c>
      <c r="G124" s="351" t="s">
        <v>3128</v>
      </c>
      <c r="H124" s="351"/>
      <c r="I124" s="351" t="s">
        <v>2596</v>
      </c>
      <c r="J124" s="560" t="s">
        <v>2328</v>
      </c>
      <c r="K124" s="311">
        <v>714329.0777777778</v>
      </c>
      <c r="L124" s="311">
        <v>0</v>
      </c>
      <c r="M124" s="311">
        <v>294412.08333333337</v>
      </c>
      <c r="N124" s="311">
        <v>91588.944444444453</v>
      </c>
      <c r="O124" s="311">
        <v>64112.261111111118</v>
      </c>
      <c r="P124" s="68">
        <f t="shared" si="24"/>
        <v>1164442.3666666667</v>
      </c>
      <c r="Q124" s="68">
        <f t="shared" si="25"/>
        <v>1164442.3666666667</v>
      </c>
      <c r="R124" s="127">
        <f t="shared" si="26"/>
        <v>1164442.3666666667</v>
      </c>
      <c r="S124" s="333"/>
    </row>
    <row r="125" spans="1:19" ht="30">
      <c r="A125" s="24"/>
      <c r="B125" s="25" t="s">
        <v>1400</v>
      </c>
      <c r="C125" s="26" t="s">
        <v>1350</v>
      </c>
      <c r="D125" s="351">
        <v>1</v>
      </c>
      <c r="E125" s="24"/>
      <c r="F125" s="351">
        <v>1</v>
      </c>
      <c r="G125" s="351" t="s">
        <v>3128</v>
      </c>
      <c r="H125" s="351"/>
      <c r="I125" s="351" t="s">
        <v>2596</v>
      </c>
      <c r="J125" s="560" t="s">
        <v>2328</v>
      </c>
      <c r="K125" s="311">
        <v>875775.63888888899</v>
      </c>
      <c r="L125" s="311">
        <v>0</v>
      </c>
      <c r="M125" s="311">
        <v>336222.08333333337</v>
      </c>
      <c r="N125" s="311">
        <v>110100.55555555556</v>
      </c>
      <c r="O125" s="311">
        <v>77070.388888888891</v>
      </c>
      <c r="P125" s="68">
        <f t="shared" si="24"/>
        <v>1399168.666666667</v>
      </c>
      <c r="Q125" s="68">
        <f t="shared" si="25"/>
        <v>1399168.666666667</v>
      </c>
      <c r="R125" s="127">
        <f t="shared" si="26"/>
        <v>1399168.666666667</v>
      </c>
      <c r="S125" s="333"/>
    </row>
    <row r="126" spans="1:19" s="84" customFormat="1" ht="30">
      <c r="A126" s="30"/>
      <c r="B126" s="29" t="s">
        <v>2003</v>
      </c>
      <c r="C126" s="30" t="s">
        <v>1350</v>
      </c>
      <c r="D126" s="352">
        <v>1</v>
      </c>
      <c r="E126" s="30"/>
      <c r="F126" s="352">
        <v>1</v>
      </c>
      <c r="G126" s="351" t="s">
        <v>3128</v>
      </c>
      <c r="H126" s="26"/>
      <c r="I126" s="351" t="s">
        <v>2596</v>
      </c>
      <c r="J126" s="560" t="s">
        <v>2328</v>
      </c>
      <c r="K126" s="311">
        <v>864410.94039999996</v>
      </c>
      <c r="L126" s="311">
        <v>0</v>
      </c>
      <c r="M126" s="311">
        <v>343190.41666666674</v>
      </c>
      <c r="N126" s="311">
        <v>109674.58933333334</v>
      </c>
      <c r="O126" s="311">
        <v>76772.212533333339</v>
      </c>
      <c r="P126" s="68">
        <f t="shared" si="24"/>
        <v>1394048.1589333334</v>
      </c>
      <c r="Q126" s="68">
        <f t="shared" si="25"/>
        <v>1394048.1589333334</v>
      </c>
      <c r="R126" s="127">
        <f t="shared" si="26"/>
        <v>1394048.1589333334</v>
      </c>
      <c r="S126" s="26"/>
    </row>
    <row r="127" spans="1:19" s="84" customFormat="1" ht="30">
      <c r="A127" s="30"/>
      <c r="B127" s="29" t="s">
        <v>2004</v>
      </c>
      <c r="C127" s="30" t="s">
        <v>1350</v>
      </c>
      <c r="D127" s="352">
        <v>1</v>
      </c>
      <c r="E127" s="30"/>
      <c r="F127" s="352">
        <v>1</v>
      </c>
      <c r="G127" s="351" t="s">
        <v>3128</v>
      </c>
      <c r="H127" s="26"/>
      <c r="I127" s="351" t="s">
        <v>2596</v>
      </c>
      <c r="J127" s="560" t="s">
        <v>2328</v>
      </c>
      <c r="K127" s="311">
        <v>857052.11060000001</v>
      </c>
      <c r="L127" s="311">
        <v>0</v>
      </c>
      <c r="M127" s="311">
        <v>339706.25000000006</v>
      </c>
      <c r="N127" s="311">
        <v>108691.13399999999</v>
      </c>
      <c r="O127" s="311">
        <v>76083.793799999999</v>
      </c>
      <c r="P127" s="68">
        <f t="shared" si="24"/>
        <v>1381533.2884000002</v>
      </c>
      <c r="Q127" s="68">
        <f t="shared" si="25"/>
        <v>1381533.2884000002</v>
      </c>
      <c r="R127" s="127">
        <f t="shared" si="26"/>
        <v>1381533.2884000002</v>
      </c>
      <c r="S127" s="26"/>
    </row>
    <row r="128" spans="1:19" s="84" customFormat="1" ht="30">
      <c r="A128" s="30"/>
      <c r="B128" s="29" t="s">
        <v>2005</v>
      </c>
      <c r="C128" s="30" t="s">
        <v>1350</v>
      </c>
      <c r="D128" s="352">
        <v>2</v>
      </c>
      <c r="E128" s="30"/>
      <c r="F128" s="352">
        <v>2</v>
      </c>
      <c r="G128" s="351" t="s">
        <v>3128</v>
      </c>
      <c r="H128" s="26"/>
      <c r="I128" s="351" t="s">
        <v>2596</v>
      </c>
      <c r="J128" s="560" t="s">
        <v>2328</v>
      </c>
      <c r="K128" s="311">
        <v>563327.02020000003</v>
      </c>
      <c r="L128" s="311">
        <v>0</v>
      </c>
      <c r="M128" s="311">
        <v>229955.00000000003</v>
      </c>
      <c r="N128" s="311">
        <v>72031.378000000012</v>
      </c>
      <c r="O128" s="311">
        <v>50421.964600000007</v>
      </c>
      <c r="P128" s="68">
        <f t="shared" si="24"/>
        <v>915735.3628</v>
      </c>
      <c r="Q128" s="68">
        <f t="shared" si="25"/>
        <v>1831470.7256</v>
      </c>
      <c r="R128" s="127">
        <f t="shared" si="26"/>
        <v>1831470.7256</v>
      </c>
      <c r="S128" s="26"/>
    </row>
    <row r="129" spans="1:19" s="84" customFormat="1" ht="30">
      <c r="A129" s="30"/>
      <c r="B129" s="29" t="s">
        <v>2006</v>
      </c>
      <c r="C129" s="30" t="s">
        <v>1350</v>
      </c>
      <c r="D129" s="352">
        <v>3</v>
      </c>
      <c r="E129" s="30"/>
      <c r="F129" s="352">
        <v>3</v>
      </c>
      <c r="G129" s="351" t="s">
        <v>3128</v>
      </c>
      <c r="H129" s="26"/>
      <c r="I129" s="351" t="s">
        <v>2596</v>
      </c>
      <c r="J129" s="560" t="s">
        <v>2328</v>
      </c>
      <c r="K129" s="311">
        <v>592228.23940000008</v>
      </c>
      <c r="L129" s="311">
        <v>0</v>
      </c>
      <c r="M129" s="311">
        <v>235181.25000000006</v>
      </c>
      <c r="N129" s="311">
        <v>75145.366000000009</v>
      </c>
      <c r="O129" s="311">
        <v>52601.756200000011</v>
      </c>
      <c r="P129" s="68">
        <f t="shared" si="24"/>
        <v>955156.61160000018</v>
      </c>
      <c r="Q129" s="68">
        <f t="shared" si="25"/>
        <v>2865469.8348000003</v>
      </c>
      <c r="R129" s="127">
        <f t="shared" si="26"/>
        <v>2865469.8348000003</v>
      </c>
      <c r="S129" s="26"/>
    </row>
    <row r="130" spans="1:19" s="84" customFormat="1" ht="30">
      <c r="A130" s="30"/>
      <c r="B130" s="29" t="s">
        <v>2007</v>
      </c>
      <c r="C130" s="30" t="s">
        <v>1350</v>
      </c>
      <c r="D130" s="352">
        <v>1</v>
      </c>
      <c r="E130" s="30"/>
      <c r="F130" s="352">
        <v>1</v>
      </c>
      <c r="G130" s="351" t="s">
        <v>3128</v>
      </c>
      <c r="H130" s="26"/>
      <c r="I130" s="351" t="s">
        <v>2596</v>
      </c>
      <c r="J130" s="560" t="s">
        <v>2328</v>
      </c>
      <c r="K130" s="311">
        <v>671867.89040000003</v>
      </c>
      <c r="L130" s="311">
        <v>0</v>
      </c>
      <c r="M130" s="311">
        <v>276991.25</v>
      </c>
      <c r="N130" s="311">
        <v>86151.755999999994</v>
      </c>
      <c r="O130" s="311">
        <v>60306.229200000002</v>
      </c>
      <c r="P130" s="68">
        <f t="shared" si="24"/>
        <v>1095317.1255999999</v>
      </c>
      <c r="Q130" s="68">
        <f t="shared" si="25"/>
        <v>1095317.1255999999</v>
      </c>
      <c r="R130" s="127">
        <f t="shared" si="26"/>
        <v>1095317.1255999999</v>
      </c>
      <c r="S130" s="26"/>
    </row>
    <row r="131" spans="1:19" s="84" customFormat="1" ht="30">
      <c r="A131" s="30"/>
      <c r="B131" s="29" t="s">
        <v>2008</v>
      </c>
      <c r="C131" s="30" t="s">
        <v>1350</v>
      </c>
      <c r="D131" s="352">
        <v>1</v>
      </c>
      <c r="E131" s="30"/>
      <c r="F131" s="352">
        <v>1</v>
      </c>
      <c r="G131" s="351" t="s">
        <v>3128</v>
      </c>
      <c r="H131" s="26"/>
      <c r="I131" s="351" t="s">
        <v>2596</v>
      </c>
      <c r="J131" s="560" t="s">
        <v>2328</v>
      </c>
      <c r="K131" s="311">
        <v>489354.17019999999</v>
      </c>
      <c r="L131" s="311">
        <v>0</v>
      </c>
      <c r="M131" s="311">
        <v>210792.08333333337</v>
      </c>
      <c r="N131" s="311">
        <v>63549.044666666668</v>
      </c>
      <c r="O131" s="311">
        <v>44484.331266666668</v>
      </c>
      <c r="P131" s="68">
        <f t="shared" si="24"/>
        <v>808179.62946666661</v>
      </c>
      <c r="Q131" s="68">
        <f t="shared" si="25"/>
        <v>808179.62946666661</v>
      </c>
      <c r="R131" s="127">
        <f t="shared" si="26"/>
        <v>808179.62946666661</v>
      </c>
      <c r="S131" s="26"/>
    </row>
    <row r="132" spans="1:19" s="84" customFormat="1" ht="30">
      <c r="A132" s="30"/>
      <c r="B132" s="29" t="s">
        <v>2009</v>
      </c>
      <c r="C132" s="30" t="s">
        <v>1350</v>
      </c>
      <c r="D132" s="352">
        <v>3</v>
      </c>
      <c r="E132" s="30"/>
      <c r="F132" s="352">
        <v>3</v>
      </c>
      <c r="G132" s="351" t="s">
        <v>3128</v>
      </c>
      <c r="H132" s="26"/>
      <c r="I132" s="351" t="s">
        <v>2596</v>
      </c>
      <c r="J132" s="560" t="s">
        <v>2328</v>
      </c>
      <c r="K132" s="311">
        <v>499472.1606</v>
      </c>
      <c r="L132" s="311">
        <v>0</v>
      </c>
      <c r="M132" s="311">
        <v>210792.08333333337</v>
      </c>
      <c r="N132" s="311">
        <v>64477.300666666662</v>
      </c>
      <c r="O132" s="311">
        <v>45134.110466666665</v>
      </c>
      <c r="P132" s="68">
        <f t="shared" si="24"/>
        <v>819875.65506666666</v>
      </c>
      <c r="Q132" s="68">
        <f t="shared" si="25"/>
        <v>2459626.9652</v>
      </c>
      <c r="R132" s="127">
        <f t="shared" si="26"/>
        <v>2459626.9652</v>
      </c>
      <c r="S132" s="26"/>
    </row>
    <row r="133" spans="1:19" s="84" customFormat="1" ht="30">
      <c r="A133" s="30"/>
      <c r="B133" s="29" t="s">
        <v>2010</v>
      </c>
      <c r="C133" s="30" t="s">
        <v>1350</v>
      </c>
      <c r="D133" s="352">
        <v>1</v>
      </c>
      <c r="E133" s="30"/>
      <c r="F133" s="352">
        <v>1</v>
      </c>
      <c r="G133" s="351" t="s">
        <v>3128</v>
      </c>
      <c r="H133" s="26"/>
      <c r="I133" s="351" t="s">
        <v>2596</v>
      </c>
      <c r="J133" s="560" t="s">
        <v>2328</v>
      </c>
      <c r="K133" s="311">
        <v>907643.13080000004</v>
      </c>
      <c r="L133" s="311">
        <v>0</v>
      </c>
      <c r="M133" s="311">
        <v>360611.25</v>
      </c>
      <c r="N133" s="311">
        <v>115182.51199999999</v>
      </c>
      <c r="O133" s="311">
        <v>80627.758400000006</v>
      </c>
      <c r="P133" s="68">
        <f t="shared" si="24"/>
        <v>1464064.6512</v>
      </c>
      <c r="Q133" s="68">
        <f t="shared" si="25"/>
        <v>1464064.6512</v>
      </c>
      <c r="R133" s="127">
        <f t="shared" si="26"/>
        <v>1464064.6512</v>
      </c>
      <c r="S133" s="26"/>
    </row>
    <row r="134" spans="1:19" s="84" customFormat="1" ht="30">
      <c r="A134" s="30"/>
      <c r="B134" s="29" t="s">
        <v>2011</v>
      </c>
      <c r="C134" s="30" t="s">
        <v>1350</v>
      </c>
      <c r="D134" s="352">
        <v>1</v>
      </c>
      <c r="E134" s="30"/>
      <c r="F134" s="352">
        <v>1</v>
      </c>
      <c r="G134" s="351" t="s">
        <v>3128</v>
      </c>
      <c r="H134" s="26"/>
      <c r="I134" s="351" t="s">
        <v>2596</v>
      </c>
      <c r="J134" s="560" t="s">
        <v>2328</v>
      </c>
      <c r="K134" s="311">
        <v>738838.68940000003</v>
      </c>
      <c r="L134" s="311">
        <v>0</v>
      </c>
      <c r="M134" s="311">
        <v>301380.41666666674</v>
      </c>
      <c r="N134" s="311">
        <v>94454.199333333352</v>
      </c>
      <c r="O134" s="311">
        <v>66117.939533333338</v>
      </c>
      <c r="P134" s="68">
        <f t="shared" si="24"/>
        <v>1200791.2449333335</v>
      </c>
      <c r="Q134" s="68">
        <f t="shared" si="25"/>
        <v>1200791.2449333335</v>
      </c>
      <c r="R134" s="127">
        <f t="shared" si="26"/>
        <v>1200791.2449333335</v>
      </c>
      <c r="S134" s="26"/>
    </row>
    <row r="135" spans="1:19" s="84" customFormat="1" ht="30">
      <c r="A135" s="30"/>
      <c r="B135" s="29" t="s">
        <v>1984</v>
      </c>
      <c r="C135" s="30" t="s">
        <v>1350</v>
      </c>
      <c r="D135" s="352">
        <v>3</v>
      </c>
      <c r="E135" s="30"/>
      <c r="F135" s="352">
        <v>3</v>
      </c>
      <c r="G135" s="351" t="s">
        <v>3128</v>
      </c>
      <c r="H135" s="26"/>
      <c r="I135" s="351" t="s">
        <v>2596</v>
      </c>
      <c r="J135" s="560" t="s">
        <v>2328</v>
      </c>
      <c r="K135" s="311">
        <v>598280.66060000006</v>
      </c>
      <c r="L135" s="311">
        <v>0</v>
      </c>
      <c r="M135" s="311">
        <v>245633.75</v>
      </c>
      <c r="N135" s="311">
        <v>76625.634000000005</v>
      </c>
      <c r="O135" s="311">
        <v>53637.943800000001</v>
      </c>
      <c r="P135" s="68">
        <f t="shared" si="24"/>
        <v>974177.98840000003</v>
      </c>
      <c r="Q135" s="68">
        <f t="shared" si="25"/>
        <v>2922533.9652</v>
      </c>
      <c r="R135" s="127">
        <f t="shared" si="26"/>
        <v>2922533.9652</v>
      </c>
      <c r="S135" s="26"/>
    </row>
    <row r="136" spans="1:19" s="84" customFormat="1" ht="30">
      <c r="A136" s="30"/>
      <c r="B136" s="29" t="s">
        <v>2012</v>
      </c>
      <c r="C136" s="30" t="s">
        <v>1350</v>
      </c>
      <c r="D136" s="352">
        <v>6</v>
      </c>
      <c r="E136" s="30"/>
      <c r="F136" s="352">
        <v>6</v>
      </c>
      <c r="G136" s="351" t="s">
        <v>3128</v>
      </c>
      <c r="H136" s="26"/>
      <c r="I136" s="351" t="s">
        <v>2596</v>
      </c>
      <c r="J136" s="560" t="s">
        <v>2328</v>
      </c>
      <c r="K136" s="311">
        <v>406568.67019999999</v>
      </c>
      <c r="L136" s="311">
        <v>0</v>
      </c>
      <c r="M136" s="311">
        <v>104525.00000000001</v>
      </c>
      <c r="N136" s="311">
        <v>46549.877999999997</v>
      </c>
      <c r="O136" s="311">
        <v>32584.9146</v>
      </c>
      <c r="P136" s="68">
        <f t="shared" si="24"/>
        <v>590228.46279999998</v>
      </c>
      <c r="Q136" s="68">
        <f t="shared" si="25"/>
        <v>3541370.7768000001</v>
      </c>
      <c r="R136" s="127">
        <f t="shared" si="26"/>
        <v>3541370.7768000001</v>
      </c>
      <c r="S136" s="26"/>
    </row>
    <row r="137" spans="1:19" s="84" customFormat="1" ht="30">
      <c r="A137" s="30"/>
      <c r="B137" s="29" t="s">
        <v>2013</v>
      </c>
      <c r="C137" s="30" t="s">
        <v>1350</v>
      </c>
      <c r="D137" s="352">
        <v>2</v>
      </c>
      <c r="E137" s="30"/>
      <c r="F137" s="352">
        <v>2</v>
      </c>
      <c r="G137" s="351" t="s">
        <v>3128</v>
      </c>
      <c r="H137" s="26"/>
      <c r="I137" s="351" t="s">
        <v>2596</v>
      </c>
      <c r="J137" s="560" t="s">
        <v>2328</v>
      </c>
      <c r="K137" s="311">
        <v>454400.52980000002</v>
      </c>
      <c r="L137" s="311">
        <v>0</v>
      </c>
      <c r="M137" s="311">
        <v>191629.16666666674</v>
      </c>
      <c r="N137" s="311">
        <v>58646.455333333339</v>
      </c>
      <c r="O137" s="311">
        <v>41052.518733333338</v>
      </c>
      <c r="P137" s="68">
        <f t="shared" si="24"/>
        <v>745728.67053333344</v>
      </c>
      <c r="Q137" s="68">
        <f t="shared" si="25"/>
        <v>1491457.3410666669</v>
      </c>
      <c r="R137" s="127">
        <f t="shared" si="26"/>
        <v>1491457.3410666669</v>
      </c>
      <c r="S137" s="26"/>
    </row>
    <row r="138" spans="1:19" s="84" customFormat="1" ht="30">
      <c r="A138" s="30"/>
      <c r="B138" s="29" t="s">
        <v>2014</v>
      </c>
      <c r="C138" s="30" t="s">
        <v>1350</v>
      </c>
      <c r="D138" s="352">
        <v>1</v>
      </c>
      <c r="E138" s="30"/>
      <c r="F138" s="352">
        <v>1</v>
      </c>
      <c r="G138" s="351" t="s">
        <v>3128</v>
      </c>
      <c r="H138" s="26"/>
      <c r="I138" s="351" t="s">
        <v>2596</v>
      </c>
      <c r="J138" s="560" t="s">
        <v>2328</v>
      </c>
      <c r="K138" s="311">
        <v>521934.27020000003</v>
      </c>
      <c r="L138" s="311">
        <v>0</v>
      </c>
      <c r="M138" s="311">
        <v>212534.16666666669</v>
      </c>
      <c r="N138" s="311">
        <v>66692.211333333325</v>
      </c>
      <c r="O138" s="311">
        <v>46684.547933333335</v>
      </c>
      <c r="P138" s="68">
        <f t="shared" si="24"/>
        <v>847845.19613333326</v>
      </c>
      <c r="Q138" s="68">
        <f t="shared" si="25"/>
        <v>847845.19613333326</v>
      </c>
      <c r="R138" s="127">
        <f t="shared" si="26"/>
        <v>847845.19613333326</v>
      </c>
      <c r="S138" s="26"/>
    </row>
    <row r="139" spans="1:19" s="84" customFormat="1" ht="30">
      <c r="A139" s="30"/>
      <c r="B139" s="29" t="s">
        <v>2015</v>
      </c>
      <c r="C139" s="30" t="s">
        <v>1350</v>
      </c>
      <c r="D139" s="352">
        <v>2</v>
      </c>
      <c r="E139" s="30"/>
      <c r="F139" s="352">
        <v>2</v>
      </c>
      <c r="G139" s="351" t="s">
        <v>3128</v>
      </c>
      <c r="H139" s="26"/>
      <c r="I139" s="351" t="s">
        <v>2596</v>
      </c>
      <c r="J139" s="560" t="s">
        <v>2328</v>
      </c>
      <c r="K139" s="311">
        <v>895685.70000000007</v>
      </c>
      <c r="L139" s="311">
        <v>0</v>
      </c>
      <c r="M139" s="311">
        <v>355385.00000000006</v>
      </c>
      <c r="N139" s="311">
        <v>113623</v>
      </c>
      <c r="O139" s="311">
        <v>79536.100000000006</v>
      </c>
      <c r="P139" s="68">
        <f t="shared" si="24"/>
        <v>1444229.8000000003</v>
      </c>
      <c r="Q139" s="68">
        <f t="shared" si="25"/>
        <v>2888459.6000000006</v>
      </c>
      <c r="R139" s="127">
        <f t="shared" si="26"/>
        <v>2888459.6000000006</v>
      </c>
      <c r="S139" s="26"/>
    </row>
    <row r="140" spans="1:19" s="84" customFormat="1" ht="30">
      <c r="A140" s="30"/>
      <c r="B140" s="29" t="s">
        <v>2016</v>
      </c>
      <c r="C140" s="30" t="s">
        <v>1350</v>
      </c>
      <c r="D140" s="352">
        <v>2</v>
      </c>
      <c r="E140" s="30"/>
      <c r="F140" s="352">
        <v>2</v>
      </c>
      <c r="G140" s="351" t="s">
        <v>3128</v>
      </c>
      <c r="H140" s="26"/>
      <c r="I140" s="351" t="s">
        <v>2596</v>
      </c>
      <c r="J140" s="560" t="s">
        <v>2328</v>
      </c>
      <c r="K140" s="311">
        <v>706050.29039999994</v>
      </c>
      <c r="L140" s="311">
        <v>0</v>
      </c>
      <c r="M140" s="311">
        <v>289185.83333333337</v>
      </c>
      <c r="N140" s="311">
        <v>90366.922666666665</v>
      </c>
      <c r="O140" s="311">
        <v>63256.845866666663</v>
      </c>
      <c r="P140" s="68">
        <f t="shared" si="24"/>
        <v>1148859.8922666665</v>
      </c>
      <c r="Q140" s="68">
        <f t="shared" si="25"/>
        <v>2297719.784533333</v>
      </c>
      <c r="R140" s="127">
        <f t="shared" si="26"/>
        <v>2297719.784533333</v>
      </c>
      <c r="S140" s="26"/>
    </row>
    <row r="141" spans="1:19" s="84" customFormat="1" ht="30">
      <c r="A141" s="30"/>
      <c r="B141" s="29" t="s">
        <v>2017</v>
      </c>
      <c r="C141" s="30" t="s">
        <v>1350</v>
      </c>
      <c r="D141" s="352">
        <v>6</v>
      </c>
      <c r="E141" s="30"/>
      <c r="F141" s="352">
        <v>6</v>
      </c>
      <c r="G141" s="351" t="s">
        <v>3128</v>
      </c>
      <c r="H141" s="26"/>
      <c r="I141" s="351" t="s">
        <v>2596</v>
      </c>
      <c r="J141" s="560" t="s">
        <v>2328</v>
      </c>
      <c r="K141" s="311">
        <v>692253.4192</v>
      </c>
      <c r="L141" s="311">
        <v>0</v>
      </c>
      <c r="M141" s="311">
        <v>283959.58333333337</v>
      </c>
      <c r="N141" s="311">
        <v>88638.654666666669</v>
      </c>
      <c r="O141" s="311">
        <v>62047.058266666667</v>
      </c>
      <c r="P141" s="68">
        <f t="shared" si="24"/>
        <v>1126898.7154666667</v>
      </c>
      <c r="Q141" s="68">
        <f t="shared" si="25"/>
        <v>6761392.2927999999</v>
      </c>
      <c r="R141" s="127">
        <f t="shared" si="26"/>
        <v>6761392.2927999999</v>
      </c>
      <c r="S141" s="26"/>
    </row>
    <row r="142" spans="1:19" s="84" customFormat="1" ht="30">
      <c r="A142" s="30"/>
      <c r="B142" s="29" t="s">
        <v>2018</v>
      </c>
      <c r="C142" s="30" t="s">
        <v>1350</v>
      </c>
      <c r="D142" s="352">
        <v>1</v>
      </c>
      <c r="E142" s="30"/>
      <c r="F142" s="352">
        <v>1</v>
      </c>
      <c r="G142" s="351" t="s">
        <v>3128</v>
      </c>
      <c r="H142" s="26"/>
      <c r="I142" s="351" t="s">
        <v>2596</v>
      </c>
      <c r="J142" s="560" t="s">
        <v>2328</v>
      </c>
      <c r="K142" s="311">
        <v>681214.64040000003</v>
      </c>
      <c r="L142" s="311">
        <v>0</v>
      </c>
      <c r="M142" s="311">
        <v>280475.41666666669</v>
      </c>
      <c r="N142" s="311">
        <v>87317.589333333337</v>
      </c>
      <c r="O142" s="311">
        <v>61122.312533333337</v>
      </c>
      <c r="P142" s="68">
        <f t="shared" si="24"/>
        <v>1110129.9589333334</v>
      </c>
      <c r="Q142" s="68">
        <f t="shared" si="25"/>
        <v>1110129.9589333334</v>
      </c>
      <c r="R142" s="127">
        <f t="shared" si="26"/>
        <v>1110129.9589333334</v>
      </c>
      <c r="S142" s="26"/>
    </row>
    <row r="143" spans="1:19" s="84" customFormat="1" ht="30">
      <c r="A143" s="30"/>
      <c r="B143" s="29" t="s">
        <v>2019</v>
      </c>
      <c r="C143" s="30" t="s">
        <v>1350</v>
      </c>
      <c r="D143" s="352">
        <v>1</v>
      </c>
      <c r="E143" s="30"/>
      <c r="F143" s="352">
        <v>1</v>
      </c>
      <c r="G143" s="351" t="s">
        <v>3128</v>
      </c>
      <c r="H143" s="26"/>
      <c r="I143" s="351" t="s">
        <v>2596</v>
      </c>
      <c r="J143" s="560" t="s">
        <v>2328</v>
      </c>
      <c r="K143" s="311">
        <v>730885.94039999996</v>
      </c>
      <c r="L143" s="311">
        <v>0</v>
      </c>
      <c r="M143" s="311">
        <v>301380.41666666674</v>
      </c>
      <c r="N143" s="311">
        <v>93724.589333333337</v>
      </c>
      <c r="O143" s="311">
        <v>65607.212533333339</v>
      </c>
      <c r="P143" s="68">
        <f t="shared" si="24"/>
        <v>1191598.1589333334</v>
      </c>
      <c r="Q143" s="68">
        <f t="shared" si="25"/>
        <v>1191598.1589333334</v>
      </c>
      <c r="R143" s="127">
        <f t="shared" si="26"/>
        <v>1191598.1589333334</v>
      </c>
      <c r="S143" s="26"/>
    </row>
    <row r="144" spans="1:19" s="84" customFormat="1" ht="30">
      <c r="A144" s="30"/>
      <c r="B144" s="29" t="s">
        <v>2020</v>
      </c>
      <c r="C144" s="30" t="s">
        <v>1350</v>
      </c>
      <c r="D144" s="352">
        <v>1</v>
      </c>
      <c r="E144" s="30"/>
      <c r="F144" s="352">
        <v>1</v>
      </c>
      <c r="G144" s="351" t="s">
        <v>3128</v>
      </c>
      <c r="H144" s="26"/>
      <c r="I144" s="351" t="s">
        <v>2596</v>
      </c>
      <c r="J144" s="560" t="s">
        <v>2328</v>
      </c>
      <c r="K144" s="311">
        <v>1017104.7894000001</v>
      </c>
      <c r="L144" s="311">
        <v>0</v>
      </c>
      <c r="M144" s="311">
        <v>405905.41666666674</v>
      </c>
      <c r="N144" s="311">
        <v>129233.19933333335</v>
      </c>
      <c r="O144" s="311">
        <v>90463.239533333341</v>
      </c>
      <c r="P144" s="68">
        <f t="shared" si="24"/>
        <v>1642706.6449333336</v>
      </c>
      <c r="Q144" s="68">
        <f t="shared" si="25"/>
        <v>1642706.6449333336</v>
      </c>
      <c r="R144" s="127">
        <f t="shared" si="26"/>
        <v>1642706.6449333336</v>
      </c>
      <c r="S144" s="26"/>
    </row>
    <row r="145" spans="1:19">
      <c r="A145" s="24">
        <v>2.6</v>
      </c>
      <c r="B145" s="27" t="s">
        <v>1402</v>
      </c>
      <c r="C145" s="24"/>
      <c r="D145" s="351"/>
      <c r="E145" s="24"/>
      <c r="F145" s="351"/>
      <c r="G145" s="333"/>
      <c r="H145" s="333"/>
      <c r="I145" s="333"/>
      <c r="J145" s="569"/>
      <c r="K145" s="66"/>
      <c r="L145" s="66"/>
      <c r="M145" s="66"/>
      <c r="N145" s="66"/>
      <c r="O145" s="66"/>
      <c r="P145" s="66"/>
      <c r="Q145" s="66"/>
      <c r="R145" s="66"/>
      <c r="S145" s="333"/>
    </row>
    <row r="146" spans="1:19" ht="30">
      <c r="A146" s="24"/>
      <c r="B146" s="25" t="s">
        <v>1403</v>
      </c>
      <c r="C146" s="26" t="s">
        <v>1350</v>
      </c>
      <c r="D146" s="351">
        <v>2</v>
      </c>
      <c r="E146" s="24"/>
      <c r="F146" s="351">
        <v>2</v>
      </c>
      <c r="G146" s="351" t="s">
        <v>3128</v>
      </c>
      <c r="H146" s="351"/>
      <c r="I146" s="351" t="s">
        <v>2596</v>
      </c>
      <c r="J146" s="560" t="s">
        <v>2328</v>
      </c>
      <c r="K146" s="311">
        <v>3245577.3388888892</v>
      </c>
      <c r="L146" s="311">
        <v>0</v>
      </c>
      <c r="M146" s="311">
        <v>857105.00000000012</v>
      </c>
      <c r="N146" s="311">
        <v>373609.38888888893</v>
      </c>
      <c r="O146" s="311">
        <v>261526.57222222225</v>
      </c>
      <c r="P146" s="68">
        <f t="shared" ref="P146:P151" si="27">SUM(K146:O146)</f>
        <v>4737818.3000000007</v>
      </c>
      <c r="Q146" s="68">
        <f t="shared" ref="Q146:Q151" si="28">D146*P146</f>
        <v>9475636.6000000015</v>
      </c>
      <c r="R146" s="127">
        <f t="shared" ref="R146:R151" si="29">F146*P146</f>
        <v>9475636.6000000015</v>
      </c>
      <c r="S146" s="333"/>
    </row>
    <row r="147" spans="1:19" ht="30">
      <c r="A147" s="26"/>
      <c r="B147" s="25" t="s">
        <v>1404</v>
      </c>
      <c r="C147" s="26" t="s">
        <v>1350</v>
      </c>
      <c r="D147" s="351">
        <v>1</v>
      </c>
      <c r="E147" s="26"/>
      <c r="F147" s="351">
        <v>1</v>
      </c>
      <c r="G147" s="351" t="s">
        <v>3128</v>
      </c>
      <c r="H147" s="351"/>
      <c r="I147" s="351" t="s">
        <v>2596</v>
      </c>
      <c r="J147" s="560" t="s">
        <v>2328</v>
      </c>
      <c r="K147" s="311">
        <v>5527074.5055555562</v>
      </c>
      <c r="L147" s="311">
        <v>0</v>
      </c>
      <c r="M147" s="311">
        <v>1365793.3333333335</v>
      </c>
      <c r="N147" s="311">
        <v>627937.72222222236</v>
      </c>
      <c r="O147" s="311">
        <v>439556.40555555566</v>
      </c>
      <c r="P147" s="68">
        <f t="shared" si="27"/>
        <v>7960361.9666666668</v>
      </c>
      <c r="Q147" s="68">
        <f t="shared" si="28"/>
        <v>7960361.9666666668</v>
      </c>
      <c r="R147" s="127">
        <f t="shared" si="29"/>
        <v>7960361.9666666668</v>
      </c>
      <c r="S147" s="330"/>
    </row>
    <row r="148" spans="1:19" s="84" customFormat="1" ht="30">
      <c r="A148" s="30"/>
      <c r="B148" s="29" t="s">
        <v>2021</v>
      </c>
      <c r="C148" s="30" t="s">
        <v>1350</v>
      </c>
      <c r="D148" s="352">
        <v>1</v>
      </c>
      <c r="E148" s="30"/>
      <c r="F148" s="352">
        <v>1</v>
      </c>
      <c r="G148" s="351" t="s">
        <v>3128</v>
      </c>
      <c r="H148" s="26"/>
      <c r="I148" s="351" t="s">
        <v>2596</v>
      </c>
      <c r="J148" s="560" t="s">
        <v>2328</v>
      </c>
      <c r="K148" s="311">
        <v>3783504.5808000006</v>
      </c>
      <c r="L148" s="311">
        <v>0</v>
      </c>
      <c r="M148" s="311">
        <v>1069639.1666666667</v>
      </c>
      <c r="N148" s="311">
        <v>441768.84533333336</v>
      </c>
      <c r="O148" s="311">
        <v>309238.19173333334</v>
      </c>
      <c r="P148" s="68">
        <f t="shared" si="27"/>
        <v>5604150.784533334</v>
      </c>
      <c r="Q148" s="68">
        <f t="shared" si="28"/>
        <v>5604150.784533334</v>
      </c>
      <c r="R148" s="127">
        <f t="shared" si="29"/>
        <v>5604150.784533334</v>
      </c>
      <c r="S148" s="26"/>
    </row>
    <row r="149" spans="1:19" s="84" customFormat="1" ht="30">
      <c r="A149" s="30"/>
      <c r="B149" s="29" t="s">
        <v>2022</v>
      </c>
      <c r="C149" s="30" t="s">
        <v>1350</v>
      </c>
      <c r="D149" s="352">
        <v>2</v>
      </c>
      <c r="E149" s="30"/>
      <c r="F149" s="352">
        <v>2</v>
      </c>
      <c r="G149" s="351" t="s">
        <v>3128</v>
      </c>
      <c r="H149" s="26"/>
      <c r="I149" s="351" t="s">
        <v>2596</v>
      </c>
      <c r="J149" s="560" t="s">
        <v>2328</v>
      </c>
      <c r="K149" s="311">
        <v>4589609.9605999999</v>
      </c>
      <c r="L149" s="311">
        <v>0</v>
      </c>
      <c r="M149" s="311">
        <v>1077304.3333333335</v>
      </c>
      <c r="N149" s="311">
        <v>516401.80066666671</v>
      </c>
      <c r="O149" s="311">
        <v>361481.26046666672</v>
      </c>
      <c r="P149" s="68">
        <f t="shared" si="27"/>
        <v>6544797.3550666673</v>
      </c>
      <c r="Q149" s="68">
        <f t="shared" si="28"/>
        <v>13089594.710133335</v>
      </c>
      <c r="R149" s="127">
        <f t="shared" si="29"/>
        <v>13089594.710133335</v>
      </c>
      <c r="S149" s="26"/>
    </row>
    <row r="150" spans="1:19" s="84" customFormat="1" ht="30">
      <c r="A150" s="30"/>
      <c r="B150" s="29" t="s">
        <v>2023</v>
      </c>
      <c r="C150" s="30" t="s">
        <v>1350</v>
      </c>
      <c r="D150" s="352">
        <v>2</v>
      </c>
      <c r="E150" s="30"/>
      <c r="F150" s="352">
        <v>2</v>
      </c>
      <c r="G150" s="351" t="s">
        <v>3128</v>
      </c>
      <c r="H150" s="26"/>
      <c r="I150" s="351" t="s">
        <v>2596</v>
      </c>
      <c r="J150" s="560" t="s">
        <v>2328</v>
      </c>
      <c r="K150" s="311">
        <v>2736906.7894000006</v>
      </c>
      <c r="L150" s="311">
        <v>0</v>
      </c>
      <c r="M150" s="311">
        <v>792647.91666666674</v>
      </c>
      <c r="N150" s="311">
        <v>321238.19933333341</v>
      </c>
      <c r="O150" s="311">
        <v>224866.73953333337</v>
      </c>
      <c r="P150" s="68">
        <f t="shared" si="27"/>
        <v>4075659.6449333341</v>
      </c>
      <c r="Q150" s="68">
        <f t="shared" si="28"/>
        <v>8151319.2898666682</v>
      </c>
      <c r="R150" s="127">
        <f t="shared" si="29"/>
        <v>8151319.2898666682</v>
      </c>
      <c r="S150" s="26"/>
    </row>
    <row r="151" spans="1:19" s="84" customFormat="1" ht="30">
      <c r="A151" s="30"/>
      <c r="B151" s="29" t="s">
        <v>2024</v>
      </c>
      <c r="C151" s="30" t="s">
        <v>1350</v>
      </c>
      <c r="D151" s="352">
        <v>1</v>
      </c>
      <c r="E151" s="30"/>
      <c r="F151" s="352">
        <v>1</v>
      </c>
      <c r="G151" s="351" t="s">
        <v>3128</v>
      </c>
      <c r="H151" s="26"/>
      <c r="I151" s="351" t="s">
        <v>2596</v>
      </c>
      <c r="J151" s="560" t="s">
        <v>2328</v>
      </c>
      <c r="K151" s="311">
        <v>5100120.9000000004</v>
      </c>
      <c r="L151" s="311">
        <v>0</v>
      </c>
      <c r="M151" s="311">
        <v>1116675.4166666667</v>
      </c>
      <c r="N151" s="311">
        <v>566721.83333333337</v>
      </c>
      <c r="O151" s="311">
        <v>396705.28333333333</v>
      </c>
      <c r="P151" s="68">
        <f t="shared" si="27"/>
        <v>7180223.4333333336</v>
      </c>
      <c r="Q151" s="68">
        <f t="shared" si="28"/>
        <v>7180223.4333333336</v>
      </c>
      <c r="R151" s="127">
        <f t="shared" si="29"/>
        <v>7180223.4333333336</v>
      </c>
      <c r="S151" s="26"/>
    </row>
    <row r="152" spans="1:19">
      <c r="A152" s="24">
        <v>2.7</v>
      </c>
      <c r="B152" s="72" t="s">
        <v>1369</v>
      </c>
      <c r="C152" s="24"/>
      <c r="D152" s="351"/>
      <c r="E152" s="24"/>
      <c r="F152" s="351"/>
      <c r="G152" s="331"/>
      <c r="H152" s="331"/>
      <c r="I152" s="331"/>
      <c r="J152" s="570"/>
      <c r="K152" s="127"/>
      <c r="L152" s="127"/>
      <c r="M152" s="127"/>
      <c r="N152" s="127"/>
      <c r="O152" s="127"/>
      <c r="P152" s="127"/>
      <c r="Q152" s="127"/>
      <c r="R152" s="127"/>
      <c r="S152" s="331"/>
    </row>
    <row r="153" spans="1:19" ht="30">
      <c r="A153" s="26"/>
      <c r="B153" s="25" t="s">
        <v>1405</v>
      </c>
      <c r="C153" s="26" t="s">
        <v>1350</v>
      </c>
      <c r="D153" s="351">
        <v>72</v>
      </c>
      <c r="E153" s="26"/>
      <c r="F153" s="351">
        <v>72</v>
      </c>
      <c r="G153" s="351" t="s">
        <v>3124</v>
      </c>
      <c r="H153" s="351"/>
      <c r="I153" s="351" t="s">
        <v>2596</v>
      </c>
      <c r="J153" s="560" t="s">
        <v>2328</v>
      </c>
      <c r="K153" s="311">
        <v>529216.80000000005</v>
      </c>
      <c r="L153" s="311">
        <v>0</v>
      </c>
      <c r="M153" s="311">
        <v>246905.00000000003</v>
      </c>
      <c r="N153" s="311">
        <v>70402</v>
      </c>
      <c r="O153" s="311">
        <v>49281.4</v>
      </c>
      <c r="P153" s="68">
        <f t="shared" ref="P153:P154" si="30">SUM(K153:O153)</f>
        <v>895805.20000000007</v>
      </c>
      <c r="Q153" s="68">
        <f>D153*P153</f>
        <v>64497974.400000006</v>
      </c>
      <c r="R153" s="127">
        <f>F153*P153</f>
        <v>64497974.400000006</v>
      </c>
      <c r="S153" s="334"/>
    </row>
    <row r="154" spans="1:19" ht="30">
      <c r="A154" s="26"/>
      <c r="B154" s="25" t="s">
        <v>1406</v>
      </c>
      <c r="C154" s="26" t="s">
        <v>1350</v>
      </c>
      <c r="D154" s="351">
        <v>31</v>
      </c>
      <c r="E154" s="26"/>
      <c r="F154" s="351">
        <v>31</v>
      </c>
      <c r="G154" s="351" t="s">
        <v>3124</v>
      </c>
      <c r="H154" s="351"/>
      <c r="I154" s="351" t="s">
        <v>2596</v>
      </c>
      <c r="J154" s="560" t="s">
        <v>2328</v>
      </c>
      <c r="K154" s="311">
        <v>880545.60000000009</v>
      </c>
      <c r="L154" s="311">
        <v>0</v>
      </c>
      <c r="M154" s="311">
        <v>368154.00000000006</v>
      </c>
      <c r="N154" s="311">
        <v>113364</v>
      </c>
      <c r="O154" s="311">
        <v>79354.8</v>
      </c>
      <c r="P154" s="68">
        <f t="shared" si="30"/>
        <v>1441418.4000000001</v>
      </c>
      <c r="Q154" s="68">
        <f>D154*P154</f>
        <v>44683970.400000006</v>
      </c>
      <c r="R154" s="127">
        <f>F154*P154</f>
        <v>44683970.400000006</v>
      </c>
      <c r="S154" s="335"/>
    </row>
    <row r="155" spans="1:19" s="84" customFormat="1">
      <c r="A155" s="28">
        <v>2.8</v>
      </c>
      <c r="B155" s="82" t="s">
        <v>2025</v>
      </c>
      <c r="C155" s="30"/>
      <c r="D155" s="352"/>
      <c r="E155" s="30"/>
      <c r="F155" s="352"/>
      <c r="G155" s="30"/>
      <c r="H155" s="30"/>
      <c r="I155" s="30"/>
      <c r="J155" s="571"/>
      <c r="K155" s="127"/>
      <c r="L155" s="127"/>
      <c r="M155" s="127"/>
      <c r="N155" s="127"/>
      <c r="O155" s="127"/>
      <c r="P155" s="127"/>
      <c r="Q155" s="127"/>
      <c r="R155" s="127"/>
      <c r="S155" s="30"/>
    </row>
    <row r="156" spans="1:19" s="84" customFormat="1" ht="30">
      <c r="A156" s="30"/>
      <c r="B156" s="29" t="s">
        <v>2026</v>
      </c>
      <c r="C156" s="30" t="s">
        <v>1350</v>
      </c>
      <c r="D156" s="352">
        <v>72</v>
      </c>
      <c r="E156" s="30"/>
      <c r="F156" s="352">
        <v>72</v>
      </c>
      <c r="G156" s="351" t="s">
        <v>3128</v>
      </c>
      <c r="H156" s="26"/>
      <c r="I156" s="351" t="s">
        <v>2596</v>
      </c>
      <c r="J156" s="560" t="s">
        <v>2328</v>
      </c>
      <c r="K156" s="311">
        <v>198685.2</v>
      </c>
      <c r="L156" s="311">
        <v>0</v>
      </c>
      <c r="M156" s="311">
        <v>125430.00000000001</v>
      </c>
      <c r="N156" s="311">
        <v>29328</v>
      </c>
      <c r="O156" s="311">
        <v>20529.600000000002</v>
      </c>
      <c r="P156" s="68">
        <f t="shared" ref="P156:P157" si="31">SUM(K156:O156)</f>
        <v>373972.8</v>
      </c>
      <c r="Q156" s="68">
        <f>D156*P156</f>
        <v>26926041.599999998</v>
      </c>
      <c r="R156" s="127">
        <f>F156*P156</f>
        <v>26926041.599999998</v>
      </c>
      <c r="S156" s="26"/>
    </row>
    <row r="157" spans="1:19" s="84" customFormat="1" ht="30">
      <c r="A157" s="30"/>
      <c r="B157" s="29" t="s">
        <v>2027</v>
      </c>
      <c r="C157" s="30" t="s">
        <v>1350</v>
      </c>
      <c r="D157" s="352">
        <v>31</v>
      </c>
      <c r="E157" s="30"/>
      <c r="F157" s="352">
        <v>31</v>
      </c>
      <c r="G157" s="351" t="s">
        <v>3128</v>
      </c>
      <c r="H157" s="26"/>
      <c r="I157" s="351" t="s">
        <v>2596</v>
      </c>
      <c r="J157" s="560" t="s">
        <v>2328</v>
      </c>
      <c r="K157" s="311">
        <v>264913.60000000003</v>
      </c>
      <c r="L157" s="311">
        <v>0</v>
      </c>
      <c r="M157" s="311">
        <v>167240.00000000003</v>
      </c>
      <c r="N157" s="311">
        <v>39104</v>
      </c>
      <c r="O157" s="311">
        <v>27372.800000000003</v>
      </c>
      <c r="P157" s="68">
        <f t="shared" si="31"/>
        <v>498630.40000000008</v>
      </c>
      <c r="Q157" s="68">
        <f>D157*P157</f>
        <v>15457542.400000002</v>
      </c>
      <c r="R157" s="127">
        <f>F157*P157</f>
        <v>15457542.400000002</v>
      </c>
      <c r="S157" s="26"/>
    </row>
    <row r="158" spans="1:19">
      <c r="A158" s="24">
        <v>2.9</v>
      </c>
      <c r="B158" s="72" t="s">
        <v>1407</v>
      </c>
      <c r="C158" s="24"/>
      <c r="D158" s="351"/>
      <c r="E158" s="24"/>
      <c r="F158" s="351"/>
      <c r="G158" s="15"/>
      <c r="H158" s="15"/>
      <c r="I158" s="15"/>
      <c r="J158" s="572"/>
      <c r="K158" s="66"/>
      <c r="L158" s="66"/>
      <c r="M158" s="66"/>
      <c r="N158" s="66"/>
      <c r="O158" s="66"/>
      <c r="P158" s="66"/>
      <c r="Q158" s="66"/>
      <c r="R158" s="66"/>
      <c r="S158" s="15"/>
    </row>
    <row r="159" spans="1:19" ht="60">
      <c r="A159" s="24"/>
      <c r="B159" s="25" t="s">
        <v>1389</v>
      </c>
      <c r="C159" s="26" t="s">
        <v>1350</v>
      </c>
      <c r="D159" s="351">
        <v>6</v>
      </c>
      <c r="E159" s="24"/>
      <c r="F159" s="351">
        <v>6</v>
      </c>
      <c r="G159" s="351" t="s">
        <v>3126</v>
      </c>
      <c r="H159" s="351"/>
      <c r="I159" s="351" t="s">
        <v>2596</v>
      </c>
      <c r="J159" s="560" t="s">
        <v>2328</v>
      </c>
      <c r="K159" s="311">
        <v>10092515.966400001</v>
      </c>
      <c r="L159" s="311">
        <v>0</v>
      </c>
      <c r="M159" s="311">
        <v>335911.33333333337</v>
      </c>
      <c r="N159" s="311">
        <v>955645.56266666669</v>
      </c>
      <c r="O159" s="311">
        <v>668951.89386666671</v>
      </c>
      <c r="P159" s="68">
        <f t="shared" ref="P159:P161" si="32">SUM(K159:O159)</f>
        <v>12053024.75626667</v>
      </c>
      <c r="Q159" s="68">
        <f>D159*P159</f>
        <v>72318148.537600026</v>
      </c>
      <c r="R159" s="127">
        <f>F159*P159</f>
        <v>72318148.537600026</v>
      </c>
      <c r="S159" s="335"/>
    </row>
    <row r="160" spans="1:19" ht="60">
      <c r="A160" s="24"/>
      <c r="B160" s="25" t="s">
        <v>1391</v>
      </c>
      <c r="C160" s="26" t="s">
        <v>1350</v>
      </c>
      <c r="D160" s="352">
        <v>1</v>
      </c>
      <c r="E160" s="24"/>
      <c r="F160" s="352">
        <v>1</v>
      </c>
      <c r="G160" s="351" t="s">
        <v>3126</v>
      </c>
      <c r="H160" s="351"/>
      <c r="I160" s="351" t="s">
        <v>2596</v>
      </c>
      <c r="J160" s="560" t="s">
        <v>2328</v>
      </c>
      <c r="K160" s="311">
        <v>11685067.932115201</v>
      </c>
      <c r="L160" s="311">
        <v>0</v>
      </c>
      <c r="M160" s="311">
        <v>428797.33333333337</v>
      </c>
      <c r="N160" s="311">
        <v>1109971.2475946667</v>
      </c>
      <c r="O160" s="311">
        <v>776979.87331626669</v>
      </c>
      <c r="P160" s="68">
        <f t="shared" si="32"/>
        <v>14000816.38635947</v>
      </c>
      <c r="Q160" s="68">
        <f>D160*P160</f>
        <v>14000816.38635947</v>
      </c>
      <c r="R160" s="127">
        <f>F160*P160</f>
        <v>14000816.38635947</v>
      </c>
      <c r="S160" s="334"/>
    </row>
    <row r="161" spans="1:19" ht="60">
      <c r="A161" s="24"/>
      <c r="B161" s="25" t="s">
        <v>1392</v>
      </c>
      <c r="C161" s="26" t="s">
        <v>1350</v>
      </c>
      <c r="D161" s="352">
        <v>4</v>
      </c>
      <c r="E161" s="24"/>
      <c r="F161" s="352">
        <v>4</v>
      </c>
      <c r="G161" s="351" t="s">
        <v>3126</v>
      </c>
      <c r="H161" s="351"/>
      <c r="I161" s="351" t="s">
        <v>2596</v>
      </c>
      <c r="J161" s="560" t="s">
        <v>2328</v>
      </c>
      <c r="K161" s="311">
        <v>11736904.618790399</v>
      </c>
      <c r="L161" s="311">
        <v>0</v>
      </c>
      <c r="M161" s="311">
        <v>534226.33333333337</v>
      </c>
      <c r="N161" s="311">
        <v>1124056.9069226666</v>
      </c>
      <c r="O161" s="311">
        <v>786839.83484586666</v>
      </c>
      <c r="P161" s="68">
        <f t="shared" si="32"/>
        <v>14182027.693892267</v>
      </c>
      <c r="Q161" s="68">
        <f>D161*P161</f>
        <v>56728110.775569066</v>
      </c>
      <c r="R161" s="127">
        <f>F161*P161</f>
        <v>56728110.775569066</v>
      </c>
      <c r="S161" s="17"/>
    </row>
    <row r="162" spans="1:19" s="84" customFormat="1">
      <c r="A162" s="211">
        <v>2.1</v>
      </c>
      <c r="B162" s="82" t="s">
        <v>2028</v>
      </c>
      <c r="C162" s="30"/>
      <c r="D162" s="352"/>
      <c r="E162" s="30"/>
      <c r="F162" s="352"/>
      <c r="G162" s="509"/>
      <c r="H162" s="509"/>
      <c r="I162" s="509"/>
      <c r="J162" s="565"/>
      <c r="K162" s="127"/>
      <c r="L162" s="127"/>
      <c r="M162" s="127"/>
      <c r="N162" s="127"/>
      <c r="O162" s="127"/>
      <c r="P162" s="127"/>
      <c r="Q162" s="127"/>
      <c r="R162" s="127"/>
      <c r="S162" s="509"/>
    </row>
    <row r="163" spans="1:19" s="84" customFormat="1" ht="30">
      <c r="A163" s="30"/>
      <c r="B163" s="29" t="s">
        <v>2029</v>
      </c>
      <c r="C163" s="30" t="s">
        <v>1350</v>
      </c>
      <c r="D163" s="352">
        <v>2</v>
      </c>
      <c r="E163" s="30"/>
      <c r="F163" s="352">
        <v>2</v>
      </c>
      <c r="G163" s="351" t="s">
        <v>3128</v>
      </c>
      <c r="H163" s="315"/>
      <c r="I163" s="351" t="s">
        <v>2596</v>
      </c>
      <c r="J163" s="560" t="s">
        <v>2328</v>
      </c>
      <c r="K163" s="311">
        <v>1548622.9500000002</v>
      </c>
      <c r="L163" s="311">
        <v>0</v>
      </c>
      <c r="M163" s="311">
        <v>1137580.4166666667</v>
      </c>
      <c r="N163" s="311">
        <v>242746.33333333337</v>
      </c>
      <c r="O163" s="311">
        <v>169922.43333333335</v>
      </c>
      <c r="P163" s="68">
        <f t="shared" ref="P163:P167" si="33">SUM(K163:O163)</f>
        <v>3098872.1333333338</v>
      </c>
      <c r="Q163" s="68">
        <f>D163*P163</f>
        <v>6197744.2666666675</v>
      </c>
      <c r="R163" s="127">
        <f>F163*P163</f>
        <v>6197744.2666666675</v>
      </c>
      <c r="S163" s="315"/>
    </row>
    <row r="164" spans="1:19" s="84" customFormat="1" ht="30">
      <c r="A164" s="30"/>
      <c r="B164" s="29" t="s">
        <v>2030</v>
      </c>
      <c r="C164" s="30" t="s">
        <v>1350</v>
      </c>
      <c r="D164" s="352">
        <v>1</v>
      </c>
      <c r="E164" s="30"/>
      <c r="F164" s="352">
        <v>1</v>
      </c>
      <c r="G164" s="351" t="s">
        <v>3128</v>
      </c>
      <c r="H164" s="315"/>
      <c r="I164" s="351" t="s">
        <v>2596</v>
      </c>
      <c r="J164" s="560" t="s">
        <v>2328</v>
      </c>
      <c r="K164" s="311">
        <v>1460169.5807999999</v>
      </c>
      <c r="L164" s="311">
        <v>0</v>
      </c>
      <c r="M164" s="311">
        <v>1073123.3333333335</v>
      </c>
      <c r="N164" s="311">
        <v>228927.17866666667</v>
      </c>
      <c r="O164" s="311">
        <v>160249.02506666668</v>
      </c>
      <c r="P164" s="68">
        <f t="shared" si="33"/>
        <v>2922469.117866667</v>
      </c>
      <c r="Q164" s="68">
        <f>D164*P164</f>
        <v>2922469.117866667</v>
      </c>
      <c r="R164" s="127">
        <f>F164*P164</f>
        <v>2922469.117866667</v>
      </c>
      <c r="S164" s="315"/>
    </row>
    <row r="165" spans="1:19" s="84" customFormat="1" ht="30">
      <c r="A165" s="30"/>
      <c r="B165" s="29" t="s">
        <v>2031</v>
      </c>
      <c r="C165" s="30" t="s">
        <v>1350</v>
      </c>
      <c r="D165" s="352">
        <v>1</v>
      </c>
      <c r="E165" s="30"/>
      <c r="F165" s="352">
        <v>1</v>
      </c>
      <c r="G165" s="351" t="s">
        <v>3128</v>
      </c>
      <c r="H165" s="315"/>
      <c r="I165" s="351" t="s">
        <v>2596</v>
      </c>
      <c r="J165" s="560" t="s">
        <v>2328</v>
      </c>
      <c r="K165" s="311">
        <v>934556.42980000004</v>
      </c>
      <c r="L165" s="311">
        <v>0</v>
      </c>
      <c r="M165" s="311">
        <v>468620.41666666674</v>
      </c>
      <c r="N165" s="311">
        <v>127209.95533333333</v>
      </c>
      <c r="O165" s="311">
        <v>89046.968733333328</v>
      </c>
      <c r="P165" s="68">
        <f t="shared" si="33"/>
        <v>1619433.7705333333</v>
      </c>
      <c r="Q165" s="68">
        <f>D165*P165</f>
        <v>1619433.7705333333</v>
      </c>
      <c r="R165" s="127">
        <f>F165*P165</f>
        <v>1619433.7705333333</v>
      </c>
      <c r="S165" s="315"/>
    </row>
    <row r="166" spans="1:19" s="84" customFormat="1" ht="30">
      <c r="A166" s="30"/>
      <c r="B166" s="29" t="s">
        <v>2032</v>
      </c>
      <c r="C166" s="30" t="s">
        <v>1350</v>
      </c>
      <c r="D166" s="352">
        <v>2</v>
      </c>
      <c r="E166" s="30"/>
      <c r="F166" s="352">
        <v>2</v>
      </c>
      <c r="G166" s="351" t="s">
        <v>3128</v>
      </c>
      <c r="H166" s="315"/>
      <c r="I166" s="351" t="s">
        <v>2596</v>
      </c>
      <c r="J166" s="560" t="s">
        <v>2328</v>
      </c>
      <c r="K166" s="311">
        <v>721153.57020000007</v>
      </c>
      <c r="L166" s="311">
        <v>0</v>
      </c>
      <c r="M166" s="311">
        <v>303122.50000000006</v>
      </c>
      <c r="N166" s="311">
        <v>92985.878000000012</v>
      </c>
      <c r="O166" s="311">
        <v>65090.114600000008</v>
      </c>
      <c r="P166" s="68">
        <f t="shared" si="33"/>
        <v>1182352.0628000002</v>
      </c>
      <c r="Q166" s="68">
        <f>D166*P166</f>
        <v>2364704.1256000004</v>
      </c>
      <c r="R166" s="127">
        <f>F166*P166</f>
        <v>2364704.1256000004</v>
      </c>
      <c r="S166" s="315"/>
    </row>
    <row r="167" spans="1:19" s="84" customFormat="1" ht="30">
      <c r="A167" s="30"/>
      <c r="B167" s="29" t="s">
        <v>2033</v>
      </c>
      <c r="C167" s="30" t="s">
        <v>1350</v>
      </c>
      <c r="D167" s="352">
        <v>1</v>
      </c>
      <c r="E167" s="30"/>
      <c r="F167" s="352">
        <v>1</v>
      </c>
      <c r="G167" s="351" t="s">
        <v>3128</v>
      </c>
      <c r="H167" s="315"/>
      <c r="I167" s="351" t="s">
        <v>2596</v>
      </c>
      <c r="J167" s="560" t="s">
        <v>2328</v>
      </c>
      <c r="K167" s="311">
        <v>1334151.8904000001</v>
      </c>
      <c r="L167" s="311">
        <v>0</v>
      </c>
      <c r="M167" s="311">
        <v>872783.75000000012</v>
      </c>
      <c r="N167" s="311">
        <v>199636.75600000002</v>
      </c>
      <c r="O167" s="311">
        <v>139745.72920000003</v>
      </c>
      <c r="P167" s="68">
        <f t="shared" si="33"/>
        <v>2546318.1256000004</v>
      </c>
      <c r="Q167" s="68">
        <f>D167*P167</f>
        <v>2546318.1256000004</v>
      </c>
      <c r="R167" s="127">
        <f>F167*P167</f>
        <v>2546318.1256000004</v>
      </c>
      <c r="S167" s="315"/>
    </row>
    <row r="168" spans="1:19" s="84" customFormat="1">
      <c r="A168" s="28">
        <v>2.11</v>
      </c>
      <c r="B168" s="82" t="s">
        <v>2034</v>
      </c>
      <c r="C168" s="30"/>
      <c r="D168" s="352"/>
      <c r="E168" s="30"/>
      <c r="F168" s="352"/>
      <c r="G168" s="315"/>
      <c r="H168" s="315"/>
      <c r="I168" s="315"/>
      <c r="J168" s="573"/>
      <c r="K168" s="66"/>
      <c r="L168" s="66"/>
      <c r="M168" s="66"/>
      <c r="N168" s="66"/>
      <c r="O168" s="66"/>
      <c r="P168" s="66"/>
      <c r="Q168" s="66"/>
      <c r="R168" s="66"/>
      <c r="S168" s="315"/>
    </row>
    <row r="169" spans="1:19" s="84" customFormat="1" ht="30">
      <c r="A169" s="30"/>
      <c r="B169" s="29" t="s">
        <v>2035</v>
      </c>
      <c r="C169" s="30" t="s">
        <v>1350</v>
      </c>
      <c r="D169" s="352">
        <v>1</v>
      </c>
      <c r="E169" s="30"/>
      <c r="F169" s="352">
        <v>1</v>
      </c>
      <c r="G169" s="351" t="s">
        <v>3128</v>
      </c>
      <c r="H169" s="315"/>
      <c r="I169" s="351" t="s">
        <v>2596</v>
      </c>
      <c r="J169" s="560" t="s">
        <v>2328</v>
      </c>
      <c r="K169" s="311">
        <v>1501176.7106000001</v>
      </c>
      <c r="L169" s="311">
        <v>0</v>
      </c>
      <c r="M169" s="311">
        <v>219502.50000000003</v>
      </c>
      <c r="N169" s="311">
        <v>157147.63400000002</v>
      </c>
      <c r="O169" s="311">
        <v>110003.34380000002</v>
      </c>
      <c r="P169" s="68">
        <f t="shared" ref="P169:P172" si="34">SUM(K169:O169)</f>
        <v>1987830.1884000001</v>
      </c>
      <c r="Q169" s="68">
        <f>D169*P169</f>
        <v>1987830.1884000001</v>
      </c>
      <c r="R169" s="127">
        <f>F169*P169</f>
        <v>1987830.1884000001</v>
      </c>
      <c r="S169" s="315"/>
    </row>
    <row r="170" spans="1:19" s="84" customFormat="1" ht="30">
      <c r="A170" s="30"/>
      <c r="B170" s="29" t="s">
        <v>2036</v>
      </c>
      <c r="C170" s="30" t="s">
        <v>1350</v>
      </c>
      <c r="D170" s="352">
        <v>1</v>
      </c>
      <c r="E170" s="30"/>
      <c r="F170" s="352">
        <v>1</v>
      </c>
      <c r="G170" s="351" t="s">
        <v>3128</v>
      </c>
      <c r="H170" s="315"/>
      <c r="I170" s="351" t="s">
        <v>2596</v>
      </c>
      <c r="J170" s="560" t="s">
        <v>2328</v>
      </c>
      <c r="K170" s="311">
        <v>1647965.55</v>
      </c>
      <c r="L170" s="311">
        <v>0</v>
      </c>
      <c r="M170" s="311">
        <v>254344.16666666672</v>
      </c>
      <c r="N170" s="311">
        <v>173697.83333333334</v>
      </c>
      <c r="O170" s="311">
        <v>121588.48333333334</v>
      </c>
      <c r="P170" s="68">
        <f t="shared" si="34"/>
        <v>2197596.0333333332</v>
      </c>
      <c r="Q170" s="68">
        <f>D170*P170</f>
        <v>2197596.0333333332</v>
      </c>
      <c r="R170" s="127">
        <f>F170*P170</f>
        <v>2197596.0333333332</v>
      </c>
      <c r="S170" s="315"/>
    </row>
    <row r="171" spans="1:19" ht="30">
      <c r="A171" s="73">
        <v>2.12</v>
      </c>
      <c r="B171" s="72" t="s">
        <v>1381</v>
      </c>
      <c r="C171" s="26" t="s">
        <v>1350</v>
      </c>
      <c r="D171" s="351">
        <v>2</v>
      </c>
      <c r="E171" s="24"/>
      <c r="F171" s="351">
        <v>2</v>
      </c>
      <c r="G171" s="351" t="s">
        <v>3127</v>
      </c>
      <c r="H171" s="351"/>
      <c r="I171" s="351" t="s">
        <v>2596</v>
      </c>
      <c r="J171" s="560" t="s">
        <v>2328</v>
      </c>
      <c r="K171" s="311">
        <v>805147.68241950008</v>
      </c>
      <c r="L171" s="311">
        <v>0</v>
      </c>
      <c r="M171" s="311">
        <v>147391.55000000002</v>
      </c>
      <c r="N171" s="311">
        <v>86910.259855000011</v>
      </c>
      <c r="O171" s="311">
        <v>60837.181898500006</v>
      </c>
      <c r="P171" s="68">
        <f t="shared" si="34"/>
        <v>1100286.6741730003</v>
      </c>
      <c r="Q171" s="68">
        <f>D171*P171</f>
        <v>2200573.3483460005</v>
      </c>
      <c r="R171" s="127">
        <f>F171*P171</f>
        <v>2200573.3483460005</v>
      </c>
      <c r="S171" s="335"/>
    </row>
    <row r="172" spans="1:19">
      <c r="A172" s="73">
        <v>2.13</v>
      </c>
      <c r="B172" s="72" t="s">
        <v>1408</v>
      </c>
      <c r="C172" s="26" t="s">
        <v>78</v>
      </c>
      <c r="D172" s="351">
        <v>1</v>
      </c>
      <c r="E172" s="24"/>
      <c r="F172" s="351">
        <v>1</v>
      </c>
      <c r="G172" s="334"/>
      <c r="H172" s="334"/>
      <c r="I172" s="334"/>
      <c r="J172" s="574" t="s">
        <v>2381</v>
      </c>
      <c r="K172" s="311">
        <v>250378127.76786664</v>
      </c>
      <c r="L172" s="311">
        <v>0</v>
      </c>
      <c r="M172" s="311">
        <v>105034465.91499999</v>
      </c>
      <c r="N172" s="311">
        <v>30119711.32905649</v>
      </c>
      <c r="O172" s="311">
        <v>21083797.930339545</v>
      </c>
      <c r="P172" s="68">
        <f t="shared" si="34"/>
        <v>406616102.94226265</v>
      </c>
      <c r="Q172" s="68">
        <f>D172*P172</f>
        <v>406616102.94226265</v>
      </c>
      <c r="R172" s="127">
        <f>F172*P172</f>
        <v>406616102.94226265</v>
      </c>
      <c r="S172" s="334"/>
    </row>
    <row r="173" spans="1:19" s="83" customFormat="1">
      <c r="A173" s="28">
        <v>2.14</v>
      </c>
      <c r="B173" s="82" t="s">
        <v>1409</v>
      </c>
      <c r="C173" s="28"/>
      <c r="D173" s="352"/>
      <c r="E173" s="28"/>
      <c r="F173" s="352"/>
      <c r="G173" s="547"/>
      <c r="H173" s="547"/>
      <c r="I173" s="547"/>
      <c r="J173" s="575"/>
      <c r="K173" s="80"/>
      <c r="L173" s="80"/>
      <c r="M173" s="80"/>
      <c r="N173" s="80"/>
      <c r="O173" s="80"/>
      <c r="P173" s="80"/>
      <c r="Q173" s="80"/>
      <c r="R173" s="80"/>
      <c r="S173" s="547"/>
    </row>
    <row r="174" spans="1:19" s="84" customFormat="1" ht="30">
      <c r="A174" s="30"/>
      <c r="B174" s="29" t="s">
        <v>2037</v>
      </c>
      <c r="C174" s="30" t="s">
        <v>117</v>
      </c>
      <c r="D174" s="352">
        <v>2</v>
      </c>
      <c r="E174" s="30"/>
      <c r="F174" s="352">
        <v>2</v>
      </c>
      <c r="G174" s="351" t="s">
        <v>3147</v>
      </c>
      <c r="H174" s="509"/>
      <c r="I174" s="351" t="s">
        <v>2596</v>
      </c>
      <c r="J174" s="560" t="s">
        <v>2328</v>
      </c>
      <c r="K174" s="311">
        <v>1288783.3</v>
      </c>
      <c r="L174" s="311">
        <v>0</v>
      </c>
      <c r="M174" s="311">
        <v>330995.83333333337</v>
      </c>
      <c r="N174" s="311">
        <v>147528.66666666669</v>
      </c>
      <c r="O174" s="311">
        <v>103270.06666666668</v>
      </c>
      <c r="P174" s="68">
        <f t="shared" ref="P174:P177" si="35">SUM(K174:O174)</f>
        <v>1870577.8666666667</v>
      </c>
      <c r="Q174" s="68">
        <f>D174*P174</f>
        <v>3741155.7333333334</v>
      </c>
      <c r="R174" s="127">
        <f>F174*P174</f>
        <v>3741155.7333333334</v>
      </c>
      <c r="S174" s="509"/>
    </row>
    <row r="175" spans="1:19" s="84" customFormat="1" ht="30">
      <c r="A175" s="30"/>
      <c r="B175" s="29" t="s">
        <v>2038</v>
      </c>
      <c r="C175" s="30" t="s">
        <v>117</v>
      </c>
      <c r="D175" s="352">
        <v>1</v>
      </c>
      <c r="E175" s="30"/>
      <c r="F175" s="352">
        <v>1</v>
      </c>
      <c r="G175" s="351" t="s">
        <v>3147</v>
      </c>
      <c r="H175" s="509"/>
      <c r="I175" s="351" t="s">
        <v>2596</v>
      </c>
      <c r="J175" s="560" t="s">
        <v>2328</v>
      </c>
      <c r="K175" s="311">
        <v>1560106.1</v>
      </c>
      <c r="L175" s="311">
        <v>0</v>
      </c>
      <c r="M175" s="311">
        <v>400679.16666666669</v>
      </c>
      <c r="N175" s="311">
        <v>178587.33333333334</v>
      </c>
      <c r="O175" s="311">
        <v>125011.13333333335</v>
      </c>
      <c r="P175" s="68">
        <f t="shared" si="35"/>
        <v>2264383.7333333334</v>
      </c>
      <c r="Q175" s="68">
        <f>D175*P175</f>
        <v>2264383.7333333334</v>
      </c>
      <c r="R175" s="127">
        <f>F175*P175</f>
        <v>2264383.7333333334</v>
      </c>
      <c r="S175" s="509"/>
    </row>
    <row r="176" spans="1:19" s="84" customFormat="1" ht="30">
      <c r="A176" s="30"/>
      <c r="B176" s="29" t="s">
        <v>2039</v>
      </c>
      <c r="C176" s="30" t="s">
        <v>117</v>
      </c>
      <c r="D176" s="352">
        <v>51</v>
      </c>
      <c r="E176" s="30"/>
      <c r="F176" s="352">
        <v>51</v>
      </c>
      <c r="G176" s="351" t="s">
        <v>3147</v>
      </c>
      <c r="H176" s="509"/>
      <c r="I176" s="351" t="s">
        <v>2596</v>
      </c>
      <c r="J176" s="560" t="s">
        <v>2328</v>
      </c>
      <c r="K176" s="311">
        <v>3035824.4000000004</v>
      </c>
      <c r="L176" s="311">
        <v>0</v>
      </c>
      <c r="M176" s="311">
        <v>766516.66666666698</v>
      </c>
      <c r="N176" s="311">
        <v>346349.33333333337</v>
      </c>
      <c r="O176" s="311">
        <v>242444.53333333335</v>
      </c>
      <c r="P176" s="68">
        <f t="shared" si="35"/>
        <v>4391134.9333333345</v>
      </c>
      <c r="Q176" s="68">
        <f>D176*P176</f>
        <v>223947881.60000005</v>
      </c>
      <c r="R176" s="127">
        <f>F176*P176</f>
        <v>223947881.60000005</v>
      </c>
      <c r="S176" s="509"/>
    </row>
    <row r="177" spans="1:19" s="84" customFormat="1" ht="30">
      <c r="A177" s="30"/>
      <c r="B177" s="29" t="s">
        <v>2040</v>
      </c>
      <c r="C177" s="30" t="s">
        <v>117</v>
      </c>
      <c r="D177" s="352">
        <v>7</v>
      </c>
      <c r="E177" s="30"/>
      <c r="F177" s="352">
        <v>7</v>
      </c>
      <c r="G177" s="351" t="s">
        <v>3147</v>
      </c>
      <c r="H177" s="509"/>
      <c r="I177" s="351" t="s">
        <v>2596</v>
      </c>
      <c r="J177" s="560" t="s">
        <v>2328</v>
      </c>
      <c r="K177" s="311">
        <v>2458996.4000000004</v>
      </c>
      <c r="L177" s="311">
        <v>0</v>
      </c>
      <c r="M177" s="311">
        <v>627150.00000000012</v>
      </c>
      <c r="N177" s="311">
        <v>281096</v>
      </c>
      <c r="O177" s="311">
        <v>196767.2</v>
      </c>
      <c r="P177" s="68">
        <f t="shared" si="35"/>
        <v>3564009.6000000006</v>
      </c>
      <c r="Q177" s="68">
        <f>D177*P177</f>
        <v>24948067.200000003</v>
      </c>
      <c r="R177" s="127">
        <f>F177*P177</f>
        <v>24948067.200000003</v>
      </c>
      <c r="S177" s="509"/>
    </row>
    <row r="178" spans="1:19" s="83" customFormat="1">
      <c r="A178" s="28">
        <v>2.15</v>
      </c>
      <c r="B178" s="82" t="s">
        <v>2041</v>
      </c>
      <c r="C178" s="28"/>
      <c r="D178" s="352"/>
      <c r="E178" s="28"/>
      <c r="F178" s="352"/>
      <c r="G178" s="547"/>
      <c r="H178" s="547"/>
      <c r="I178" s="351"/>
      <c r="J178" s="560"/>
      <c r="K178" s="80"/>
      <c r="L178" s="80"/>
      <c r="M178" s="80"/>
      <c r="N178" s="80"/>
      <c r="O178" s="80"/>
      <c r="P178" s="80"/>
      <c r="Q178" s="80"/>
      <c r="R178" s="80"/>
      <c r="S178" s="547"/>
    </row>
    <row r="179" spans="1:19" s="84" customFormat="1" ht="30">
      <c r="A179" s="30"/>
      <c r="B179" s="29" t="s">
        <v>2039</v>
      </c>
      <c r="C179" s="30" t="s">
        <v>1350</v>
      </c>
      <c r="D179" s="352">
        <v>7</v>
      </c>
      <c r="E179" s="30"/>
      <c r="F179" s="352">
        <v>7</v>
      </c>
      <c r="G179" s="351" t="s">
        <v>3147</v>
      </c>
      <c r="H179" s="509"/>
      <c r="I179" s="351" t="s">
        <v>2596</v>
      </c>
      <c r="J179" s="560" t="s">
        <v>2328</v>
      </c>
      <c r="K179" s="311">
        <v>11303189.277800001</v>
      </c>
      <c r="L179" s="311">
        <v>0</v>
      </c>
      <c r="M179" s="311">
        <v>1926744.166666667</v>
      </c>
      <c r="N179" s="311">
        <v>1207498.1753333334</v>
      </c>
      <c r="O179" s="311">
        <v>845248.72273333347</v>
      </c>
      <c r="P179" s="68">
        <f t="shared" ref="P179:P182" si="36">SUM(K179:O179)</f>
        <v>15282680.342533337</v>
      </c>
      <c r="Q179" s="68">
        <f>D179*P179</f>
        <v>106978762.39773336</v>
      </c>
      <c r="R179" s="127">
        <f>F179*P179</f>
        <v>106978762.39773336</v>
      </c>
      <c r="S179" s="509"/>
    </row>
    <row r="180" spans="1:19" s="84" customFormat="1" ht="30">
      <c r="A180" s="30"/>
      <c r="B180" s="29" t="s">
        <v>2040</v>
      </c>
      <c r="C180" s="30" t="s">
        <v>1350</v>
      </c>
      <c r="D180" s="352">
        <v>2</v>
      </c>
      <c r="E180" s="30"/>
      <c r="F180" s="352">
        <v>2</v>
      </c>
      <c r="G180" s="351" t="s">
        <v>3147</v>
      </c>
      <c r="H180" s="509"/>
      <c r="I180" s="351" t="s">
        <v>2596</v>
      </c>
      <c r="J180" s="560" t="s">
        <v>2328</v>
      </c>
      <c r="K180" s="311">
        <v>8071986.8250000002</v>
      </c>
      <c r="L180" s="311">
        <v>0</v>
      </c>
      <c r="M180" s="311">
        <v>1379730.0000000002</v>
      </c>
      <c r="N180" s="311">
        <v>862649.25</v>
      </c>
      <c r="O180" s="311">
        <v>603854.47500000009</v>
      </c>
      <c r="P180" s="68">
        <f t="shared" si="36"/>
        <v>10918220.550000001</v>
      </c>
      <c r="Q180" s="68">
        <f>D180*P180</f>
        <v>21836441.100000001</v>
      </c>
      <c r="R180" s="127">
        <f>F180*P180</f>
        <v>21836441.100000001</v>
      </c>
      <c r="S180" s="509"/>
    </row>
    <row r="181" spans="1:19" s="84" customFormat="1" ht="30">
      <c r="A181" s="30"/>
      <c r="B181" s="29" t="s">
        <v>2042</v>
      </c>
      <c r="C181" s="30" t="s">
        <v>1350</v>
      </c>
      <c r="D181" s="352">
        <v>9</v>
      </c>
      <c r="E181" s="30"/>
      <c r="F181" s="352">
        <v>9</v>
      </c>
      <c r="G181" s="351" t="s">
        <v>3147</v>
      </c>
      <c r="H181" s="509"/>
      <c r="I181" s="351" t="s">
        <v>2596</v>
      </c>
      <c r="J181" s="560" t="s">
        <v>2328</v>
      </c>
      <c r="K181" s="311">
        <v>5961184.1016000006</v>
      </c>
      <c r="L181" s="311">
        <v>0</v>
      </c>
      <c r="M181" s="311">
        <v>1017376.6666666669</v>
      </c>
      <c r="N181" s="311">
        <v>636930.95733333332</v>
      </c>
      <c r="O181" s="311">
        <v>445851.67013333336</v>
      </c>
      <c r="P181" s="68">
        <f t="shared" si="36"/>
        <v>8061343.3957333341</v>
      </c>
      <c r="Q181" s="68">
        <f>D181*P181</f>
        <v>72552090.5616</v>
      </c>
      <c r="R181" s="127">
        <f>F181*P181</f>
        <v>72552090.5616</v>
      </c>
      <c r="S181" s="509"/>
    </row>
    <row r="182" spans="1:19" s="84" customFormat="1" ht="30">
      <c r="A182" s="30"/>
      <c r="B182" s="29" t="s">
        <v>2038</v>
      </c>
      <c r="C182" s="30" t="s">
        <v>1350</v>
      </c>
      <c r="D182" s="352">
        <v>1</v>
      </c>
      <c r="E182" s="30"/>
      <c r="F182" s="352">
        <v>1</v>
      </c>
      <c r="G182" s="351" t="s">
        <v>3147</v>
      </c>
      <c r="H182" s="509"/>
      <c r="I182" s="351" t="s">
        <v>2596</v>
      </c>
      <c r="J182" s="560" t="s">
        <v>2328</v>
      </c>
      <c r="K182" s="311">
        <v>3308742.0226000003</v>
      </c>
      <c r="L182" s="311">
        <v>0</v>
      </c>
      <c r="M182" s="311">
        <v>566177.08333333337</v>
      </c>
      <c r="N182" s="311">
        <v>353658.4806666667</v>
      </c>
      <c r="O182" s="311">
        <v>247560.9364666667</v>
      </c>
      <c r="P182" s="68">
        <f t="shared" si="36"/>
        <v>4476138.5230666669</v>
      </c>
      <c r="Q182" s="68">
        <f>D182*P182</f>
        <v>4476138.5230666669</v>
      </c>
      <c r="R182" s="127">
        <f>F182*P182</f>
        <v>4476138.5230666669</v>
      </c>
      <c r="S182" s="509"/>
    </row>
    <row r="183" spans="1:19" s="83" customFormat="1">
      <c r="A183" s="28">
        <v>2.16</v>
      </c>
      <c r="B183" s="82" t="s">
        <v>2043</v>
      </c>
      <c r="C183" s="28"/>
      <c r="D183" s="352"/>
      <c r="E183" s="28"/>
      <c r="F183" s="352"/>
      <c r="G183" s="547"/>
      <c r="H183" s="547"/>
      <c r="I183" s="351"/>
      <c r="J183" s="560"/>
      <c r="K183" s="80"/>
      <c r="L183" s="80"/>
      <c r="M183" s="80"/>
      <c r="N183" s="80"/>
      <c r="O183" s="80"/>
      <c r="P183" s="80"/>
      <c r="Q183" s="80"/>
      <c r="R183" s="80"/>
      <c r="S183" s="547"/>
    </row>
    <row r="184" spans="1:19" s="84" customFormat="1" ht="30">
      <c r="A184" s="30"/>
      <c r="B184" s="29" t="s">
        <v>2044</v>
      </c>
      <c r="C184" s="30" t="s">
        <v>1350</v>
      </c>
      <c r="D184" s="352">
        <v>4</v>
      </c>
      <c r="E184" s="30"/>
      <c r="F184" s="352">
        <v>4</v>
      </c>
      <c r="G184" s="351" t="s">
        <v>3147</v>
      </c>
      <c r="H184" s="509"/>
      <c r="I184" s="351" t="s">
        <v>2596</v>
      </c>
      <c r="J184" s="560" t="s">
        <v>2328</v>
      </c>
      <c r="K184" s="311">
        <v>2542716.5750000002</v>
      </c>
      <c r="L184" s="311">
        <v>0</v>
      </c>
      <c r="M184" s="311">
        <v>209050.00000000003</v>
      </c>
      <c r="N184" s="311">
        <v>251776.75</v>
      </c>
      <c r="O184" s="311">
        <v>176243.72500000001</v>
      </c>
      <c r="P184" s="68">
        <f>SUM(K184:O184)</f>
        <v>3179787.0500000003</v>
      </c>
      <c r="Q184" s="68">
        <f>D184*P184</f>
        <v>12719148.200000001</v>
      </c>
      <c r="R184" s="127">
        <f>F184*P184</f>
        <v>12719148.200000001</v>
      </c>
      <c r="S184" s="509"/>
    </row>
    <row r="185" spans="1:19" s="83" customFormat="1">
      <c r="A185" s="28">
        <v>2.17</v>
      </c>
      <c r="B185" s="82" t="s">
        <v>2045</v>
      </c>
      <c r="C185" s="28"/>
      <c r="D185" s="352"/>
      <c r="E185" s="28"/>
      <c r="F185" s="352"/>
      <c r="G185" s="547"/>
      <c r="H185" s="547"/>
      <c r="I185" s="351"/>
      <c r="J185" s="560"/>
      <c r="K185" s="80"/>
      <c r="L185" s="80"/>
      <c r="M185" s="80"/>
      <c r="N185" s="80"/>
      <c r="O185" s="80"/>
      <c r="P185" s="80"/>
      <c r="Q185" s="80"/>
      <c r="R185" s="80"/>
      <c r="S185" s="547"/>
    </row>
    <row r="186" spans="1:19" s="84" customFormat="1" ht="30">
      <c r="A186" s="30"/>
      <c r="B186" s="29" t="s">
        <v>2042</v>
      </c>
      <c r="C186" s="30" t="s">
        <v>1350</v>
      </c>
      <c r="D186" s="352">
        <v>2</v>
      </c>
      <c r="E186" s="30"/>
      <c r="F186" s="352">
        <v>2</v>
      </c>
      <c r="G186" s="351" t="s">
        <v>3350</v>
      </c>
      <c r="H186" s="509"/>
      <c r="I186" s="351" t="s">
        <v>2596</v>
      </c>
      <c r="J186" s="560" t="s">
        <v>2328</v>
      </c>
      <c r="K186" s="311">
        <v>1319227</v>
      </c>
      <c r="L186" s="311">
        <v>0</v>
      </c>
      <c r="M186" s="311">
        <v>208146.00000000003</v>
      </c>
      <c r="N186" s="311">
        <v>139450</v>
      </c>
      <c r="O186" s="311">
        <v>97615.000000000015</v>
      </c>
      <c r="P186" s="68">
        <f>SUM(K186:O186)</f>
        <v>1764438</v>
      </c>
      <c r="Q186" s="68">
        <f>D186*P186</f>
        <v>3528876</v>
      </c>
      <c r="R186" s="127">
        <f>F186*P186</f>
        <v>3528876</v>
      </c>
      <c r="S186" s="509"/>
    </row>
    <row r="187" spans="1:19" s="83" customFormat="1">
      <c r="A187" s="28">
        <v>2.1800000000000002</v>
      </c>
      <c r="B187" s="82" t="s">
        <v>2046</v>
      </c>
      <c r="C187" s="28"/>
      <c r="D187" s="352"/>
      <c r="E187" s="28"/>
      <c r="F187" s="352"/>
      <c r="G187" s="547"/>
      <c r="H187" s="547"/>
      <c r="I187" s="351"/>
      <c r="J187" s="560"/>
      <c r="K187" s="80"/>
      <c r="L187" s="80"/>
      <c r="M187" s="80"/>
      <c r="N187" s="80"/>
      <c r="O187" s="80"/>
      <c r="P187" s="80"/>
      <c r="Q187" s="80"/>
      <c r="R187" s="80"/>
      <c r="S187" s="547"/>
    </row>
    <row r="188" spans="1:19" s="84" customFormat="1" ht="30">
      <c r="A188" s="30"/>
      <c r="B188" s="29" t="s">
        <v>2047</v>
      </c>
      <c r="C188" s="30" t="s">
        <v>1350</v>
      </c>
      <c r="D188" s="352">
        <v>1</v>
      </c>
      <c r="E188" s="30"/>
      <c r="F188" s="352">
        <v>1</v>
      </c>
      <c r="G188" s="351" t="s">
        <v>3147</v>
      </c>
      <c r="H188" s="509"/>
      <c r="I188" s="351" t="s">
        <v>2596</v>
      </c>
      <c r="J188" s="560" t="s">
        <v>2328</v>
      </c>
      <c r="K188" s="311">
        <v>4252386.6979999999</v>
      </c>
      <c r="L188" s="311">
        <v>0</v>
      </c>
      <c r="M188" s="311">
        <v>517398.75000000006</v>
      </c>
      <c r="N188" s="311">
        <v>435914.72</v>
      </c>
      <c r="O188" s="311">
        <v>305140.304</v>
      </c>
      <c r="P188" s="68">
        <f>SUM(K188:O188)</f>
        <v>5510840.4719999991</v>
      </c>
      <c r="Q188" s="68">
        <f>D188*P188</f>
        <v>5510840.4719999991</v>
      </c>
      <c r="R188" s="127">
        <f>F188*P188</f>
        <v>5510840.4719999991</v>
      </c>
      <c r="S188" s="509"/>
    </row>
    <row r="189" spans="1:19" s="83" customFormat="1">
      <c r="A189" s="28">
        <v>2.19</v>
      </c>
      <c r="B189" s="82" t="s">
        <v>2048</v>
      </c>
      <c r="C189" s="28"/>
      <c r="D189" s="352"/>
      <c r="E189" s="28"/>
      <c r="F189" s="352"/>
      <c r="G189" s="547"/>
      <c r="H189" s="547"/>
      <c r="I189" s="351"/>
      <c r="J189" s="560"/>
      <c r="K189" s="80"/>
      <c r="L189" s="80"/>
      <c r="M189" s="80"/>
      <c r="N189" s="80"/>
      <c r="O189" s="80"/>
      <c r="P189" s="80"/>
      <c r="Q189" s="80"/>
      <c r="R189" s="80"/>
      <c r="S189" s="547"/>
    </row>
    <row r="190" spans="1:19" s="84" customFormat="1" ht="45">
      <c r="A190" s="30"/>
      <c r="B190" s="29" t="s">
        <v>1392</v>
      </c>
      <c r="C190" s="30" t="s">
        <v>1350</v>
      </c>
      <c r="D190" s="352">
        <v>4</v>
      </c>
      <c r="E190" s="30"/>
      <c r="F190" s="352">
        <v>4</v>
      </c>
      <c r="G190" s="351" t="s">
        <v>3349</v>
      </c>
      <c r="H190" s="351"/>
      <c r="I190" s="351" t="s">
        <v>2596</v>
      </c>
      <c r="J190" s="560" t="s">
        <v>2328</v>
      </c>
      <c r="K190" s="311">
        <v>22118149.200000003</v>
      </c>
      <c r="L190" s="311">
        <v>0</v>
      </c>
      <c r="M190" s="311">
        <v>534226.33333333337</v>
      </c>
      <c r="N190" s="311">
        <v>2076464.666666667</v>
      </c>
      <c r="O190" s="311">
        <v>1453525.2666666668</v>
      </c>
      <c r="P190" s="68">
        <f>SUM(K190:O190)</f>
        <v>26182365.466666669</v>
      </c>
      <c r="Q190" s="68">
        <f>D190*P190</f>
        <v>104729461.86666667</v>
      </c>
      <c r="R190" s="127">
        <f>F190*P190</f>
        <v>104729461.86666667</v>
      </c>
      <c r="S190" s="509"/>
    </row>
    <row r="191" spans="1:19">
      <c r="A191" s="215" t="s">
        <v>2222</v>
      </c>
      <c r="B191" s="216" t="s">
        <v>2223</v>
      </c>
      <c r="C191" s="215"/>
      <c r="D191" s="515"/>
      <c r="E191" s="215"/>
      <c r="F191" s="515"/>
      <c r="G191" s="535"/>
      <c r="H191" s="535"/>
      <c r="I191" s="535"/>
      <c r="J191" s="576"/>
      <c r="K191" s="551"/>
      <c r="L191" s="551"/>
      <c r="M191" s="551"/>
      <c r="N191" s="551"/>
      <c r="O191" s="551"/>
      <c r="P191" s="551"/>
      <c r="Q191" s="551"/>
      <c r="R191" s="551"/>
      <c r="S191" s="535"/>
    </row>
    <row r="192" spans="1:19">
      <c r="A192" s="24">
        <v>3.1</v>
      </c>
      <c r="B192" s="72" t="s">
        <v>1409</v>
      </c>
      <c r="C192" s="24"/>
      <c r="D192" s="351"/>
      <c r="E192" s="24"/>
      <c r="F192" s="351"/>
      <c r="G192" s="335"/>
      <c r="H192" s="335"/>
      <c r="I192" s="335"/>
      <c r="J192" s="567"/>
      <c r="K192" s="66"/>
      <c r="L192" s="66"/>
      <c r="M192" s="66"/>
      <c r="N192" s="66"/>
      <c r="O192" s="66"/>
      <c r="P192" s="66"/>
      <c r="Q192" s="66"/>
      <c r="R192" s="66"/>
      <c r="S192" s="335"/>
    </row>
    <row r="193" spans="1:19" ht="30">
      <c r="A193" s="26"/>
      <c r="B193" s="25" t="s">
        <v>1410</v>
      </c>
      <c r="C193" s="26" t="s">
        <v>1336</v>
      </c>
      <c r="D193" s="352">
        <v>110</v>
      </c>
      <c r="E193" s="24"/>
      <c r="F193" s="352">
        <v>110</v>
      </c>
      <c r="G193" s="351" t="s">
        <v>3148</v>
      </c>
      <c r="H193" s="351"/>
      <c r="I193" s="351" t="s">
        <v>2596</v>
      </c>
      <c r="J193" s="560" t="s">
        <v>2328</v>
      </c>
      <c r="K193" s="311">
        <v>2186605.4000000004</v>
      </c>
      <c r="L193" s="311">
        <v>0</v>
      </c>
      <c r="M193" s="311">
        <v>557466.66666666674</v>
      </c>
      <c r="N193" s="311">
        <v>249939.33333333337</v>
      </c>
      <c r="O193" s="311">
        <v>174957.53333333335</v>
      </c>
      <c r="P193" s="68">
        <f>SUM(K193:O193)</f>
        <v>3168968.933333334</v>
      </c>
      <c r="Q193" s="68">
        <f>D193*P193</f>
        <v>348586582.66666675</v>
      </c>
      <c r="R193" s="127">
        <f>F193*P193</f>
        <v>348586582.66666675</v>
      </c>
      <c r="S193" s="335"/>
    </row>
    <row r="194" spans="1:19">
      <c r="A194" s="24">
        <v>3.2</v>
      </c>
      <c r="B194" s="72" t="s">
        <v>1411</v>
      </c>
      <c r="C194" s="24"/>
      <c r="D194" s="351"/>
      <c r="E194" s="24"/>
      <c r="F194" s="351"/>
      <c r="G194" s="335"/>
      <c r="H194" s="335"/>
      <c r="I194" s="335"/>
      <c r="J194" s="567"/>
      <c r="K194" s="66"/>
      <c r="L194" s="66"/>
      <c r="M194" s="66"/>
      <c r="N194" s="66"/>
      <c r="O194" s="66"/>
      <c r="P194" s="66"/>
      <c r="Q194" s="66"/>
      <c r="R194" s="66"/>
      <c r="S194" s="335"/>
    </row>
    <row r="195" spans="1:19" ht="30">
      <c r="A195" s="24"/>
      <c r="B195" s="25" t="s">
        <v>1412</v>
      </c>
      <c r="C195" s="26" t="s">
        <v>1336</v>
      </c>
      <c r="D195" s="351">
        <v>2</v>
      </c>
      <c r="E195" s="24"/>
      <c r="F195" s="351">
        <v>2</v>
      </c>
      <c r="G195" s="351" t="s">
        <v>3128</v>
      </c>
      <c r="H195" s="351"/>
      <c r="I195" s="351" t="s">
        <v>2596</v>
      </c>
      <c r="J195" s="560" t="s">
        <v>2328</v>
      </c>
      <c r="K195" s="311">
        <v>629169.80000000005</v>
      </c>
      <c r="L195" s="311">
        <v>0</v>
      </c>
      <c r="M195" s="311">
        <v>330995.83333333337</v>
      </c>
      <c r="N195" s="311">
        <v>87013.666666666686</v>
      </c>
      <c r="O195" s="311">
        <v>60909.56666666668</v>
      </c>
      <c r="P195" s="68">
        <f t="shared" ref="P195:P206" si="37">SUM(K195:O195)</f>
        <v>1108088.8666666667</v>
      </c>
      <c r="Q195" s="68">
        <f t="shared" ref="Q195:Q206" si="38">D195*P195</f>
        <v>2216177.7333333334</v>
      </c>
      <c r="R195" s="127">
        <f t="shared" ref="R195:R206" si="39">F195*P195</f>
        <v>2216177.7333333334</v>
      </c>
      <c r="S195" s="335"/>
    </row>
    <row r="196" spans="1:19" ht="30">
      <c r="A196" s="26"/>
      <c r="B196" s="25" t="s">
        <v>1413</v>
      </c>
      <c r="C196" s="26" t="s">
        <v>1336</v>
      </c>
      <c r="D196" s="351">
        <v>1314</v>
      </c>
      <c r="E196" s="24"/>
      <c r="F196" s="351">
        <v>1314</v>
      </c>
      <c r="G196" s="351" t="s">
        <v>3128</v>
      </c>
      <c r="H196" s="351"/>
      <c r="I196" s="351" t="s">
        <v>2596</v>
      </c>
      <c r="J196" s="560" t="s">
        <v>2328</v>
      </c>
      <c r="K196" s="311">
        <v>662284</v>
      </c>
      <c r="L196" s="311">
        <v>0</v>
      </c>
      <c r="M196" s="311">
        <v>348416.66666666674</v>
      </c>
      <c r="N196" s="311">
        <v>91593.333333333343</v>
      </c>
      <c r="O196" s="311">
        <v>64115.333333333343</v>
      </c>
      <c r="P196" s="68">
        <f t="shared" si="37"/>
        <v>1166409.3333333333</v>
      </c>
      <c r="Q196" s="68">
        <f t="shared" si="38"/>
        <v>1532661864</v>
      </c>
      <c r="R196" s="127">
        <f t="shared" si="39"/>
        <v>1532661864</v>
      </c>
      <c r="S196" s="335"/>
    </row>
    <row r="197" spans="1:19" ht="30">
      <c r="A197" s="26"/>
      <c r="B197" s="25" t="s">
        <v>1414</v>
      </c>
      <c r="C197" s="26" t="s">
        <v>1336</v>
      </c>
      <c r="D197" s="352">
        <v>25</v>
      </c>
      <c r="E197" s="24"/>
      <c r="F197" s="352">
        <v>25</v>
      </c>
      <c r="G197" s="351" t="s">
        <v>3128</v>
      </c>
      <c r="H197" s="351"/>
      <c r="I197" s="351" t="s">
        <v>2596</v>
      </c>
      <c r="J197" s="560" t="s">
        <v>2328</v>
      </c>
      <c r="K197" s="311">
        <v>894083.4</v>
      </c>
      <c r="L197" s="311">
        <v>0</v>
      </c>
      <c r="M197" s="311">
        <v>470362.50000000012</v>
      </c>
      <c r="N197" s="311">
        <v>123651</v>
      </c>
      <c r="O197" s="311">
        <v>86555.700000000012</v>
      </c>
      <c r="P197" s="68">
        <f t="shared" si="37"/>
        <v>1574652.6</v>
      </c>
      <c r="Q197" s="68">
        <f t="shared" si="38"/>
        <v>39366315</v>
      </c>
      <c r="R197" s="127">
        <f t="shared" si="39"/>
        <v>39366315</v>
      </c>
      <c r="S197" s="330"/>
    </row>
    <row r="198" spans="1:19" ht="30">
      <c r="A198" s="26"/>
      <c r="B198" s="25" t="s">
        <v>1415</v>
      </c>
      <c r="C198" s="26" t="s">
        <v>1336</v>
      </c>
      <c r="D198" s="352">
        <v>25</v>
      </c>
      <c r="E198" s="24"/>
      <c r="F198" s="352">
        <v>25</v>
      </c>
      <c r="G198" s="351" t="s">
        <v>3128</v>
      </c>
      <c r="H198" s="351"/>
      <c r="I198" s="351" t="s">
        <v>2596</v>
      </c>
      <c r="J198" s="560" t="s">
        <v>2328</v>
      </c>
      <c r="K198" s="311">
        <v>894083.4</v>
      </c>
      <c r="L198" s="311">
        <v>0</v>
      </c>
      <c r="M198" s="311">
        <v>470362.50000000012</v>
      </c>
      <c r="N198" s="311">
        <v>123651</v>
      </c>
      <c r="O198" s="311">
        <v>86555.700000000012</v>
      </c>
      <c r="P198" s="68">
        <f t="shared" si="37"/>
        <v>1574652.6</v>
      </c>
      <c r="Q198" s="68">
        <f t="shared" si="38"/>
        <v>39366315</v>
      </c>
      <c r="R198" s="127">
        <f t="shared" si="39"/>
        <v>39366315</v>
      </c>
      <c r="S198" s="330"/>
    </row>
    <row r="199" spans="1:19" ht="30">
      <c r="A199" s="26"/>
      <c r="B199" s="25" t="s">
        <v>1416</v>
      </c>
      <c r="C199" s="26" t="s">
        <v>1336</v>
      </c>
      <c r="D199" s="352">
        <v>6</v>
      </c>
      <c r="E199" s="24"/>
      <c r="F199" s="352">
        <v>6</v>
      </c>
      <c r="G199" s="351" t="s">
        <v>3128</v>
      </c>
      <c r="H199" s="351"/>
      <c r="I199" s="351" t="s">
        <v>2596</v>
      </c>
      <c r="J199" s="560" t="s">
        <v>2328</v>
      </c>
      <c r="K199" s="311">
        <v>927197.60000000009</v>
      </c>
      <c r="L199" s="311">
        <v>0</v>
      </c>
      <c r="M199" s="311">
        <v>487783.33333333331</v>
      </c>
      <c r="N199" s="311">
        <v>128230.66666666666</v>
      </c>
      <c r="O199" s="311">
        <v>89761.46666666666</v>
      </c>
      <c r="P199" s="68">
        <f t="shared" si="37"/>
        <v>1632973.0666666667</v>
      </c>
      <c r="Q199" s="68">
        <f t="shared" si="38"/>
        <v>9797838.4000000004</v>
      </c>
      <c r="R199" s="127">
        <f t="shared" si="39"/>
        <v>9797838.4000000004</v>
      </c>
      <c r="S199" s="330"/>
    </row>
    <row r="200" spans="1:19" ht="30">
      <c r="A200" s="26"/>
      <c r="B200" s="25" t="s">
        <v>1417</v>
      </c>
      <c r="C200" s="26" t="s">
        <v>1336</v>
      </c>
      <c r="D200" s="352">
        <v>63</v>
      </c>
      <c r="E200" s="24"/>
      <c r="F200" s="352">
        <v>63</v>
      </c>
      <c r="G200" s="351" t="s">
        <v>3128</v>
      </c>
      <c r="H200" s="351"/>
      <c r="I200" s="351" t="s">
        <v>2596</v>
      </c>
      <c r="J200" s="560" t="s">
        <v>2328</v>
      </c>
      <c r="K200" s="311">
        <v>1026540.2000000001</v>
      </c>
      <c r="L200" s="311">
        <v>0</v>
      </c>
      <c r="M200" s="311">
        <v>540045.83333333337</v>
      </c>
      <c r="N200" s="311">
        <v>141969.66666666669</v>
      </c>
      <c r="O200" s="311">
        <v>99378.766666666677</v>
      </c>
      <c r="P200" s="68">
        <f t="shared" si="37"/>
        <v>1807934.4666666668</v>
      </c>
      <c r="Q200" s="68">
        <f t="shared" si="38"/>
        <v>113899871.40000001</v>
      </c>
      <c r="R200" s="127">
        <f t="shared" si="39"/>
        <v>113899871.40000001</v>
      </c>
      <c r="S200" s="330"/>
    </row>
    <row r="201" spans="1:19" ht="30">
      <c r="A201" s="26"/>
      <c r="B201" s="25" t="s">
        <v>1418</v>
      </c>
      <c r="C201" s="26" t="s">
        <v>1336</v>
      </c>
      <c r="D201" s="351">
        <v>82</v>
      </c>
      <c r="E201" s="24"/>
      <c r="F201" s="351">
        <v>82</v>
      </c>
      <c r="G201" s="351" t="s">
        <v>3128</v>
      </c>
      <c r="H201" s="351"/>
      <c r="I201" s="351" t="s">
        <v>2596</v>
      </c>
      <c r="J201" s="560" t="s">
        <v>2328</v>
      </c>
      <c r="K201" s="311">
        <v>761626.60000000009</v>
      </c>
      <c r="L201" s="311">
        <v>0</v>
      </c>
      <c r="M201" s="311">
        <v>400679.16666666669</v>
      </c>
      <c r="N201" s="311">
        <v>105332.33333333333</v>
      </c>
      <c r="O201" s="311">
        <v>73732.633333333331</v>
      </c>
      <c r="P201" s="68">
        <f t="shared" si="37"/>
        <v>1341370.7333333334</v>
      </c>
      <c r="Q201" s="68">
        <f t="shared" si="38"/>
        <v>109992400.13333334</v>
      </c>
      <c r="R201" s="127">
        <f t="shared" si="39"/>
        <v>109992400.13333334</v>
      </c>
      <c r="S201" s="335"/>
    </row>
    <row r="202" spans="1:19" ht="30">
      <c r="A202" s="26"/>
      <c r="B202" s="25" t="s">
        <v>1419</v>
      </c>
      <c r="C202" s="26" t="s">
        <v>1336</v>
      </c>
      <c r="D202" s="352">
        <v>29</v>
      </c>
      <c r="E202" s="24"/>
      <c r="F202" s="352">
        <v>29</v>
      </c>
      <c r="G202" s="351" t="s">
        <v>3128</v>
      </c>
      <c r="H202" s="351"/>
      <c r="I202" s="351" t="s">
        <v>2596</v>
      </c>
      <c r="J202" s="560" t="s">
        <v>2328</v>
      </c>
      <c r="K202" s="311">
        <v>794740.8</v>
      </c>
      <c r="L202" s="311">
        <v>0</v>
      </c>
      <c r="M202" s="311">
        <v>418100.00000000006</v>
      </c>
      <c r="N202" s="311">
        <v>109912</v>
      </c>
      <c r="O202" s="311">
        <v>76938.400000000009</v>
      </c>
      <c r="P202" s="68">
        <f t="shared" si="37"/>
        <v>1399691.2</v>
      </c>
      <c r="Q202" s="68">
        <f t="shared" si="38"/>
        <v>40591044.799999997</v>
      </c>
      <c r="R202" s="127">
        <f t="shared" si="39"/>
        <v>40591044.799999997</v>
      </c>
      <c r="S202" s="335"/>
    </row>
    <row r="203" spans="1:19" ht="30">
      <c r="A203" s="26"/>
      <c r="B203" s="25" t="s">
        <v>1420</v>
      </c>
      <c r="C203" s="26" t="s">
        <v>1336</v>
      </c>
      <c r="D203" s="352">
        <v>2</v>
      </c>
      <c r="E203" s="24"/>
      <c r="F203" s="352">
        <v>2</v>
      </c>
      <c r="G203" s="351" t="s">
        <v>3128</v>
      </c>
      <c r="H203" s="351"/>
      <c r="I203" s="351" t="s">
        <v>2596</v>
      </c>
      <c r="J203" s="560" t="s">
        <v>2328</v>
      </c>
      <c r="K203" s="311">
        <v>1059654.4000000001</v>
      </c>
      <c r="L203" s="311">
        <v>0</v>
      </c>
      <c r="M203" s="311">
        <v>557466.66666666674</v>
      </c>
      <c r="N203" s="311">
        <v>146549.33333333334</v>
      </c>
      <c r="O203" s="311">
        <v>102584.53333333335</v>
      </c>
      <c r="P203" s="68">
        <f t="shared" si="37"/>
        <v>1866254.9333333336</v>
      </c>
      <c r="Q203" s="68">
        <f t="shared" si="38"/>
        <v>3732509.8666666672</v>
      </c>
      <c r="R203" s="127">
        <f t="shared" si="39"/>
        <v>3732509.8666666672</v>
      </c>
      <c r="S203" s="331"/>
    </row>
    <row r="204" spans="1:19" ht="30">
      <c r="A204" s="26"/>
      <c r="B204" s="25" t="s">
        <v>1373</v>
      </c>
      <c r="C204" s="26" t="s">
        <v>1336</v>
      </c>
      <c r="D204" s="352">
        <v>2</v>
      </c>
      <c r="E204" s="24"/>
      <c r="F204" s="352">
        <v>2</v>
      </c>
      <c r="G204" s="351" t="s">
        <v>3128</v>
      </c>
      <c r="H204" s="351"/>
      <c r="I204" s="351" t="s">
        <v>2596</v>
      </c>
      <c r="J204" s="560" t="s">
        <v>2328</v>
      </c>
      <c r="K204" s="311">
        <v>1125882.8</v>
      </c>
      <c r="L204" s="311">
        <v>0</v>
      </c>
      <c r="M204" s="311">
        <v>592308.33333333337</v>
      </c>
      <c r="N204" s="311">
        <v>155708.66666666669</v>
      </c>
      <c r="O204" s="311">
        <v>108996.06666666668</v>
      </c>
      <c r="P204" s="68">
        <f t="shared" si="37"/>
        <v>1982895.8666666667</v>
      </c>
      <c r="Q204" s="68">
        <f t="shared" si="38"/>
        <v>3965791.7333333334</v>
      </c>
      <c r="R204" s="127">
        <f t="shared" si="39"/>
        <v>3965791.7333333334</v>
      </c>
      <c r="S204" s="334"/>
    </row>
    <row r="205" spans="1:19" ht="30">
      <c r="A205" s="26"/>
      <c r="B205" s="25" t="s">
        <v>1421</v>
      </c>
      <c r="C205" s="26" t="s">
        <v>1336</v>
      </c>
      <c r="D205" s="352">
        <v>7</v>
      </c>
      <c r="E205" s="24"/>
      <c r="F205" s="352">
        <v>7</v>
      </c>
      <c r="G205" s="351" t="s">
        <v>3128</v>
      </c>
      <c r="H205" s="351"/>
      <c r="I205" s="351" t="s">
        <v>2596</v>
      </c>
      <c r="J205" s="560" t="s">
        <v>2328</v>
      </c>
      <c r="K205" s="311">
        <v>1180361</v>
      </c>
      <c r="L205" s="311">
        <v>0</v>
      </c>
      <c r="M205" s="311">
        <v>609729.16666666674</v>
      </c>
      <c r="N205" s="311">
        <v>162248.33333333337</v>
      </c>
      <c r="O205" s="311">
        <v>113573.83333333336</v>
      </c>
      <c r="P205" s="68">
        <f t="shared" si="37"/>
        <v>2065912.3333333333</v>
      </c>
      <c r="Q205" s="68">
        <f t="shared" si="38"/>
        <v>14461386.333333332</v>
      </c>
      <c r="R205" s="127">
        <f t="shared" si="39"/>
        <v>14461386.333333332</v>
      </c>
      <c r="S205" s="330"/>
    </row>
    <row r="206" spans="1:19" s="84" customFormat="1" ht="30">
      <c r="A206" s="30"/>
      <c r="B206" s="29" t="s">
        <v>2049</v>
      </c>
      <c r="C206" s="30" t="s">
        <v>117</v>
      </c>
      <c r="D206" s="352">
        <v>39</v>
      </c>
      <c r="E206" s="30"/>
      <c r="F206" s="352">
        <v>39</v>
      </c>
      <c r="G206" s="351" t="s">
        <v>3128</v>
      </c>
      <c r="H206" s="315"/>
      <c r="I206" s="351" t="s">
        <v>2596</v>
      </c>
      <c r="J206" s="560" t="s">
        <v>2328</v>
      </c>
      <c r="K206" s="311">
        <v>728512.4</v>
      </c>
      <c r="L206" s="311">
        <v>0</v>
      </c>
      <c r="M206" s="311">
        <v>383258.33333333349</v>
      </c>
      <c r="N206" s="311">
        <v>100752.66666666669</v>
      </c>
      <c r="O206" s="311">
        <v>70526.866666666683</v>
      </c>
      <c r="P206" s="68">
        <f t="shared" si="37"/>
        <v>1283050.2666666668</v>
      </c>
      <c r="Q206" s="68">
        <f t="shared" si="38"/>
        <v>50038960.400000006</v>
      </c>
      <c r="R206" s="127">
        <f t="shared" si="39"/>
        <v>50038960.400000006</v>
      </c>
      <c r="S206" s="315"/>
    </row>
    <row r="207" spans="1:19">
      <c r="A207" s="24">
        <v>3.3</v>
      </c>
      <c r="B207" s="27" t="s">
        <v>1423</v>
      </c>
      <c r="C207" s="24"/>
      <c r="D207" s="351"/>
      <c r="E207" s="26"/>
      <c r="F207" s="351"/>
      <c r="G207" s="15"/>
      <c r="H207" s="15"/>
      <c r="I207" s="15"/>
      <c r="J207" s="572"/>
      <c r="K207" s="66"/>
      <c r="L207" s="66"/>
      <c r="M207" s="66"/>
      <c r="N207" s="66"/>
      <c r="O207" s="66"/>
      <c r="P207" s="66"/>
      <c r="Q207" s="66"/>
      <c r="R207" s="66"/>
      <c r="S207" s="15"/>
    </row>
    <row r="208" spans="1:19" ht="30">
      <c r="A208" s="24"/>
      <c r="B208" s="25" t="s">
        <v>1415</v>
      </c>
      <c r="C208" s="26" t="s">
        <v>1350</v>
      </c>
      <c r="D208" s="351">
        <v>4</v>
      </c>
      <c r="E208" s="26"/>
      <c r="F208" s="351">
        <v>4</v>
      </c>
      <c r="G208" s="351" t="s">
        <v>3128</v>
      </c>
      <c r="H208" s="351"/>
      <c r="I208" s="351" t="s">
        <v>2596</v>
      </c>
      <c r="J208" s="560" t="s">
        <v>2328</v>
      </c>
      <c r="K208" s="311">
        <v>1685144.8444444446</v>
      </c>
      <c r="L208" s="311">
        <v>0</v>
      </c>
      <c r="M208" s="311">
        <v>590566.25000000012</v>
      </c>
      <c r="N208" s="311">
        <v>206862.94444444447</v>
      </c>
      <c r="O208" s="311">
        <v>144804.06111111114</v>
      </c>
      <c r="P208" s="68">
        <f t="shared" ref="P208:P213" si="40">SUM(K208:O208)</f>
        <v>2627378.1000000006</v>
      </c>
      <c r="Q208" s="68">
        <f t="shared" ref="Q208:Q213" si="41">D208*P208</f>
        <v>10509512.400000002</v>
      </c>
      <c r="R208" s="127">
        <f t="shared" ref="R208:R213" si="42">F208*P208</f>
        <v>10509512.400000002</v>
      </c>
      <c r="S208" s="330"/>
    </row>
    <row r="209" spans="1:19" ht="30">
      <c r="A209" s="26"/>
      <c r="B209" s="25" t="s">
        <v>1418</v>
      </c>
      <c r="C209" s="26" t="s">
        <v>1350</v>
      </c>
      <c r="D209" s="351">
        <v>10</v>
      </c>
      <c r="E209" s="26"/>
      <c r="F209" s="351">
        <v>10</v>
      </c>
      <c r="G209" s="351" t="s">
        <v>3128</v>
      </c>
      <c r="H209" s="351"/>
      <c r="I209" s="351" t="s">
        <v>2596</v>
      </c>
      <c r="J209" s="560" t="s">
        <v>2328</v>
      </c>
      <c r="K209" s="311">
        <v>1615237.0888888892</v>
      </c>
      <c r="L209" s="311">
        <v>0</v>
      </c>
      <c r="M209" s="311">
        <v>566177.08333333337</v>
      </c>
      <c r="N209" s="311">
        <v>198291.05555555559</v>
      </c>
      <c r="O209" s="311">
        <v>138803.73888888891</v>
      </c>
      <c r="P209" s="68">
        <f t="shared" si="40"/>
        <v>2518508.9666666673</v>
      </c>
      <c r="Q209" s="68">
        <f t="shared" si="41"/>
        <v>25185089.666666672</v>
      </c>
      <c r="R209" s="127">
        <f t="shared" si="42"/>
        <v>25185089.666666672</v>
      </c>
      <c r="S209" s="337"/>
    </row>
    <row r="210" spans="1:19" s="84" customFormat="1" ht="30">
      <c r="A210" s="30"/>
      <c r="B210" s="29" t="s">
        <v>2050</v>
      </c>
      <c r="C210" s="30" t="s">
        <v>1350</v>
      </c>
      <c r="D210" s="352">
        <v>17</v>
      </c>
      <c r="E210" s="30"/>
      <c r="F210" s="352">
        <v>17</v>
      </c>
      <c r="G210" s="351" t="s">
        <v>3128</v>
      </c>
      <c r="H210" s="351"/>
      <c r="I210" s="351" t="s">
        <v>2596</v>
      </c>
      <c r="J210" s="560" t="s">
        <v>2328</v>
      </c>
      <c r="K210" s="311">
        <v>1310770.0606000002</v>
      </c>
      <c r="L210" s="311">
        <v>0</v>
      </c>
      <c r="M210" s="311">
        <v>459910.00000000006</v>
      </c>
      <c r="N210" s="311">
        <v>160954.13400000002</v>
      </c>
      <c r="O210" s="311">
        <v>112667.89380000002</v>
      </c>
      <c r="P210" s="68">
        <f t="shared" si="40"/>
        <v>2044302.0884000002</v>
      </c>
      <c r="Q210" s="68">
        <f t="shared" si="41"/>
        <v>34753135.502800003</v>
      </c>
      <c r="R210" s="127">
        <f t="shared" si="42"/>
        <v>34753135.502800003</v>
      </c>
      <c r="S210" s="315"/>
    </row>
    <row r="211" spans="1:19" s="84" customFormat="1" ht="30">
      <c r="A211" s="30"/>
      <c r="B211" s="29" t="s">
        <v>2051</v>
      </c>
      <c r="C211" s="30" t="s">
        <v>1350</v>
      </c>
      <c r="D211" s="352">
        <v>2</v>
      </c>
      <c r="E211" s="30"/>
      <c r="F211" s="352">
        <v>2</v>
      </c>
      <c r="G211" s="351" t="s">
        <v>3128</v>
      </c>
      <c r="H211" s="351"/>
      <c r="I211" s="351" t="s">
        <v>2596</v>
      </c>
      <c r="J211" s="560" t="s">
        <v>2328</v>
      </c>
      <c r="K211" s="311">
        <v>1248221.6096000001</v>
      </c>
      <c r="L211" s="311">
        <v>0</v>
      </c>
      <c r="M211" s="311">
        <v>437262.91666666669</v>
      </c>
      <c r="N211" s="311">
        <v>153211.57733333332</v>
      </c>
      <c r="O211" s="311">
        <v>107248.10413333334</v>
      </c>
      <c r="P211" s="68">
        <f t="shared" si="40"/>
        <v>1945944.2077333333</v>
      </c>
      <c r="Q211" s="68">
        <f t="shared" si="41"/>
        <v>3891888.4154666667</v>
      </c>
      <c r="R211" s="127">
        <f t="shared" si="42"/>
        <v>3891888.4154666667</v>
      </c>
      <c r="S211" s="315"/>
    </row>
    <row r="212" spans="1:19" s="84" customFormat="1" ht="30">
      <c r="A212" s="30"/>
      <c r="B212" s="29" t="s">
        <v>2052</v>
      </c>
      <c r="C212" s="30" t="s">
        <v>1350</v>
      </c>
      <c r="D212" s="352">
        <v>1</v>
      </c>
      <c r="E212" s="30"/>
      <c r="F212" s="352">
        <v>1</v>
      </c>
      <c r="G212" s="351" t="s">
        <v>3128</v>
      </c>
      <c r="H212" s="351"/>
      <c r="I212" s="351" t="s">
        <v>2596</v>
      </c>
      <c r="J212" s="560" t="s">
        <v>2328</v>
      </c>
      <c r="K212" s="311">
        <v>2496443.2192000002</v>
      </c>
      <c r="L212" s="311">
        <v>0</v>
      </c>
      <c r="M212" s="311">
        <v>876267.91666666674</v>
      </c>
      <c r="N212" s="311">
        <v>306577.32133333333</v>
      </c>
      <c r="O212" s="311">
        <v>214604.12493333337</v>
      </c>
      <c r="P212" s="68">
        <f t="shared" si="40"/>
        <v>3893892.5821333341</v>
      </c>
      <c r="Q212" s="68">
        <f t="shared" si="41"/>
        <v>3893892.5821333341</v>
      </c>
      <c r="R212" s="127">
        <f t="shared" si="42"/>
        <v>3893892.5821333341</v>
      </c>
      <c r="S212" s="315"/>
    </row>
    <row r="213" spans="1:19" s="84" customFormat="1" ht="30">
      <c r="A213" s="30"/>
      <c r="B213" s="29" t="s">
        <v>2053</v>
      </c>
      <c r="C213" s="30" t="s">
        <v>1350</v>
      </c>
      <c r="D213" s="352">
        <v>1</v>
      </c>
      <c r="E213" s="30"/>
      <c r="F213" s="352">
        <v>1</v>
      </c>
      <c r="G213" s="351" t="s">
        <v>3128</v>
      </c>
      <c r="H213" s="351"/>
      <c r="I213" s="351" t="s">
        <v>2596</v>
      </c>
      <c r="J213" s="560" t="s">
        <v>2328</v>
      </c>
      <c r="K213" s="311">
        <v>3456249.7606000002</v>
      </c>
      <c r="L213" s="311">
        <v>0</v>
      </c>
      <c r="M213" s="311">
        <v>1196811.2500000002</v>
      </c>
      <c r="N213" s="311">
        <v>422999.63400000002</v>
      </c>
      <c r="O213" s="311">
        <v>296099.7438</v>
      </c>
      <c r="P213" s="68">
        <f t="shared" si="40"/>
        <v>5372160.3884000005</v>
      </c>
      <c r="Q213" s="68">
        <f t="shared" si="41"/>
        <v>5372160.3884000005</v>
      </c>
      <c r="R213" s="127">
        <f t="shared" si="42"/>
        <v>5372160.3884000005</v>
      </c>
      <c r="S213" s="315"/>
    </row>
    <row r="214" spans="1:19">
      <c r="A214" s="24">
        <v>3.4</v>
      </c>
      <c r="B214" s="27" t="s">
        <v>1424</v>
      </c>
      <c r="C214" s="24"/>
      <c r="D214" s="351"/>
      <c r="E214" s="26"/>
      <c r="F214" s="351"/>
      <c r="G214" s="15"/>
      <c r="H214" s="15"/>
      <c r="I214" s="15"/>
      <c r="J214" s="572"/>
      <c r="K214" s="66"/>
      <c r="L214" s="66"/>
      <c r="M214" s="66"/>
      <c r="N214" s="66"/>
      <c r="O214" s="66"/>
      <c r="P214" s="66"/>
      <c r="Q214" s="66"/>
      <c r="R214" s="66"/>
      <c r="S214" s="15"/>
    </row>
    <row r="215" spans="1:19" s="84" customFormat="1" ht="30">
      <c r="A215" s="30"/>
      <c r="B215" s="29" t="s">
        <v>2054</v>
      </c>
      <c r="C215" s="30" t="s">
        <v>1350</v>
      </c>
      <c r="D215" s="352">
        <v>17</v>
      </c>
      <c r="E215" s="30"/>
      <c r="F215" s="352">
        <v>17</v>
      </c>
      <c r="G215" s="351" t="s">
        <v>3128</v>
      </c>
      <c r="H215" s="351"/>
      <c r="I215" s="351" t="s">
        <v>2596</v>
      </c>
      <c r="J215" s="560" t="s">
        <v>2328</v>
      </c>
      <c r="K215" s="311">
        <v>261234.71920000002</v>
      </c>
      <c r="L215" s="311">
        <v>0</v>
      </c>
      <c r="M215" s="311">
        <v>109751.25000000001</v>
      </c>
      <c r="N215" s="311">
        <v>33678.988000000005</v>
      </c>
      <c r="O215" s="311">
        <v>23575.291600000004</v>
      </c>
      <c r="P215" s="68">
        <f t="shared" ref="P215:P217" si="43">SUM(K215:O215)</f>
        <v>428240.24880000006</v>
      </c>
      <c r="Q215" s="68">
        <f>D215*P215</f>
        <v>7280084.2296000011</v>
      </c>
      <c r="R215" s="127">
        <f>F215*P215</f>
        <v>7280084.2296000011</v>
      </c>
      <c r="S215" s="315"/>
    </row>
    <row r="216" spans="1:19" s="84" customFormat="1" ht="30">
      <c r="A216" s="30"/>
      <c r="B216" s="29" t="s">
        <v>2055</v>
      </c>
      <c r="C216" s="30" t="s">
        <v>1350</v>
      </c>
      <c r="D216" s="352">
        <v>3</v>
      </c>
      <c r="E216" s="30"/>
      <c r="F216" s="352">
        <v>3</v>
      </c>
      <c r="G216" s="351" t="s">
        <v>3128</v>
      </c>
      <c r="H216" s="351"/>
      <c r="I216" s="351" t="s">
        <v>2596</v>
      </c>
      <c r="J216" s="560" t="s">
        <v>2328</v>
      </c>
      <c r="K216" s="311">
        <v>268592.48080000002</v>
      </c>
      <c r="L216" s="311">
        <v>0</v>
      </c>
      <c r="M216" s="311">
        <v>113235.41666666669</v>
      </c>
      <c r="N216" s="311">
        <v>34662.345333333338</v>
      </c>
      <c r="O216" s="311">
        <v>24263.641733333337</v>
      </c>
      <c r="P216" s="68">
        <f t="shared" si="43"/>
        <v>440753.88453333342</v>
      </c>
      <c r="Q216" s="68">
        <f>D216*P216</f>
        <v>1322261.6536000003</v>
      </c>
      <c r="R216" s="127">
        <f>F216*P216</f>
        <v>1322261.6536000003</v>
      </c>
      <c r="S216" s="315"/>
    </row>
    <row r="217" spans="1:19" s="84" customFormat="1" ht="30">
      <c r="A217" s="30"/>
      <c r="B217" s="29" t="s">
        <v>2056</v>
      </c>
      <c r="C217" s="30" t="s">
        <v>1350</v>
      </c>
      <c r="D217" s="352">
        <v>1</v>
      </c>
      <c r="E217" s="30"/>
      <c r="F217" s="352">
        <v>1</v>
      </c>
      <c r="G217" s="351" t="s">
        <v>3128</v>
      </c>
      <c r="H217" s="351"/>
      <c r="I217" s="351" t="s">
        <v>2596</v>
      </c>
      <c r="J217" s="560" t="s">
        <v>2328</v>
      </c>
      <c r="K217" s="311">
        <v>753763.57980000007</v>
      </c>
      <c r="L217" s="311">
        <v>0</v>
      </c>
      <c r="M217" s="311">
        <v>299638.33333333337</v>
      </c>
      <c r="N217" s="311">
        <v>95669.288666666675</v>
      </c>
      <c r="O217" s="311">
        <v>66968.502066666682</v>
      </c>
      <c r="P217" s="68">
        <f t="shared" si="43"/>
        <v>1216039.7038666669</v>
      </c>
      <c r="Q217" s="68">
        <f>D217*P217</f>
        <v>1216039.7038666669</v>
      </c>
      <c r="R217" s="127">
        <f>F217*P217</f>
        <v>1216039.7038666669</v>
      </c>
      <c r="S217" s="315"/>
    </row>
    <row r="218" spans="1:19">
      <c r="A218" s="24">
        <v>3.5</v>
      </c>
      <c r="B218" s="27" t="s">
        <v>1425</v>
      </c>
      <c r="C218" s="24"/>
      <c r="D218" s="351"/>
      <c r="E218" s="24"/>
      <c r="F218" s="351"/>
      <c r="G218" s="337"/>
      <c r="H218" s="337"/>
      <c r="I218" s="337"/>
      <c r="J218" s="577"/>
      <c r="K218" s="66"/>
      <c r="L218" s="66"/>
      <c r="M218" s="66"/>
      <c r="N218" s="66"/>
      <c r="O218" s="66"/>
      <c r="P218" s="66"/>
      <c r="Q218" s="66"/>
      <c r="R218" s="66"/>
      <c r="S218" s="337"/>
    </row>
    <row r="219" spans="1:19" ht="30">
      <c r="A219" s="26"/>
      <c r="B219" s="25" t="s">
        <v>1426</v>
      </c>
      <c r="C219" s="26" t="s">
        <v>1350</v>
      </c>
      <c r="D219" s="351">
        <v>11</v>
      </c>
      <c r="E219" s="26"/>
      <c r="F219" s="351">
        <v>11</v>
      </c>
      <c r="G219" s="351" t="s">
        <v>3128</v>
      </c>
      <c r="H219" s="351"/>
      <c r="I219" s="351" t="s">
        <v>2596</v>
      </c>
      <c r="J219" s="560" t="s">
        <v>2328</v>
      </c>
      <c r="K219" s="311">
        <v>1944539.4111111113</v>
      </c>
      <c r="L219" s="311">
        <v>0</v>
      </c>
      <c r="M219" s="311">
        <v>501720.00000000006</v>
      </c>
      <c r="N219" s="311">
        <v>222798.11111111112</v>
      </c>
      <c r="O219" s="311">
        <v>155958.67777777778</v>
      </c>
      <c r="P219" s="68">
        <f t="shared" ref="P219:P223" si="44">SUM(K219:O219)</f>
        <v>2825016.2</v>
      </c>
      <c r="Q219" s="68">
        <f>D219*P219</f>
        <v>31075178.200000003</v>
      </c>
      <c r="R219" s="127">
        <f>F219*P219</f>
        <v>31075178.200000003</v>
      </c>
      <c r="S219" s="335"/>
    </row>
    <row r="220" spans="1:19" ht="30">
      <c r="A220" s="26"/>
      <c r="B220" s="25" t="s">
        <v>1427</v>
      </c>
      <c r="C220" s="26" t="s">
        <v>1350</v>
      </c>
      <c r="D220" s="351">
        <v>3</v>
      </c>
      <c r="E220" s="24"/>
      <c r="F220" s="351">
        <v>3</v>
      </c>
      <c r="G220" s="351" t="s">
        <v>3128</v>
      </c>
      <c r="H220" s="351"/>
      <c r="I220" s="351" t="s">
        <v>2596</v>
      </c>
      <c r="J220" s="560" t="s">
        <v>2328</v>
      </c>
      <c r="K220" s="311">
        <v>1927982.3111111114</v>
      </c>
      <c r="L220" s="311">
        <v>0</v>
      </c>
      <c r="M220" s="311">
        <v>513914.58333333343</v>
      </c>
      <c r="N220" s="311">
        <v>222358.27777777781</v>
      </c>
      <c r="O220" s="311">
        <v>155650.79444444447</v>
      </c>
      <c r="P220" s="68">
        <f t="shared" si="44"/>
        <v>2819905.9666666673</v>
      </c>
      <c r="Q220" s="68">
        <f>D220*P220</f>
        <v>8459717.9000000022</v>
      </c>
      <c r="R220" s="127">
        <f>F220*P220</f>
        <v>8459717.9000000022</v>
      </c>
      <c r="S220" s="335"/>
    </row>
    <row r="221" spans="1:19" ht="30">
      <c r="A221" s="26"/>
      <c r="B221" s="25" t="s">
        <v>1428</v>
      </c>
      <c r="C221" s="26" t="s">
        <v>1350</v>
      </c>
      <c r="D221" s="351">
        <v>3</v>
      </c>
      <c r="E221" s="24"/>
      <c r="F221" s="351">
        <v>3</v>
      </c>
      <c r="G221" s="351" t="s">
        <v>3128</v>
      </c>
      <c r="H221" s="351"/>
      <c r="I221" s="351" t="s">
        <v>2596</v>
      </c>
      <c r="J221" s="560" t="s">
        <v>2328</v>
      </c>
      <c r="K221" s="311">
        <v>2254525.1166666667</v>
      </c>
      <c r="L221" s="311">
        <v>0</v>
      </c>
      <c r="M221" s="311">
        <v>527851.25</v>
      </c>
      <c r="N221" s="311">
        <v>253549.66666666672</v>
      </c>
      <c r="O221" s="311">
        <v>177484.76666666669</v>
      </c>
      <c r="P221" s="68">
        <f t="shared" si="44"/>
        <v>3213410.8</v>
      </c>
      <c r="Q221" s="68">
        <f>D221*P221</f>
        <v>9640232.3999999985</v>
      </c>
      <c r="R221" s="127">
        <f>F221*P221</f>
        <v>9640232.3999999985</v>
      </c>
      <c r="S221" s="335"/>
    </row>
    <row r="222" spans="1:19" s="84" customFormat="1" ht="30">
      <c r="A222" s="30"/>
      <c r="B222" s="29" t="s">
        <v>2057</v>
      </c>
      <c r="C222" s="30" t="s">
        <v>1350</v>
      </c>
      <c r="D222" s="352">
        <v>56</v>
      </c>
      <c r="E222" s="30"/>
      <c r="F222" s="352">
        <v>56</v>
      </c>
      <c r="G222" s="351" t="s">
        <v>3128</v>
      </c>
      <c r="H222" s="351"/>
      <c r="I222" s="351" t="s">
        <v>2596</v>
      </c>
      <c r="J222" s="560" t="s">
        <v>2328</v>
      </c>
      <c r="K222" s="311">
        <v>2283960.0797999999</v>
      </c>
      <c r="L222" s="311">
        <v>0</v>
      </c>
      <c r="M222" s="311">
        <v>590566.25000000012</v>
      </c>
      <c r="N222" s="311">
        <v>261800.12199999997</v>
      </c>
      <c r="O222" s="311">
        <v>183260.08540000001</v>
      </c>
      <c r="P222" s="68">
        <f t="shared" si="44"/>
        <v>3319586.5372000001</v>
      </c>
      <c r="Q222" s="68">
        <f>D222*P222</f>
        <v>185896846.08320001</v>
      </c>
      <c r="R222" s="127">
        <f>F222*P222</f>
        <v>185896846.08320001</v>
      </c>
      <c r="S222" s="509"/>
    </row>
    <row r="223" spans="1:19" s="84" customFormat="1" ht="30">
      <c r="A223" s="30"/>
      <c r="B223" s="29" t="s">
        <v>2058</v>
      </c>
      <c r="C223" s="30" t="s">
        <v>1350</v>
      </c>
      <c r="D223" s="352">
        <v>3</v>
      </c>
      <c r="E223" s="30"/>
      <c r="F223" s="352">
        <v>3</v>
      </c>
      <c r="G223" s="351" t="s">
        <v>3128</v>
      </c>
      <c r="H223" s="351"/>
      <c r="I223" s="351" t="s">
        <v>2596</v>
      </c>
      <c r="J223" s="560" t="s">
        <v>2328</v>
      </c>
      <c r="K223" s="311">
        <v>2068717.7798000001</v>
      </c>
      <c r="L223" s="311">
        <v>0</v>
      </c>
      <c r="M223" s="311">
        <v>508688.33333333343</v>
      </c>
      <c r="N223" s="311">
        <v>234807.28866666669</v>
      </c>
      <c r="O223" s="311">
        <v>164365.10206666667</v>
      </c>
      <c r="P223" s="68">
        <f t="shared" si="44"/>
        <v>2976578.5038666669</v>
      </c>
      <c r="Q223" s="68">
        <f>D223*P223</f>
        <v>8929735.5116000008</v>
      </c>
      <c r="R223" s="127">
        <f>F223*P223</f>
        <v>8929735.5116000008</v>
      </c>
      <c r="S223" s="315"/>
    </row>
    <row r="224" spans="1:19">
      <c r="A224" s="24">
        <v>3.6</v>
      </c>
      <c r="B224" s="27" t="s">
        <v>1429</v>
      </c>
      <c r="C224" s="24"/>
      <c r="D224" s="351"/>
      <c r="E224" s="26"/>
      <c r="F224" s="351"/>
      <c r="G224" s="15"/>
      <c r="H224" s="15"/>
      <c r="I224" s="15"/>
      <c r="J224" s="572"/>
      <c r="K224" s="66"/>
      <c r="L224" s="66"/>
      <c r="M224" s="66"/>
      <c r="N224" s="66"/>
      <c r="O224" s="66"/>
      <c r="P224" s="66"/>
      <c r="Q224" s="66"/>
      <c r="R224" s="66"/>
      <c r="S224" s="15"/>
    </row>
    <row r="225" spans="1:19" ht="30">
      <c r="A225" s="24"/>
      <c r="B225" s="25" t="s">
        <v>1414</v>
      </c>
      <c r="C225" s="26" t="s">
        <v>1336</v>
      </c>
      <c r="D225" s="351">
        <v>3</v>
      </c>
      <c r="E225" s="26"/>
      <c r="F225" s="351">
        <v>3</v>
      </c>
      <c r="G225" s="351" t="s">
        <v>3149</v>
      </c>
      <c r="H225" s="351"/>
      <c r="I225" s="351" t="s">
        <v>2596</v>
      </c>
      <c r="J225" s="560" t="s">
        <v>2328</v>
      </c>
      <c r="K225" s="311">
        <v>933133.38657840015</v>
      </c>
      <c r="L225" s="311">
        <v>0</v>
      </c>
      <c r="M225" s="311">
        <v>269505</v>
      </c>
      <c r="N225" s="311">
        <v>109458.567576</v>
      </c>
      <c r="O225" s="311">
        <v>76620.997303200013</v>
      </c>
      <c r="P225" s="68">
        <f t="shared" ref="P225:P227" si="45">SUM(K225:O225)</f>
        <v>1388717.9514576001</v>
      </c>
      <c r="Q225" s="68">
        <f>D225*P225</f>
        <v>4166153.8543728003</v>
      </c>
      <c r="R225" s="127">
        <f>F225*P225</f>
        <v>4166153.8543728003</v>
      </c>
      <c r="S225" s="333" t="s">
        <v>8</v>
      </c>
    </row>
    <row r="226" spans="1:19" ht="30">
      <c r="A226" s="24"/>
      <c r="B226" s="25" t="s">
        <v>1430</v>
      </c>
      <c r="C226" s="26" t="s">
        <v>1336</v>
      </c>
      <c r="D226" s="351">
        <v>4</v>
      </c>
      <c r="E226" s="26"/>
      <c r="F226" s="351">
        <v>4</v>
      </c>
      <c r="G226" s="351" t="s">
        <v>3150</v>
      </c>
      <c r="H226" s="351"/>
      <c r="I226" s="351" t="s">
        <v>2596</v>
      </c>
      <c r="J226" s="560" t="s">
        <v>2328</v>
      </c>
      <c r="K226" s="311">
        <v>1144666.3663512</v>
      </c>
      <c r="L226" s="311">
        <v>0</v>
      </c>
      <c r="M226" s="311">
        <v>297755.00000000006</v>
      </c>
      <c r="N226" s="311">
        <v>131365.262968</v>
      </c>
      <c r="O226" s="311">
        <v>91955.684077600003</v>
      </c>
      <c r="P226" s="68">
        <f t="shared" si="45"/>
        <v>1665742.3133968001</v>
      </c>
      <c r="Q226" s="68">
        <f>D226*P226</f>
        <v>6662969.2535872003</v>
      </c>
      <c r="R226" s="127">
        <f>F226*P226</f>
        <v>6662969.2535872003</v>
      </c>
      <c r="S226" s="333" t="s">
        <v>8</v>
      </c>
    </row>
    <row r="227" spans="1:19" s="84" customFormat="1" ht="30">
      <c r="A227" s="30"/>
      <c r="B227" s="29" t="s">
        <v>1979</v>
      </c>
      <c r="C227" s="30" t="s">
        <v>1350</v>
      </c>
      <c r="D227" s="352">
        <v>1</v>
      </c>
      <c r="E227" s="30"/>
      <c r="F227" s="352">
        <v>1</v>
      </c>
      <c r="G227" s="351" t="s">
        <v>3150</v>
      </c>
      <c r="H227" s="351"/>
      <c r="I227" s="351" t="s">
        <v>2596</v>
      </c>
      <c r="J227" s="560" t="s">
        <v>2328</v>
      </c>
      <c r="K227" s="311">
        <v>1884481.0530000001</v>
      </c>
      <c r="L227" s="311">
        <v>0</v>
      </c>
      <c r="M227" s="311">
        <v>514941.00000000006</v>
      </c>
      <c r="N227" s="311">
        <v>218458.17000000004</v>
      </c>
      <c r="O227" s="311">
        <v>152920.71900000004</v>
      </c>
      <c r="P227" s="68">
        <f t="shared" si="45"/>
        <v>2770800.9420000003</v>
      </c>
      <c r="Q227" s="68">
        <f>D227*P227</f>
        <v>2770800.9420000003</v>
      </c>
      <c r="R227" s="127">
        <f>F227*P227</f>
        <v>2770800.9420000003</v>
      </c>
      <c r="S227" s="536"/>
    </row>
    <row r="228" spans="1:19">
      <c r="A228" s="24">
        <v>3.7</v>
      </c>
      <c r="B228" s="72" t="s">
        <v>1369</v>
      </c>
      <c r="C228" s="24"/>
      <c r="D228" s="351"/>
      <c r="E228" s="26"/>
      <c r="F228" s="351"/>
      <c r="G228" s="335"/>
      <c r="H228" s="335"/>
      <c r="I228" s="335"/>
      <c r="J228" s="567"/>
      <c r="K228" s="66"/>
      <c r="L228" s="66"/>
      <c r="M228" s="66"/>
      <c r="N228" s="66"/>
      <c r="O228" s="66"/>
      <c r="P228" s="66"/>
      <c r="Q228" s="66"/>
      <c r="R228" s="66"/>
      <c r="S228" s="335"/>
    </row>
    <row r="229" spans="1:19" ht="30">
      <c r="A229" s="26"/>
      <c r="B229" s="25" t="s">
        <v>1405</v>
      </c>
      <c r="C229" s="26" t="s">
        <v>1350</v>
      </c>
      <c r="D229" s="351">
        <v>173</v>
      </c>
      <c r="E229" s="26"/>
      <c r="F229" s="351">
        <v>173</v>
      </c>
      <c r="G229" s="351" t="s">
        <v>3124</v>
      </c>
      <c r="H229" s="351"/>
      <c r="I229" s="351" t="s">
        <v>2596</v>
      </c>
      <c r="J229" s="560" t="s">
        <v>2328</v>
      </c>
      <c r="K229" s="311">
        <v>529216.80000000005</v>
      </c>
      <c r="L229" s="311">
        <v>0</v>
      </c>
      <c r="M229" s="311">
        <v>246905.00000000003</v>
      </c>
      <c r="N229" s="311">
        <v>70402</v>
      </c>
      <c r="O229" s="311">
        <v>49281.4</v>
      </c>
      <c r="P229" s="68">
        <f t="shared" ref="P229:P230" si="46">SUM(K229:O229)</f>
        <v>895805.20000000007</v>
      </c>
      <c r="Q229" s="68">
        <f>D229*P229</f>
        <v>154974299.60000002</v>
      </c>
      <c r="R229" s="127">
        <f>F229*P229</f>
        <v>154974299.60000002</v>
      </c>
      <c r="S229" s="331"/>
    </row>
    <row r="230" spans="1:19" s="84" customFormat="1" ht="30">
      <c r="A230" s="30"/>
      <c r="B230" s="29" t="s">
        <v>1406</v>
      </c>
      <c r="C230" s="30" t="s">
        <v>1350</v>
      </c>
      <c r="D230" s="352">
        <v>3</v>
      </c>
      <c r="E230" s="30"/>
      <c r="F230" s="352">
        <v>3</v>
      </c>
      <c r="G230" s="351" t="s">
        <v>3124</v>
      </c>
      <c r="H230" s="351"/>
      <c r="I230" s="351" t="s">
        <v>2596</v>
      </c>
      <c r="J230" s="560" t="s">
        <v>2328</v>
      </c>
      <c r="K230" s="311">
        <v>863280.00000000012</v>
      </c>
      <c r="L230" s="311">
        <v>0</v>
      </c>
      <c r="M230" s="311">
        <v>368154.00000000006</v>
      </c>
      <c r="N230" s="311">
        <v>111780</v>
      </c>
      <c r="O230" s="311">
        <v>78246.000000000015</v>
      </c>
      <c r="P230" s="68">
        <f t="shared" si="46"/>
        <v>1421460.0000000002</v>
      </c>
      <c r="Q230" s="68">
        <f>D230*P230</f>
        <v>4264380.0000000009</v>
      </c>
      <c r="R230" s="127">
        <f>F230*P230</f>
        <v>4264380.0000000009</v>
      </c>
      <c r="S230" s="315"/>
    </row>
    <row r="231" spans="1:19" s="83" customFormat="1">
      <c r="A231" s="28">
        <v>3.8</v>
      </c>
      <c r="B231" s="82" t="s">
        <v>2059</v>
      </c>
      <c r="C231" s="28"/>
      <c r="D231" s="352"/>
      <c r="E231" s="28"/>
      <c r="F231" s="352"/>
      <c r="G231" s="546"/>
      <c r="H231" s="546"/>
      <c r="I231" s="546"/>
      <c r="J231" s="566"/>
      <c r="K231" s="65"/>
      <c r="L231" s="65"/>
      <c r="M231" s="65"/>
      <c r="N231" s="65"/>
      <c r="O231" s="65"/>
      <c r="P231" s="65"/>
      <c r="Q231" s="65"/>
      <c r="R231" s="65"/>
      <c r="S231" s="546"/>
    </row>
    <row r="232" spans="1:19" s="84" customFormat="1" ht="30">
      <c r="A232" s="30"/>
      <c r="B232" s="29" t="s">
        <v>2026</v>
      </c>
      <c r="C232" s="30" t="s">
        <v>1350</v>
      </c>
      <c r="D232" s="352">
        <v>173</v>
      </c>
      <c r="E232" s="30"/>
      <c r="F232" s="352">
        <v>173</v>
      </c>
      <c r="G232" s="351" t="s">
        <v>3128</v>
      </c>
      <c r="H232" s="351"/>
      <c r="I232" s="351" t="s">
        <v>2596</v>
      </c>
      <c r="J232" s="560" t="s">
        <v>2328</v>
      </c>
      <c r="K232" s="311">
        <v>198685.2</v>
      </c>
      <c r="L232" s="311">
        <v>0</v>
      </c>
      <c r="M232" s="311">
        <v>125430.00000000001</v>
      </c>
      <c r="N232" s="311">
        <v>29328</v>
      </c>
      <c r="O232" s="311">
        <v>20529.600000000002</v>
      </c>
      <c r="P232" s="68">
        <f t="shared" ref="P232:P233" si="47">SUM(K232:O232)</f>
        <v>373972.8</v>
      </c>
      <c r="Q232" s="68">
        <f>D232*P232</f>
        <v>64697294.399999999</v>
      </c>
      <c r="R232" s="127">
        <f>F232*P232</f>
        <v>64697294.399999999</v>
      </c>
      <c r="S232" s="509"/>
    </row>
    <row r="233" spans="1:19" s="84" customFormat="1" ht="30">
      <c r="A233" s="30"/>
      <c r="B233" s="29" t="s">
        <v>2060</v>
      </c>
      <c r="C233" s="30" t="s">
        <v>1350</v>
      </c>
      <c r="D233" s="352">
        <v>3</v>
      </c>
      <c r="E233" s="30"/>
      <c r="F233" s="352">
        <v>3</v>
      </c>
      <c r="G233" s="351" t="s">
        <v>3128</v>
      </c>
      <c r="H233" s="351"/>
      <c r="I233" s="351" t="s">
        <v>2596</v>
      </c>
      <c r="J233" s="560" t="s">
        <v>2328</v>
      </c>
      <c r="K233" s="311">
        <v>264913.60000000003</v>
      </c>
      <c r="L233" s="311">
        <v>0</v>
      </c>
      <c r="M233" s="311">
        <v>167240.00000000003</v>
      </c>
      <c r="N233" s="311">
        <v>39104</v>
      </c>
      <c r="O233" s="311">
        <v>27372.800000000003</v>
      </c>
      <c r="P233" s="68">
        <f t="shared" si="47"/>
        <v>498630.40000000008</v>
      </c>
      <c r="Q233" s="68">
        <f>D233*P233</f>
        <v>1495891.2000000002</v>
      </c>
      <c r="R233" s="127">
        <f>F233*P233</f>
        <v>1495891.2000000002</v>
      </c>
      <c r="S233" s="315"/>
    </row>
    <row r="234" spans="1:19">
      <c r="A234" s="24">
        <v>3.9</v>
      </c>
      <c r="B234" s="72" t="s">
        <v>1431</v>
      </c>
      <c r="C234" s="24"/>
      <c r="D234" s="351"/>
      <c r="E234" s="26"/>
      <c r="F234" s="351"/>
      <c r="G234" s="334"/>
      <c r="H234" s="334"/>
      <c r="I234" s="334"/>
      <c r="J234" s="574"/>
      <c r="K234" s="66"/>
      <c r="L234" s="66"/>
      <c r="M234" s="66"/>
      <c r="N234" s="66"/>
      <c r="O234" s="66"/>
      <c r="P234" s="66"/>
      <c r="Q234" s="66"/>
      <c r="R234" s="66"/>
      <c r="S234" s="334"/>
    </row>
    <row r="235" spans="1:19" ht="60">
      <c r="A235" s="24"/>
      <c r="B235" s="25" t="s">
        <v>1432</v>
      </c>
      <c r="C235" s="26" t="s">
        <v>1350</v>
      </c>
      <c r="D235" s="352">
        <v>2</v>
      </c>
      <c r="E235" s="26"/>
      <c r="F235" s="352">
        <v>2</v>
      </c>
      <c r="G235" s="351" t="s">
        <v>3126</v>
      </c>
      <c r="H235" s="351"/>
      <c r="I235" s="351" t="s">
        <v>2596</v>
      </c>
      <c r="J235" s="560" t="s">
        <v>2328</v>
      </c>
      <c r="K235" s="311">
        <v>5834564.2540416</v>
      </c>
      <c r="L235" s="311">
        <v>0</v>
      </c>
      <c r="M235" s="311">
        <v>157710.33333333337</v>
      </c>
      <c r="N235" s="311">
        <v>549237.79089066666</v>
      </c>
      <c r="O235" s="311">
        <v>384466.45362346672</v>
      </c>
      <c r="P235" s="68">
        <f t="shared" ref="P235:P241" si="48">SUM(K235:O235)</f>
        <v>6925978.8318890668</v>
      </c>
      <c r="Q235" s="68">
        <f t="shared" ref="Q235:Q241" si="49">D235*P235</f>
        <v>13851957.663778134</v>
      </c>
      <c r="R235" s="127">
        <f t="shared" ref="R235:R241" si="50">F235*P235</f>
        <v>13851957.663778134</v>
      </c>
      <c r="S235" s="330"/>
    </row>
    <row r="236" spans="1:19" ht="60">
      <c r="A236" s="24"/>
      <c r="B236" s="25" t="s">
        <v>1418</v>
      </c>
      <c r="C236" s="26" t="s">
        <v>1350</v>
      </c>
      <c r="D236" s="352">
        <v>6</v>
      </c>
      <c r="E236" s="26"/>
      <c r="F236" s="352">
        <v>6</v>
      </c>
      <c r="G236" s="351" t="s">
        <v>3126</v>
      </c>
      <c r="H236" s="351"/>
      <c r="I236" s="351" t="s">
        <v>2596</v>
      </c>
      <c r="J236" s="560" t="s">
        <v>2328</v>
      </c>
      <c r="K236" s="311">
        <v>6752123.7845376004</v>
      </c>
      <c r="L236" s="311">
        <v>0</v>
      </c>
      <c r="M236" s="311">
        <v>219634.33333333337</v>
      </c>
      <c r="N236" s="311">
        <v>638897.56433066679</v>
      </c>
      <c r="O236" s="311">
        <v>447228.29503146675</v>
      </c>
      <c r="P236" s="68">
        <f t="shared" si="48"/>
        <v>8057883.9772330662</v>
      </c>
      <c r="Q236" s="68">
        <f t="shared" si="49"/>
        <v>48347303.863398395</v>
      </c>
      <c r="R236" s="127">
        <f t="shared" si="50"/>
        <v>48347303.863398395</v>
      </c>
      <c r="S236" s="335"/>
    </row>
    <row r="237" spans="1:19" ht="60">
      <c r="A237" s="24"/>
      <c r="B237" s="25" t="s">
        <v>1433</v>
      </c>
      <c r="C237" s="26" t="s">
        <v>1350</v>
      </c>
      <c r="D237" s="352">
        <v>57</v>
      </c>
      <c r="E237" s="26"/>
      <c r="F237" s="352">
        <v>57</v>
      </c>
      <c r="G237" s="351" t="s">
        <v>3126</v>
      </c>
      <c r="H237" s="351"/>
      <c r="I237" s="351" t="s">
        <v>2596</v>
      </c>
      <c r="J237" s="560" t="s">
        <v>2328</v>
      </c>
      <c r="K237" s="311">
        <v>7291900.6608000016</v>
      </c>
      <c r="L237" s="311">
        <v>0</v>
      </c>
      <c r="M237" s="311">
        <v>219634.33333333337</v>
      </c>
      <c r="N237" s="311">
        <v>688418.3786666668</v>
      </c>
      <c r="O237" s="311">
        <v>481892.8650666668</v>
      </c>
      <c r="P237" s="68">
        <f t="shared" si="48"/>
        <v>8681846.237866668</v>
      </c>
      <c r="Q237" s="68">
        <f t="shared" si="49"/>
        <v>494865235.55840009</v>
      </c>
      <c r="R237" s="127">
        <f t="shared" si="50"/>
        <v>494865235.55840009</v>
      </c>
      <c r="S237" s="330"/>
    </row>
    <row r="238" spans="1:19" ht="60">
      <c r="A238" s="24"/>
      <c r="B238" s="25" t="s">
        <v>1434</v>
      </c>
      <c r="C238" s="26" t="s">
        <v>1350</v>
      </c>
      <c r="D238" s="352">
        <v>2</v>
      </c>
      <c r="E238" s="26"/>
      <c r="F238" s="352">
        <v>2</v>
      </c>
      <c r="G238" s="351" t="s">
        <v>3126</v>
      </c>
      <c r="H238" s="351"/>
      <c r="I238" s="351" t="s">
        <v>2596</v>
      </c>
      <c r="J238" s="560" t="s">
        <v>2328</v>
      </c>
      <c r="K238" s="311">
        <v>5988101.7161280019</v>
      </c>
      <c r="L238" s="311">
        <v>0</v>
      </c>
      <c r="M238" s="311">
        <v>157710.33333333337</v>
      </c>
      <c r="N238" s="311">
        <v>563323.79658666684</v>
      </c>
      <c r="O238" s="311">
        <v>394326.65761066682</v>
      </c>
      <c r="P238" s="68">
        <f t="shared" si="48"/>
        <v>7103462.5036586691</v>
      </c>
      <c r="Q238" s="68">
        <f t="shared" si="49"/>
        <v>14206925.007317338</v>
      </c>
      <c r="R238" s="127">
        <f t="shared" si="50"/>
        <v>14206925.007317338</v>
      </c>
      <c r="S238" s="337"/>
    </row>
    <row r="239" spans="1:19" s="84" customFormat="1" ht="60">
      <c r="A239" s="30"/>
      <c r="B239" s="29" t="s">
        <v>2049</v>
      </c>
      <c r="C239" s="30" t="s">
        <v>1350</v>
      </c>
      <c r="D239" s="352">
        <v>17</v>
      </c>
      <c r="E239" s="30"/>
      <c r="F239" s="352">
        <v>17</v>
      </c>
      <c r="G239" s="351" t="s">
        <v>3126</v>
      </c>
      <c r="H239" s="351"/>
      <c r="I239" s="351" t="s">
        <v>2596</v>
      </c>
      <c r="J239" s="560" t="s">
        <v>2328</v>
      </c>
      <c r="K239" s="311">
        <v>6493795.0308000008</v>
      </c>
      <c r="L239" s="311">
        <v>0</v>
      </c>
      <c r="M239" s="311">
        <v>219634.33333333337</v>
      </c>
      <c r="N239" s="311">
        <v>615197.67866666673</v>
      </c>
      <c r="O239" s="311">
        <v>430638.37506666675</v>
      </c>
      <c r="P239" s="68">
        <f t="shared" si="48"/>
        <v>7759265.4178666677</v>
      </c>
      <c r="Q239" s="68">
        <f t="shared" si="49"/>
        <v>131907512.10373335</v>
      </c>
      <c r="R239" s="127">
        <f t="shared" si="50"/>
        <v>131907512.10373335</v>
      </c>
      <c r="S239" s="315"/>
    </row>
    <row r="240" spans="1:19" ht="30">
      <c r="A240" s="73">
        <v>3.1</v>
      </c>
      <c r="B240" s="72" t="s">
        <v>1381</v>
      </c>
      <c r="C240" s="26" t="s">
        <v>1350</v>
      </c>
      <c r="D240" s="352">
        <v>9</v>
      </c>
      <c r="E240" s="26"/>
      <c r="F240" s="352">
        <v>9</v>
      </c>
      <c r="G240" s="351" t="s">
        <v>3127</v>
      </c>
      <c r="H240" s="351"/>
      <c r="I240" s="351" t="s">
        <v>2596</v>
      </c>
      <c r="J240" s="560" t="s">
        <v>2328</v>
      </c>
      <c r="K240" s="311">
        <v>805147.68241950008</v>
      </c>
      <c r="L240" s="311">
        <v>0</v>
      </c>
      <c r="M240" s="311">
        <v>147391.55000000002</v>
      </c>
      <c r="N240" s="311">
        <v>86910.259855000011</v>
      </c>
      <c r="O240" s="311">
        <v>60837.181898500006</v>
      </c>
      <c r="P240" s="68">
        <f t="shared" si="48"/>
        <v>1100286.6741730003</v>
      </c>
      <c r="Q240" s="68">
        <f t="shared" si="49"/>
        <v>9902580.0675570033</v>
      </c>
      <c r="R240" s="127">
        <f t="shared" si="50"/>
        <v>9902580.0675570033</v>
      </c>
      <c r="S240" s="335"/>
    </row>
    <row r="241" spans="1:19">
      <c r="A241" s="73">
        <v>3.11</v>
      </c>
      <c r="B241" s="72" t="s">
        <v>1408</v>
      </c>
      <c r="C241" s="26" t="s">
        <v>78</v>
      </c>
      <c r="D241" s="351">
        <v>1</v>
      </c>
      <c r="E241" s="24"/>
      <c r="F241" s="351">
        <v>1</v>
      </c>
      <c r="G241" s="338"/>
      <c r="H241" s="338"/>
      <c r="I241" s="338"/>
      <c r="J241" s="567" t="s">
        <v>2381</v>
      </c>
      <c r="K241" s="311">
        <v>304594914.63883531</v>
      </c>
      <c r="L241" s="311">
        <v>0</v>
      </c>
      <c r="M241" s="311">
        <v>137150919.15000001</v>
      </c>
      <c r="N241" s="311">
        <v>37436087.609223329</v>
      </c>
      <c r="O241" s="311">
        <v>26205261.326456334</v>
      </c>
      <c r="P241" s="68">
        <f t="shared" si="48"/>
        <v>505387182.7245149</v>
      </c>
      <c r="Q241" s="68">
        <f t="shared" si="49"/>
        <v>505387182.7245149</v>
      </c>
      <c r="R241" s="127">
        <f t="shared" si="50"/>
        <v>505387182.7245149</v>
      </c>
      <c r="S241" s="338"/>
    </row>
    <row r="242" spans="1:19" s="83" customFormat="1">
      <c r="A242" s="28">
        <v>3.12</v>
      </c>
      <c r="B242" s="82" t="s">
        <v>2002</v>
      </c>
      <c r="C242" s="28"/>
      <c r="D242" s="352"/>
      <c r="E242" s="28"/>
      <c r="F242" s="352"/>
      <c r="G242" s="351"/>
      <c r="H242" s="351"/>
      <c r="I242" s="351"/>
      <c r="J242" s="560"/>
      <c r="K242" s="80"/>
      <c r="L242" s="80"/>
      <c r="M242" s="80"/>
      <c r="N242" s="80"/>
      <c r="O242" s="80"/>
      <c r="P242" s="80"/>
      <c r="Q242" s="80"/>
      <c r="R242" s="80"/>
      <c r="S242" s="28"/>
    </row>
    <row r="243" spans="1:19" s="84" customFormat="1">
      <c r="A243" s="30"/>
      <c r="B243" s="29" t="s">
        <v>1417</v>
      </c>
      <c r="C243" s="30" t="s">
        <v>117</v>
      </c>
      <c r="D243" s="352">
        <v>67</v>
      </c>
      <c r="E243" s="30"/>
      <c r="F243" s="352">
        <v>67</v>
      </c>
      <c r="G243" s="351" t="s">
        <v>3125</v>
      </c>
      <c r="H243" s="351"/>
      <c r="I243" s="351" t="s">
        <v>2596</v>
      </c>
      <c r="J243" s="560" t="s">
        <v>2328</v>
      </c>
      <c r="K243" s="311">
        <v>832044.4804</v>
      </c>
      <c r="L243" s="311">
        <v>0</v>
      </c>
      <c r="M243" s="311">
        <v>467066.66666666674</v>
      </c>
      <c r="N243" s="311">
        <v>117667.68933333334</v>
      </c>
      <c r="O243" s="311">
        <v>82367.382533333337</v>
      </c>
      <c r="P243" s="68">
        <f t="shared" ref="P243:P246" si="51">SUM(K243:O243)</f>
        <v>1499146.2189333334</v>
      </c>
      <c r="Q243" s="68">
        <f>D243*P243</f>
        <v>100442796.66853334</v>
      </c>
      <c r="R243" s="127">
        <f>F243*P243</f>
        <v>100442796.66853334</v>
      </c>
      <c r="S243" s="30"/>
    </row>
    <row r="244" spans="1:19" s="84" customFormat="1">
      <c r="A244" s="30"/>
      <c r="B244" s="29" t="s">
        <v>1420</v>
      </c>
      <c r="C244" s="30" t="s">
        <v>117</v>
      </c>
      <c r="D244" s="352">
        <v>64</v>
      </c>
      <c r="E244" s="30"/>
      <c r="F244" s="352">
        <v>64</v>
      </c>
      <c r="G244" s="351" t="s">
        <v>3125</v>
      </c>
      <c r="H244" s="351"/>
      <c r="I244" s="351" t="s">
        <v>2596</v>
      </c>
      <c r="J244" s="560" t="s">
        <v>2328</v>
      </c>
      <c r="K244" s="311">
        <v>858458.93</v>
      </c>
      <c r="L244" s="311">
        <v>0</v>
      </c>
      <c r="M244" s="311">
        <v>482133.33333333343</v>
      </c>
      <c r="N244" s="311">
        <v>121424.36666666668</v>
      </c>
      <c r="O244" s="311">
        <v>84997.056666666685</v>
      </c>
      <c r="P244" s="68">
        <f t="shared" si="51"/>
        <v>1547013.6866666668</v>
      </c>
      <c r="Q244" s="68">
        <f>D244*P244</f>
        <v>99008875.946666673</v>
      </c>
      <c r="R244" s="127">
        <f>F244*P244</f>
        <v>99008875.946666673</v>
      </c>
      <c r="S244" s="30"/>
    </row>
    <row r="245" spans="1:19" s="84" customFormat="1">
      <c r="A245" s="30"/>
      <c r="B245" s="29" t="s">
        <v>1373</v>
      </c>
      <c r="C245" s="30" t="s">
        <v>117</v>
      </c>
      <c r="D245" s="352">
        <v>76</v>
      </c>
      <c r="E245" s="30"/>
      <c r="F245" s="352">
        <v>76</v>
      </c>
      <c r="G245" s="351" t="s">
        <v>3125</v>
      </c>
      <c r="H245" s="351"/>
      <c r="I245" s="351" t="s">
        <v>2596</v>
      </c>
      <c r="J245" s="560" t="s">
        <v>2328</v>
      </c>
      <c r="K245" s="311">
        <v>912112.47959999996</v>
      </c>
      <c r="L245" s="311">
        <v>0</v>
      </c>
      <c r="M245" s="311">
        <v>512266.66666666674</v>
      </c>
      <c r="N245" s="311">
        <v>129013.37733333335</v>
      </c>
      <c r="O245" s="311">
        <v>90309.364133333351</v>
      </c>
      <c r="P245" s="68">
        <f t="shared" si="51"/>
        <v>1643701.8877333333</v>
      </c>
      <c r="Q245" s="68">
        <f>D245*P245</f>
        <v>124921343.46773332</v>
      </c>
      <c r="R245" s="127">
        <f>F245*P245</f>
        <v>124921343.46773332</v>
      </c>
      <c r="S245" s="30"/>
    </row>
    <row r="246" spans="1:19" s="84" customFormat="1">
      <c r="A246" s="30"/>
      <c r="B246" s="29" t="s">
        <v>1421</v>
      </c>
      <c r="C246" s="30" t="s">
        <v>117</v>
      </c>
      <c r="D246" s="352">
        <v>73</v>
      </c>
      <c r="E246" s="30"/>
      <c r="F246" s="352">
        <v>73</v>
      </c>
      <c r="G246" s="351" t="s">
        <v>3125</v>
      </c>
      <c r="H246" s="351"/>
      <c r="I246" s="351" t="s">
        <v>2596</v>
      </c>
      <c r="J246" s="560" t="s">
        <v>2328</v>
      </c>
      <c r="K246" s="311">
        <v>960715.57960000006</v>
      </c>
      <c r="L246" s="311">
        <v>0</v>
      </c>
      <c r="M246" s="311">
        <v>527333.33333333337</v>
      </c>
      <c r="N246" s="311">
        <v>134805.71066666668</v>
      </c>
      <c r="O246" s="311">
        <v>94363.997466666682</v>
      </c>
      <c r="P246" s="68">
        <f t="shared" si="51"/>
        <v>1717218.6210666667</v>
      </c>
      <c r="Q246" s="68">
        <f>D246*P246</f>
        <v>125356959.33786666</v>
      </c>
      <c r="R246" s="127">
        <f>F246*P246</f>
        <v>125356959.33786666</v>
      </c>
      <c r="S246" s="30"/>
    </row>
    <row r="247" spans="1:19" ht="28.5">
      <c r="A247" s="215" t="s">
        <v>2224</v>
      </c>
      <c r="B247" s="216" t="s">
        <v>2225</v>
      </c>
      <c r="C247" s="215"/>
      <c r="D247" s="515"/>
      <c r="E247" s="215"/>
      <c r="F247" s="515"/>
      <c r="G247" s="537"/>
      <c r="H247" s="537"/>
      <c r="I247" s="537"/>
      <c r="J247" s="578"/>
      <c r="K247" s="247"/>
      <c r="L247" s="247"/>
      <c r="M247" s="247"/>
      <c r="N247" s="247"/>
      <c r="O247" s="247"/>
      <c r="P247" s="247"/>
      <c r="Q247" s="247"/>
      <c r="R247" s="247"/>
      <c r="S247" s="537"/>
    </row>
    <row r="248" spans="1:19">
      <c r="A248" s="24">
        <v>4.0999999999999996</v>
      </c>
      <c r="B248" s="72" t="s">
        <v>1334</v>
      </c>
      <c r="C248" s="24"/>
      <c r="D248" s="351"/>
      <c r="E248" s="24"/>
      <c r="F248" s="351"/>
      <c r="G248" s="338"/>
      <c r="H248" s="338"/>
      <c r="I248" s="338"/>
      <c r="J248" s="579"/>
      <c r="K248" s="127"/>
      <c r="L248" s="127"/>
      <c r="M248" s="127"/>
      <c r="N248" s="127"/>
      <c r="O248" s="127"/>
      <c r="P248" s="127"/>
      <c r="Q248" s="127"/>
      <c r="R248" s="127"/>
      <c r="S248" s="338"/>
    </row>
    <row r="249" spans="1:19" ht="30">
      <c r="A249" s="73"/>
      <c r="B249" s="25" t="s">
        <v>1435</v>
      </c>
      <c r="C249" s="26" t="s">
        <v>1336</v>
      </c>
      <c r="D249" s="352">
        <v>11</v>
      </c>
      <c r="E249" s="24"/>
      <c r="F249" s="352">
        <v>11</v>
      </c>
      <c r="G249" s="351" t="s">
        <v>3123</v>
      </c>
      <c r="H249" s="351"/>
      <c r="I249" s="351" t="s">
        <v>2596</v>
      </c>
      <c r="J249" s="560" t="s">
        <v>2328</v>
      </c>
      <c r="K249" s="311">
        <v>493508.4</v>
      </c>
      <c r="L249" s="311">
        <v>0</v>
      </c>
      <c r="M249" s="311">
        <v>243891.66666666666</v>
      </c>
      <c r="N249" s="311">
        <v>66859.333333333328</v>
      </c>
      <c r="O249" s="311">
        <v>46801.533333333333</v>
      </c>
      <c r="P249" s="68">
        <f t="shared" ref="P249:P264" si="52">SUM(K249:O249)</f>
        <v>851060.93333333335</v>
      </c>
      <c r="Q249" s="68">
        <f t="shared" ref="Q249:Q264" si="53">D249*P249</f>
        <v>9361670.2666666675</v>
      </c>
      <c r="R249" s="127">
        <f t="shared" ref="R249:R264" si="54">F249*P249</f>
        <v>9361670.2666666675</v>
      </c>
      <c r="S249" s="338"/>
    </row>
    <row r="250" spans="1:19" ht="30">
      <c r="A250" s="73"/>
      <c r="B250" s="25" t="s">
        <v>1436</v>
      </c>
      <c r="C250" s="26" t="s">
        <v>1336</v>
      </c>
      <c r="D250" s="352">
        <v>7</v>
      </c>
      <c r="E250" s="24"/>
      <c r="F250" s="352">
        <v>7</v>
      </c>
      <c r="G250" s="351" t="s">
        <v>3123</v>
      </c>
      <c r="H250" s="351"/>
      <c r="I250" s="351" t="s">
        <v>2596</v>
      </c>
      <c r="J250" s="560" t="s">
        <v>2328</v>
      </c>
      <c r="K250" s="311">
        <v>705012</v>
      </c>
      <c r="L250" s="311">
        <v>0</v>
      </c>
      <c r="M250" s="311">
        <v>348416.66666666674</v>
      </c>
      <c r="N250" s="311">
        <v>95513.333333333343</v>
      </c>
      <c r="O250" s="311">
        <v>66859.333333333343</v>
      </c>
      <c r="P250" s="68">
        <f t="shared" si="52"/>
        <v>1215801.3333333333</v>
      </c>
      <c r="Q250" s="68">
        <f t="shared" si="53"/>
        <v>8510609.3333333321</v>
      </c>
      <c r="R250" s="127">
        <f t="shared" si="54"/>
        <v>8510609.3333333321</v>
      </c>
      <c r="S250" s="335"/>
    </row>
    <row r="251" spans="1:19" ht="30">
      <c r="A251" s="73"/>
      <c r="B251" s="25" t="s">
        <v>1433</v>
      </c>
      <c r="C251" s="26" t="s">
        <v>1336</v>
      </c>
      <c r="D251" s="352">
        <v>61</v>
      </c>
      <c r="E251" s="24"/>
      <c r="F251" s="352">
        <v>61</v>
      </c>
      <c r="G251" s="351" t="s">
        <v>3123</v>
      </c>
      <c r="H251" s="351"/>
      <c r="I251" s="351" t="s">
        <v>2596</v>
      </c>
      <c r="J251" s="560" t="s">
        <v>2328</v>
      </c>
      <c r="K251" s="311">
        <v>881265.00000000012</v>
      </c>
      <c r="L251" s="311">
        <v>0</v>
      </c>
      <c r="M251" s="311">
        <v>435520.83333333337</v>
      </c>
      <c r="N251" s="311">
        <v>119391.66666666669</v>
      </c>
      <c r="O251" s="311">
        <v>83574.166666666686</v>
      </c>
      <c r="P251" s="68">
        <f t="shared" si="52"/>
        <v>1519751.666666667</v>
      </c>
      <c r="Q251" s="68">
        <f t="shared" si="53"/>
        <v>92704851.666666687</v>
      </c>
      <c r="R251" s="127">
        <f t="shared" si="54"/>
        <v>92704851.666666687</v>
      </c>
      <c r="S251" s="333"/>
    </row>
    <row r="252" spans="1:19" ht="30">
      <c r="A252" s="73"/>
      <c r="B252" s="25" t="s">
        <v>1386</v>
      </c>
      <c r="C252" s="26" t="s">
        <v>1336</v>
      </c>
      <c r="D252" s="352">
        <v>14</v>
      </c>
      <c r="E252" s="24"/>
      <c r="F252" s="352">
        <v>14</v>
      </c>
      <c r="G252" s="351" t="s">
        <v>3123</v>
      </c>
      <c r="H252" s="351"/>
      <c r="I252" s="351" t="s">
        <v>2596</v>
      </c>
      <c r="J252" s="560" t="s">
        <v>2328</v>
      </c>
      <c r="K252" s="311">
        <v>916515.60000000009</v>
      </c>
      <c r="L252" s="311">
        <v>0</v>
      </c>
      <c r="M252" s="311">
        <v>452941.66666666674</v>
      </c>
      <c r="N252" s="311">
        <v>124167.33333333336</v>
      </c>
      <c r="O252" s="311">
        <v>86917.133333333346</v>
      </c>
      <c r="P252" s="68">
        <f t="shared" si="52"/>
        <v>1580541.7333333334</v>
      </c>
      <c r="Q252" s="68">
        <f t="shared" si="53"/>
        <v>22127584.266666666</v>
      </c>
      <c r="R252" s="127">
        <f t="shared" si="54"/>
        <v>22127584.266666666</v>
      </c>
      <c r="S252" s="336"/>
    </row>
    <row r="253" spans="1:19" ht="30">
      <c r="A253" s="73"/>
      <c r="B253" s="25" t="s">
        <v>1437</v>
      </c>
      <c r="C253" s="26" t="s">
        <v>1336</v>
      </c>
      <c r="D253" s="352">
        <v>4</v>
      </c>
      <c r="E253" s="24"/>
      <c r="F253" s="352">
        <v>4</v>
      </c>
      <c r="G253" s="351" t="s">
        <v>3123</v>
      </c>
      <c r="H253" s="351"/>
      <c r="I253" s="351" t="s">
        <v>2596</v>
      </c>
      <c r="J253" s="560" t="s">
        <v>2328</v>
      </c>
      <c r="K253" s="311">
        <v>951766.20000000007</v>
      </c>
      <c r="L253" s="311">
        <v>0</v>
      </c>
      <c r="M253" s="311">
        <v>470362.50000000012</v>
      </c>
      <c r="N253" s="311">
        <v>128943</v>
      </c>
      <c r="O253" s="311">
        <v>90260.1</v>
      </c>
      <c r="P253" s="68">
        <f t="shared" si="52"/>
        <v>1641331.8000000003</v>
      </c>
      <c r="Q253" s="68">
        <f t="shared" si="53"/>
        <v>6565327.2000000011</v>
      </c>
      <c r="R253" s="127">
        <f t="shared" si="54"/>
        <v>6565327.2000000011</v>
      </c>
      <c r="S253" s="329"/>
    </row>
    <row r="254" spans="1:19" ht="30">
      <c r="A254" s="73"/>
      <c r="B254" s="25" t="s">
        <v>1438</v>
      </c>
      <c r="C254" s="26" t="s">
        <v>1336</v>
      </c>
      <c r="D254" s="352">
        <v>100</v>
      </c>
      <c r="E254" s="24"/>
      <c r="F254" s="352">
        <v>100</v>
      </c>
      <c r="G254" s="351" t="s">
        <v>3123</v>
      </c>
      <c r="H254" s="351"/>
      <c r="I254" s="351" t="s">
        <v>2596</v>
      </c>
      <c r="J254" s="560" t="s">
        <v>2328</v>
      </c>
      <c r="K254" s="311">
        <v>1022267.4</v>
      </c>
      <c r="L254" s="311">
        <v>0</v>
      </c>
      <c r="M254" s="311">
        <v>505204.16666666674</v>
      </c>
      <c r="N254" s="311">
        <v>138494.33333333334</v>
      </c>
      <c r="O254" s="311">
        <v>96946.033333333355</v>
      </c>
      <c r="P254" s="68">
        <f t="shared" si="52"/>
        <v>1762911.9333333336</v>
      </c>
      <c r="Q254" s="68">
        <f t="shared" si="53"/>
        <v>176291193.33333337</v>
      </c>
      <c r="R254" s="127">
        <f t="shared" si="54"/>
        <v>176291193.33333337</v>
      </c>
      <c r="S254" s="26"/>
    </row>
    <row r="255" spans="1:19" ht="30">
      <c r="A255" s="73"/>
      <c r="B255" s="25" t="s">
        <v>1341</v>
      </c>
      <c r="C255" s="26" t="s">
        <v>1336</v>
      </c>
      <c r="D255" s="351">
        <v>33</v>
      </c>
      <c r="E255" s="24"/>
      <c r="F255" s="351">
        <v>33</v>
      </c>
      <c r="G255" s="351" t="s">
        <v>3123</v>
      </c>
      <c r="H255" s="351"/>
      <c r="I255" s="351" t="s">
        <v>2596</v>
      </c>
      <c r="J255" s="560" t="s">
        <v>2328</v>
      </c>
      <c r="K255" s="311">
        <v>1249794</v>
      </c>
      <c r="L255" s="311">
        <v>0</v>
      </c>
      <c r="M255" s="311">
        <v>609729.16666666674</v>
      </c>
      <c r="N255" s="311">
        <v>168618.33333333337</v>
      </c>
      <c r="O255" s="311">
        <v>118032.83333333336</v>
      </c>
      <c r="P255" s="68">
        <f t="shared" si="52"/>
        <v>2146174.3333333335</v>
      </c>
      <c r="Q255" s="68">
        <f t="shared" si="53"/>
        <v>70823753</v>
      </c>
      <c r="R255" s="127">
        <f t="shared" si="54"/>
        <v>70823753</v>
      </c>
      <c r="S255" s="26"/>
    </row>
    <row r="256" spans="1:19" ht="30">
      <c r="A256" s="73"/>
      <c r="B256" s="25" t="s">
        <v>1439</v>
      </c>
      <c r="C256" s="26" t="s">
        <v>1336</v>
      </c>
      <c r="D256" s="352">
        <v>15</v>
      </c>
      <c r="E256" s="24"/>
      <c r="F256" s="352">
        <v>15</v>
      </c>
      <c r="G256" s="351" t="s">
        <v>3123</v>
      </c>
      <c r="H256" s="351"/>
      <c r="I256" s="351" t="s">
        <v>2596</v>
      </c>
      <c r="J256" s="560" t="s">
        <v>2328</v>
      </c>
      <c r="K256" s="311">
        <v>1624732.2000000002</v>
      </c>
      <c r="L256" s="311">
        <v>0</v>
      </c>
      <c r="M256" s="311">
        <v>783937.50000000012</v>
      </c>
      <c r="N256" s="311">
        <v>218433</v>
      </c>
      <c r="O256" s="311">
        <v>152903.1</v>
      </c>
      <c r="P256" s="68">
        <f t="shared" si="52"/>
        <v>2780005.8000000003</v>
      </c>
      <c r="Q256" s="68">
        <f t="shared" si="53"/>
        <v>41700087.000000007</v>
      </c>
      <c r="R256" s="127">
        <f t="shared" si="54"/>
        <v>41700087.000000007</v>
      </c>
      <c r="S256" s="338"/>
    </row>
    <row r="257" spans="1:19" s="84" customFormat="1" ht="30">
      <c r="A257" s="211"/>
      <c r="B257" s="29" t="s">
        <v>2061</v>
      </c>
      <c r="C257" s="30" t="s">
        <v>117</v>
      </c>
      <c r="D257" s="352">
        <v>5</v>
      </c>
      <c r="E257" s="30"/>
      <c r="F257" s="352">
        <v>5</v>
      </c>
      <c r="G257" s="351" t="s">
        <v>3123</v>
      </c>
      <c r="H257" s="351"/>
      <c r="I257" s="351" t="s">
        <v>2596</v>
      </c>
      <c r="J257" s="560" t="s">
        <v>2328</v>
      </c>
      <c r="K257" s="311">
        <v>1257271.4000000001</v>
      </c>
      <c r="L257" s="311">
        <v>0</v>
      </c>
      <c r="M257" s="311">
        <v>609729.16666666674</v>
      </c>
      <c r="N257" s="311">
        <v>169304.33333333337</v>
      </c>
      <c r="O257" s="311">
        <v>118513.03333333335</v>
      </c>
      <c r="P257" s="68">
        <f t="shared" si="52"/>
        <v>2154817.9333333336</v>
      </c>
      <c r="Q257" s="68">
        <f t="shared" si="53"/>
        <v>10774089.666666668</v>
      </c>
      <c r="R257" s="127">
        <f t="shared" si="54"/>
        <v>10774089.666666668</v>
      </c>
      <c r="S257" s="26"/>
    </row>
    <row r="258" spans="1:19" s="84" customFormat="1" ht="30">
      <c r="A258" s="211"/>
      <c r="B258" s="29" t="s">
        <v>2062</v>
      </c>
      <c r="C258" s="30" t="s">
        <v>117</v>
      </c>
      <c r="D258" s="352">
        <v>24</v>
      </c>
      <c r="E258" s="30"/>
      <c r="F258" s="352">
        <v>24</v>
      </c>
      <c r="G258" s="351" t="s">
        <v>3123</v>
      </c>
      <c r="H258" s="351"/>
      <c r="I258" s="351" t="s">
        <v>2596</v>
      </c>
      <c r="J258" s="560" t="s">
        <v>2328</v>
      </c>
      <c r="K258" s="311">
        <v>1038290.4</v>
      </c>
      <c r="L258" s="311">
        <v>0</v>
      </c>
      <c r="M258" s="311">
        <v>505204.16666666674</v>
      </c>
      <c r="N258" s="311">
        <v>139964.33333333334</v>
      </c>
      <c r="O258" s="311">
        <v>97975.033333333355</v>
      </c>
      <c r="P258" s="68">
        <f t="shared" si="52"/>
        <v>1781433.9333333336</v>
      </c>
      <c r="Q258" s="68">
        <f t="shared" si="53"/>
        <v>42754414.400000006</v>
      </c>
      <c r="R258" s="127">
        <f t="shared" si="54"/>
        <v>42754414.400000006</v>
      </c>
      <c r="S258" s="26"/>
    </row>
    <row r="259" spans="1:19" s="84" customFormat="1" ht="30">
      <c r="A259" s="211"/>
      <c r="B259" s="29" t="s">
        <v>2063</v>
      </c>
      <c r="C259" s="30" t="s">
        <v>117</v>
      </c>
      <c r="D259" s="352">
        <v>7</v>
      </c>
      <c r="E259" s="30"/>
      <c r="F259" s="352">
        <v>7</v>
      </c>
      <c r="G259" s="351" t="s">
        <v>3123</v>
      </c>
      <c r="H259" s="351"/>
      <c r="I259" s="351" t="s">
        <v>2596</v>
      </c>
      <c r="J259" s="560" t="s">
        <v>2328</v>
      </c>
      <c r="K259" s="311">
        <v>846014.4</v>
      </c>
      <c r="L259" s="311">
        <v>0</v>
      </c>
      <c r="M259" s="311">
        <v>418100.00000000006</v>
      </c>
      <c r="N259" s="311">
        <v>114616</v>
      </c>
      <c r="O259" s="311">
        <v>80231.200000000012</v>
      </c>
      <c r="P259" s="68">
        <f t="shared" si="52"/>
        <v>1458961.6</v>
      </c>
      <c r="Q259" s="68">
        <f t="shared" si="53"/>
        <v>10212731.200000001</v>
      </c>
      <c r="R259" s="127">
        <f t="shared" si="54"/>
        <v>10212731.200000001</v>
      </c>
      <c r="S259" s="26"/>
    </row>
    <row r="260" spans="1:19" s="84" customFormat="1" ht="30">
      <c r="A260" s="211"/>
      <c r="B260" s="29" t="s">
        <v>2064</v>
      </c>
      <c r="C260" s="30" t="s">
        <v>117</v>
      </c>
      <c r="D260" s="352">
        <v>8</v>
      </c>
      <c r="E260" s="30"/>
      <c r="F260" s="352">
        <v>8</v>
      </c>
      <c r="G260" s="351" t="s">
        <v>3123</v>
      </c>
      <c r="H260" s="351"/>
      <c r="I260" s="351" t="s">
        <v>2596</v>
      </c>
      <c r="J260" s="560" t="s">
        <v>2328</v>
      </c>
      <c r="K260" s="311">
        <v>810763.8</v>
      </c>
      <c r="L260" s="311">
        <v>0</v>
      </c>
      <c r="M260" s="311">
        <v>400679.16666666669</v>
      </c>
      <c r="N260" s="311">
        <v>109840.33333333333</v>
      </c>
      <c r="O260" s="311">
        <v>76888.233333333337</v>
      </c>
      <c r="P260" s="68">
        <f t="shared" si="52"/>
        <v>1398171.5333333334</v>
      </c>
      <c r="Q260" s="68">
        <f t="shared" si="53"/>
        <v>11185372.266666668</v>
      </c>
      <c r="R260" s="127">
        <f t="shared" si="54"/>
        <v>11185372.266666668</v>
      </c>
      <c r="S260" s="26"/>
    </row>
    <row r="261" spans="1:19" s="84" customFormat="1" ht="30">
      <c r="A261" s="211"/>
      <c r="B261" s="29" t="s">
        <v>2065</v>
      </c>
      <c r="C261" s="30" t="s">
        <v>117</v>
      </c>
      <c r="D261" s="352">
        <v>11</v>
      </c>
      <c r="E261" s="30"/>
      <c r="F261" s="352">
        <v>11</v>
      </c>
      <c r="G261" s="351" t="s">
        <v>3123</v>
      </c>
      <c r="H261" s="351"/>
      <c r="I261" s="351" t="s">
        <v>2596</v>
      </c>
      <c r="J261" s="560" t="s">
        <v>2328</v>
      </c>
      <c r="K261" s="311">
        <v>775513.20000000007</v>
      </c>
      <c r="L261" s="311">
        <v>0</v>
      </c>
      <c r="M261" s="311">
        <v>383258.33333333349</v>
      </c>
      <c r="N261" s="311">
        <v>105064.66666666669</v>
      </c>
      <c r="O261" s="311">
        <v>73545.266666666677</v>
      </c>
      <c r="P261" s="68">
        <f t="shared" si="52"/>
        <v>1337381.466666667</v>
      </c>
      <c r="Q261" s="68">
        <f t="shared" si="53"/>
        <v>14711196.133333337</v>
      </c>
      <c r="R261" s="127">
        <f t="shared" si="54"/>
        <v>14711196.133333337</v>
      </c>
      <c r="S261" s="26"/>
    </row>
    <row r="262" spans="1:19" s="84" customFormat="1" ht="30">
      <c r="A262" s="211"/>
      <c r="B262" s="29" t="s">
        <v>2066</v>
      </c>
      <c r="C262" s="30" t="s">
        <v>117</v>
      </c>
      <c r="D262" s="352">
        <v>2</v>
      </c>
      <c r="E262" s="30"/>
      <c r="F262" s="352">
        <v>2</v>
      </c>
      <c r="G262" s="351" t="s">
        <v>3123</v>
      </c>
      <c r="H262" s="351"/>
      <c r="I262" s="351" t="s">
        <v>2596</v>
      </c>
      <c r="J262" s="560" t="s">
        <v>2328</v>
      </c>
      <c r="K262" s="311">
        <v>881265.00000000012</v>
      </c>
      <c r="L262" s="311">
        <v>0</v>
      </c>
      <c r="M262" s="311">
        <v>435520.83333333337</v>
      </c>
      <c r="N262" s="311">
        <v>119391.66666666669</v>
      </c>
      <c r="O262" s="311">
        <v>83574.166666666686</v>
      </c>
      <c r="P262" s="68">
        <f t="shared" si="52"/>
        <v>1519751.666666667</v>
      </c>
      <c r="Q262" s="68">
        <f t="shared" si="53"/>
        <v>3039503.333333334</v>
      </c>
      <c r="R262" s="127">
        <f t="shared" si="54"/>
        <v>3039503.333333334</v>
      </c>
      <c r="S262" s="26"/>
    </row>
    <row r="263" spans="1:19" s="84" customFormat="1" ht="30">
      <c r="A263" s="211"/>
      <c r="B263" s="29" t="s">
        <v>2067</v>
      </c>
      <c r="C263" s="30" t="s">
        <v>117</v>
      </c>
      <c r="D263" s="352">
        <v>34</v>
      </c>
      <c r="E263" s="30"/>
      <c r="F263" s="352">
        <v>34</v>
      </c>
      <c r="G263" s="351" t="s">
        <v>3123</v>
      </c>
      <c r="H263" s="351"/>
      <c r="I263" s="351" t="s">
        <v>2596</v>
      </c>
      <c r="J263" s="560" t="s">
        <v>2328</v>
      </c>
      <c r="K263" s="311">
        <v>634510.80000000005</v>
      </c>
      <c r="L263" s="311">
        <v>0</v>
      </c>
      <c r="M263" s="311">
        <v>313575.00000000006</v>
      </c>
      <c r="N263" s="311">
        <v>85962</v>
      </c>
      <c r="O263" s="311">
        <v>60173.400000000009</v>
      </c>
      <c r="P263" s="68">
        <f t="shared" si="52"/>
        <v>1094221.2</v>
      </c>
      <c r="Q263" s="68">
        <f t="shared" si="53"/>
        <v>37203520.799999997</v>
      </c>
      <c r="R263" s="127">
        <f t="shared" si="54"/>
        <v>37203520.799999997</v>
      </c>
      <c r="S263" s="26"/>
    </row>
    <row r="264" spans="1:19" s="84" customFormat="1" ht="30">
      <c r="A264" s="211"/>
      <c r="B264" s="29" t="s">
        <v>1568</v>
      </c>
      <c r="C264" s="30" t="s">
        <v>117</v>
      </c>
      <c r="D264" s="352">
        <v>6</v>
      </c>
      <c r="E264" s="30"/>
      <c r="F264" s="352">
        <v>6</v>
      </c>
      <c r="G264" s="351" t="s">
        <v>3123</v>
      </c>
      <c r="H264" s="351"/>
      <c r="I264" s="351" t="s">
        <v>2596</v>
      </c>
      <c r="J264" s="560" t="s">
        <v>2328</v>
      </c>
      <c r="K264" s="311">
        <v>423007.2</v>
      </c>
      <c r="L264" s="311">
        <v>0</v>
      </c>
      <c r="M264" s="311">
        <v>209050.00000000003</v>
      </c>
      <c r="N264" s="311">
        <v>57308</v>
      </c>
      <c r="O264" s="311">
        <v>40115.600000000006</v>
      </c>
      <c r="P264" s="68">
        <f t="shared" si="52"/>
        <v>729480.8</v>
      </c>
      <c r="Q264" s="68">
        <f t="shared" si="53"/>
        <v>4376884.8000000007</v>
      </c>
      <c r="R264" s="127">
        <f t="shared" si="54"/>
        <v>4376884.8000000007</v>
      </c>
      <c r="S264" s="26"/>
    </row>
    <row r="265" spans="1:19" s="83" customFormat="1">
      <c r="A265" s="217">
        <v>4.2</v>
      </c>
      <c r="B265" s="82" t="s">
        <v>2068</v>
      </c>
      <c r="C265" s="28"/>
      <c r="D265" s="352"/>
      <c r="E265" s="28"/>
      <c r="F265" s="352"/>
      <c r="G265" s="28"/>
      <c r="H265" s="28"/>
      <c r="I265" s="28"/>
      <c r="J265" s="580"/>
      <c r="K265" s="80"/>
      <c r="L265" s="80"/>
      <c r="M265" s="80"/>
      <c r="N265" s="80"/>
      <c r="O265" s="80"/>
      <c r="P265" s="80"/>
      <c r="Q265" s="80"/>
      <c r="R265" s="80"/>
      <c r="S265" s="28"/>
    </row>
    <row r="266" spans="1:19" s="84" customFormat="1" ht="30">
      <c r="A266" s="211"/>
      <c r="B266" s="29" t="s">
        <v>2069</v>
      </c>
      <c r="C266" s="30" t="s">
        <v>1350</v>
      </c>
      <c r="D266" s="352">
        <v>1</v>
      </c>
      <c r="E266" s="30"/>
      <c r="F266" s="352">
        <v>1</v>
      </c>
      <c r="G266" s="351" t="s">
        <v>3351</v>
      </c>
      <c r="H266" s="351"/>
      <c r="I266" s="351" t="s">
        <v>2596</v>
      </c>
      <c r="J266" s="560" t="s">
        <v>2328</v>
      </c>
      <c r="K266" s="311">
        <v>6450161.1972000003</v>
      </c>
      <c r="L266" s="311">
        <v>0</v>
      </c>
      <c r="M266" s="311">
        <v>288828.00000000006</v>
      </c>
      <c r="N266" s="311">
        <v>617317.90800000005</v>
      </c>
      <c r="O266" s="311">
        <v>432122.53560000006</v>
      </c>
      <c r="P266" s="68">
        <f t="shared" ref="P266:P275" si="55">SUM(K266:O266)</f>
        <v>7788429.6408000002</v>
      </c>
      <c r="Q266" s="68">
        <f t="shared" ref="Q266:Q275" si="56">D266*P266</f>
        <v>7788429.6408000002</v>
      </c>
      <c r="R266" s="127">
        <f t="shared" ref="R266:R275" si="57">F266*P266</f>
        <v>7788429.6408000002</v>
      </c>
      <c r="S266" s="30"/>
    </row>
    <row r="267" spans="1:19" s="84" customFormat="1" ht="30">
      <c r="A267" s="211"/>
      <c r="B267" s="29" t="s">
        <v>2062</v>
      </c>
      <c r="C267" s="30" t="s">
        <v>1350</v>
      </c>
      <c r="D267" s="352">
        <v>1</v>
      </c>
      <c r="E267" s="30"/>
      <c r="F267" s="352">
        <v>1</v>
      </c>
      <c r="G267" s="351" t="s">
        <v>3351</v>
      </c>
      <c r="H267" s="351"/>
      <c r="I267" s="351" t="s">
        <v>2596</v>
      </c>
      <c r="J267" s="560" t="s">
        <v>2328</v>
      </c>
      <c r="K267" s="311">
        <v>4855285.1872000005</v>
      </c>
      <c r="L267" s="311">
        <v>0</v>
      </c>
      <c r="M267" s="311">
        <v>208146.00000000003</v>
      </c>
      <c r="N267" s="311">
        <v>463859.00800000003</v>
      </c>
      <c r="O267" s="311">
        <v>324701.30560000002</v>
      </c>
      <c r="P267" s="68">
        <f t="shared" si="55"/>
        <v>5851991.5008000005</v>
      </c>
      <c r="Q267" s="68">
        <f t="shared" si="56"/>
        <v>5851991.5008000005</v>
      </c>
      <c r="R267" s="127">
        <f t="shared" si="57"/>
        <v>5851991.5008000005</v>
      </c>
      <c r="S267" s="522"/>
    </row>
    <row r="268" spans="1:19" s="84" customFormat="1" ht="30">
      <c r="A268" s="211"/>
      <c r="B268" s="29" t="s">
        <v>2070</v>
      </c>
      <c r="C268" s="30" t="s">
        <v>1350</v>
      </c>
      <c r="D268" s="352">
        <v>2</v>
      </c>
      <c r="E268" s="30"/>
      <c r="F268" s="352">
        <v>2</v>
      </c>
      <c r="G268" s="351" t="s">
        <v>3351</v>
      </c>
      <c r="H268" s="351"/>
      <c r="I268" s="351" t="s">
        <v>2596</v>
      </c>
      <c r="J268" s="560" t="s">
        <v>2328</v>
      </c>
      <c r="K268" s="311">
        <v>4833208.6978000002</v>
      </c>
      <c r="L268" s="311">
        <v>0</v>
      </c>
      <c r="M268" s="311">
        <v>208146.00000000003</v>
      </c>
      <c r="N268" s="311">
        <v>461833.64199999999</v>
      </c>
      <c r="O268" s="311">
        <v>323283.54940000002</v>
      </c>
      <c r="P268" s="68">
        <f t="shared" si="55"/>
        <v>5826471.8892000001</v>
      </c>
      <c r="Q268" s="68">
        <f t="shared" si="56"/>
        <v>11652943.7784</v>
      </c>
      <c r="R268" s="127">
        <f t="shared" si="57"/>
        <v>11652943.7784</v>
      </c>
      <c r="S268" s="524"/>
    </row>
    <row r="269" spans="1:19" s="84" customFormat="1" ht="30">
      <c r="A269" s="211"/>
      <c r="B269" s="29" t="s">
        <v>1571</v>
      </c>
      <c r="C269" s="30" t="s">
        <v>1350</v>
      </c>
      <c r="D269" s="352">
        <v>2</v>
      </c>
      <c r="E269" s="30"/>
      <c r="F269" s="352">
        <v>2</v>
      </c>
      <c r="G269" s="351" t="s">
        <v>3351</v>
      </c>
      <c r="H269" s="351"/>
      <c r="I269" s="351" t="s">
        <v>2596</v>
      </c>
      <c r="J269" s="560" t="s">
        <v>2328</v>
      </c>
      <c r="K269" s="311">
        <v>4464423.3298000004</v>
      </c>
      <c r="L269" s="311">
        <v>0</v>
      </c>
      <c r="M269" s="311">
        <v>172551.00000000003</v>
      </c>
      <c r="N269" s="311">
        <v>424850.12199999997</v>
      </c>
      <c r="O269" s="311">
        <v>297395.08539999998</v>
      </c>
      <c r="P269" s="68">
        <f t="shared" si="55"/>
        <v>5359219.5372000001</v>
      </c>
      <c r="Q269" s="68">
        <f t="shared" si="56"/>
        <v>10718439.0744</v>
      </c>
      <c r="R269" s="127">
        <f t="shared" si="57"/>
        <v>10718439.0744</v>
      </c>
      <c r="S269" s="524"/>
    </row>
    <row r="270" spans="1:19" s="84" customFormat="1" ht="30">
      <c r="A270" s="211"/>
      <c r="B270" s="29" t="s">
        <v>1665</v>
      </c>
      <c r="C270" s="30" t="s">
        <v>1350</v>
      </c>
      <c r="D270" s="352">
        <v>2</v>
      </c>
      <c r="E270" s="30"/>
      <c r="F270" s="352">
        <v>2</v>
      </c>
      <c r="G270" s="351" t="s">
        <v>3351</v>
      </c>
      <c r="H270" s="351"/>
      <c r="I270" s="351" t="s">
        <v>2596</v>
      </c>
      <c r="J270" s="560" t="s">
        <v>2328</v>
      </c>
      <c r="K270" s="311">
        <v>4288075.2600000007</v>
      </c>
      <c r="L270" s="311">
        <v>0</v>
      </c>
      <c r="M270" s="311">
        <v>172551.00000000003</v>
      </c>
      <c r="N270" s="311">
        <v>408671.4</v>
      </c>
      <c r="O270" s="311">
        <v>286069.98000000004</v>
      </c>
      <c r="P270" s="68">
        <f t="shared" si="55"/>
        <v>5155367.6400000015</v>
      </c>
      <c r="Q270" s="68">
        <f t="shared" si="56"/>
        <v>10310735.280000003</v>
      </c>
      <c r="R270" s="127">
        <f t="shared" si="57"/>
        <v>10310735.280000003</v>
      </c>
      <c r="S270" s="524"/>
    </row>
    <row r="271" spans="1:19" s="84" customFormat="1" ht="30">
      <c r="A271" s="211"/>
      <c r="B271" s="29" t="s">
        <v>2071</v>
      </c>
      <c r="C271" s="30" t="s">
        <v>1350</v>
      </c>
      <c r="D271" s="352">
        <v>7</v>
      </c>
      <c r="E271" s="30"/>
      <c r="F271" s="352">
        <v>7</v>
      </c>
      <c r="G271" s="351" t="s">
        <v>3351</v>
      </c>
      <c r="H271" s="351"/>
      <c r="I271" s="351" t="s">
        <v>2596</v>
      </c>
      <c r="J271" s="560" t="s">
        <v>2328</v>
      </c>
      <c r="K271" s="311">
        <v>4135215.8400000003</v>
      </c>
      <c r="L271" s="311">
        <v>0</v>
      </c>
      <c r="M271" s="311">
        <v>172551.00000000003</v>
      </c>
      <c r="N271" s="311">
        <v>394647.60000000003</v>
      </c>
      <c r="O271" s="311">
        <v>276253.32</v>
      </c>
      <c r="P271" s="68">
        <f t="shared" si="55"/>
        <v>4978667.7600000007</v>
      </c>
      <c r="Q271" s="68">
        <f t="shared" si="56"/>
        <v>34850674.320000008</v>
      </c>
      <c r="R271" s="127">
        <f t="shared" si="57"/>
        <v>34850674.320000008</v>
      </c>
      <c r="S271" s="524"/>
    </row>
    <row r="272" spans="1:19" s="84" customFormat="1" ht="30">
      <c r="A272" s="211"/>
      <c r="B272" s="29" t="s">
        <v>2063</v>
      </c>
      <c r="C272" s="30" t="s">
        <v>1350</v>
      </c>
      <c r="D272" s="352">
        <v>2</v>
      </c>
      <c r="E272" s="30"/>
      <c r="F272" s="352">
        <v>2</v>
      </c>
      <c r="G272" s="351" t="s">
        <v>3351</v>
      </c>
      <c r="H272" s="351"/>
      <c r="I272" s="351" t="s">
        <v>2596</v>
      </c>
      <c r="J272" s="560" t="s">
        <v>2328</v>
      </c>
      <c r="K272" s="311">
        <v>3948154.7924000002</v>
      </c>
      <c r="L272" s="311">
        <v>0</v>
      </c>
      <c r="M272" s="311">
        <v>172551.00000000003</v>
      </c>
      <c r="N272" s="311">
        <v>377486.03600000002</v>
      </c>
      <c r="O272" s="311">
        <v>264240.22520000004</v>
      </c>
      <c r="P272" s="68">
        <f t="shared" si="55"/>
        <v>4762432.0536000002</v>
      </c>
      <c r="Q272" s="68">
        <f t="shared" si="56"/>
        <v>9524864.1072000004</v>
      </c>
      <c r="R272" s="127">
        <f t="shared" si="57"/>
        <v>9524864.1072000004</v>
      </c>
      <c r="S272" s="524"/>
    </row>
    <row r="273" spans="1:19" s="84" customFormat="1" ht="30">
      <c r="A273" s="211"/>
      <c r="B273" s="29" t="s">
        <v>2064</v>
      </c>
      <c r="C273" s="30" t="s">
        <v>1350</v>
      </c>
      <c r="D273" s="352">
        <v>1</v>
      </c>
      <c r="E273" s="30"/>
      <c r="F273" s="352">
        <v>1</v>
      </c>
      <c r="G273" s="351" t="s">
        <v>3351</v>
      </c>
      <c r="H273" s="351"/>
      <c r="I273" s="351" t="s">
        <v>2596</v>
      </c>
      <c r="J273" s="560" t="s">
        <v>2328</v>
      </c>
      <c r="K273" s="311">
        <v>3396876.0000000005</v>
      </c>
      <c r="L273" s="311">
        <v>0</v>
      </c>
      <c r="M273" s="311">
        <v>172551.00000000003</v>
      </c>
      <c r="N273" s="311">
        <v>326910</v>
      </c>
      <c r="O273" s="311">
        <v>228837.00000000003</v>
      </c>
      <c r="P273" s="68">
        <f t="shared" si="55"/>
        <v>4125174.0000000005</v>
      </c>
      <c r="Q273" s="68">
        <f t="shared" si="56"/>
        <v>4125174.0000000005</v>
      </c>
      <c r="R273" s="127">
        <f t="shared" si="57"/>
        <v>4125174.0000000005</v>
      </c>
      <c r="S273" s="524"/>
    </row>
    <row r="274" spans="1:19" s="84" customFormat="1" ht="30">
      <c r="A274" s="211"/>
      <c r="B274" s="29" t="s">
        <v>2066</v>
      </c>
      <c r="C274" s="30" t="s">
        <v>1350</v>
      </c>
      <c r="D274" s="352">
        <v>1</v>
      </c>
      <c r="E274" s="30"/>
      <c r="F274" s="352">
        <v>1</v>
      </c>
      <c r="G274" s="351" t="s">
        <v>3351</v>
      </c>
      <c r="H274" s="351"/>
      <c r="I274" s="351" t="s">
        <v>2596</v>
      </c>
      <c r="J274" s="560" t="s">
        <v>2328</v>
      </c>
      <c r="K274" s="311">
        <v>3924505.9126000004</v>
      </c>
      <c r="L274" s="311">
        <v>0</v>
      </c>
      <c r="M274" s="311">
        <v>172551.00000000003</v>
      </c>
      <c r="N274" s="311">
        <v>375316.41400000005</v>
      </c>
      <c r="O274" s="311">
        <v>262721.48980000004</v>
      </c>
      <c r="P274" s="68">
        <f t="shared" si="55"/>
        <v>4735094.8163999999</v>
      </c>
      <c r="Q274" s="68">
        <f t="shared" si="56"/>
        <v>4735094.8163999999</v>
      </c>
      <c r="R274" s="127">
        <f t="shared" si="57"/>
        <v>4735094.8163999999</v>
      </c>
      <c r="S274" s="524"/>
    </row>
    <row r="275" spans="1:19" s="84" customFormat="1" ht="30">
      <c r="A275" s="211"/>
      <c r="B275" s="29" t="s">
        <v>2067</v>
      </c>
      <c r="C275" s="30" t="s">
        <v>1350</v>
      </c>
      <c r="D275" s="352">
        <v>2</v>
      </c>
      <c r="E275" s="30"/>
      <c r="F275" s="352">
        <v>2</v>
      </c>
      <c r="G275" s="351" t="s">
        <v>3351</v>
      </c>
      <c r="H275" s="351"/>
      <c r="I275" s="351" t="s">
        <v>2596</v>
      </c>
      <c r="J275" s="560" t="s">
        <v>2328</v>
      </c>
      <c r="K275" s="311">
        <v>2824854.9000000004</v>
      </c>
      <c r="L275" s="311">
        <v>0</v>
      </c>
      <c r="M275" s="311">
        <v>110627.00000000001</v>
      </c>
      <c r="N275" s="311">
        <v>268951</v>
      </c>
      <c r="O275" s="311">
        <v>188265.7</v>
      </c>
      <c r="P275" s="68">
        <f t="shared" si="55"/>
        <v>3392698.6000000006</v>
      </c>
      <c r="Q275" s="68">
        <f t="shared" si="56"/>
        <v>6785397.2000000011</v>
      </c>
      <c r="R275" s="127">
        <f t="shared" si="57"/>
        <v>6785397.2000000011</v>
      </c>
      <c r="S275" s="524"/>
    </row>
    <row r="276" spans="1:19" s="84" customFormat="1">
      <c r="A276" s="217">
        <v>4.3</v>
      </c>
      <c r="B276" s="82" t="s">
        <v>2072</v>
      </c>
      <c r="C276" s="30"/>
      <c r="D276" s="352"/>
      <c r="E276" s="30"/>
      <c r="F276" s="352"/>
      <c r="G276" s="524"/>
      <c r="H276" s="524"/>
      <c r="I276" s="524"/>
      <c r="J276" s="581"/>
      <c r="K276" s="127"/>
      <c r="L276" s="127"/>
      <c r="M276" s="127"/>
      <c r="N276" s="127"/>
      <c r="O276" s="127"/>
      <c r="P276" s="127"/>
      <c r="Q276" s="127"/>
      <c r="R276" s="127"/>
      <c r="S276" s="524"/>
    </row>
    <row r="277" spans="1:19" s="84" customFormat="1" ht="60">
      <c r="A277" s="217"/>
      <c r="B277" s="29" t="s">
        <v>2070</v>
      </c>
      <c r="C277" s="30" t="s">
        <v>1350</v>
      </c>
      <c r="D277" s="352">
        <v>2</v>
      </c>
      <c r="E277" s="30"/>
      <c r="F277" s="352">
        <v>2</v>
      </c>
      <c r="G277" s="351" t="s">
        <v>3126</v>
      </c>
      <c r="H277" s="351"/>
      <c r="I277" s="351" t="s">
        <v>2596</v>
      </c>
      <c r="J277" s="560" t="s">
        <v>2328</v>
      </c>
      <c r="K277" s="311">
        <v>8073652.1488000005</v>
      </c>
      <c r="L277" s="311">
        <v>0</v>
      </c>
      <c r="M277" s="311">
        <v>255229.33333333337</v>
      </c>
      <c r="N277" s="311">
        <v>763288.69866666675</v>
      </c>
      <c r="O277" s="311">
        <v>534302.08906666678</v>
      </c>
      <c r="P277" s="68">
        <f t="shared" ref="P277:P278" si="58">SUM(K277:O277)</f>
        <v>9626472.2698666677</v>
      </c>
      <c r="Q277" s="68">
        <f>D277*P277</f>
        <v>19252944.539733335</v>
      </c>
      <c r="R277" s="127">
        <f>F277*P277</f>
        <v>19252944.539733335</v>
      </c>
      <c r="S277" s="524"/>
    </row>
    <row r="278" spans="1:19" s="84" customFormat="1" ht="60">
      <c r="A278" s="217"/>
      <c r="B278" s="29" t="s">
        <v>2069</v>
      </c>
      <c r="C278" s="30" t="s">
        <v>1350</v>
      </c>
      <c r="D278" s="352">
        <v>1</v>
      </c>
      <c r="E278" s="30"/>
      <c r="F278" s="352">
        <v>1</v>
      </c>
      <c r="G278" s="351" t="s">
        <v>3126</v>
      </c>
      <c r="H278" s="351"/>
      <c r="I278" s="351" t="s">
        <v>2596</v>
      </c>
      <c r="J278" s="560" t="s">
        <v>2328</v>
      </c>
      <c r="K278" s="311">
        <v>9884639.9736000001</v>
      </c>
      <c r="L278" s="311">
        <v>0</v>
      </c>
      <c r="M278" s="311">
        <v>335911.33333333337</v>
      </c>
      <c r="N278" s="311">
        <v>936574.37066666654</v>
      </c>
      <c r="O278" s="311">
        <v>655602.05946666666</v>
      </c>
      <c r="P278" s="68">
        <f t="shared" si="58"/>
        <v>11812727.737066668</v>
      </c>
      <c r="Q278" s="68">
        <f>D278*P278</f>
        <v>11812727.737066668</v>
      </c>
      <c r="R278" s="127">
        <f>F278*P278</f>
        <v>11812727.737066668</v>
      </c>
      <c r="S278" s="524"/>
    </row>
    <row r="279" spans="1:19" s="84" customFormat="1">
      <c r="A279" s="217">
        <v>4.4000000000000004</v>
      </c>
      <c r="B279" s="82" t="s">
        <v>1349</v>
      </c>
      <c r="C279" s="30"/>
      <c r="D279" s="352"/>
      <c r="E279" s="30"/>
      <c r="F279" s="352"/>
      <c r="G279" s="30"/>
      <c r="H279" s="30"/>
      <c r="I279" s="30"/>
      <c r="J279" s="571"/>
      <c r="K279" s="127"/>
      <c r="L279" s="127"/>
      <c r="M279" s="127"/>
      <c r="N279" s="127"/>
      <c r="O279" s="127"/>
      <c r="P279" s="127"/>
      <c r="Q279" s="127"/>
      <c r="R279" s="127"/>
      <c r="S279" s="30"/>
    </row>
    <row r="280" spans="1:19" s="84" customFormat="1" ht="30">
      <c r="A280" s="217"/>
      <c r="B280" s="29" t="s">
        <v>1669</v>
      </c>
      <c r="C280" s="30" t="s">
        <v>1350</v>
      </c>
      <c r="D280" s="352">
        <v>1</v>
      </c>
      <c r="E280" s="30"/>
      <c r="F280" s="352">
        <v>1</v>
      </c>
      <c r="G280" s="351" t="s">
        <v>3123</v>
      </c>
      <c r="H280" s="351"/>
      <c r="I280" s="351" t="s">
        <v>2596</v>
      </c>
      <c r="J280" s="560" t="s">
        <v>2328</v>
      </c>
      <c r="K280" s="311">
        <v>5005036.1452000011</v>
      </c>
      <c r="L280" s="311">
        <v>0</v>
      </c>
      <c r="M280" s="311">
        <v>1641042.5000000002</v>
      </c>
      <c r="N280" s="311">
        <v>604402.62800000003</v>
      </c>
      <c r="O280" s="311">
        <v>423081.83960000006</v>
      </c>
      <c r="P280" s="68">
        <f t="shared" ref="P280:P288" si="59">SUM(K280:O280)</f>
        <v>7673563.1128000021</v>
      </c>
      <c r="Q280" s="68">
        <f t="shared" ref="Q280:Q288" si="60">D280*P280</f>
        <v>7673563.1128000021</v>
      </c>
      <c r="R280" s="127">
        <f t="shared" ref="R280:R288" si="61">F280*P280</f>
        <v>7673563.1128000021</v>
      </c>
      <c r="S280" s="30"/>
    </row>
    <row r="281" spans="1:19" s="84" customFormat="1" ht="30">
      <c r="A281" s="217"/>
      <c r="B281" s="29" t="s">
        <v>2062</v>
      </c>
      <c r="C281" s="30" t="s">
        <v>1350</v>
      </c>
      <c r="D281" s="352">
        <v>2</v>
      </c>
      <c r="E281" s="30"/>
      <c r="F281" s="352">
        <v>2</v>
      </c>
      <c r="G281" s="351" t="s">
        <v>3123</v>
      </c>
      <c r="H281" s="351"/>
      <c r="I281" s="351" t="s">
        <v>2596</v>
      </c>
      <c r="J281" s="560" t="s">
        <v>2328</v>
      </c>
      <c r="K281" s="311">
        <v>2906572.2</v>
      </c>
      <c r="L281" s="311">
        <v>0</v>
      </c>
      <c r="M281" s="311">
        <v>952919.58333333349</v>
      </c>
      <c r="N281" s="311">
        <v>350987.16666666674</v>
      </c>
      <c r="O281" s="311">
        <v>245691.01666666672</v>
      </c>
      <c r="P281" s="68">
        <f t="shared" si="59"/>
        <v>4456169.9666666668</v>
      </c>
      <c r="Q281" s="68">
        <f t="shared" si="60"/>
        <v>8912339.9333333336</v>
      </c>
      <c r="R281" s="127">
        <f t="shared" si="61"/>
        <v>8912339.9333333336</v>
      </c>
      <c r="S281" s="30"/>
    </row>
    <row r="282" spans="1:19" s="84" customFormat="1" ht="30">
      <c r="A282" s="217"/>
      <c r="B282" s="29" t="s">
        <v>2070</v>
      </c>
      <c r="C282" s="30" t="s">
        <v>1350</v>
      </c>
      <c r="D282" s="352">
        <v>11</v>
      </c>
      <c r="E282" s="30"/>
      <c r="F282" s="352">
        <v>11</v>
      </c>
      <c r="G282" s="351" t="s">
        <v>3123</v>
      </c>
      <c r="H282" s="351"/>
      <c r="I282" s="351" t="s">
        <v>2596</v>
      </c>
      <c r="J282" s="560" t="s">
        <v>2328</v>
      </c>
      <c r="K282" s="311">
        <v>2649510.9382000002</v>
      </c>
      <c r="L282" s="311">
        <v>0</v>
      </c>
      <c r="M282" s="311">
        <v>872783.75000000012</v>
      </c>
      <c r="N282" s="311">
        <v>320311.89800000004</v>
      </c>
      <c r="O282" s="311">
        <v>224218.32860000001</v>
      </c>
      <c r="P282" s="68">
        <f t="shared" si="59"/>
        <v>4066824.9148000004</v>
      </c>
      <c r="Q282" s="68">
        <f t="shared" si="60"/>
        <v>44735074.062800005</v>
      </c>
      <c r="R282" s="127">
        <f t="shared" si="61"/>
        <v>44735074.062800005</v>
      </c>
      <c r="S282" s="30"/>
    </row>
    <row r="283" spans="1:19" s="84" customFormat="1" ht="30">
      <c r="A283" s="217"/>
      <c r="B283" s="29" t="s">
        <v>2071</v>
      </c>
      <c r="C283" s="30" t="s">
        <v>1350</v>
      </c>
      <c r="D283" s="352">
        <v>7</v>
      </c>
      <c r="E283" s="30"/>
      <c r="F283" s="352">
        <v>7</v>
      </c>
      <c r="G283" s="351" t="s">
        <v>3123</v>
      </c>
      <c r="H283" s="351"/>
      <c r="I283" s="351" t="s">
        <v>2596</v>
      </c>
      <c r="J283" s="560" t="s">
        <v>2328</v>
      </c>
      <c r="K283" s="311">
        <v>2075974.0623999999</v>
      </c>
      <c r="L283" s="311">
        <v>0</v>
      </c>
      <c r="M283" s="311">
        <v>684638.75000000012</v>
      </c>
      <c r="N283" s="311">
        <v>251043.83600000001</v>
      </c>
      <c r="O283" s="311">
        <v>175730.68520000001</v>
      </c>
      <c r="P283" s="68">
        <f t="shared" si="59"/>
        <v>3187387.3336000005</v>
      </c>
      <c r="Q283" s="68">
        <f t="shared" si="60"/>
        <v>22311711.335200004</v>
      </c>
      <c r="R283" s="127">
        <f t="shared" si="61"/>
        <v>22311711.335200004</v>
      </c>
      <c r="S283" s="30"/>
    </row>
    <row r="284" spans="1:19" s="84" customFormat="1" ht="30">
      <c r="A284" s="217"/>
      <c r="B284" s="29" t="s">
        <v>2063</v>
      </c>
      <c r="C284" s="30" t="s">
        <v>1350</v>
      </c>
      <c r="D284" s="352">
        <v>1</v>
      </c>
      <c r="E284" s="30"/>
      <c r="F284" s="352">
        <v>1</v>
      </c>
      <c r="G284" s="351" t="s">
        <v>3123</v>
      </c>
      <c r="H284" s="351"/>
      <c r="I284" s="351" t="s">
        <v>2596</v>
      </c>
      <c r="J284" s="560" t="s">
        <v>2328</v>
      </c>
      <c r="K284" s="311">
        <v>1993088.1516000002</v>
      </c>
      <c r="L284" s="311">
        <v>0</v>
      </c>
      <c r="M284" s="311">
        <v>656765.41666666674</v>
      </c>
      <c r="N284" s="311">
        <v>240972.95733333332</v>
      </c>
      <c r="O284" s="311">
        <v>168681.07013333336</v>
      </c>
      <c r="P284" s="68">
        <f t="shared" si="59"/>
        <v>3059507.5957333338</v>
      </c>
      <c r="Q284" s="68">
        <f t="shared" si="60"/>
        <v>3059507.5957333338</v>
      </c>
      <c r="R284" s="127">
        <f t="shared" si="61"/>
        <v>3059507.5957333338</v>
      </c>
      <c r="S284" s="30"/>
    </row>
    <row r="285" spans="1:19" s="84" customFormat="1" ht="30">
      <c r="A285" s="217"/>
      <c r="B285" s="29" t="s">
        <v>1570</v>
      </c>
      <c r="C285" s="30" t="s">
        <v>1350</v>
      </c>
      <c r="D285" s="352">
        <v>2</v>
      </c>
      <c r="E285" s="30"/>
      <c r="F285" s="352">
        <v>2</v>
      </c>
      <c r="G285" s="351" t="s">
        <v>3123</v>
      </c>
      <c r="H285" s="351"/>
      <c r="I285" s="351" t="s">
        <v>2596</v>
      </c>
      <c r="J285" s="560" t="s">
        <v>2328</v>
      </c>
      <c r="K285" s="311">
        <v>1163269.8</v>
      </c>
      <c r="L285" s="311">
        <v>0</v>
      </c>
      <c r="M285" s="311">
        <v>383258.33333333349</v>
      </c>
      <c r="N285" s="311">
        <v>140638.66666666669</v>
      </c>
      <c r="O285" s="311">
        <v>98447.06666666668</v>
      </c>
      <c r="P285" s="68">
        <f t="shared" si="59"/>
        <v>1785613.8666666669</v>
      </c>
      <c r="Q285" s="68">
        <f t="shared" si="60"/>
        <v>3571227.7333333339</v>
      </c>
      <c r="R285" s="127">
        <f t="shared" si="61"/>
        <v>3571227.7333333339</v>
      </c>
      <c r="S285" s="26"/>
    </row>
    <row r="286" spans="1:19" s="84" customFormat="1" ht="30">
      <c r="A286" s="217"/>
      <c r="B286" s="29" t="s">
        <v>2064</v>
      </c>
      <c r="C286" s="30" t="s">
        <v>1350</v>
      </c>
      <c r="D286" s="352">
        <v>2</v>
      </c>
      <c r="E286" s="30"/>
      <c r="F286" s="352">
        <v>2</v>
      </c>
      <c r="G286" s="351" t="s">
        <v>3123</v>
      </c>
      <c r="H286" s="351"/>
      <c r="I286" s="351" t="s">
        <v>2596</v>
      </c>
      <c r="J286" s="560" t="s">
        <v>2328</v>
      </c>
      <c r="K286" s="311">
        <v>1528161.5789999999</v>
      </c>
      <c r="L286" s="311">
        <v>0</v>
      </c>
      <c r="M286" s="311">
        <v>503462.08333333343</v>
      </c>
      <c r="N286" s="311">
        <v>184752.47666666668</v>
      </c>
      <c r="O286" s="311">
        <v>129326.73366666668</v>
      </c>
      <c r="P286" s="68">
        <f t="shared" si="59"/>
        <v>2345702.8726666667</v>
      </c>
      <c r="Q286" s="68">
        <f t="shared" si="60"/>
        <v>4691405.7453333335</v>
      </c>
      <c r="R286" s="127">
        <f t="shared" si="61"/>
        <v>4691405.7453333335</v>
      </c>
      <c r="S286" s="26"/>
    </row>
    <row r="287" spans="1:19" s="84" customFormat="1" ht="30">
      <c r="A287" s="217"/>
      <c r="B287" s="29" t="s">
        <v>2067</v>
      </c>
      <c r="C287" s="30" t="s">
        <v>1350</v>
      </c>
      <c r="D287" s="352">
        <v>7</v>
      </c>
      <c r="E287" s="30"/>
      <c r="F287" s="352">
        <v>7</v>
      </c>
      <c r="G287" s="351" t="s">
        <v>3123</v>
      </c>
      <c r="H287" s="351"/>
      <c r="I287" s="351" t="s">
        <v>2596</v>
      </c>
      <c r="J287" s="560" t="s">
        <v>2328</v>
      </c>
      <c r="K287" s="311">
        <v>897461.04840000009</v>
      </c>
      <c r="L287" s="311">
        <v>0</v>
      </c>
      <c r="M287" s="311">
        <v>296154.16666666669</v>
      </c>
      <c r="N287" s="311">
        <v>108544.20933333333</v>
      </c>
      <c r="O287" s="311">
        <v>75980.946533333336</v>
      </c>
      <c r="P287" s="68">
        <f t="shared" si="59"/>
        <v>1378140.3709333334</v>
      </c>
      <c r="Q287" s="68">
        <f t="shared" si="60"/>
        <v>9646982.5965333339</v>
      </c>
      <c r="R287" s="127">
        <f t="shared" si="61"/>
        <v>9646982.5965333339</v>
      </c>
      <c r="S287" s="26"/>
    </row>
    <row r="288" spans="1:19" s="84" customFormat="1" ht="30">
      <c r="A288" s="217"/>
      <c r="B288" s="29" t="s">
        <v>1568</v>
      </c>
      <c r="C288" s="30" t="s">
        <v>1350</v>
      </c>
      <c r="D288" s="352">
        <v>2</v>
      </c>
      <c r="E288" s="30"/>
      <c r="F288" s="352">
        <v>2</v>
      </c>
      <c r="G288" s="351" t="s">
        <v>3123</v>
      </c>
      <c r="H288" s="351"/>
      <c r="I288" s="351" t="s">
        <v>2596</v>
      </c>
      <c r="J288" s="560" t="s">
        <v>2328</v>
      </c>
      <c r="K288" s="311">
        <v>398236.71019999997</v>
      </c>
      <c r="L288" s="311">
        <v>0</v>
      </c>
      <c r="M288" s="311">
        <v>130656.25000000001</v>
      </c>
      <c r="N288" s="311">
        <v>48097.978000000003</v>
      </c>
      <c r="O288" s="311">
        <v>33668.584600000002</v>
      </c>
      <c r="P288" s="68">
        <f t="shared" si="59"/>
        <v>610659.52279999992</v>
      </c>
      <c r="Q288" s="68">
        <f t="shared" si="60"/>
        <v>1221319.0455999998</v>
      </c>
      <c r="R288" s="127">
        <f t="shared" si="61"/>
        <v>1221319.0455999998</v>
      </c>
      <c r="S288" s="26"/>
    </row>
    <row r="289" spans="1:19" s="84" customFormat="1">
      <c r="A289" s="217">
        <v>4.5</v>
      </c>
      <c r="B289" s="82" t="s">
        <v>2073</v>
      </c>
      <c r="C289" s="30"/>
      <c r="D289" s="352"/>
      <c r="E289" s="30"/>
      <c r="F289" s="352"/>
      <c r="G289" s="30"/>
      <c r="H289" s="30"/>
      <c r="I289" s="30"/>
      <c r="J289" s="571"/>
      <c r="K289" s="127"/>
      <c r="L289" s="127"/>
      <c r="M289" s="127"/>
      <c r="N289" s="127"/>
      <c r="O289" s="127"/>
      <c r="P289" s="127"/>
      <c r="Q289" s="127"/>
      <c r="R289" s="127"/>
      <c r="S289" s="30"/>
    </row>
    <row r="290" spans="1:19" s="84" customFormat="1" ht="30">
      <c r="A290" s="217"/>
      <c r="B290" s="29" t="s">
        <v>1571</v>
      </c>
      <c r="C290" s="30" t="s">
        <v>1350</v>
      </c>
      <c r="D290" s="352">
        <v>1</v>
      </c>
      <c r="E290" s="30"/>
      <c r="F290" s="352">
        <v>1</v>
      </c>
      <c r="G290" s="351" t="s">
        <v>3123</v>
      </c>
      <c r="H290" s="351"/>
      <c r="I290" s="351" t="s">
        <v>2596</v>
      </c>
      <c r="J290" s="560" t="s">
        <v>2328</v>
      </c>
      <c r="K290" s="311">
        <v>4315229.9722000007</v>
      </c>
      <c r="L290" s="311">
        <v>0</v>
      </c>
      <c r="M290" s="311">
        <v>738643.33333333349</v>
      </c>
      <c r="N290" s="311">
        <v>461259.32466666674</v>
      </c>
      <c r="O290" s="311">
        <v>322881.5272666667</v>
      </c>
      <c r="P290" s="68">
        <f>SUM(K290:O290)</f>
        <v>5838014.1574666677</v>
      </c>
      <c r="Q290" s="68">
        <f>D290*P290</f>
        <v>5838014.1574666677</v>
      </c>
      <c r="R290" s="127">
        <f>F290*P290</f>
        <v>5838014.1574666677</v>
      </c>
      <c r="S290" s="329"/>
    </row>
    <row r="291" spans="1:19" s="84" customFormat="1">
      <c r="A291" s="217">
        <v>4.5999999999999996</v>
      </c>
      <c r="B291" s="82" t="s">
        <v>2074</v>
      </c>
      <c r="C291" s="30"/>
      <c r="D291" s="352"/>
      <c r="E291" s="30"/>
      <c r="F291" s="352"/>
      <c r="G291" s="30"/>
      <c r="H291" s="30"/>
      <c r="I291" s="30"/>
      <c r="J291" s="571"/>
      <c r="K291" s="127"/>
      <c r="L291" s="127"/>
      <c r="M291" s="127"/>
      <c r="N291" s="127"/>
      <c r="O291" s="127"/>
      <c r="P291" s="127"/>
      <c r="Q291" s="127"/>
      <c r="R291" s="127"/>
      <c r="S291" s="30"/>
    </row>
    <row r="292" spans="1:19" s="84" customFormat="1">
      <c r="A292" s="217"/>
      <c r="B292" s="29" t="s">
        <v>1568</v>
      </c>
      <c r="C292" s="30" t="s">
        <v>1350</v>
      </c>
      <c r="D292" s="352">
        <v>3</v>
      </c>
      <c r="E292" s="30"/>
      <c r="F292" s="352">
        <v>3</v>
      </c>
      <c r="G292" s="351" t="s">
        <v>3161</v>
      </c>
      <c r="H292" s="351"/>
      <c r="I292" s="351" t="s">
        <v>2596</v>
      </c>
      <c r="J292" s="560" t="s">
        <v>2328</v>
      </c>
      <c r="K292" s="311">
        <v>147753.42400000003</v>
      </c>
      <c r="L292" s="311">
        <v>0</v>
      </c>
      <c r="M292" s="311">
        <v>102406.25000000001</v>
      </c>
      <c r="N292" s="311">
        <v>22617.86</v>
      </c>
      <c r="O292" s="311">
        <v>15832.502000000002</v>
      </c>
      <c r="P292" s="68">
        <f>SUM(K292:O292)</f>
        <v>288610.03600000002</v>
      </c>
      <c r="Q292" s="68">
        <f>D292*P292</f>
        <v>865830.10800000001</v>
      </c>
      <c r="R292" s="127">
        <f>F292*P292</f>
        <v>865830.10800000001</v>
      </c>
      <c r="S292" s="26"/>
    </row>
    <row r="293" spans="1:19" s="84" customFormat="1">
      <c r="A293" s="217">
        <v>4.7</v>
      </c>
      <c r="B293" s="78" t="s">
        <v>1352</v>
      </c>
      <c r="C293" s="30"/>
      <c r="D293" s="352"/>
      <c r="E293" s="30"/>
      <c r="F293" s="352"/>
      <c r="G293" s="26"/>
      <c r="H293" s="26"/>
      <c r="I293" s="26"/>
      <c r="J293" s="559"/>
      <c r="K293" s="66"/>
      <c r="L293" s="66"/>
      <c r="M293" s="66"/>
      <c r="N293" s="66"/>
      <c r="O293" s="66"/>
      <c r="P293" s="66"/>
      <c r="Q293" s="66"/>
      <c r="R293" s="66"/>
      <c r="S293" s="26"/>
    </row>
    <row r="294" spans="1:19" s="84" customFormat="1" ht="30">
      <c r="A294" s="217"/>
      <c r="B294" s="29" t="s">
        <v>2075</v>
      </c>
      <c r="C294" s="30" t="s">
        <v>1350</v>
      </c>
      <c r="D294" s="352">
        <v>1</v>
      </c>
      <c r="E294" s="30"/>
      <c r="F294" s="352">
        <v>1</v>
      </c>
      <c r="G294" s="351" t="s">
        <v>3123</v>
      </c>
      <c r="H294" s="351"/>
      <c r="I294" s="351" t="s">
        <v>2596</v>
      </c>
      <c r="J294" s="560" t="s">
        <v>2328</v>
      </c>
      <c r="K294" s="311">
        <v>710554.8898</v>
      </c>
      <c r="L294" s="311">
        <v>0</v>
      </c>
      <c r="M294" s="311">
        <v>275249.16666666669</v>
      </c>
      <c r="N294" s="311">
        <v>89546.85533333334</v>
      </c>
      <c r="O294" s="311">
        <v>62682.798733333337</v>
      </c>
      <c r="P294" s="68">
        <f t="shared" ref="P294:P296" si="62">SUM(K294:O294)</f>
        <v>1138033.7105333335</v>
      </c>
      <c r="Q294" s="68">
        <f>D294*P294</f>
        <v>1138033.7105333335</v>
      </c>
      <c r="R294" s="127">
        <f>F294*P294</f>
        <v>1138033.7105333335</v>
      </c>
      <c r="S294" s="26"/>
    </row>
    <row r="295" spans="1:19" s="84" customFormat="1" ht="30">
      <c r="A295" s="217"/>
      <c r="B295" s="29" t="s">
        <v>2076</v>
      </c>
      <c r="C295" s="30" t="s">
        <v>1350</v>
      </c>
      <c r="D295" s="352">
        <v>1</v>
      </c>
      <c r="E295" s="30"/>
      <c r="F295" s="352">
        <v>1</v>
      </c>
      <c r="G295" s="351" t="s">
        <v>3123</v>
      </c>
      <c r="H295" s="351"/>
      <c r="I295" s="351" t="s">
        <v>2596</v>
      </c>
      <c r="J295" s="560" t="s">
        <v>2328</v>
      </c>
      <c r="K295" s="311">
        <v>602897.42100000009</v>
      </c>
      <c r="L295" s="311">
        <v>0</v>
      </c>
      <c r="M295" s="311">
        <v>179434.58333333337</v>
      </c>
      <c r="N295" s="311">
        <v>71190.856666666674</v>
      </c>
      <c r="O295" s="311">
        <v>49833.599666666669</v>
      </c>
      <c r="P295" s="68">
        <f t="shared" si="62"/>
        <v>903356.46066666686</v>
      </c>
      <c r="Q295" s="68">
        <f>D295*P295</f>
        <v>903356.46066666686</v>
      </c>
      <c r="R295" s="127">
        <f>F295*P295</f>
        <v>903356.46066666686</v>
      </c>
      <c r="S295" s="26"/>
    </row>
    <row r="296" spans="1:19" s="84" customFormat="1" ht="30">
      <c r="A296" s="217"/>
      <c r="B296" s="29" t="s">
        <v>2077</v>
      </c>
      <c r="C296" s="30" t="s">
        <v>1350</v>
      </c>
      <c r="D296" s="352">
        <v>1</v>
      </c>
      <c r="E296" s="30"/>
      <c r="F296" s="352">
        <v>1</v>
      </c>
      <c r="G296" s="351" t="s">
        <v>3123</v>
      </c>
      <c r="H296" s="351"/>
      <c r="I296" s="351" t="s">
        <v>2596</v>
      </c>
      <c r="J296" s="560" t="s">
        <v>2328</v>
      </c>
      <c r="K296" s="311">
        <v>268667.2548</v>
      </c>
      <c r="L296" s="311">
        <v>0</v>
      </c>
      <c r="M296" s="311">
        <v>106267.08333333334</v>
      </c>
      <c r="N296" s="311">
        <v>34052.538666666667</v>
      </c>
      <c r="O296" s="311">
        <v>23836.777066666669</v>
      </c>
      <c r="P296" s="68">
        <f t="shared" si="62"/>
        <v>432823.65386666672</v>
      </c>
      <c r="Q296" s="68">
        <f>D296*P296</f>
        <v>432823.65386666672</v>
      </c>
      <c r="R296" s="127">
        <f>F296*P296</f>
        <v>432823.65386666672</v>
      </c>
      <c r="S296" s="26"/>
    </row>
    <row r="297" spans="1:19" s="84" customFormat="1">
      <c r="A297" s="217">
        <v>4.8</v>
      </c>
      <c r="B297" s="78" t="s">
        <v>2078</v>
      </c>
      <c r="C297" s="30"/>
      <c r="D297" s="352"/>
      <c r="E297" s="30"/>
      <c r="F297" s="352"/>
      <c r="G297" s="26"/>
      <c r="H297" s="26"/>
      <c r="I297" s="26"/>
      <c r="J297" s="559"/>
      <c r="K297" s="66"/>
      <c r="L297" s="66"/>
      <c r="M297" s="66"/>
      <c r="N297" s="66"/>
      <c r="O297" s="66"/>
      <c r="P297" s="66"/>
      <c r="Q297" s="66"/>
      <c r="R297" s="66"/>
      <c r="S297" s="26"/>
    </row>
    <row r="298" spans="1:19" s="84" customFormat="1" ht="30">
      <c r="A298" s="217"/>
      <c r="B298" s="29" t="s">
        <v>2079</v>
      </c>
      <c r="C298" s="30" t="s">
        <v>1350</v>
      </c>
      <c r="D298" s="352">
        <v>1</v>
      </c>
      <c r="E298" s="30"/>
      <c r="F298" s="352">
        <v>1</v>
      </c>
      <c r="G298" s="351" t="s">
        <v>3123</v>
      </c>
      <c r="H298" s="351"/>
      <c r="I298" s="351" t="s">
        <v>2596</v>
      </c>
      <c r="J298" s="560" t="s">
        <v>2328</v>
      </c>
      <c r="K298" s="311">
        <v>1022267.4</v>
      </c>
      <c r="L298" s="311">
        <v>0</v>
      </c>
      <c r="M298" s="311">
        <v>236923.33333333337</v>
      </c>
      <c r="N298" s="311">
        <v>114752.66666666669</v>
      </c>
      <c r="O298" s="311">
        <v>80326.866666666683</v>
      </c>
      <c r="P298" s="68">
        <f t="shared" ref="P298:P300" si="63">SUM(K298:O298)</f>
        <v>1454270.2666666668</v>
      </c>
      <c r="Q298" s="68">
        <f>D298*P298</f>
        <v>1454270.2666666668</v>
      </c>
      <c r="R298" s="127">
        <f>F298*P298</f>
        <v>1454270.2666666668</v>
      </c>
      <c r="S298" s="26"/>
    </row>
    <row r="299" spans="1:19" s="84" customFormat="1" ht="30">
      <c r="A299" s="217"/>
      <c r="B299" s="29" t="s">
        <v>2077</v>
      </c>
      <c r="C299" s="30" t="s">
        <v>1350</v>
      </c>
      <c r="D299" s="352">
        <v>1</v>
      </c>
      <c r="E299" s="30"/>
      <c r="F299" s="352">
        <v>1</v>
      </c>
      <c r="G299" s="351" t="s">
        <v>3123</v>
      </c>
      <c r="H299" s="351"/>
      <c r="I299" s="351" t="s">
        <v>2596</v>
      </c>
      <c r="J299" s="560" t="s">
        <v>2328</v>
      </c>
      <c r="K299" s="311">
        <v>775513.20000000007</v>
      </c>
      <c r="L299" s="311">
        <v>0</v>
      </c>
      <c r="M299" s="311">
        <v>106267.08333333334</v>
      </c>
      <c r="N299" s="311">
        <v>80552.166666666672</v>
      </c>
      <c r="O299" s="311">
        <v>56386.51666666667</v>
      </c>
      <c r="P299" s="68">
        <f t="shared" si="63"/>
        <v>1018718.9666666668</v>
      </c>
      <c r="Q299" s="68">
        <f>D299*P299</f>
        <v>1018718.9666666668</v>
      </c>
      <c r="R299" s="127">
        <f>F299*P299</f>
        <v>1018718.9666666668</v>
      </c>
      <c r="S299" s="26"/>
    </row>
    <row r="300" spans="1:19" s="84" customFormat="1" ht="30">
      <c r="A300" s="217"/>
      <c r="B300" s="29" t="s">
        <v>2076</v>
      </c>
      <c r="C300" s="30" t="s">
        <v>1350</v>
      </c>
      <c r="D300" s="352">
        <v>1</v>
      </c>
      <c r="E300" s="30"/>
      <c r="F300" s="352">
        <v>1</v>
      </c>
      <c r="G300" s="351" t="s">
        <v>3123</v>
      </c>
      <c r="H300" s="351"/>
      <c r="I300" s="351" t="s">
        <v>2596</v>
      </c>
      <c r="J300" s="560" t="s">
        <v>2328</v>
      </c>
      <c r="K300" s="311">
        <v>1022267.4</v>
      </c>
      <c r="L300" s="311">
        <v>0</v>
      </c>
      <c r="M300" s="311">
        <v>231697.08333333337</v>
      </c>
      <c r="N300" s="311">
        <v>114290.16666666669</v>
      </c>
      <c r="O300" s="311">
        <v>80003.116666666683</v>
      </c>
      <c r="P300" s="68">
        <f t="shared" si="63"/>
        <v>1448257.7666666668</v>
      </c>
      <c r="Q300" s="68">
        <f>D300*P300</f>
        <v>1448257.7666666668</v>
      </c>
      <c r="R300" s="127">
        <f>F300*P300</f>
        <v>1448257.7666666668</v>
      </c>
      <c r="S300" s="26"/>
    </row>
    <row r="301" spans="1:19" s="84" customFormat="1">
      <c r="A301" s="217">
        <v>4.9000000000000004</v>
      </c>
      <c r="B301" s="78" t="s">
        <v>1364</v>
      </c>
      <c r="C301" s="30"/>
      <c r="D301" s="352"/>
      <c r="E301" s="30"/>
      <c r="F301" s="352"/>
      <c r="G301" s="315"/>
      <c r="H301" s="315"/>
      <c r="I301" s="315"/>
      <c r="J301" s="573"/>
      <c r="K301" s="66"/>
      <c r="L301" s="66"/>
      <c r="M301" s="66"/>
      <c r="N301" s="66"/>
      <c r="O301" s="66"/>
      <c r="P301" s="66"/>
      <c r="Q301" s="66"/>
      <c r="R301" s="66"/>
      <c r="S301" s="315"/>
    </row>
    <row r="302" spans="1:19" s="84" customFormat="1" ht="30">
      <c r="A302" s="217"/>
      <c r="B302" s="29" t="s">
        <v>2080</v>
      </c>
      <c r="C302" s="30" t="s">
        <v>1350</v>
      </c>
      <c r="D302" s="352">
        <v>1</v>
      </c>
      <c r="E302" s="30"/>
      <c r="F302" s="352">
        <v>1</v>
      </c>
      <c r="G302" s="351" t="s">
        <v>3123</v>
      </c>
      <c r="H302" s="351"/>
      <c r="I302" s="351" t="s">
        <v>2596</v>
      </c>
      <c r="J302" s="560" t="s">
        <v>2328</v>
      </c>
      <c r="K302" s="311">
        <v>2900076.4758000001</v>
      </c>
      <c r="L302" s="311">
        <v>0</v>
      </c>
      <c r="M302" s="311">
        <v>719480.41666666674</v>
      </c>
      <c r="N302" s="311">
        <v>329732.89533333341</v>
      </c>
      <c r="O302" s="311">
        <v>230813.02673333336</v>
      </c>
      <c r="P302" s="68">
        <f>SUM(K302:O302)</f>
        <v>4180102.8145333338</v>
      </c>
      <c r="Q302" s="68">
        <f>D302*P302</f>
        <v>4180102.8145333338</v>
      </c>
      <c r="R302" s="127">
        <f>F302*P302</f>
        <v>4180102.8145333338</v>
      </c>
      <c r="S302" s="315"/>
    </row>
    <row r="303" spans="1:19" s="84" customFormat="1">
      <c r="A303" s="211">
        <v>4.0999999999999996</v>
      </c>
      <c r="B303" s="78" t="s">
        <v>2081</v>
      </c>
      <c r="C303" s="30"/>
      <c r="D303" s="352"/>
      <c r="E303" s="30"/>
      <c r="F303" s="352"/>
      <c r="G303" s="331"/>
      <c r="H303" s="331"/>
      <c r="I303" s="331"/>
      <c r="J303" s="570"/>
      <c r="K303" s="127"/>
      <c r="L303" s="127"/>
      <c r="M303" s="127"/>
      <c r="N303" s="127"/>
      <c r="O303" s="127"/>
      <c r="P303" s="127"/>
      <c r="Q303" s="127"/>
      <c r="R303" s="127"/>
      <c r="S303" s="331"/>
    </row>
    <row r="304" spans="1:19" s="84" customFormat="1" ht="30">
      <c r="A304" s="211"/>
      <c r="B304" s="29" t="s">
        <v>2082</v>
      </c>
      <c r="C304" s="30" t="s">
        <v>1350</v>
      </c>
      <c r="D304" s="352">
        <v>7</v>
      </c>
      <c r="E304" s="30"/>
      <c r="F304" s="352">
        <v>7</v>
      </c>
      <c r="G304" s="351" t="s">
        <v>3123</v>
      </c>
      <c r="H304" s="351"/>
      <c r="I304" s="351" t="s">
        <v>2596</v>
      </c>
      <c r="J304" s="560" t="s">
        <v>2328</v>
      </c>
      <c r="K304" s="311">
        <v>8438780</v>
      </c>
      <c r="L304" s="311">
        <v>0</v>
      </c>
      <c r="M304" s="311">
        <v>2351812.5000000005</v>
      </c>
      <c r="N304" s="311">
        <v>982325</v>
      </c>
      <c r="O304" s="311">
        <v>687627.50000000012</v>
      </c>
      <c r="P304" s="68">
        <f>SUM(K304:O304)</f>
        <v>12460545</v>
      </c>
      <c r="Q304" s="68">
        <f>D304*P304</f>
        <v>87223815</v>
      </c>
      <c r="R304" s="127">
        <f>F304*P304</f>
        <v>87223815</v>
      </c>
      <c r="S304" s="333"/>
    </row>
    <row r="305" spans="1:19" s="84" customFormat="1">
      <c r="A305" s="211">
        <v>4.1100000000000003</v>
      </c>
      <c r="B305" s="78" t="s">
        <v>1466</v>
      </c>
      <c r="C305" s="30"/>
      <c r="D305" s="352"/>
      <c r="E305" s="30"/>
      <c r="F305" s="352"/>
      <c r="G305" s="333"/>
      <c r="H305" s="333"/>
      <c r="I305" s="333"/>
      <c r="J305" s="569"/>
      <c r="K305" s="66"/>
      <c r="L305" s="66"/>
      <c r="M305" s="66"/>
      <c r="N305" s="66"/>
      <c r="O305" s="66"/>
      <c r="P305" s="66"/>
      <c r="Q305" s="66"/>
      <c r="R305" s="66"/>
      <c r="S305" s="333"/>
    </row>
    <row r="306" spans="1:19" s="84" customFormat="1" ht="30">
      <c r="A306" s="211"/>
      <c r="B306" s="29" t="s">
        <v>2083</v>
      </c>
      <c r="C306" s="30" t="s">
        <v>1350</v>
      </c>
      <c r="D306" s="352">
        <v>9</v>
      </c>
      <c r="E306" s="30"/>
      <c r="F306" s="352">
        <v>9</v>
      </c>
      <c r="G306" s="351" t="s">
        <v>3124</v>
      </c>
      <c r="H306" s="351"/>
      <c r="I306" s="351" t="s">
        <v>2596</v>
      </c>
      <c r="J306" s="560" t="s">
        <v>2328</v>
      </c>
      <c r="K306" s="311">
        <v>1035500.0000000001</v>
      </c>
      <c r="L306" s="311">
        <v>0</v>
      </c>
      <c r="M306" s="311">
        <v>384087.00000000006</v>
      </c>
      <c r="N306" s="311">
        <v>128990</v>
      </c>
      <c r="O306" s="311">
        <v>90293.000000000015</v>
      </c>
      <c r="P306" s="68">
        <f t="shared" ref="P306:P308" si="64">SUM(K306:O306)</f>
        <v>1638870.0000000002</v>
      </c>
      <c r="Q306" s="68">
        <f>D306*P306</f>
        <v>14749830.000000002</v>
      </c>
      <c r="R306" s="127">
        <f>F306*P306</f>
        <v>14749830.000000002</v>
      </c>
      <c r="S306" s="333"/>
    </row>
    <row r="307" spans="1:19" s="84" customFormat="1" ht="30">
      <c r="A307" s="211"/>
      <c r="B307" s="29" t="s">
        <v>2084</v>
      </c>
      <c r="C307" s="30" t="s">
        <v>1350</v>
      </c>
      <c r="D307" s="352">
        <v>2</v>
      </c>
      <c r="E307" s="30"/>
      <c r="F307" s="352">
        <v>2</v>
      </c>
      <c r="G307" s="351" t="s">
        <v>3124</v>
      </c>
      <c r="H307" s="351"/>
      <c r="I307" s="351" t="s">
        <v>2596</v>
      </c>
      <c r="J307" s="560" t="s">
        <v>2328</v>
      </c>
      <c r="K307" s="311">
        <v>706320</v>
      </c>
      <c r="L307" s="311">
        <v>0</v>
      </c>
      <c r="M307" s="311">
        <v>289958.00000000006</v>
      </c>
      <c r="N307" s="311">
        <v>90460</v>
      </c>
      <c r="O307" s="311">
        <v>63322.000000000007</v>
      </c>
      <c r="P307" s="68">
        <f t="shared" si="64"/>
        <v>1150060</v>
      </c>
      <c r="Q307" s="68">
        <f>D307*P307</f>
        <v>2300120</v>
      </c>
      <c r="R307" s="127">
        <f>F307*P307</f>
        <v>2300120</v>
      </c>
      <c r="S307" s="334"/>
    </row>
    <row r="308" spans="1:19" s="84" customFormat="1" ht="30">
      <c r="A308" s="211"/>
      <c r="B308" s="29" t="s">
        <v>2085</v>
      </c>
      <c r="C308" s="30" t="s">
        <v>1350</v>
      </c>
      <c r="D308" s="352">
        <v>3</v>
      </c>
      <c r="E308" s="30"/>
      <c r="F308" s="352">
        <v>3</v>
      </c>
      <c r="G308" s="351" t="s">
        <v>3124</v>
      </c>
      <c r="H308" s="351"/>
      <c r="I308" s="351" t="s">
        <v>2596</v>
      </c>
      <c r="J308" s="560" t="s">
        <v>2328</v>
      </c>
      <c r="K308" s="311">
        <v>166770</v>
      </c>
      <c r="L308" s="311">
        <v>0</v>
      </c>
      <c r="M308" s="311">
        <v>93903.000000000015</v>
      </c>
      <c r="N308" s="311">
        <v>23610</v>
      </c>
      <c r="O308" s="311">
        <v>16527</v>
      </c>
      <c r="P308" s="68">
        <f t="shared" si="64"/>
        <v>300810</v>
      </c>
      <c r="Q308" s="68">
        <f>D308*P308</f>
        <v>902430</v>
      </c>
      <c r="R308" s="127">
        <f>F308*P308</f>
        <v>902430</v>
      </c>
      <c r="S308" s="330"/>
    </row>
    <row r="309" spans="1:19">
      <c r="A309" s="73">
        <v>4.12</v>
      </c>
      <c r="B309" s="72" t="s">
        <v>1440</v>
      </c>
      <c r="C309" s="24"/>
      <c r="D309" s="351"/>
      <c r="E309" s="24"/>
      <c r="F309" s="351"/>
      <c r="G309" s="338"/>
      <c r="H309" s="338"/>
      <c r="I309" s="338"/>
      <c r="J309" s="579"/>
      <c r="K309" s="127"/>
      <c r="L309" s="127"/>
      <c r="M309" s="127"/>
      <c r="N309" s="127"/>
      <c r="O309" s="127"/>
      <c r="P309" s="127"/>
      <c r="Q309" s="127"/>
      <c r="R309" s="127"/>
      <c r="S309" s="338"/>
    </row>
    <row r="310" spans="1:19" ht="30">
      <c r="A310" s="73"/>
      <c r="B310" s="25" t="s">
        <v>1441</v>
      </c>
      <c r="C310" s="26" t="s">
        <v>1336</v>
      </c>
      <c r="D310" s="351">
        <v>6</v>
      </c>
      <c r="E310" s="24"/>
      <c r="F310" s="351">
        <v>6</v>
      </c>
      <c r="G310" s="351" t="s">
        <v>3128</v>
      </c>
      <c r="H310" s="351"/>
      <c r="I310" s="351" t="s">
        <v>2596</v>
      </c>
      <c r="J310" s="560" t="s">
        <v>2328</v>
      </c>
      <c r="K310" s="311">
        <v>463598.80000000005</v>
      </c>
      <c r="L310" s="311">
        <v>0</v>
      </c>
      <c r="M310" s="311">
        <v>243891.66666666666</v>
      </c>
      <c r="N310" s="311">
        <v>64115.333333333328</v>
      </c>
      <c r="O310" s="311">
        <v>44880.73333333333</v>
      </c>
      <c r="P310" s="68">
        <f t="shared" ref="P310:P341" si="65">SUM(K310:O310)</f>
        <v>816486.53333333333</v>
      </c>
      <c r="Q310" s="68">
        <f t="shared" ref="Q310:Q341" si="66">D310*P310</f>
        <v>4898919.2</v>
      </c>
      <c r="R310" s="127">
        <f t="shared" ref="R310:R341" si="67">F310*P310</f>
        <v>4898919.2</v>
      </c>
      <c r="S310" s="26"/>
    </row>
    <row r="311" spans="1:19" ht="30">
      <c r="A311" s="73"/>
      <c r="B311" s="25" t="s">
        <v>1435</v>
      </c>
      <c r="C311" s="26" t="s">
        <v>1336</v>
      </c>
      <c r="D311" s="352">
        <v>6</v>
      </c>
      <c r="E311" s="24"/>
      <c r="F311" s="352">
        <v>6</v>
      </c>
      <c r="G311" s="351" t="s">
        <v>3128</v>
      </c>
      <c r="H311" s="351"/>
      <c r="I311" s="351" t="s">
        <v>2596</v>
      </c>
      <c r="J311" s="560" t="s">
        <v>2328</v>
      </c>
      <c r="K311" s="311">
        <v>463598.80000000005</v>
      </c>
      <c r="L311" s="311">
        <v>0</v>
      </c>
      <c r="M311" s="311">
        <v>243891.66666666666</v>
      </c>
      <c r="N311" s="311">
        <v>64115.333333333328</v>
      </c>
      <c r="O311" s="311">
        <v>44880.73333333333</v>
      </c>
      <c r="P311" s="68">
        <f t="shared" si="65"/>
        <v>816486.53333333333</v>
      </c>
      <c r="Q311" s="68">
        <f t="shared" si="66"/>
        <v>4898919.2</v>
      </c>
      <c r="R311" s="127">
        <f t="shared" si="67"/>
        <v>4898919.2</v>
      </c>
      <c r="S311" s="26"/>
    </row>
    <row r="312" spans="1:19" ht="30">
      <c r="A312" s="73"/>
      <c r="B312" s="25" t="s">
        <v>1335</v>
      </c>
      <c r="C312" s="26" t="s">
        <v>1336</v>
      </c>
      <c r="D312" s="351">
        <v>10</v>
      </c>
      <c r="E312" s="24"/>
      <c r="F312" s="351">
        <v>10</v>
      </c>
      <c r="G312" s="351" t="s">
        <v>3128</v>
      </c>
      <c r="H312" s="351"/>
      <c r="I312" s="351" t="s">
        <v>2596</v>
      </c>
      <c r="J312" s="560" t="s">
        <v>2328</v>
      </c>
      <c r="K312" s="311">
        <v>596055.60000000009</v>
      </c>
      <c r="L312" s="311">
        <v>0</v>
      </c>
      <c r="M312" s="311">
        <v>313575.00000000006</v>
      </c>
      <c r="N312" s="311">
        <v>82434</v>
      </c>
      <c r="O312" s="311">
        <v>57703.8</v>
      </c>
      <c r="P312" s="68">
        <f t="shared" si="65"/>
        <v>1049768.4000000001</v>
      </c>
      <c r="Q312" s="68">
        <f t="shared" si="66"/>
        <v>10497684.000000002</v>
      </c>
      <c r="R312" s="127">
        <f t="shared" si="67"/>
        <v>10497684.000000002</v>
      </c>
      <c r="S312" s="26"/>
    </row>
    <row r="313" spans="1:19" ht="30">
      <c r="A313" s="73"/>
      <c r="B313" s="25" t="s">
        <v>1446</v>
      </c>
      <c r="C313" s="26" t="s">
        <v>1336</v>
      </c>
      <c r="D313" s="351">
        <v>2</v>
      </c>
      <c r="E313" s="24"/>
      <c r="F313" s="351">
        <v>2</v>
      </c>
      <c r="G313" s="351" t="s">
        <v>3128</v>
      </c>
      <c r="H313" s="351"/>
      <c r="I313" s="351" t="s">
        <v>2596</v>
      </c>
      <c r="J313" s="560" t="s">
        <v>2328</v>
      </c>
      <c r="K313" s="311">
        <v>695398.20000000007</v>
      </c>
      <c r="L313" s="311">
        <v>0</v>
      </c>
      <c r="M313" s="311">
        <v>365837.50000000006</v>
      </c>
      <c r="N313" s="311">
        <v>96173</v>
      </c>
      <c r="O313" s="311">
        <v>67321.100000000006</v>
      </c>
      <c r="P313" s="68">
        <f t="shared" si="65"/>
        <v>1224729.8000000003</v>
      </c>
      <c r="Q313" s="68">
        <f t="shared" si="66"/>
        <v>2449459.6000000006</v>
      </c>
      <c r="R313" s="127">
        <f t="shared" si="67"/>
        <v>2449459.6000000006</v>
      </c>
      <c r="S313" s="338"/>
    </row>
    <row r="314" spans="1:19" ht="30">
      <c r="A314" s="73"/>
      <c r="B314" s="25" t="s">
        <v>1447</v>
      </c>
      <c r="C314" s="26" t="s">
        <v>1336</v>
      </c>
      <c r="D314" s="351">
        <v>19</v>
      </c>
      <c r="E314" s="24"/>
      <c r="F314" s="351">
        <v>19</v>
      </c>
      <c r="G314" s="351" t="s">
        <v>3128</v>
      </c>
      <c r="H314" s="351"/>
      <c r="I314" s="351" t="s">
        <v>2596</v>
      </c>
      <c r="J314" s="560" t="s">
        <v>2328</v>
      </c>
      <c r="K314" s="311">
        <v>728512.4</v>
      </c>
      <c r="L314" s="311">
        <v>0</v>
      </c>
      <c r="M314" s="311">
        <v>383258.33333333349</v>
      </c>
      <c r="N314" s="311">
        <v>100752.66666666669</v>
      </c>
      <c r="O314" s="311">
        <v>70526.866666666683</v>
      </c>
      <c r="P314" s="68">
        <f t="shared" si="65"/>
        <v>1283050.2666666668</v>
      </c>
      <c r="Q314" s="68">
        <f t="shared" si="66"/>
        <v>24377955.06666667</v>
      </c>
      <c r="R314" s="127">
        <f t="shared" si="67"/>
        <v>24377955.06666667</v>
      </c>
      <c r="S314" s="26"/>
    </row>
    <row r="315" spans="1:19" ht="30">
      <c r="A315" s="73"/>
      <c r="B315" s="25" t="s">
        <v>1449</v>
      </c>
      <c r="C315" s="26" t="s">
        <v>1336</v>
      </c>
      <c r="D315" s="352">
        <v>5</v>
      </c>
      <c r="E315" s="24"/>
      <c r="F315" s="352">
        <v>5</v>
      </c>
      <c r="G315" s="351" t="s">
        <v>3128</v>
      </c>
      <c r="H315" s="351"/>
      <c r="I315" s="351" t="s">
        <v>2596</v>
      </c>
      <c r="J315" s="560" t="s">
        <v>2328</v>
      </c>
      <c r="K315" s="311">
        <v>860969.20000000007</v>
      </c>
      <c r="L315" s="311">
        <v>0</v>
      </c>
      <c r="M315" s="311">
        <v>452941.66666666674</v>
      </c>
      <c r="N315" s="311">
        <v>119071.33333333336</v>
      </c>
      <c r="O315" s="311">
        <v>83349.933333333349</v>
      </c>
      <c r="P315" s="68">
        <f t="shared" si="65"/>
        <v>1516332.1333333333</v>
      </c>
      <c r="Q315" s="68">
        <f t="shared" si="66"/>
        <v>7581660.666666666</v>
      </c>
      <c r="R315" s="127">
        <f t="shared" si="67"/>
        <v>7581660.666666666</v>
      </c>
      <c r="S315" s="26"/>
    </row>
    <row r="316" spans="1:19" ht="30">
      <c r="A316" s="73"/>
      <c r="B316" s="25" t="s">
        <v>1384</v>
      </c>
      <c r="C316" s="26" t="s">
        <v>1336</v>
      </c>
      <c r="D316" s="351">
        <v>3</v>
      </c>
      <c r="E316" s="24"/>
      <c r="F316" s="351">
        <v>3</v>
      </c>
      <c r="G316" s="351" t="s">
        <v>3128</v>
      </c>
      <c r="H316" s="351"/>
      <c r="I316" s="351" t="s">
        <v>2596</v>
      </c>
      <c r="J316" s="560" t="s">
        <v>2328</v>
      </c>
      <c r="K316" s="311">
        <v>728512.4</v>
      </c>
      <c r="L316" s="311">
        <v>0</v>
      </c>
      <c r="M316" s="311">
        <v>383258.33333333349</v>
      </c>
      <c r="N316" s="311">
        <v>100752.66666666669</v>
      </c>
      <c r="O316" s="311">
        <v>70526.866666666683</v>
      </c>
      <c r="P316" s="68">
        <f t="shared" si="65"/>
        <v>1283050.2666666668</v>
      </c>
      <c r="Q316" s="68">
        <f t="shared" si="66"/>
        <v>3849150.8000000007</v>
      </c>
      <c r="R316" s="127">
        <f t="shared" si="67"/>
        <v>3849150.8000000007</v>
      </c>
      <c r="S316" s="26"/>
    </row>
    <row r="317" spans="1:19" ht="30">
      <c r="A317" s="73"/>
      <c r="B317" s="25" t="s">
        <v>1452</v>
      </c>
      <c r="C317" s="26" t="s">
        <v>1336</v>
      </c>
      <c r="D317" s="351">
        <v>59</v>
      </c>
      <c r="E317" s="24"/>
      <c r="F317" s="351">
        <v>59</v>
      </c>
      <c r="G317" s="351" t="s">
        <v>3128</v>
      </c>
      <c r="H317" s="351"/>
      <c r="I317" s="351" t="s">
        <v>2596</v>
      </c>
      <c r="J317" s="560" t="s">
        <v>2328</v>
      </c>
      <c r="K317" s="311">
        <v>827855.00000000012</v>
      </c>
      <c r="L317" s="311">
        <v>0</v>
      </c>
      <c r="M317" s="311">
        <v>435520.83333333337</v>
      </c>
      <c r="N317" s="311">
        <v>114491.66666666669</v>
      </c>
      <c r="O317" s="311">
        <v>80144.166666666686</v>
      </c>
      <c r="P317" s="68">
        <f t="shared" si="65"/>
        <v>1458011.666666667</v>
      </c>
      <c r="Q317" s="68">
        <f t="shared" si="66"/>
        <v>86022688.333333358</v>
      </c>
      <c r="R317" s="127">
        <f t="shared" si="67"/>
        <v>86022688.333333358</v>
      </c>
      <c r="S317" s="26"/>
    </row>
    <row r="318" spans="1:19" ht="30">
      <c r="A318" s="73"/>
      <c r="B318" s="25" t="s">
        <v>1417</v>
      </c>
      <c r="C318" s="26" t="s">
        <v>1336</v>
      </c>
      <c r="D318" s="352">
        <v>4</v>
      </c>
      <c r="E318" s="24"/>
      <c r="F318" s="352">
        <v>4</v>
      </c>
      <c r="G318" s="351" t="s">
        <v>3128</v>
      </c>
      <c r="H318" s="351"/>
      <c r="I318" s="351" t="s">
        <v>2596</v>
      </c>
      <c r="J318" s="560" t="s">
        <v>2328</v>
      </c>
      <c r="K318" s="311">
        <v>1026540.2000000001</v>
      </c>
      <c r="L318" s="311">
        <v>0</v>
      </c>
      <c r="M318" s="311">
        <v>540045.83333333337</v>
      </c>
      <c r="N318" s="311">
        <v>141969.66666666669</v>
      </c>
      <c r="O318" s="311">
        <v>99378.766666666677</v>
      </c>
      <c r="P318" s="68">
        <f t="shared" si="65"/>
        <v>1807934.4666666668</v>
      </c>
      <c r="Q318" s="68">
        <f t="shared" si="66"/>
        <v>7231737.8666666672</v>
      </c>
      <c r="R318" s="127">
        <f t="shared" si="67"/>
        <v>7231737.8666666672</v>
      </c>
      <c r="S318" s="26"/>
    </row>
    <row r="319" spans="1:19" ht="30">
      <c r="A319" s="73"/>
      <c r="B319" s="25" t="s">
        <v>1453</v>
      </c>
      <c r="C319" s="26" t="s">
        <v>1336</v>
      </c>
      <c r="D319" s="351">
        <v>17</v>
      </c>
      <c r="E319" s="24"/>
      <c r="F319" s="351">
        <v>17</v>
      </c>
      <c r="G319" s="351" t="s">
        <v>3128</v>
      </c>
      <c r="H319" s="351"/>
      <c r="I319" s="351" t="s">
        <v>2596</v>
      </c>
      <c r="J319" s="560" t="s">
        <v>2328</v>
      </c>
      <c r="K319" s="311">
        <v>827855.00000000012</v>
      </c>
      <c r="L319" s="311">
        <v>0</v>
      </c>
      <c r="M319" s="311">
        <v>435520.83333333337</v>
      </c>
      <c r="N319" s="311">
        <v>114491.66666666669</v>
      </c>
      <c r="O319" s="311">
        <v>80144.166666666686</v>
      </c>
      <c r="P319" s="68">
        <f t="shared" si="65"/>
        <v>1458011.666666667</v>
      </c>
      <c r="Q319" s="68">
        <f t="shared" si="66"/>
        <v>24786198.33333334</v>
      </c>
      <c r="R319" s="127">
        <f t="shared" si="67"/>
        <v>24786198.33333334</v>
      </c>
      <c r="S319" s="26"/>
    </row>
    <row r="320" spans="1:19" ht="30">
      <c r="A320" s="73"/>
      <c r="B320" s="25" t="s">
        <v>1454</v>
      </c>
      <c r="C320" s="26" t="s">
        <v>1336</v>
      </c>
      <c r="D320" s="352">
        <v>3</v>
      </c>
      <c r="E320" s="24"/>
      <c r="F320" s="352">
        <v>3</v>
      </c>
      <c r="G320" s="351" t="s">
        <v>3128</v>
      </c>
      <c r="H320" s="351"/>
      <c r="I320" s="351" t="s">
        <v>2596</v>
      </c>
      <c r="J320" s="560" t="s">
        <v>2328</v>
      </c>
      <c r="K320" s="311">
        <v>993426.00000000012</v>
      </c>
      <c r="L320" s="311">
        <v>0</v>
      </c>
      <c r="M320" s="311">
        <v>522625.00000000006</v>
      </c>
      <c r="N320" s="311">
        <v>137390</v>
      </c>
      <c r="O320" s="311">
        <v>96173.000000000015</v>
      </c>
      <c r="P320" s="68">
        <f t="shared" si="65"/>
        <v>1749614.0000000002</v>
      </c>
      <c r="Q320" s="68">
        <f t="shared" si="66"/>
        <v>5248842.0000000009</v>
      </c>
      <c r="R320" s="127">
        <f t="shared" si="67"/>
        <v>5248842.0000000009</v>
      </c>
      <c r="S320" s="26"/>
    </row>
    <row r="321" spans="1:19" ht="30">
      <c r="A321" s="73"/>
      <c r="B321" s="25" t="s">
        <v>1386</v>
      </c>
      <c r="C321" s="26" t="s">
        <v>1336</v>
      </c>
      <c r="D321" s="352">
        <v>2</v>
      </c>
      <c r="E321" s="24"/>
      <c r="F321" s="352">
        <v>2</v>
      </c>
      <c r="G321" s="351" t="s">
        <v>3128</v>
      </c>
      <c r="H321" s="351"/>
      <c r="I321" s="351" t="s">
        <v>2596</v>
      </c>
      <c r="J321" s="560" t="s">
        <v>2328</v>
      </c>
      <c r="K321" s="311">
        <v>860969.20000000007</v>
      </c>
      <c r="L321" s="311">
        <v>0</v>
      </c>
      <c r="M321" s="311">
        <v>452941.66666666674</v>
      </c>
      <c r="N321" s="311">
        <v>119071.33333333336</v>
      </c>
      <c r="O321" s="311">
        <v>83349.933333333349</v>
      </c>
      <c r="P321" s="68">
        <f t="shared" si="65"/>
        <v>1516332.1333333333</v>
      </c>
      <c r="Q321" s="68">
        <f t="shared" si="66"/>
        <v>3032664.2666666666</v>
      </c>
      <c r="R321" s="127">
        <f t="shared" si="67"/>
        <v>3032664.2666666666</v>
      </c>
      <c r="S321" s="26"/>
    </row>
    <row r="322" spans="1:19" ht="30">
      <c r="A322" s="73"/>
      <c r="B322" s="25" t="s">
        <v>1386</v>
      </c>
      <c r="C322" s="26" t="s">
        <v>1336</v>
      </c>
      <c r="D322" s="351">
        <v>2</v>
      </c>
      <c r="E322" s="24"/>
      <c r="F322" s="351">
        <v>2</v>
      </c>
      <c r="G322" s="351" t="s">
        <v>3128</v>
      </c>
      <c r="H322" s="351"/>
      <c r="I322" s="351" t="s">
        <v>2596</v>
      </c>
      <c r="J322" s="560" t="s">
        <v>2328</v>
      </c>
      <c r="K322" s="311">
        <v>860969.20000000007</v>
      </c>
      <c r="L322" s="311">
        <v>0</v>
      </c>
      <c r="M322" s="311">
        <v>452941.66666666674</v>
      </c>
      <c r="N322" s="311">
        <v>119071.33333333336</v>
      </c>
      <c r="O322" s="311">
        <v>83349.933333333349</v>
      </c>
      <c r="P322" s="68">
        <f t="shared" si="65"/>
        <v>1516332.1333333333</v>
      </c>
      <c r="Q322" s="68">
        <f t="shared" si="66"/>
        <v>3032664.2666666666</v>
      </c>
      <c r="R322" s="127">
        <f t="shared" si="67"/>
        <v>3032664.2666666666</v>
      </c>
      <c r="S322" s="26"/>
    </row>
    <row r="323" spans="1:19" ht="30">
      <c r="A323" s="73"/>
      <c r="B323" s="25" t="s">
        <v>1455</v>
      </c>
      <c r="C323" s="26" t="s">
        <v>1336</v>
      </c>
      <c r="D323" s="351">
        <v>22</v>
      </c>
      <c r="E323" s="24"/>
      <c r="F323" s="351">
        <v>22</v>
      </c>
      <c r="G323" s="351" t="s">
        <v>3128</v>
      </c>
      <c r="H323" s="351"/>
      <c r="I323" s="351" t="s">
        <v>2596</v>
      </c>
      <c r="J323" s="560" t="s">
        <v>2328</v>
      </c>
      <c r="K323" s="311">
        <v>993426.00000000012</v>
      </c>
      <c r="L323" s="311">
        <v>0</v>
      </c>
      <c r="M323" s="311">
        <v>522625.00000000006</v>
      </c>
      <c r="N323" s="311">
        <v>137390</v>
      </c>
      <c r="O323" s="311">
        <v>96173.000000000015</v>
      </c>
      <c r="P323" s="68">
        <f t="shared" si="65"/>
        <v>1749614.0000000002</v>
      </c>
      <c r="Q323" s="68">
        <f t="shared" si="66"/>
        <v>38491508.000000007</v>
      </c>
      <c r="R323" s="127">
        <f t="shared" si="67"/>
        <v>38491508.000000007</v>
      </c>
      <c r="S323" s="26"/>
    </row>
    <row r="324" spans="1:19" ht="30">
      <c r="A324" s="73"/>
      <c r="B324" s="25" t="s">
        <v>1373</v>
      </c>
      <c r="C324" s="26" t="s">
        <v>1336</v>
      </c>
      <c r="D324" s="352">
        <v>3</v>
      </c>
      <c r="E324" s="24"/>
      <c r="F324" s="352">
        <v>3</v>
      </c>
      <c r="G324" s="351" t="s">
        <v>3128</v>
      </c>
      <c r="H324" s="351"/>
      <c r="I324" s="351" t="s">
        <v>2596</v>
      </c>
      <c r="J324" s="560" t="s">
        <v>2328</v>
      </c>
      <c r="K324" s="311">
        <v>1125882.8</v>
      </c>
      <c r="L324" s="311">
        <v>0</v>
      </c>
      <c r="M324" s="311">
        <v>592308.33333333337</v>
      </c>
      <c r="N324" s="311">
        <v>155708.66666666669</v>
      </c>
      <c r="O324" s="311">
        <v>108996.06666666668</v>
      </c>
      <c r="P324" s="68">
        <f t="shared" si="65"/>
        <v>1982895.8666666667</v>
      </c>
      <c r="Q324" s="68">
        <f t="shared" si="66"/>
        <v>5948687.5999999996</v>
      </c>
      <c r="R324" s="127">
        <f t="shared" si="67"/>
        <v>5948687.5999999996</v>
      </c>
      <c r="S324" s="26"/>
    </row>
    <row r="325" spans="1:19" ht="30">
      <c r="A325" s="73"/>
      <c r="B325" s="25" t="s">
        <v>1457</v>
      </c>
      <c r="C325" s="26" t="s">
        <v>1336</v>
      </c>
      <c r="D325" s="351">
        <v>108</v>
      </c>
      <c r="E325" s="24"/>
      <c r="F325" s="351">
        <v>108</v>
      </c>
      <c r="G325" s="351" t="s">
        <v>3128</v>
      </c>
      <c r="H325" s="351"/>
      <c r="I325" s="351" t="s">
        <v>2596</v>
      </c>
      <c r="J325" s="560" t="s">
        <v>2328</v>
      </c>
      <c r="K325" s="311">
        <v>976334.8</v>
      </c>
      <c r="L325" s="311">
        <v>0</v>
      </c>
      <c r="M325" s="311">
        <v>505204.16666666674</v>
      </c>
      <c r="N325" s="311">
        <v>134280.33333333334</v>
      </c>
      <c r="O325" s="311">
        <v>93996.233333333352</v>
      </c>
      <c r="P325" s="68">
        <f t="shared" si="65"/>
        <v>1709815.5333333334</v>
      </c>
      <c r="Q325" s="68">
        <f t="shared" si="66"/>
        <v>184660077.60000002</v>
      </c>
      <c r="R325" s="127">
        <f t="shared" si="67"/>
        <v>184660077.60000002</v>
      </c>
      <c r="S325" s="26"/>
    </row>
    <row r="326" spans="1:19" ht="30">
      <c r="A326" s="73"/>
      <c r="B326" s="25" t="s">
        <v>1374</v>
      </c>
      <c r="C326" s="26" t="s">
        <v>1336</v>
      </c>
      <c r="D326" s="351">
        <v>11</v>
      </c>
      <c r="E326" s="24"/>
      <c r="F326" s="351">
        <v>11</v>
      </c>
      <c r="G326" s="351" t="s">
        <v>3128</v>
      </c>
      <c r="H326" s="351"/>
      <c r="I326" s="351" t="s">
        <v>2596</v>
      </c>
      <c r="J326" s="560" t="s">
        <v>2328</v>
      </c>
      <c r="K326" s="311">
        <v>1499752.8</v>
      </c>
      <c r="L326" s="311">
        <v>0</v>
      </c>
      <c r="M326" s="311">
        <v>766516.66666666698</v>
      </c>
      <c r="N326" s="311">
        <v>205425.33333333337</v>
      </c>
      <c r="O326" s="311">
        <v>143797.73333333337</v>
      </c>
      <c r="P326" s="68">
        <f t="shared" si="65"/>
        <v>2615492.5333333337</v>
      </c>
      <c r="Q326" s="68">
        <f t="shared" si="66"/>
        <v>28770417.866666671</v>
      </c>
      <c r="R326" s="127">
        <f t="shared" si="67"/>
        <v>28770417.866666671</v>
      </c>
      <c r="S326" s="26"/>
    </row>
    <row r="327" spans="1:19" s="84" customFormat="1" ht="30">
      <c r="A327" s="211"/>
      <c r="B327" s="29" t="s">
        <v>1421</v>
      </c>
      <c r="C327" s="30" t="s">
        <v>117</v>
      </c>
      <c r="D327" s="352">
        <v>14</v>
      </c>
      <c r="E327" s="30"/>
      <c r="F327" s="352">
        <v>14</v>
      </c>
      <c r="G327" s="351" t="s">
        <v>3128</v>
      </c>
      <c r="H327" s="351"/>
      <c r="I327" s="351" t="s">
        <v>2596</v>
      </c>
      <c r="J327" s="560" t="s">
        <v>2328</v>
      </c>
      <c r="K327" s="311">
        <v>1180361</v>
      </c>
      <c r="L327" s="311">
        <v>0</v>
      </c>
      <c r="M327" s="311">
        <v>609729.16666666674</v>
      </c>
      <c r="N327" s="311">
        <v>162248.33333333337</v>
      </c>
      <c r="O327" s="311">
        <v>113573.83333333336</v>
      </c>
      <c r="P327" s="68">
        <f t="shared" si="65"/>
        <v>2065912.3333333333</v>
      </c>
      <c r="Q327" s="68">
        <f t="shared" si="66"/>
        <v>28922772.666666664</v>
      </c>
      <c r="R327" s="127">
        <f t="shared" si="67"/>
        <v>28922772.666666664</v>
      </c>
      <c r="S327" s="334"/>
    </row>
    <row r="328" spans="1:19" s="84" customFormat="1" ht="30">
      <c r="A328" s="211"/>
      <c r="B328" s="29" t="s">
        <v>2086</v>
      </c>
      <c r="C328" s="30" t="s">
        <v>117</v>
      </c>
      <c r="D328" s="352">
        <v>3</v>
      </c>
      <c r="E328" s="30"/>
      <c r="F328" s="352">
        <v>3</v>
      </c>
      <c r="G328" s="351" t="s">
        <v>3128</v>
      </c>
      <c r="H328" s="351"/>
      <c r="I328" s="351" t="s">
        <v>2596</v>
      </c>
      <c r="J328" s="560" t="s">
        <v>2328</v>
      </c>
      <c r="K328" s="311">
        <v>1147246.8</v>
      </c>
      <c r="L328" s="311">
        <v>0</v>
      </c>
      <c r="M328" s="311">
        <v>592308.33333333337</v>
      </c>
      <c r="N328" s="311">
        <v>157668.66666666669</v>
      </c>
      <c r="O328" s="311">
        <v>110368.06666666668</v>
      </c>
      <c r="P328" s="68">
        <f t="shared" si="65"/>
        <v>2007591.8666666667</v>
      </c>
      <c r="Q328" s="68">
        <f t="shared" si="66"/>
        <v>6022775.5999999996</v>
      </c>
      <c r="R328" s="127">
        <f t="shared" si="67"/>
        <v>6022775.5999999996</v>
      </c>
      <c r="S328" s="35"/>
    </row>
    <row r="329" spans="1:19" s="84" customFormat="1" ht="30">
      <c r="A329" s="211"/>
      <c r="B329" s="29" t="s">
        <v>2087</v>
      </c>
      <c r="C329" s="30" t="s">
        <v>117</v>
      </c>
      <c r="D329" s="352">
        <v>27</v>
      </c>
      <c r="E329" s="30"/>
      <c r="F329" s="352">
        <v>27</v>
      </c>
      <c r="G329" s="351" t="s">
        <v>3128</v>
      </c>
      <c r="H329" s="351"/>
      <c r="I329" s="351" t="s">
        <v>2596</v>
      </c>
      <c r="J329" s="560" t="s">
        <v>2328</v>
      </c>
      <c r="K329" s="311">
        <v>1390796.4000000001</v>
      </c>
      <c r="L329" s="311">
        <v>0</v>
      </c>
      <c r="M329" s="311">
        <v>731675.00000000012</v>
      </c>
      <c r="N329" s="311">
        <v>192346</v>
      </c>
      <c r="O329" s="311">
        <v>134642.20000000001</v>
      </c>
      <c r="P329" s="68">
        <f t="shared" si="65"/>
        <v>2449459.6000000006</v>
      </c>
      <c r="Q329" s="68">
        <f t="shared" si="66"/>
        <v>66135409.200000018</v>
      </c>
      <c r="R329" s="127">
        <f t="shared" si="67"/>
        <v>66135409.200000018</v>
      </c>
      <c r="S329" s="335"/>
    </row>
    <row r="330" spans="1:19" s="84" customFormat="1" ht="30">
      <c r="A330" s="211"/>
      <c r="B330" s="29" t="s">
        <v>2088</v>
      </c>
      <c r="C330" s="30" t="s">
        <v>117</v>
      </c>
      <c r="D330" s="352">
        <v>23</v>
      </c>
      <c r="E330" s="30"/>
      <c r="F330" s="352">
        <v>23</v>
      </c>
      <c r="G330" s="351" t="s">
        <v>3128</v>
      </c>
      <c r="H330" s="351"/>
      <c r="I330" s="351" t="s">
        <v>2596</v>
      </c>
      <c r="J330" s="560" t="s">
        <v>2328</v>
      </c>
      <c r="K330" s="311">
        <v>1258339.6000000001</v>
      </c>
      <c r="L330" s="311">
        <v>0</v>
      </c>
      <c r="M330" s="311">
        <v>661991.66666666674</v>
      </c>
      <c r="N330" s="311">
        <v>174027.33333333337</v>
      </c>
      <c r="O330" s="311">
        <v>121819.13333333336</v>
      </c>
      <c r="P330" s="68">
        <f t="shared" si="65"/>
        <v>2216177.7333333334</v>
      </c>
      <c r="Q330" s="68">
        <f t="shared" si="66"/>
        <v>50972087.866666667</v>
      </c>
      <c r="R330" s="127">
        <f t="shared" si="67"/>
        <v>50972087.866666667</v>
      </c>
      <c r="S330" s="335"/>
    </row>
    <row r="331" spans="1:19" s="84" customFormat="1" ht="30">
      <c r="A331" s="211"/>
      <c r="B331" s="29" t="s">
        <v>2089</v>
      </c>
      <c r="C331" s="30" t="s">
        <v>117</v>
      </c>
      <c r="D331" s="352">
        <v>17</v>
      </c>
      <c r="E331" s="30"/>
      <c r="F331" s="352">
        <v>17</v>
      </c>
      <c r="G331" s="351" t="s">
        <v>3128</v>
      </c>
      <c r="H331" s="351"/>
      <c r="I331" s="351" t="s">
        <v>2596</v>
      </c>
      <c r="J331" s="560" t="s">
        <v>2328</v>
      </c>
      <c r="K331" s="311">
        <v>1390796.4000000001</v>
      </c>
      <c r="L331" s="311">
        <v>0</v>
      </c>
      <c r="M331" s="311">
        <v>731675.00000000012</v>
      </c>
      <c r="N331" s="311">
        <v>192346</v>
      </c>
      <c r="O331" s="311">
        <v>134642.20000000001</v>
      </c>
      <c r="P331" s="68">
        <f t="shared" si="65"/>
        <v>2449459.6000000006</v>
      </c>
      <c r="Q331" s="68">
        <f t="shared" si="66"/>
        <v>41640813.20000001</v>
      </c>
      <c r="R331" s="127">
        <f t="shared" si="67"/>
        <v>41640813.20000001</v>
      </c>
      <c r="S331" s="335"/>
    </row>
    <row r="332" spans="1:19" s="84" customFormat="1" ht="30">
      <c r="A332" s="211"/>
      <c r="B332" s="29" t="s">
        <v>2090</v>
      </c>
      <c r="C332" s="30" t="s">
        <v>117</v>
      </c>
      <c r="D332" s="352">
        <v>23</v>
      </c>
      <c r="E332" s="30"/>
      <c r="F332" s="352">
        <v>23</v>
      </c>
      <c r="G332" s="351" t="s">
        <v>3128</v>
      </c>
      <c r="H332" s="351"/>
      <c r="I332" s="351" t="s">
        <v>2596</v>
      </c>
      <c r="J332" s="560" t="s">
        <v>2328</v>
      </c>
      <c r="K332" s="311">
        <v>1291453.8</v>
      </c>
      <c r="L332" s="311">
        <v>0</v>
      </c>
      <c r="M332" s="311">
        <v>679412.50000000012</v>
      </c>
      <c r="N332" s="311">
        <v>178607</v>
      </c>
      <c r="O332" s="311">
        <v>125024.90000000001</v>
      </c>
      <c r="P332" s="68">
        <f t="shared" si="65"/>
        <v>2274498.2000000002</v>
      </c>
      <c r="Q332" s="68">
        <f t="shared" si="66"/>
        <v>52313458.600000001</v>
      </c>
      <c r="R332" s="127">
        <f t="shared" si="67"/>
        <v>52313458.600000001</v>
      </c>
      <c r="S332" s="335"/>
    </row>
    <row r="333" spans="1:19" s="84" customFormat="1" ht="30">
      <c r="A333" s="211"/>
      <c r="B333" s="29" t="s">
        <v>2091</v>
      </c>
      <c r="C333" s="30" t="s">
        <v>117</v>
      </c>
      <c r="D333" s="352">
        <v>26</v>
      </c>
      <c r="E333" s="30"/>
      <c r="F333" s="352">
        <v>26</v>
      </c>
      <c r="G333" s="351" t="s">
        <v>3128</v>
      </c>
      <c r="H333" s="351"/>
      <c r="I333" s="351" t="s">
        <v>2596</v>
      </c>
      <c r="J333" s="560" t="s">
        <v>2328</v>
      </c>
      <c r="K333" s="311">
        <v>1026540.2000000001</v>
      </c>
      <c r="L333" s="311">
        <v>0</v>
      </c>
      <c r="M333" s="311">
        <v>540045.83333333337</v>
      </c>
      <c r="N333" s="311">
        <v>141969.66666666669</v>
      </c>
      <c r="O333" s="311">
        <v>99378.766666666677</v>
      </c>
      <c r="P333" s="68">
        <f t="shared" si="65"/>
        <v>1807934.4666666668</v>
      </c>
      <c r="Q333" s="68">
        <f t="shared" si="66"/>
        <v>47006296.13333334</v>
      </c>
      <c r="R333" s="127">
        <f t="shared" si="67"/>
        <v>47006296.13333334</v>
      </c>
      <c r="S333" s="14"/>
    </row>
    <row r="334" spans="1:19" s="84" customFormat="1" ht="30">
      <c r="A334" s="211"/>
      <c r="B334" s="29" t="s">
        <v>2092</v>
      </c>
      <c r="C334" s="30" t="s">
        <v>117</v>
      </c>
      <c r="D334" s="352">
        <v>23</v>
      </c>
      <c r="E334" s="30"/>
      <c r="F334" s="352">
        <v>23</v>
      </c>
      <c r="G334" s="351" t="s">
        <v>3128</v>
      </c>
      <c r="H334" s="351"/>
      <c r="I334" s="351" t="s">
        <v>2596</v>
      </c>
      <c r="J334" s="560" t="s">
        <v>2328</v>
      </c>
      <c r="K334" s="311">
        <v>1059654.4000000001</v>
      </c>
      <c r="L334" s="311">
        <v>0</v>
      </c>
      <c r="M334" s="311">
        <v>557466.66666666674</v>
      </c>
      <c r="N334" s="311">
        <v>146549.33333333334</v>
      </c>
      <c r="O334" s="311">
        <v>102584.53333333335</v>
      </c>
      <c r="P334" s="68">
        <f t="shared" si="65"/>
        <v>1866254.9333333336</v>
      </c>
      <c r="Q334" s="68">
        <f t="shared" si="66"/>
        <v>42923863.466666669</v>
      </c>
      <c r="R334" s="127">
        <f t="shared" si="67"/>
        <v>42923863.466666669</v>
      </c>
      <c r="S334" s="335"/>
    </row>
    <row r="335" spans="1:19" s="84" customFormat="1" ht="30">
      <c r="A335" s="211"/>
      <c r="B335" s="29" t="s">
        <v>1414</v>
      </c>
      <c r="C335" s="30" t="s">
        <v>117</v>
      </c>
      <c r="D335" s="352">
        <v>23</v>
      </c>
      <c r="E335" s="30"/>
      <c r="F335" s="352">
        <v>23</v>
      </c>
      <c r="G335" s="351" t="s">
        <v>3128</v>
      </c>
      <c r="H335" s="351"/>
      <c r="I335" s="351" t="s">
        <v>2596</v>
      </c>
      <c r="J335" s="560" t="s">
        <v>2328</v>
      </c>
      <c r="K335" s="311">
        <v>894083.4</v>
      </c>
      <c r="L335" s="311">
        <v>0</v>
      </c>
      <c r="M335" s="311">
        <v>470362.50000000012</v>
      </c>
      <c r="N335" s="311">
        <v>123651</v>
      </c>
      <c r="O335" s="311">
        <v>86555.700000000012</v>
      </c>
      <c r="P335" s="68">
        <f t="shared" si="65"/>
        <v>1574652.6</v>
      </c>
      <c r="Q335" s="68">
        <f t="shared" si="66"/>
        <v>36217009.800000004</v>
      </c>
      <c r="R335" s="127">
        <f t="shared" si="67"/>
        <v>36217009.800000004</v>
      </c>
      <c r="S335" s="335"/>
    </row>
    <row r="336" spans="1:19" s="84" customFormat="1" ht="30">
      <c r="A336" s="211"/>
      <c r="B336" s="29" t="s">
        <v>2093</v>
      </c>
      <c r="C336" s="30" t="s">
        <v>117</v>
      </c>
      <c r="D336" s="352">
        <v>46</v>
      </c>
      <c r="E336" s="30"/>
      <c r="F336" s="352">
        <v>46</v>
      </c>
      <c r="G336" s="351" t="s">
        <v>3128</v>
      </c>
      <c r="H336" s="351"/>
      <c r="I336" s="351" t="s">
        <v>2596</v>
      </c>
      <c r="J336" s="560" t="s">
        <v>2328</v>
      </c>
      <c r="K336" s="311">
        <v>794740.8</v>
      </c>
      <c r="L336" s="311">
        <v>0</v>
      </c>
      <c r="M336" s="311">
        <v>418100.00000000006</v>
      </c>
      <c r="N336" s="311">
        <v>109912</v>
      </c>
      <c r="O336" s="311">
        <v>76938.400000000009</v>
      </c>
      <c r="P336" s="68">
        <f t="shared" si="65"/>
        <v>1399691.2</v>
      </c>
      <c r="Q336" s="68">
        <f t="shared" si="66"/>
        <v>64385795.199999996</v>
      </c>
      <c r="R336" s="127">
        <f t="shared" si="67"/>
        <v>64385795.199999996</v>
      </c>
      <c r="S336" s="330"/>
    </row>
    <row r="337" spans="1:19" s="84" customFormat="1" ht="30">
      <c r="A337" s="211"/>
      <c r="B337" s="29" t="s">
        <v>2094</v>
      </c>
      <c r="C337" s="30" t="s">
        <v>117</v>
      </c>
      <c r="D337" s="352">
        <v>21</v>
      </c>
      <c r="E337" s="30"/>
      <c r="F337" s="352">
        <v>21</v>
      </c>
      <c r="G337" s="351" t="s">
        <v>3128</v>
      </c>
      <c r="H337" s="351"/>
      <c r="I337" s="351" t="s">
        <v>2596</v>
      </c>
      <c r="J337" s="560" t="s">
        <v>2328</v>
      </c>
      <c r="K337" s="311">
        <v>728512.4</v>
      </c>
      <c r="L337" s="311">
        <v>0</v>
      </c>
      <c r="M337" s="311">
        <v>383258.33333333349</v>
      </c>
      <c r="N337" s="311">
        <v>100752.66666666669</v>
      </c>
      <c r="O337" s="311">
        <v>70526.866666666683</v>
      </c>
      <c r="P337" s="68">
        <f t="shared" si="65"/>
        <v>1283050.2666666668</v>
      </c>
      <c r="Q337" s="68">
        <f t="shared" si="66"/>
        <v>26944055.600000005</v>
      </c>
      <c r="R337" s="127">
        <f t="shared" si="67"/>
        <v>26944055.600000005</v>
      </c>
      <c r="S337" s="330"/>
    </row>
    <row r="338" spans="1:19" s="84" customFormat="1" ht="30">
      <c r="A338" s="211"/>
      <c r="B338" s="29" t="s">
        <v>2095</v>
      </c>
      <c r="C338" s="30" t="s">
        <v>117</v>
      </c>
      <c r="D338" s="352">
        <v>2</v>
      </c>
      <c r="E338" s="30"/>
      <c r="F338" s="352">
        <v>2</v>
      </c>
      <c r="G338" s="351" t="s">
        <v>3128</v>
      </c>
      <c r="H338" s="351"/>
      <c r="I338" s="351" t="s">
        <v>2596</v>
      </c>
      <c r="J338" s="560" t="s">
        <v>2328</v>
      </c>
      <c r="K338" s="311">
        <v>562941.4</v>
      </c>
      <c r="L338" s="311">
        <v>0</v>
      </c>
      <c r="M338" s="311">
        <v>296154.16666666669</v>
      </c>
      <c r="N338" s="311">
        <v>77854.333333333343</v>
      </c>
      <c r="O338" s="311">
        <v>54498.03333333334</v>
      </c>
      <c r="P338" s="68">
        <f t="shared" si="65"/>
        <v>991447.93333333335</v>
      </c>
      <c r="Q338" s="68">
        <f t="shared" si="66"/>
        <v>1982895.8666666667</v>
      </c>
      <c r="R338" s="127">
        <f t="shared" si="67"/>
        <v>1982895.8666666667</v>
      </c>
      <c r="S338" s="330"/>
    </row>
    <row r="339" spans="1:19" s="84" customFormat="1" ht="30">
      <c r="A339" s="211"/>
      <c r="B339" s="29" t="s">
        <v>2096</v>
      </c>
      <c r="C339" s="30" t="s">
        <v>117</v>
      </c>
      <c r="D339" s="352">
        <v>27</v>
      </c>
      <c r="E339" s="30"/>
      <c r="F339" s="352">
        <v>27</v>
      </c>
      <c r="G339" s="351" t="s">
        <v>3128</v>
      </c>
      <c r="H339" s="351"/>
      <c r="I339" s="351" t="s">
        <v>2596</v>
      </c>
      <c r="J339" s="560" t="s">
        <v>2328</v>
      </c>
      <c r="K339" s="311">
        <v>529827.20000000007</v>
      </c>
      <c r="L339" s="311">
        <v>0</v>
      </c>
      <c r="M339" s="311">
        <v>278733.33333333337</v>
      </c>
      <c r="N339" s="311">
        <v>73274.666666666672</v>
      </c>
      <c r="O339" s="311">
        <v>51292.266666666677</v>
      </c>
      <c r="P339" s="68">
        <f t="shared" si="65"/>
        <v>933127.46666666679</v>
      </c>
      <c r="Q339" s="68">
        <f t="shared" si="66"/>
        <v>25194441.600000001</v>
      </c>
      <c r="R339" s="127">
        <f t="shared" si="67"/>
        <v>25194441.600000001</v>
      </c>
      <c r="S339" s="12"/>
    </row>
    <row r="340" spans="1:19" s="84" customFormat="1" ht="30">
      <c r="A340" s="211"/>
      <c r="B340" s="29" t="s">
        <v>2097</v>
      </c>
      <c r="C340" s="30" t="s">
        <v>117</v>
      </c>
      <c r="D340" s="352">
        <v>287</v>
      </c>
      <c r="E340" s="30"/>
      <c r="F340" s="352">
        <v>287</v>
      </c>
      <c r="G340" s="351" t="s">
        <v>3128</v>
      </c>
      <c r="H340" s="351"/>
      <c r="I340" s="351" t="s">
        <v>2596</v>
      </c>
      <c r="J340" s="560" t="s">
        <v>2328</v>
      </c>
      <c r="K340" s="311">
        <v>364256.2</v>
      </c>
      <c r="L340" s="311">
        <v>0</v>
      </c>
      <c r="M340" s="311">
        <v>191629.16666666674</v>
      </c>
      <c r="N340" s="311">
        <v>50376.333333333343</v>
      </c>
      <c r="O340" s="311">
        <v>35263.433333333342</v>
      </c>
      <c r="P340" s="68">
        <f t="shared" si="65"/>
        <v>641525.13333333342</v>
      </c>
      <c r="Q340" s="68">
        <f t="shared" si="66"/>
        <v>184117713.26666668</v>
      </c>
      <c r="R340" s="127">
        <f t="shared" si="67"/>
        <v>184117713.26666668</v>
      </c>
      <c r="S340" s="12"/>
    </row>
    <row r="341" spans="1:19" s="84" customFormat="1" ht="30">
      <c r="A341" s="211"/>
      <c r="B341" s="29" t="s">
        <v>1566</v>
      </c>
      <c r="C341" s="30" t="s">
        <v>117</v>
      </c>
      <c r="D341" s="352">
        <v>438</v>
      </c>
      <c r="E341" s="30"/>
      <c r="F341" s="352">
        <v>438</v>
      </c>
      <c r="G341" s="351" t="s">
        <v>3128</v>
      </c>
      <c r="H341" s="351"/>
      <c r="I341" s="351" t="s">
        <v>2596</v>
      </c>
      <c r="J341" s="560" t="s">
        <v>2328</v>
      </c>
      <c r="K341" s="311">
        <v>264913.60000000003</v>
      </c>
      <c r="L341" s="311">
        <v>0</v>
      </c>
      <c r="M341" s="311">
        <v>139366.66666666669</v>
      </c>
      <c r="N341" s="311">
        <v>36637.333333333336</v>
      </c>
      <c r="O341" s="311">
        <v>25646.133333333339</v>
      </c>
      <c r="P341" s="68">
        <f t="shared" si="65"/>
        <v>466563.7333333334</v>
      </c>
      <c r="Q341" s="68">
        <f t="shared" si="66"/>
        <v>204354915.20000002</v>
      </c>
      <c r="R341" s="127">
        <f t="shared" si="67"/>
        <v>204354915.20000002</v>
      </c>
      <c r="S341" s="12"/>
    </row>
    <row r="342" spans="1:19">
      <c r="A342" s="73">
        <v>4.13</v>
      </c>
      <c r="B342" s="27" t="s">
        <v>1459</v>
      </c>
      <c r="C342" s="24"/>
      <c r="D342" s="351"/>
      <c r="E342" s="26"/>
      <c r="F342" s="351"/>
      <c r="G342" s="329"/>
      <c r="H342" s="329"/>
      <c r="I342" s="329"/>
      <c r="J342" s="582"/>
      <c r="K342" s="65"/>
      <c r="L342" s="65"/>
      <c r="M342" s="65"/>
      <c r="N342" s="65"/>
      <c r="O342" s="65"/>
      <c r="P342" s="65"/>
      <c r="Q342" s="65"/>
      <c r="R342" s="65"/>
      <c r="S342" s="329"/>
    </row>
    <row r="343" spans="1:19" ht="30">
      <c r="A343" s="73"/>
      <c r="B343" s="25" t="s">
        <v>1335</v>
      </c>
      <c r="C343" s="26" t="s">
        <v>1350</v>
      </c>
      <c r="D343" s="351">
        <v>5</v>
      </c>
      <c r="E343" s="26"/>
      <c r="F343" s="351">
        <v>5</v>
      </c>
      <c r="G343" s="351" t="s">
        <v>3128</v>
      </c>
      <c r="H343" s="351"/>
      <c r="I343" s="351" t="s">
        <v>2596</v>
      </c>
      <c r="J343" s="560" t="s">
        <v>2328</v>
      </c>
      <c r="K343" s="311">
        <v>842572.42222222232</v>
      </c>
      <c r="L343" s="311">
        <v>0</v>
      </c>
      <c r="M343" s="311">
        <v>296154.16666666669</v>
      </c>
      <c r="N343" s="311">
        <v>103508.55555555556</v>
      </c>
      <c r="O343" s="311">
        <v>72455.988888888896</v>
      </c>
      <c r="P343" s="68">
        <f t="shared" ref="P343:P352" si="68">SUM(K343:O343)</f>
        <v>1314691.1333333333</v>
      </c>
      <c r="Q343" s="68">
        <f t="shared" ref="Q343:Q352" si="69">D343*P343</f>
        <v>6573455.666666666</v>
      </c>
      <c r="R343" s="127">
        <f t="shared" ref="R343:R352" si="70">F343*P343</f>
        <v>6573455.666666666</v>
      </c>
      <c r="S343" s="15"/>
    </row>
    <row r="344" spans="1:19" ht="30">
      <c r="A344" s="73"/>
      <c r="B344" s="25" t="s">
        <v>1447</v>
      </c>
      <c r="C344" s="26" t="s">
        <v>1350</v>
      </c>
      <c r="D344" s="351">
        <v>2</v>
      </c>
      <c r="E344" s="26"/>
      <c r="F344" s="351">
        <v>2</v>
      </c>
      <c r="G344" s="351" t="s">
        <v>3128</v>
      </c>
      <c r="H344" s="351"/>
      <c r="I344" s="351" t="s">
        <v>2596</v>
      </c>
      <c r="J344" s="560" t="s">
        <v>2328</v>
      </c>
      <c r="K344" s="311">
        <v>1201309.5888888892</v>
      </c>
      <c r="L344" s="311">
        <v>0</v>
      </c>
      <c r="M344" s="311">
        <v>421584.16666666674</v>
      </c>
      <c r="N344" s="311">
        <v>147520.22222222225</v>
      </c>
      <c r="O344" s="311">
        <v>103264.15555555558</v>
      </c>
      <c r="P344" s="68">
        <f t="shared" si="68"/>
        <v>1873678.1333333338</v>
      </c>
      <c r="Q344" s="68">
        <f t="shared" si="69"/>
        <v>3747356.2666666675</v>
      </c>
      <c r="R344" s="127">
        <f t="shared" si="70"/>
        <v>3747356.2666666675</v>
      </c>
      <c r="S344" s="15"/>
    </row>
    <row r="345" spans="1:19" ht="30">
      <c r="A345" s="73"/>
      <c r="B345" s="25" t="s">
        <v>1452</v>
      </c>
      <c r="C345" s="26" t="s">
        <v>1350</v>
      </c>
      <c r="D345" s="351">
        <v>2</v>
      </c>
      <c r="E345" s="26"/>
      <c r="F345" s="351">
        <v>2</v>
      </c>
      <c r="G345" s="351" t="s">
        <v>3128</v>
      </c>
      <c r="H345" s="351"/>
      <c r="I345" s="351" t="s">
        <v>2596</v>
      </c>
      <c r="J345" s="560" t="s">
        <v>2328</v>
      </c>
      <c r="K345" s="311">
        <v>1657549.6777777779</v>
      </c>
      <c r="L345" s="311">
        <v>0</v>
      </c>
      <c r="M345" s="311">
        <v>581855.83333333337</v>
      </c>
      <c r="N345" s="311">
        <v>203560.44444444447</v>
      </c>
      <c r="O345" s="311">
        <v>142492.31111111114</v>
      </c>
      <c r="P345" s="68">
        <f t="shared" si="68"/>
        <v>2585458.2666666671</v>
      </c>
      <c r="Q345" s="68">
        <f t="shared" si="69"/>
        <v>5170916.5333333341</v>
      </c>
      <c r="R345" s="127">
        <f t="shared" si="70"/>
        <v>5170916.5333333341</v>
      </c>
      <c r="S345" s="15"/>
    </row>
    <row r="346" spans="1:19" ht="30">
      <c r="A346" s="73"/>
      <c r="B346" s="25" t="s">
        <v>1453</v>
      </c>
      <c r="C346" s="26" t="s">
        <v>1350</v>
      </c>
      <c r="D346" s="351">
        <v>2</v>
      </c>
      <c r="E346" s="26"/>
      <c r="F346" s="351">
        <v>2</v>
      </c>
      <c r="G346" s="351" t="s">
        <v>3128</v>
      </c>
      <c r="H346" s="351"/>
      <c r="I346" s="351" t="s">
        <v>2596</v>
      </c>
      <c r="J346" s="560" t="s">
        <v>2328</v>
      </c>
      <c r="K346" s="311">
        <v>1755972.438888889</v>
      </c>
      <c r="L346" s="311">
        <v>0</v>
      </c>
      <c r="M346" s="311">
        <v>614955.41666666674</v>
      </c>
      <c r="N346" s="311">
        <v>215519.22222222225</v>
      </c>
      <c r="O346" s="311">
        <v>150863.45555555559</v>
      </c>
      <c r="P346" s="68">
        <f t="shared" si="68"/>
        <v>2737310.5333333332</v>
      </c>
      <c r="Q346" s="68">
        <f t="shared" si="69"/>
        <v>5474621.0666666664</v>
      </c>
      <c r="R346" s="127">
        <f t="shared" si="70"/>
        <v>5474621.0666666664</v>
      </c>
      <c r="S346" s="37"/>
    </row>
    <row r="347" spans="1:19" s="84" customFormat="1" ht="30">
      <c r="A347" s="211"/>
      <c r="B347" s="29" t="s">
        <v>1666</v>
      </c>
      <c r="C347" s="30" t="s">
        <v>1350</v>
      </c>
      <c r="D347" s="352">
        <v>1</v>
      </c>
      <c r="E347" s="30"/>
      <c r="F347" s="352">
        <v>1</v>
      </c>
      <c r="G347" s="351" t="s">
        <v>3128</v>
      </c>
      <c r="H347" s="351"/>
      <c r="I347" s="351" t="s">
        <v>2596</v>
      </c>
      <c r="J347" s="560" t="s">
        <v>2328</v>
      </c>
      <c r="K347" s="311">
        <v>2340990.2096000002</v>
      </c>
      <c r="L347" s="311">
        <v>0</v>
      </c>
      <c r="M347" s="311">
        <v>820521.25000000012</v>
      </c>
      <c r="N347" s="311">
        <v>287382.24400000001</v>
      </c>
      <c r="O347" s="311">
        <v>201167.57080000002</v>
      </c>
      <c r="P347" s="68">
        <f t="shared" si="68"/>
        <v>3650061.2744</v>
      </c>
      <c r="Q347" s="68">
        <f t="shared" si="69"/>
        <v>3650061.2744</v>
      </c>
      <c r="R347" s="127">
        <f t="shared" si="70"/>
        <v>3650061.2744</v>
      </c>
      <c r="S347" s="331"/>
    </row>
    <row r="348" spans="1:19" s="84" customFormat="1" ht="30">
      <c r="A348" s="211"/>
      <c r="B348" s="29" t="s">
        <v>2065</v>
      </c>
      <c r="C348" s="30" t="s">
        <v>1350</v>
      </c>
      <c r="D348" s="352">
        <v>2</v>
      </c>
      <c r="E348" s="30"/>
      <c r="F348" s="352">
        <v>2</v>
      </c>
      <c r="G348" s="351" t="s">
        <v>3128</v>
      </c>
      <c r="H348" s="351"/>
      <c r="I348" s="351" t="s">
        <v>2596</v>
      </c>
      <c r="J348" s="560" t="s">
        <v>2328</v>
      </c>
      <c r="K348" s="311">
        <v>1373319.5798000002</v>
      </c>
      <c r="L348" s="311">
        <v>0</v>
      </c>
      <c r="M348" s="311">
        <v>480815</v>
      </c>
      <c r="N348" s="311">
        <v>168542.622</v>
      </c>
      <c r="O348" s="311">
        <v>117979.83540000001</v>
      </c>
      <c r="P348" s="68">
        <f t="shared" si="68"/>
        <v>2140657.0372000001</v>
      </c>
      <c r="Q348" s="68">
        <f t="shared" si="69"/>
        <v>4281314.0744000003</v>
      </c>
      <c r="R348" s="127">
        <f t="shared" si="70"/>
        <v>4281314.0744000003</v>
      </c>
      <c r="S348" s="333"/>
    </row>
    <row r="349" spans="1:19" s="84" customFormat="1" ht="30">
      <c r="A349" s="211"/>
      <c r="B349" s="29" t="s">
        <v>2098</v>
      </c>
      <c r="C349" s="30" t="s">
        <v>1350</v>
      </c>
      <c r="D349" s="352">
        <v>2</v>
      </c>
      <c r="E349" s="30"/>
      <c r="F349" s="352">
        <v>2</v>
      </c>
      <c r="G349" s="351" t="s">
        <v>3128</v>
      </c>
      <c r="H349" s="351"/>
      <c r="I349" s="351" t="s">
        <v>2596</v>
      </c>
      <c r="J349" s="560" t="s">
        <v>2328</v>
      </c>
      <c r="K349" s="311">
        <v>546384.30000000005</v>
      </c>
      <c r="L349" s="311">
        <v>0</v>
      </c>
      <c r="M349" s="311">
        <v>191629.16666666674</v>
      </c>
      <c r="N349" s="311">
        <v>67085.333333333343</v>
      </c>
      <c r="O349" s="311">
        <v>46959.733333333337</v>
      </c>
      <c r="P349" s="68">
        <f t="shared" si="68"/>
        <v>852058.53333333344</v>
      </c>
      <c r="Q349" s="68">
        <f t="shared" si="69"/>
        <v>1704117.0666666669</v>
      </c>
      <c r="R349" s="127">
        <f t="shared" si="70"/>
        <v>1704117.0666666669</v>
      </c>
      <c r="S349" s="333"/>
    </row>
    <row r="350" spans="1:19" s="84" customFormat="1" ht="30">
      <c r="A350" s="211"/>
      <c r="B350" s="29" t="s">
        <v>2099</v>
      </c>
      <c r="C350" s="30" t="s">
        <v>1350</v>
      </c>
      <c r="D350" s="352">
        <v>3</v>
      </c>
      <c r="E350" s="30"/>
      <c r="F350" s="352">
        <v>3</v>
      </c>
      <c r="G350" s="351" t="s">
        <v>3128</v>
      </c>
      <c r="H350" s="351"/>
      <c r="I350" s="351" t="s">
        <v>2596</v>
      </c>
      <c r="J350" s="560" t="s">
        <v>2328</v>
      </c>
      <c r="K350" s="311">
        <v>436923.70960000006</v>
      </c>
      <c r="L350" s="311">
        <v>0</v>
      </c>
      <c r="M350" s="311">
        <v>153303.33333333337</v>
      </c>
      <c r="N350" s="311">
        <v>53651.41066666667</v>
      </c>
      <c r="O350" s="311">
        <v>37555.987466666673</v>
      </c>
      <c r="P350" s="68">
        <f t="shared" si="68"/>
        <v>681434.44106666674</v>
      </c>
      <c r="Q350" s="68">
        <f t="shared" si="69"/>
        <v>2044303.3232000002</v>
      </c>
      <c r="R350" s="127">
        <f t="shared" si="70"/>
        <v>2044303.3232000002</v>
      </c>
      <c r="S350" s="333"/>
    </row>
    <row r="351" spans="1:19" s="84" customFormat="1" ht="30">
      <c r="A351" s="211"/>
      <c r="B351" s="29" t="s">
        <v>2097</v>
      </c>
      <c r="C351" s="30" t="s">
        <v>1350</v>
      </c>
      <c r="D351" s="352">
        <v>57</v>
      </c>
      <c r="E351" s="30"/>
      <c r="F351" s="352">
        <v>57</v>
      </c>
      <c r="G351" s="351" t="s">
        <v>3128</v>
      </c>
      <c r="H351" s="351"/>
      <c r="I351" s="351" t="s">
        <v>2596</v>
      </c>
      <c r="J351" s="560" t="s">
        <v>2328</v>
      </c>
      <c r="K351" s="311">
        <v>257554.77020000003</v>
      </c>
      <c r="L351" s="311">
        <v>0</v>
      </c>
      <c r="M351" s="311">
        <v>90588.333333333343</v>
      </c>
      <c r="N351" s="311">
        <v>31645.544666666668</v>
      </c>
      <c r="O351" s="311">
        <v>22151.881266666667</v>
      </c>
      <c r="P351" s="68">
        <f t="shared" si="68"/>
        <v>401940.52946666675</v>
      </c>
      <c r="Q351" s="68">
        <f t="shared" si="69"/>
        <v>22910610.179600004</v>
      </c>
      <c r="R351" s="127">
        <f t="shared" si="70"/>
        <v>22910610.179600004</v>
      </c>
      <c r="S351" s="333"/>
    </row>
    <row r="352" spans="1:19" s="84" customFormat="1" ht="30">
      <c r="A352" s="211"/>
      <c r="B352" s="29" t="s">
        <v>1566</v>
      </c>
      <c r="C352" s="30" t="s">
        <v>1350</v>
      </c>
      <c r="D352" s="352">
        <v>47</v>
      </c>
      <c r="E352" s="30"/>
      <c r="F352" s="352">
        <v>47</v>
      </c>
      <c r="G352" s="351" t="s">
        <v>3128</v>
      </c>
      <c r="H352" s="351"/>
      <c r="I352" s="351" t="s">
        <v>2596</v>
      </c>
      <c r="J352" s="560" t="s">
        <v>2328</v>
      </c>
      <c r="K352" s="311">
        <v>125097.97020000001</v>
      </c>
      <c r="L352" s="311">
        <v>0</v>
      </c>
      <c r="M352" s="311">
        <v>43552.083333333343</v>
      </c>
      <c r="N352" s="311">
        <v>15331.044666666667</v>
      </c>
      <c r="O352" s="311">
        <v>10731.731266666668</v>
      </c>
      <c r="P352" s="68">
        <f t="shared" si="68"/>
        <v>194712.82946666668</v>
      </c>
      <c r="Q352" s="68">
        <f t="shared" si="69"/>
        <v>9151502.9849333335</v>
      </c>
      <c r="R352" s="127">
        <f t="shared" si="70"/>
        <v>9151502.9849333335</v>
      </c>
      <c r="S352" s="333"/>
    </row>
    <row r="353" spans="1:19">
      <c r="A353" s="73">
        <v>4.1399999999999997</v>
      </c>
      <c r="B353" s="27" t="s">
        <v>1460</v>
      </c>
      <c r="C353" s="24"/>
      <c r="D353" s="351"/>
      <c r="E353" s="26"/>
      <c r="F353" s="351"/>
      <c r="G353" s="37"/>
      <c r="H353" s="37"/>
      <c r="I353" s="37"/>
      <c r="J353" s="583"/>
      <c r="K353" s="66"/>
      <c r="L353" s="66"/>
      <c r="M353" s="66"/>
      <c r="N353" s="66"/>
      <c r="O353" s="66"/>
      <c r="P353" s="66"/>
      <c r="Q353" s="66"/>
      <c r="R353" s="66"/>
      <c r="S353" s="37"/>
    </row>
    <row r="354" spans="1:19" ht="30">
      <c r="A354" s="73"/>
      <c r="B354" s="25" t="s">
        <v>1461</v>
      </c>
      <c r="C354" s="26" t="s">
        <v>1350</v>
      </c>
      <c r="D354" s="351">
        <v>6</v>
      </c>
      <c r="E354" s="26"/>
      <c r="F354" s="351">
        <v>6</v>
      </c>
      <c r="G354" s="351" t="s">
        <v>3128</v>
      </c>
      <c r="H354" s="351"/>
      <c r="I354" s="351" t="s">
        <v>2596</v>
      </c>
      <c r="J354" s="560" t="s">
        <v>2328</v>
      </c>
      <c r="K354" s="311">
        <v>1169115.2277777779</v>
      </c>
      <c r="L354" s="311">
        <v>0</v>
      </c>
      <c r="M354" s="311">
        <v>179434.58333333337</v>
      </c>
      <c r="N354" s="311">
        <v>123137.44444444445</v>
      </c>
      <c r="O354" s="311">
        <v>86196.21111111113</v>
      </c>
      <c r="P354" s="68">
        <f t="shared" ref="P354:P360" si="71">SUM(K354:O354)</f>
        <v>1557883.4666666668</v>
      </c>
      <c r="Q354" s="68">
        <f t="shared" ref="Q354:Q360" si="72">D354*P354</f>
        <v>9347300.8000000007</v>
      </c>
      <c r="R354" s="127">
        <f t="shared" ref="R354:R360" si="73">F354*P354</f>
        <v>9347300.8000000007</v>
      </c>
      <c r="S354" s="37"/>
    </row>
    <row r="355" spans="1:19" ht="30">
      <c r="A355" s="73"/>
      <c r="B355" s="25" t="s">
        <v>1462</v>
      </c>
      <c r="C355" s="26" t="s">
        <v>1350</v>
      </c>
      <c r="D355" s="351">
        <v>4</v>
      </c>
      <c r="E355" s="26"/>
      <c r="F355" s="351">
        <v>4</v>
      </c>
      <c r="G355" s="351" t="s">
        <v>3128</v>
      </c>
      <c r="H355" s="351"/>
      <c r="I355" s="351" t="s">
        <v>2596</v>
      </c>
      <c r="J355" s="560" t="s">
        <v>2328</v>
      </c>
      <c r="K355" s="311">
        <v>1175554.1000000001</v>
      </c>
      <c r="L355" s="311">
        <v>0</v>
      </c>
      <c r="M355" s="311">
        <v>202081.66666666666</v>
      </c>
      <c r="N355" s="311">
        <v>125732.33333333333</v>
      </c>
      <c r="O355" s="311">
        <v>88012.633333333331</v>
      </c>
      <c r="P355" s="68">
        <f t="shared" si="71"/>
        <v>1591380.7333333334</v>
      </c>
      <c r="Q355" s="68">
        <f t="shared" si="72"/>
        <v>6365522.9333333336</v>
      </c>
      <c r="R355" s="127">
        <f t="shared" si="73"/>
        <v>6365522.9333333336</v>
      </c>
      <c r="S355" s="36"/>
    </row>
    <row r="356" spans="1:19" ht="30">
      <c r="A356" s="73"/>
      <c r="B356" s="25" t="s">
        <v>1463</v>
      </c>
      <c r="C356" s="26" t="s">
        <v>1350</v>
      </c>
      <c r="D356" s="351">
        <v>6</v>
      </c>
      <c r="E356" s="26"/>
      <c r="F356" s="351">
        <v>6</v>
      </c>
      <c r="G356" s="351" t="s">
        <v>3128</v>
      </c>
      <c r="H356" s="351"/>
      <c r="I356" s="351" t="s">
        <v>2596</v>
      </c>
      <c r="J356" s="560" t="s">
        <v>2328</v>
      </c>
      <c r="K356" s="311">
        <v>1367296</v>
      </c>
      <c r="L356" s="311">
        <v>0</v>
      </c>
      <c r="M356" s="311">
        <v>313575.00000000006</v>
      </c>
      <c r="N356" s="311">
        <v>153190</v>
      </c>
      <c r="O356" s="311">
        <v>107233.00000000001</v>
      </c>
      <c r="P356" s="68">
        <f t="shared" si="71"/>
        <v>1941294</v>
      </c>
      <c r="Q356" s="68">
        <f t="shared" si="72"/>
        <v>11647764</v>
      </c>
      <c r="R356" s="127">
        <f t="shared" si="73"/>
        <v>11647764</v>
      </c>
      <c r="S356" s="15"/>
    </row>
    <row r="357" spans="1:19" s="84" customFormat="1" ht="30">
      <c r="A357" s="211"/>
      <c r="B357" s="29" t="s">
        <v>2100</v>
      </c>
      <c r="C357" s="30" t="s">
        <v>1350</v>
      </c>
      <c r="D357" s="352">
        <v>2</v>
      </c>
      <c r="E357" s="30"/>
      <c r="F357" s="352">
        <v>2</v>
      </c>
      <c r="G357" s="351" t="s">
        <v>3128</v>
      </c>
      <c r="H357" s="351"/>
      <c r="I357" s="351" t="s">
        <v>2596</v>
      </c>
      <c r="J357" s="560" t="s">
        <v>2328</v>
      </c>
      <c r="K357" s="311">
        <v>853610.37020000012</v>
      </c>
      <c r="L357" s="311">
        <v>0</v>
      </c>
      <c r="M357" s="311">
        <v>148077.08333333334</v>
      </c>
      <c r="N357" s="311">
        <v>91417.044666666668</v>
      </c>
      <c r="O357" s="311">
        <v>63991.931266666674</v>
      </c>
      <c r="P357" s="68">
        <f t="shared" si="71"/>
        <v>1157096.4294666669</v>
      </c>
      <c r="Q357" s="68">
        <f t="shared" si="72"/>
        <v>2314192.8589333338</v>
      </c>
      <c r="R357" s="127">
        <f t="shared" si="73"/>
        <v>2314192.8589333338</v>
      </c>
      <c r="S357" s="335"/>
    </row>
    <row r="358" spans="1:19" s="84" customFormat="1" ht="30">
      <c r="A358" s="211"/>
      <c r="B358" s="29" t="s">
        <v>2101</v>
      </c>
      <c r="C358" s="30" t="s">
        <v>1350</v>
      </c>
      <c r="D358" s="352">
        <v>2</v>
      </c>
      <c r="E358" s="30"/>
      <c r="F358" s="352">
        <v>2</v>
      </c>
      <c r="G358" s="351" t="s">
        <v>3128</v>
      </c>
      <c r="H358" s="351"/>
      <c r="I358" s="351" t="s">
        <v>2596</v>
      </c>
      <c r="J358" s="560" t="s">
        <v>2328</v>
      </c>
      <c r="K358" s="311">
        <v>855449.81060000008</v>
      </c>
      <c r="L358" s="311">
        <v>0</v>
      </c>
      <c r="M358" s="311">
        <v>191629.16666666674</v>
      </c>
      <c r="N358" s="311">
        <v>95439.967333333334</v>
      </c>
      <c r="O358" s="311">
        <v>66807.977133333334</v>
      </c>
      <c r="P358" s="68">
        <f t="shared" si="71"/>
        <v>1209326.9217333333</v>
      </c>
      <c r="Q358" s="68">
        <f t="shared" si="72"/>
        <v>2418653.8434666665</v>
      </c>
      <c r="R358" s="127">
        <f t="shared" si="73"/>
        <v>2418653.8434666665</v>
      </c>
      <c r="S358" s="330"/>
    </row>
    <row r="359" spans="1:19" s="84" customFormat="1" ht="30">
      <c r="A359" s="211"/>
      <c r="B359" s="29" t="s">
        <v>2102</v>
      </c>
      <c r="C359" s="30" t="s">
        <v>1350</v>
      </c>
      <c r="D359" s="352">
        <v>4</v>
      </c>
      <c r="E359" s="30"/>
      <c r="F359" s="352">
        <v>4</v>
      </c>
      <c r="G359" s="351" t="s">
        <v>3128</v>
      </c>
      <c r="H359" s="351"/>
      <c r="I359" s="351" t="s">
        <v>2596</v>
      </c>
      <c r="J359" s="560" t="s">
        <v>2328</v>
      </c>
      <c r="K359" s="311">
        <v>873847.41920000012</v>
      </c>
      <c r="L359" s="311">
        <v>0</v>
      </c>
      <c r="M359" s="311">
        <v>217760.41666666669</v>
      </c>
      <c r="N359" s="311">
        <v>99440.321333333341</v>
      </c>
      <c r="O359" s="311">
        <v>69608.224933333346</v>
      </c>
      <c r="P359" s="68">
        <f t="shared" si="71"/>
        <v>1260656.3821333335</v>
      </c>
      <c r="Q359" s="68">
        <f t="shared" si="72"/>
        <v>5042625.5285333339</v>
      </c>
      <c r="R359" s="127">
        <f t="shared" si="73"/>
        <v>5042625.5285333339</v>
      </c>
      <c r="S359" s="330"/>
    </row>
    <row r="360" spans="1:19" s="84" customFormat="1" ht="30">
      <c r="A360" s="211"/>
      <c r="B360" s="29" t="s">
        <v>2103</v>
      </c>
      <c r="C360" s="30" t="s">
        <v>1350</v>
      </c>
      <c r="D360" s="352">
        <v>2</v>
      </c>
      <c r="E360" s="30"/>
      <c r="F360" s="352">
        <v>2</v>
      </c>
      <c r="G360" s="351" t="s">
        <v>3128</v>
      </c>
      <c r="H360" s="351"/>
      <c r="I360" s="351" t="s">
        <v>2596</v>
      </c>
      <c r="J360" s="560" t="s">
        <v>2328</v>
      </c>
      <c r="K360" s="311">
        <v>888564.01060000004</v>
      </c>
      <c r="L360" s="311">
        <v>0</v>
      </c>
      <c r="M360" s="311">
        <v>217760.41666666669</v>
      </c>
      <c r="N360" s="311">
        <v>100790.46733333333</v>
      </c>
      <c r="O360" s="311">
        <v>70553.32713333334</v>
      </c>
      <c r="P360" s="68">
        <f t="shared" si="71"/>
        <v>1277668.2217333333</v>
      </c>
      <c r="Q360" s="68">
        <f t="shared" si="72"/>
        <v>2555336.4434666666</v>
      </c>
      <c r="R360" s="127">
        <f t="shared" si="73"/>
        <v>2555336.4434666666</v>
      </c>
      <c r="S360" s="335"/>
    </row>
    <row r="361" spans="1:19">
      <c r="A361" s="73">
        <v>4.1500000000000004</v>
      </c>
      <c r="B361" s="27" t="s">
        <v>1429</v>
      </c>
      <c r="C361" s="24"/>
      <c r="D361" s="351"/>
      <c r="E361" s="26"/>
      <c r="F361" s="351"/>
      <c r="G361" s="37"/>
      <c r="H361" s="37"/>
      <c r="I361" s="37"/>
      <c r="J361" s="583"/>
      <c r="K361" s="66"/>
      <c r="L361" s="66"/>
      <c r="M361" s="66"/>
      <c r="N361" s="66"/>
      <c r="O361" s="66"/>
      <c r="P361" s="66"/>
      <c r="Q361" s="66"/>
      <c r="R361" s="66"/>
      <c r="S361" s="37"/>
    </row>
    <row r="362" spans="1:19" ht="30">
      <c r="A362" s="73"/>
      <c r="B362" s="25" t="s">
        <v>1386</v>
      </c>
      <c r="C362" s="26" t="s">
        <v>1350</v>
      </c>
      <c r="D362" s="351">
        <v>3</v>
      </c>
      <c r="E362" s="26"/>
      <c r="F362" s="351">
        <v>3</v>
      </c>
      <c r="G362" s="351" t="s">
        <v>3150</v>
      </c>
      <c r="H362" s="351"/>
      <c r="I362" s="351" t="s">
        <v>2596</v>
      </c>
      <c r="J362" s="560" t="s">
        <v>2328</v>
      </c>
      <c r="K362" s="311">
        <v>1299904.2789264002</v>
      </c>
      <c r="L362" s="311">
        <v>0</v>
      </c>
      <c r="M362" s="311">
        <v>357306.00000000006</v>
      </c>
      <c r="N362" s="311">
        <v>150877.27329600003</v>
      </c>
      <c r="O362" s="311">
        <v>105614.09130720003</v>
      </c>
      <c r="P362" s="68">
        <f t="shared" ref="P362:P369" si="74">SUM(K362:O362)</f>
        <v>1913701.6435296002</v>
      </c>
      <c r="Q362" s="68">
        <f t="shared" ref="Q362:Q369" si="75">D362*P362</f>
        <v>5741104.9305888005</v>
      </c>
      <c r="R362" s="127">
        <f t="shared" ref="R362:R369" si="76">F362*P362</f>
        <v>5741104.9305888005</v>
      </c>
      <c r="S362" s="36"/>
    </row>
    <row r="363" spans="1:19" ht="30">
      <c r="A363" s="73"/>
      <c r="B363" s="25" t="s">
        <v>1455</v>
      </c>
      <c r="C363" s="26" t="s">
        <v>1350</v>
      </c>
      <c r="D363" s="351">
        <v>2</v>
      </c>
      <c r="E363" s="26"/>
      <c r="F363" s="351">
        <v>2</v>
      </c>
      <c r="G363" s="351" t="s">
        <v>3150</v>
      </c>
      <c r="H363" s="351"/>
      <c r="I363" s="351" t="s">
        <v>2596</v>
      </c>
      <c r="J363" s="560" t="s">
        <v>2328</v>
      </c>
      <c r="K363" s="311">
        <v>1552379.1257520006</v>
      </c>
      <c r="L363" s="311">
        <v>0</v>
      </c>
      <c r="M363" s="311">
        <v>413354.00000000006</v>
      </c>
      <c r="N363" s="311">
        <v>179000.10328000004</v>
      </c>
      <c r="O363" s="311">
        <v>125300.07229600004</v>
      </c>
      <c r="P363" s="68">
        <f t="shared" si="74"/>
        <v>2270033.3013280006</v>
      </c>
      <c r="Q363" s="68">
        <f t="shared" si="75"/>
        <v>4540066.6026560012</v>
      </c>
      <c r="R363" s="127">
        <f t="shared" si="76"/>
        <v>4540066.6026560012</v>
      </c>
      <c r="S363" s="37"/>
    </row>
    <row r="364" spans="1:19" ht="30">
      <c r="A364" s="73"/>
      <c r="B364" s="25" t="s">
        <v>1458</v>
      </c>
      <c r="C364" s="26" t="s">
        <v>1350</v>
      </c>
      <c r="D364" s="351">
        <v>1</v>
      </c>
      <c r="E364" s="26"/>
      <c r="F364" s="351">
        <v>1</v>
      </c>
      <c r="G364" s="351" t="s">
        <v>3150</v>
      </c>
      <c r="H364" s="351"/>
      <c r="I364" s="351" t="s">
        <v>2596</v>
      </c>
      <c r="J364" s="560" t="s">
        <v>2328</v>
      </c>
      <c r="K364" s="311">
        <v>2261233.3321956005</v>
      </c>
      <c r="L364" s="311">
        <v>0</v>
      </c>
      <c r="M364" s="311">
        <v>593758.50000000012</v>
      </c>
      <c r="N364" s="311">
        <v>259997.59928400005</v>
      </c>
      <c r="O364" s="311">
        <v>181998.31949880006</v>
      </c>
      <c r="P364" s="68">
        <f t="shared" si="74"/>
        <v>3296987.7509784009</v>
      </c>
      <c r="Q364" s="68">
        <f t="shared" si="75"/>
        <v>3296987.7509784009</v>
      </c>
      <c r="R364" s="127">
        <f t="shared" si="76"/>
        <v>3296987.7509784009</v>
      </c>
      <c r="S364" s="37"/>
    </row>
    <row r="365" spans="1:19" ht="30">
      <c r="A365" s="73"/>
      <c r="B365" s="25" t="s">
        <v>1374</v>
      </c>
      <c r="C365" s="26" t="s">
        <v>1350</v>
      </c>
      <c r="D365" s="351">
        <v>3</v>
      </c>
      <c r="E365" s="26"/>
      <c r="F365" s="351">
        <v>3</v>
      </c>
      <c r="G365" s="351" t="s">
        <v>3150</v>
      </c>
      <c r="H365" s="351"/>
      <c r="I365" s="351" t="s">
        <v>2596</v>
      </c>
      <c r="J365" s="560" t="s">
        <v>2328</v>
      </c>
      <c r="K365" s="311">
        <v>2883922.9823516007</v>
      </c>
      <c r="L365" s="311">
        <v>0</v>
      </c>
      <c r="M365" s="311">
        <v>726872.50000000012</v>
      </c>
      <c r="N365" s="311">
        <v>328905.0901240001</v>
      </c>
      <c r="O365" s="311">
        <v>230233.56308680004</v>
      </c>
      <c r="P365" s="68">
        <f t="shared" si="74"/>
        <v>4169934.1355624013</v>
      </c>
      <c r="Q365" s="68">
        <f t="shared" si="75"/>
        <v>12509802.406687204</v>
      </c>
      <c r="R365" s="127">
        <f t="shared" si="76"/>
        <v>12509802.406687204</v>
      </c>
      <c r="S365" s="37"/>
    </row>
    <row r="366" spans="1:19" s="84" customFormat="1" ht="30">
      <c r="A366" s="211"/>
      <c r="B366" s="29" t="s">
        <v>2104</v>
      </c>
      <c r="C366" s="30" t="s">
        <v>1350</v>
      </c>
      <c r="D366" s="352">
        <v>1</v>
      </c>
      <c r="E366" s="30"/>
      <c r="F366" s="352">
        <v>1</v>
      </c>
      <c r="G366" s="351" t="s">
        <v>3149</v>
      </c>
      <c r="H366" s="26"/>
      <c r="I366" s="351" t="s">
        <v>2596</v>
      </c>
      <c r="J366" s="560" t="s">
        <v>2328</v>
      </c>
      <c r="K366" s="311">
        <v>138673.72399999999</v>
      </c>
      <c r="L366" s="311">
        <v>0</v>
      </c>
      <c r="M366" s="311">
        <v>242385.00000000003</v>
      </c>
      <c r="N366" s="311">
        <v>34172.36</v>
      </c>
      <c r="O366" s="311">
        <v>23920.652000000002</v>
      </c>
      <c r="P366" s="68">
        <f t="shared" si="74"/>
        <v>439151.73600000003</v>
      </c>
      <c r="Q366" s="68">
        <f t="shared" si="75"/>
        <v>439151.73600000003</v>
      </c>
      <c r="R366" s="127">
        <f t="shared" si="76"/>
        <v>439151.73600000003</v>
      </c>
      <c r="S366" s="26"/>
    </row>
    <row r="367" spans="1:19" s="84" customFormat="1" ht="30">
      <c r="A367" s="211"/>
      <c r="B367" s="29" t="s">
        <v>2105</v>
      </c>
      <c r="C367" s="30" t="s">
        <v>1350</v>
      </c>
      <c r="D367" s="352">
        <v>1</v>
      </c>
      <c r="E367" s="30"/>
      <c r="F367" s="352">
        <v>1</v>
      </c>
      <c r="G367" s="351" t="s">
        <v>3150</v>
      </c>
      <c r="H367" s="26"/>
      <c r="I367" s="351" t="s">
        <v>2596</v>
      </c>
      <c r="J367" s="560" t="s">
        <v>2328</v>
      </c>
      <c r="K367" s="311">
        <v>178295.39840000003</v>
      </c>
      <c r="L367" s="311">
        <v>0</v>
      </c>
      <c r="M367" s="311">
        <v>371318.00000000006</v>
      </c>
      <c r="N367" s="311">
        <v>49217.376000000004</v>
      </c>
      <c r="O367" s="311">
        <v>34452.163200000003</v>
      </c>
      <c r="P367" s="68">
        <f t="shared" si="74"/>
        <v>633282.93760000006</v>
      </c>
      <c r="Q367" s="68">
        <f t="shared" si="75"/>
        <v>633282.93760000006</v>
      </c>
      <c r="R367" s="127">
        <f t="shared" si="76"/>
        <v>633282.93760000006</v>
      </c>
      <c r="S367" s="26"/>
    </row>
    <row r="368" spans="1:19" s="84" customFormat="1" ht="30">
      <c r="A368" s="211"/>
      <c r="B368" s="29" t="s">
        <v>2089</v>
      </c>
      <c r="C368" s="30" t="s">
        <v>1350</v>
      </c>
      <c r="D368" s="352">
        <v>1</v>
      </c>
      <c r="E368" s="30"/>
      <c r="F368" s="352">
        <v>1</v>
      </c>
      <c r="G368" s="351" t="s">
        <v>3150</v>
      </c>
      <c r="H368" s="26"/>
      <c r="I368" s="351" t="s">
        <v>2596</v>
      </c>
      <c r="J368" s="560" t="s">
        <v>2328</v>
      </c>
      <c r="K368" s="311">
        <v>364019.05960000004</v>
      </c>
      <c r="L368" s="311">
        <v>0</v>
      </c>
      <c r="M368" s="311">
        <v>606019.00000000012</v>
      </c>
      <c r="N368" s="311">
        <v>87026.244000000006</v>
      </c>
      <c r="O368" s="311">
        <v>60918.370800000004</v>
      </c>
      <c r="P368" s="68">
        <f t="shared" si="74"/>
        <v>1117982.6744000001</v>
      </c>
      <c r="Q368" s="68">
        <f t="shared" si="75"/>
        <v>1117982.6744000001</v>
      </c>
      <c r="R368" s="127">
        <f t="shared" si="76"/>
        <v>1117982.6744000001</v>
      </c>
      <c r="S368" s="26"/>
    </row>
    <row r="369" spans="1:19" s="84" customFormat="1" ht="30">
      <c r="A369" s="211"/>
      <c r="B369" s="29" t="s">
        <v>2106</v>
      </c>
      <c r="C369" s="30" t="s">
        <v>1350</v>
      </c>
      <c r="D369" s="352">
        <v>1</v>
      </c>
      <c r="E369" s="30"/>
      <c r="F369" s="352">
        <v>1</v>
      </c>
      <c r="G369" s="351" t="s">
        <v>3150</v>
      </c>
      <c r="H369" s="26"/>
      <c r="I369" s="351" t="s">
        <v>2596</v>
      </c>
      <c r="J369" s="560" t="s">
        <v>2328</v>
      </c>
      <c r="K369" s="311">
        <v>360717.25340000005</v>
      </c>
      <c r="L369" s="311">
        <v>0</v>
      </c>
      <c r="M369" s="311">
        <v>663818.50000000012</v>
      </c>
      <c r="N369" s="311">
        <v>91838.326000000001</v>
      </c>
      <c r="O369" s="311">
        <v>64286.828200000004</v>
      </c>
      <c r="P369" s="68">
        <f t="shared" si="74"/>
        <v>1180660.9076000003</v>
      </c>
      <c r="Q369" s="68">
        <f t="shared" si="75"/>
        <v>1180660.9076000003</v>
      </c>
      <c r="R369" s="127">
        <f t="shared" si="76"/>
        <v>1180660.9076000003</v>
      </c>
      <c r="S369" s="26"/>
    </row>
    <row r="370" spans="1:19">
      <c r="A370" s="73">
        <v>4.16</v>
      </c>
      <c r="B370" s="27" t="s">
        <v>1464</v>
      </c>
      <c r="C370" s="24"/>
      <c r="D370" s="351"/>
      <c r="E370" s="26"/>
      <c r="F370" s="351"/>
      <c r="G370" s="36"/>
      <c r="H370" s="36"/>
      <c r="I370" s="36"/>
      <c r="J370" s="584"/>
      <c r="K370" s="65"/>
      <c r="L370" s="65"/>
      <c r="M370" s="65"/>
      <c r="N370" s="65"/>
      <c r="O370" s="65"/>
      <c r="P370" s="65"/>
      <c r="Q370" s="65"/>
      <c r="R370" s="65"/>
      <c r="S370" s="36"/>
    </row>
    <row r="371" spans="1:19" ht="30">
      <c r="A371" s="73"/>
      <c r="B371" s="25" t="s">
        <v>1465</v>
      </c>
      <c r="C371" s="26" t="s">
        <v>1350</v>
      </c>
      <c r="D371" s="352">
        <v>1</v>
      </c>
      <c r="E371" s="26"/>
      <c r="F371" s="352">
        <v>1</v>
      </c>
      <c r="G371" s="351" t="s">
        <v>3128</v>
      </c>
      <c r="H371" s="351"/>
      <c r="I371" s="351" t="s">
        <v>2596</v>
      </c>
      <c r="J371" s="560" t="s">
        <v>2328</v>
      </c>
      <c r="K371" s="311">
        <v>2130346.8666666667</v>
      </c>
      <c r="L371" s="311">
        <v>0</v>
      </c>
      <c r="M371" s="311">
        <v>540045.83333333337</v>
      </c>
      <c r="N371" s="311">
        <v>243236.33333333337</v>
      </c>
      <c r="O371" s="311">
        <v>170265.43333333335</v>
      </c>
      <c r="P371" s="68">
        <f>SUM(K371:O371)</f>
        <v>3083894.4666666668</v>
      </c>
      <c r="Q371" s="68">
        <f>D371*P371</f>
        <v>3083894.4666666668</v>
      </c>
      <c r="R371" s="127">
        <f>F371*P371</f>
        <v>3083894.4666666668</v>
      </c>
      <c r="S371" s="37"/>
    </row>
    <row r="372" spans="1:19">
      <c r="A372" s="73">
        <v>4.17</v>
      </c>
      <c r="B372" s="72" t="s">
        <v>1466</v>
      </c>
      <c r="C372" s="24"/>
      <c r="D372" s="351"/>
      <c r="E372" s="24"/>
      <c r="F372" s="351"/>
      <c r="G372" s="37"/>
      <c r="H372" s="37"/>
      <c r="I372" s="37"/>
      <c r="J372" s="583"/>
      <c r="K372" s="66"/>
      <c r="L372" s="66"/>
      <c r="M372" s="66"/>
      <c r="N372" s="66"/>
      <c r="O372" s="66"/>
      <c r="P372" s="66"/>
      <c r="Q372" s="66"/>
      <c r="R372" s="66"/>
      <c r="S372" s="37"/>
    </row>
    <row r="373" spans="1:19" ht="30">
      <c r="A373" s="73"/>
      <c r="B373" s="25" t="s">
        <v>1467</v>
      </c>
      <c r="C373" s="26" t="s">
        <v>1350</v>
      </c>
      <c r="D373" s="351">
        <v>50</v>
      </c>
      <c r="E373" s="24"/>
      <c r="F373" s="351">
        <v>50</v>
      </c>
      <c r="G373" s="351" t="s">
        <v>3124</v>
      </c>
      <c r="H373" s="351"/>
      <c r="I373" s="351" t="s">
        <v>2596</v>
      </c>
      <c r="J373" s="560" t="s">
        <v>2328</v>
      </c>
      <c r="K373" s="311">
        <v>255714.00000000003</v>
      </c>
      <c r="L373" s="311">
        <v>0</v>
      </c>
      <c r="M373" s="311">
        <v>125995.00000000001</v>
      </c>
      <c r="N373" s="311">
        <v>34610</v>
      </c>
      <c r="O373" s="311">
        <v>24227.000000000004</v>
      </c>
      <c r="P373" s="68">
        <f t="shared" ref="P373:P376" si="77">SUM(K373:O373)</f>
        <v>440546.00000000006</v>
      </c>
      <c r="Q373" s="68">
        <f>D373*P373</f>
        <v>22027300.000000004</v>
      </c>
      <c r="R373" s="127">
        <f>F373*P373</f>
        <v>22027300.000000004</v>
      </c>
      <c r="S373" s="37"/>
    </row>
    <row r="374" spans="1:19" ht="30">
      <c r="A374" s="73"/>
      <c r="B374" s="25" t="s">
        <v>1468</v>
      </c>
      <c r="C374" s="26" t="s">
        <v>1350</v>
      </c>
      <c r="D374" s="351">
        <v>100</v>
      </c>
      <c r="E374" s="24"/>
      <c r="F374" s="351">
        <v>100</v>
      </c>
      <c r="G374" s="351" t="s">
        <v>3124</v>
      </c>
      <c r="H374" s="351"/>
      <c r="I374" s="351" t="s">
        <v>2596</v>
      </c>
      <c r="J374" s="560" t="s">
        <v>2328</v>
      </c>
      <c r="K374" s="311">
        <v>345769.80000000005</v>
      </c>
      <c r="L374" s="311">
        <v>0</v>
      </c>
      <c r="M374" s="311">
        <v>159556.00000000003</v>
      </c>
      <c r="N374" s="311">
        <v>45842</v>
      </c>
      <c r="O374" s="311">
        <v>32089.4</v>
      </c>
      <c r="P374" s="68">
        <f t="shared" si="77"/>
        <v>583257.20000000007</v>
      </c>
      <c r="Q374" s="68">
        <f>D374*P374</f>
        <v>58325720.000000007</v>
      </c>
      <c r="R374" s="127">
        <f>F374*P374</f>
        <v>58325720.000000007</v>
      </c>
      <c r="S374" s="37"/>
    </row>
    <row r="375" spans="1:19" ht="30">
      <c r="A375" s="73"/>
      <c r="B375" s="25" t="s">
        <v>1469</v>
      </c>
      <c r="C375" s="26" t="s">
        <v>1350</v>
      </c>
      <c r="D375" s="351">
        <v>156</v>
      </c>
      <c r="E375" s="24"/>
      <c r="F375" s="351">
        <v>156</v>
      </c>
      <c r="G375" s="351" t="s">
        <v>3124</v>
      </c>
      <c r="H375" s="351"/>
      <c r="I375" s="351" t="s">
        <v>2596</v>
      </c>
      <c r="J375" s="560" t="s">
        <v>2328</v>
      </c>
      <c r="K375" s="311">
        <v>529216.80000000005</v>
      </c>
      <c r="L375" s="311">
        <v>0</v>
      </c>
      <c r="M375" s="311">
        <v>246905.00000000003</v>
      </c>
      <c r="N375" s="311">
        <v>70402</v>
      </c>
      <c r="O375" s="311">
        <v>49281.4</v>
      </c>
      <c r="P375" s="68">
        <f t="shared" si="77"/>
        <v>895805.20000000007</v>
      </c>
      <c r="Q375" s="68">
        <f>D375*P375</f>
        <v>139745611.20000002</v>
      </c>
      <c r="R375" s="127">
        <f>F375*P375</f>
        <v>139745611.20000002</v>
      </c>
      <c r="S375" s="37"/>
    </row>
    <row r="376" spans="1:19" ht="30">
      <c r="A376" s="73"/>
      <c r="B376" s="25" t="s">
        <v>1470</v>
      </c>
      <c r="C376" s="26" t="s">
        <v>1350</v>
      </c>
      <c r="D376" s="352">
        <v>11</v>
      </c>
      <c r="E376" s="26"/>
      <c r="F376" s="352">
        <v>11</v>
      </c>
      <c r="G376" s="351" t="s">
        <v>3124</v>
      </c>
      <c r="H376" s="351"/>
      <c r="I376" s="351" t="s">
        <v>2596</v>
      </c>
      <c r="J376" s="560" t="s">
        <v>2328</v>
      </c>
      <c r="K376" s="311">
        <v>880545.60000000009</v>
      </c>
      <c r="L376" s="311">
        <v>0</v>
      </c>
      <c r="M376" s="311">
        <v>368154.00000000006</v>
      </c>
      <c r="N376" s="311">
        <v>113364</v>
      </c>
      <c r="O376" s="311">
        <v>79354.8</v>
      </c>
      <c r="P376" s="68">
        <f t="shared" si="77"/>
        <v>1441418.4000000001</v>
      </c>
      <c r="Q376" s="68">
        <f>D376*P376</f>
        <v>15855602.400000002</v>
      </c>
      <c r="R376" s="127">
        <f>F376*P376</f>
        <v>15855602.400000002</v>
      </c>
      <c r="S376" s="37"/>
    </row>
    <row r="377" spans="1:19">
      <c r="A377" s="73">
        <v>4.18</v>
      </c>
      <c r="B377" s="72" t="s">
        <v>1471</v>
      </c>
      <c r="C377" s="24"/>
      <c r="D377" s="351"/>
      <c r="E377" s="24"/>
      <c r="F377" s="351"/>
      <c r="G377" s="38"/>
      <c r="H377" s="38"/>
      <c r="I377" s="38"/>
      <c r="J377" s="585"/>
      <c r="K377" s="65"/>
      <c r="L377" s="65"/>
      <c r="M377" s="65"/>
      <c r="N377" s="65"/>
      <c r="O377" s="65"/>
      <c r="P377" s="65"/>
      <c r="Q377" s="65"/>
      <c r="R377" s="65"/>
      <c r="S377" s="38"/>
    </row>
    <row r="378" spans="1:19" ht="30">
      <c r="A378" s="73"/>
      <c r="B378" s="25" t="s">
        <v>1457</v>
      </c>
      <c r="C378" s="26" t="s">
        <v>1350</v>
      </c>
      <c r="D378" s="352">
        <v>1</v>
      </c>
      <c r="E378" s="26"/>
      <c r="F378" s="352">
        <v>1</v>
      </c>
      <c r="G378" s="351" t="s">
        <v>3351</v>
      </c>
      <c r="H378" s="351"/>
      <c r="I378" s="351" t="s">
        <v>2596</v>
      </c>
      <c r="J378" s="560" t="s">
        <v>2328</v>
      </c>
      <c r="K378" s="311">
        <v>4855285.61448</v>
      </c>
      <c r="L378" s="311">
        <v>0</v>
      </c>
      <c r="M378" s="311">
        <v>208146.00000000003</v>
      </c>
      <c r="N378" s="311">
        <v>463859.04720000003</v>
      </c>
      <c r="O378" s="311">
        <v>324701.33304000006</v>
      </c>
      <c r="P378" s="68">
        <f t="shared" ref="P378:P386" si="78">SUM(K378:O378)</f>
        <v>5851991.9947199998</v>
      </c>
      <c r="Q378" s="68">
        <f t="shared" ref="Q378:Q386" si="79">D378*P378</f>
        <v>5851991.9947199998</v>
      </c>
      <c r="R378" s="127">
        <f t="shared" ref="R378:R386" si="80">F378*P378</f>
        <v>5851991.9947199998</v>
      </c>
      <c r="S378" s="36"/>
    </row>
    <row r="379" spans="1:19" s="84" customFormat="1" ht="30">
      <c r="A379" s="211"/>
      <c r="B379" s="29" t="s">
        <v>2107</v>
      </c>
      <c r="C379" s="30" t="s">
        <v>1350</v>
      </c>
      <c r="D379" s="352">
        <v>1</v>
      </c>
      <c r="E379" s="30"/>
      <c r="F379" s="352">
        <v>1</v>
      </c>
      <c r="G379" s="351" t="s">
        <v>3351</v>
      </c>
      <c r="H379" s="333"/>
      <c r="I379" s="351" t="s">
        <v>2596</v>
      </c>
      <c r="J379" s="560" t="s">
        <v>2328</v>
      </c>
      <c r="K379" s="311">
        <v>1925964.6</v>
      </c>
      <c r="L379" s="311">
        <v>0</v>
      </c>
      <c r="M379" s="311">
        <v>54127.000000000007</v>
      </c>
      <c r="N379" s="311">
        <v>181484</v>
      </c>
      <c r="O379" s="311">
        <v>127038.80000000002</v>
      </c>
      <c r="P379" s="68">
        <f t="shared" si="78"/>
        <v>2288614.3999999999</v>
      </c>
      <c r="Q379" s="68">
        <f t="shared" si="79"/>
        <v>2288614.3999999999</v>
      </c>
      <c r="R379" s="127">
        <f t="shared" si="80"/>
        <v>2288614.3999999999</v>
      </c>
      <c r="S379" s="333"/>
    </row>
    <row r="380" spans="1:19" s="84" customFormat="1" ht="30">
      <c r="A380" s="211"/>
      <c r="B380" s="29" t="s">
        <v>2097</v>
      </c>
      <c r="C380" s="30" t="s">
        <v>1350</v>
      </c>
      <c r="D380" s="352">
        <v>96</v>
      </c>
      <c r="E380" s="30"/>
      <c r="F380" s="352">
        <v>96</v>
      </c>
      <c r="G380" s="351" t="s">
        <v>3351</v>
      </c>
      <c r="H380" s="330"/>
      <c r="I380" s="351" t="s">
        <v>2596</v>
      </c>
      <c r="J380" s="560" t="s">
        <v>2328</v>
      </c>
      <c r="K380" s="311">
        <v>2111240.6854000003</v>
      </c>
      <c r="L380" s="311">
        <v>0</v>
      </c>
      <c r="M380" s="311">
        <v>54127.000000000007</v>
      </c>
      <c r="N380" s="311">
        <v>198481.80600000001</v>
      </c>
      <c r="O380" s="311">
        <v>138937.26420000001</v>
      </c>
      <c r="P380" s="68">
        <f t="shared" si="78"/>
        <v>2502786.7556000003</v>
      </c>
      <c r="Q380" s="68">
        <f t="shared" si="79"/>
        <v>240267528.53760004</v>
      </c>
      <c r="R380" s="127">
        <f t="shared" si="80"/>
        <v>240267528.53760004</v>
      </c>
      <c r="S380" s="330"/>
    </row>
    <row r="381" spans="1:19" s="84" customFormat="1" ht="30">
      <c r="A381" s="211"/>
      <c r="B381" s="29" t="s">
        <v>1830</v>
      </c>
      <c r="C381" s="30" t="s">
        <v>1350</v>
      </c>
      <c r="D381" s="352">
        <v>10</v>
      </c>
      <c r="E381" s="30"/>
      <c r="F381" s="352">
        <v>10</v>
      </c>
      <c r="G381" s="351" t="s">
        <v>3351</v>
      </c>
      <c r="H381" s="331"/>
      <c r="I381" s="351" t="s">
        <v>2596</v>
      </c>
      <c r="J381" s="560" t="s">
        <v>2328</v>
      </c>
      <c r="K381" s="311">
        <v>2506042.0644000005</v>
      </c>
      <c r="L381" s="311">
        <v>0</v>
      </c>
      <c r="M381" s="311">
        <v>172551.00000000003</v>
      </c>
      <c r="N381" s="311">
        <v>245182.11600000004</v>
      </c>
      <c r="O381" s="311">
        <v>171627.48120000004</v>
      </c>
      <c r="P381" s="68">
        <f t="shared" si="78"/>
        <v>3095402.6616000002</v>
      </c>
      <c r="Q381" s="68">
        <f t="shared" si="79"/>
        <v>30954026.616000004</v>
      </c>
      <c r="R381" s="127">
        <f t="shared" si="80"/>
        <v>30954026.616000004</v>
      </c>
      <c r="S381" s="331"/>
    </row>
    <row r="382" spans="1:19" s="84" customFormat="1" ht="30">
      <c r="A382" s="211"/>
      <c r="B382" s="29" t="s">
        <v>2108</v>
      </c>
      <c r="C382" s="30" t="s">
        <v>1350</v>
      </c>
      <c r="D382" s="352">
        <v>12</v>
      </c>
      <c r="E382" s="30"/>
      <c r="F382" s="352">
        <v>12</v>
      </c>
      <c r="G382" s="351" t="s">
        <v>3351</v>
      </c>
      <c r="H382" s="334"/>
      <c r="I382" s="351" t="s">
        <v>2596</v>
      </c>
      <c r="J382" s="560" t="s">
        <v>2328</v>
      </c>
      <c r="K382" s="311">
        <v>3046933.68</v>
      </c>
      <c r="L382" s="311">
        <v>0</v>
      </c>
      <c r="M382" s="311">
        <v>172551.00000000003</v>
      </c>
      <c r="N382" s="311">
        <v>294805.2</v>
      </c>
      <c r="O382" s="311">
        <v>206363.64</v>
      </c>
      <c r="P382" s="68">
        <f t="shared" si="78"/>
        <v>3720653.5200000005</v>
      </c>
      <c r="Q382" s="68">
        <f t="shared" si="79"/>
        <v>44647842.24000001</v>
      </c>
      <c r="R382" s="127">
        <f t="shared" si="80"/>
        <v>44647842.24000001</v>
      </c>
      <c r="S382" s="334"/>
    </row>
    <row r="383" spans="1:19" s="84" customFormat="1" ht="30">
      <c r="A383" s="211"/>
      <c r="B383" s="29" t="s">
        <v>2067</v>
      </c>
      <c r="C383" s="30" t="s">
        <v>1350</v>
      </c>
      <c r="D383" s="352">
        <v>3</v>
      </c>
      <c r="E383" s="30"/>
      <c r="F383" s="352">
        <v>3</v>
      </c>
      <c r="G383" s="351" t="s">
        <v>3351</v>
      </c>
      <c r="H383" s="335"/>
      <c r="I383" s="351" t="s">
        <v>2596</v>
      </c>
      <c r="J383" s="560" t="s">
        <v>2328</v>
      </c>
      <c r="K383" s="311">
        <v>2824854.9000000004</v>
      </c>
      <c r="L383" s="311">
        <v>0</v>
      </c>
      <c r="M383" s="311">
        <v>110627.00000000001</v>
      </c>
      <c r="N383" s="311">
        <v>268951</v>
      </c>
      <c r="O383" s="311">
        <v>188265.7</v>
      </c>
      <c r="P383" s="68">
        <f t="shared" si="78"/>
        <v>3392698.6000000006</v>
      </c>
      <c r="Q383" s="68">
        <f t="shared" si="79"/>
        <v>10178095.800000001</v>
      </c>
      <c r="R383" s="127">
        <f t="shared" si="80"/>
        <v>10178095.800000001</v>
      </c>
      <c r="S383" s="335"/>
    </row>
    <row r="384" spans="1:19" s="84" customFormat="1" ht="30">
      <c r="A384" s="211"/>
      <c r="B384" s="29" t="s">
        <v>2109</v>
      </c>
      <c r="C384" s="30" t="s">
        <v>1350</v>
      </c>
      <c r="D384" s="352">
        <v>3</v>
      </c>
      <c r="E384" s="30"/>
      <c r="F384" s="352">
        <v>3</v>
      </c>
      <c r="G384" s="351" t="s">
        <v>3351</v>
      </c>
      <c r="H384" s="15"/>
      <c r="I384" s="351" t="s">
        <v>2596</v>
      </c>
      <c r="J384" s="560" t="s">
        <v>2328</v>
      </c>
      <c r="K384" s="311">
        <v>3799117.392</v>
      </c>
      <c r="L384" s="311">
        <v>0</v>
      </c>
      <c r="M384" s="311">
        <v>172551.00000000003</v>
      </c>
      <c r="N384" s="311">
        <v>363812.88</v>
      </c>
      <c r="O384" s="311">
        <v>254669.016</v>
      </c>
      <c r="P384" s="68">
        <f t="shared" si="78"/>
        <v>4590150.2879999997</v>
      </c>
      <c r="Q384" s="68">
        <f t="shared" si="79"/>
        <v>13770450.864</v>
      </c>
      <c r="R384" s="127">
        <f t="shared" si="80"/>
        <v>13770450.864</v>
      </c>
      <c r="S384" s="15"/>
    </row>
    <row r="385" spans="1:19" s="84" customFormat="1" ht="30">
      <c r="A385" s="211"/>
      <c r="B385" s="29" t="s">
        <v>2110</v>
      </c>
      <c r="C385" s="30" t="s">
        <v>1350</v>
      </c>
      <c r="D385" s="352">
        <v>2</v>
      </c>
      <c r="E385" s="30"/>
      <c r="F385" s="352">
        <v>2</v>
      </c>
      <c r="G385" s="351" t="s">
        <v>3351</v>
      </c>
      <c r="H385" s="335"/>
      <c r="I385" s="351" t="s">
        <v>2596</v>
      </c>
      <c r="J385" s="560" t="s">
        <v>2328</v>
      </c>
      <c r="K385" s="311">
        <v>3453160.5262000007</v>
      </c>
      <c r="L385" s="311">
        <v>0</v>
      </c>
      <c r="M385" s="311">
        <v>172551.00000000003</v>
      </c>
      <c r="N385" s="311">
        <v>332073.71800000005</v>
      </c>
      <c r="O385" s="311">
        <v>232451.60260000004</v>
      </c>
      <c r="P385" s="68">
        <f t="shared" si="78"/>
        <v>4190236.8468000004</v>
      </c>
      <c r="Q385" s="68">
        <f t="shared" si="79"/>
        <v>8380473.6936000008</v>
      </c>
      <c r="R385" s="127">
        <f t="shared" si="80"/>
        <v>8380473.6936000008</v>
      </c>
      <c r="S385" s="335"/>
    </row>
    <row r="386" spans="1:19" s="84" customFormat="1" ht="30">
      <c r="A386" s="211"/>
      <c r="B386" s="29" t="s">
        <v>2111</v>
      </c>
      <c r="C386" s="30" t="s">
        <v>1350</v>
      </c>
      <c r="D386" s="352">
        <v>1</v>
      </c>
      <c r="E386" s="30"/>
      <c r="F386" s="352">
        <v>1</v>
      </c>
      <c r="G386" s="351" t="s">
        <v>3351</v>
      </c>
      <c r="H386" s="334"/>
      <c r="I386" s="351" t="s">
        <v>2596</v>
      </c>
      <c r="J386" s="560" t="s">
        <v>2328</v>
      </c>
      <c r="K386" s="311">
        <v>3825353.4522000002</v>
      </c>
      <c r="L386" s="311">
        <v>0</v>
      </c>
      <c r="M386" s="311">
        <v>172551.00000000003</v>
      </c>
      <c r="N386" s="311">
        <v>366219.85800000001</v>
      </c>
      <c r="O386" s="311">
        <v>256353.90060000002</v>
      </c>
      <c r="P386" s="68">
        <f t="shared" si="78"/>
        <v>4620478.2108000005</v>
      </c>
      <c r="Q386" s="68">
        <f t="shared" si="79"/>
        <v>4620478.2108000005</v>
      </c>
      <c r="R386" s="127">
        <f t="shared" si="80"/>
        <v>4620478.2108000005</v>
      </c>
      <c r="S386" s="334"/>
    </row>
    <row r="387" spans="1:19">
      <c r="A387" s="73">
        <v>4.1900000000000004</v>
      </c>
      <c r="B387" s="72" t="s">
        <v>1472</v>
      </c>
      <c r="C387" s="24"/>
      <c r="D387" s="351"/>
      <c r="E387" s="24"/>
      <c r="F387" s="351"/>
      <c r="G387" s="15"/>
      <c r="H387" s="15"/>
      <c r="I387" s="15"/>
      <c r="J387" s="572"/>
      <c r="K387" s="66"/>
      <c r="L387" s="66"/>
      <c r="M387" s="66"/>
      <c r="N387" s="66"/>
      <c r="O387" s="66"/>
      <c r="P387" s="66"/>
      <c r="Q387" s="66"/>
      <c r="R387" s="66"/>
      <c r="S387" s="15"/>
    </row>
    <row r="388" spans="1:19" ht="60">
      <c r="A388" s="73"/>
      <c r="B388" s="25" t="s">
        <v>1433</v>
      </c>
      <c r="C388" s="26" t="s">
        <v>1350</v>
      </c>
      <c r="D388" s="351">
        <v>1</v>
      </c>
      <c r="E388" s="26"/>
      <c r="F388" s="351">
        <v>1</v>
      </c>
      <c r="G388" s="351" t="s">
        <v>3126</v>
      </c>
      <c r="H388" s="351"/>
      <c r="I388" s="351" t="s">
        <v>2596</v>
      </c>
      <c r="J388" s="560" t="s">
        <v>2328</v>
      </c>
      <c r="K388" s="311">
        <v>7291900.6608000016</v>
      </c>
      <c r="L388" s="311">
        <v>0</v>
      </c>
      <c r="M388" s="311">
        <v>219634.33333333337</v>
      </c>
      <c r="N388" s="311">
        <v>688418.3786666668</v>
      </c>
      <c r="O388" s="311">
        <v>481892.8650666668</v>
      </c>
      <c r="P388" s="68">
        <f t="shared" ref="P388:P394" si="81">SUM(K388:O388)</f>
        <v>8681846.237866668</v>
      </c>
      <c r="Q388" s="68">
        <f t="shared" ref="Q388:Q394" si="82">D388*P388</f>
        <v>8681846.237866668</v>
      </c>
      <c r="R388" s="127">
        <f t="shared" ref="R388:R394" si="83">F388*P388</f>
        <v>8681846.237866668</v>
      </c>
      <c r="S388" s="18"/>
    </row>
    <row r="389" spans="1:19" ht="60">
      <c r="A389" s="73"/>
      <c r="B389" s="25" t="s">
        <v>1386</v>
      </c>
      <c r="C389" s="26" t="s">
        <v>1350</v>
      </c>
      <c r="D389" s="351">
        <v>1</v>
      </c>
      <c r="E389" s="26"/>
      <c r="F389" s="351">
        <v>1</v>
      </c>
      <c r="G389" s="351" t="s">
        <v>3126</v>
      </c>
      <c r="H389" s="351"/>
      <c r="I389" s="351" t="s">
        <v>2596</v>
      </c>
      <c r="J389" s="560" t="s">
        <v>2328</v>
      </c>
      <c r="K389" s="311">
        <v>7463103.2111999998</v>
      </c>
      <c r="L389" s="311">
        <v>0</v>
      </c>
      <c r="M389" s="311">
        <v>219634.33333333337</v>
      </c>
      <c r="N389" s="311">
        <v>704125.03466666676</v>
      </c>
      <c r="O389" s="311">
        <v>492887.52426666673</v>
      </c>
      <c r="P389" s="68">
        <f t="shared" si="81"/>
        <v>8879750.1034666672</v>
      </c>
      <c r="Q389" s="68">
        <f t="shared" si="82"/>
        <v>8879750.1034666672</v>
      </c>
      <c r="R389" s="127">
        <f t="shared" si="83"/>
        <v>8879750.1034666672</v>
      </c>
      <c r="S389" s="15"/>
    </row>
    <row r="390" spans="1:19" ht="60">
      <c r="A390" s="73"/>
      <c r="B390" s="25" t="s">
        <v>1438</v>
      </c>
      <c r="C390" s="26" t="s">
        <v>1350</v>
      </c>
      <c r="D390" s="351">
        <v>1</v>
      </c>
      <c r="E390" s="26"/>
      <c r="F390" s="351">
        <v>1</v>
      </c>
      <c r="G390" s="351" t="s">
        <v>3126</v>
      </c>
      <c r="H390" s="351"/>
      <c r="I390" s="351" t="s">
        <v>2596</v>
      </c>
      <c r="J390" s="560" t="s">
        <v>2328</v>
      </c>
      <c r="K390" s="311">
        <v>8073652.4222592004</v>
      </c>
      <c r="L390" s="311">
        <v>0</v>
      </c>
      <c r="M390" s="311">
        <v>255229.33333333337</v>
      </c>
      <c r="N390" s="311">
        <v>763288.72375466675</v>
      </c>
      <c r="O390" s="311">
        <v>534302.10662826675</v>
      </c>
      <c r="P390" s="68">
        <f t="shared" si="81"/>
        <v>9626472.5859754663</v>
      </c>
      <c r="Q390" s="68">
        <f t="shared" si="82"/>
        <v>9626472.5859754663</v>
      </c>
      <c r="R390" s="127">
        <f t="shared" si="83"/>
        <v>9626472.5859754663</v>
      </c>
      <c r="S390" s="15"/>
    </row>
    <row r="391" spans="1:19" ht="60">
      <c r="A391" s="73"/>
      <c r="B391" s="25" t="s">
        <v>1457</v>
      </c>
      <c r="C391" s="26" t="s">
        <v>1350</v>
      </c>
      <c r="D391" s="351">
        <v>1</v>
      </c>
      <c r="E391" s="26"/>
      <c r="F391" s="351">
        <v>1</v>
      </c>
      <c r="G391" s="351" t="s">
        <v>3126</v>
      </c>
      <c r="H391" s="351"/>
      <c r="I391" s="351" t="s">
        <v>2596</v>
      </c>
      <c r="J391" s="560" t="s">
        <v>2328</v>
      </c>
      <c r="K391" s="311">
        <v>8098378.8082176</v>
      </c>
      <c r="L391" s="311">
        <v>0</v>
      </c>
      <c r="M391" s="311">
        <v>255229.33333333337</v>
      </c>
      <c r="N391" s="311">
        <v>765557.19953066669</v>
      </c>
      <c r="O391" s="311">
        <v>535890.03967146669</v>
      </c>
      <c r="P391" s="68">
        <f t="shared" si="81"/>
        <v>9655055.3807530664</v>
      </c>
      <c r="Q391" s="68">
        <f t="shared" si="82"/>
        <v>9655055.3807530664</v>
      </c>
      <c r="R391" s="127">
        <f t="shared" si="83"/>
        <v>9655055.3807530664</v>
      </c>
      <c r="S391" s="15"/>
    </row>
    <row r="392" spans="1:19" ht="60">
      <c r="A392" s="73"/>
      <c r="B392" s="25" t="s">
        <v>1346</v>
      </c>
      <c r="C392" s="26" t="s">
        <v>1350</v>
      </c>
      <c r="D392" s="352">
        <v>2</v>
      </c>
      <c r="E392" s="26"/>
      <c r="F392" s="352">
        <v>2</v>
      </c>
      <c r="G392" s="351" t="s">
        <v>3126</v>
      </c>
      <c r="H392" s="351"/>
      <c r="I392" s="351" t="s">
        <v>2596</v>
      </c>
      <c r="J392" s="560" t="s">
        <v>2328</v>
      </c>
      <c r="K392" s="311">
        <v>11351567.517427202</v>
      </c>
      <c r="L392" s="311">
        <v>0</v>
      </c>
      <c r="M392" s="311">
        <v>428797.33333333337</v>
      </c>
      <c r="N392" s="311">
        <v>1079374.8792746668</v>
      </c>
      <c r="O392" s="311">
        <v>755562.41549226677</v>
      </c>
      <c r="P392" s="68">
        <f t="shared" si="81"/>
        <v>13615302.145527469</v>
      </c>
      <c r="Q392" s="68">
        <f t="shared" si="82"/>
        <v>27230604.291054938</v>
      </c>
      <c r="R392" s="127">
        <f t="shared" si="83"/>
        <v>27230604.291054938</v>
      </c>
      <c r="S392" s="15"/>
    </row>
    <row r="393" spans="1:19" s="84" customFormat="1" ht="60">
      <c r="A393" s="211"/>
      <c r="B393" s="29" t="s">
        <v>1669</v>
      </c>
      <c r="C393" s="30" t="s">
        <v>1350</v>
      </c>
      <c r="D393" s="352">
        <v>1</v>
      </c>
      <c r="E393" s="30"/>
      <c r="F393" s="352">
        <v>1</v>
      </c>
      <c r="G393" s="351" t="s">
        <v>3126</v>
      </c>
      <c r="H393" s="351"/>
      <c r="I393" s="351" t="s">
        <v>2596</v>
      </c>
      <c r="J393" s="560" t="s">
        <v>2328</v>
      </c>
      <c r="K393" s="311">
        <v>11107887.067200001</v>
      </c>
      <c r="L393" s="311">
        <v>0</v>
      </c>
      <c r="M393" s="311">
        <v>428797.33333333337</v>
      </c>
      <c r="N393" s="311">
        <v>1057018.8746666666</v>
      </c>
      <c r="O393" s="311">
        <v>739913.2122666667</v>
      </c>
      <c r="P393" s="68">
        <f t="shared" si="81"/>
        <v>13333616.487466669</v>
      </c>
      <c r="Q393" s="68">
        <f t="shared" si="82"/>
        <v>13333616.487466669</v>
      </c>
      <c r="R393" s="127">
        <f t="shared" si="83"/>
        <v>13333616.487466669</v>
      </c>
      <c r="S393" s="335"/>
    </row>
    <row r="394" spans="1:19" s="84" customFormat="1" ht="60">
      <c r="A394" s="211"/>
      <c r="B394" s="29" t="s">
        <v>2108</v>
      </c>
      <c r="C394" s="30" t="s">
        <v>1350</v>
      </c>
      <c r="D394" s="352">
        <v>1</v>
      </c>
      <c r="E394" s="30"/>
      <c r="F394" s="352">
        <v>1</v>
      </c>
      <c r="G394" s="351" t="s">
        <v>3126</v>
      </c>
      <c r="H394" s="334"/>
      <c r="I394" s="351" t="s">
        <v>2596</v>
      </c>
      <c r="J394" s="560" t="s">
        <v>2328</v>
      </c>
      <c r="K394" s="311">
        <v>6073024.6416000007</v>
      </c>
      <c r="L394" s="311">
        <v>0</v>
      </c>
      <c r="M394" s="311">
        <v>219634.33333333337</v>
      </c>
      <c r="N394" s="311">
        <v>576594.89066666679</v>
      </c>
      <c r="O394" s="311">
        <v>403616.42346666672</v>
      </c>
      <c r="P394" s="68">
        <f t="shared" si="81"/>
        <v>7272870.2890666667</v>
      </c>
      <c r="Q394" s="68">
        <f t="shared" si="82"/>
        <v>7272870.2890666667</v>
      </c>
      <c r="R394" s="127">
        <f t="shared" si="83"/>
        <v>7272870.2890666667</v>
      </c>
      <c r="S394" s="334"/>
    </row>
    <row r="395" spans="1:19">
      <c r="A395" s="73">
        <v>4.2</v>
      </c>
      <c r="B395" s="27" t="s">
        <v>1473</v>
      </c>
      <c r="C395" s="24"/>
      <c r="D395" s="351"/>
      <c r="E395" s="24"/>
      <c r="F395" s="351"/>
      <c r="G395" s="37"/>
      <c r="H395" s="37"/>
      <c r="I395" s="37"/>
      <c r="J395" s="583"/>
      <c r="K395" s="66"/>
      <c r="L395" s="66"/>
      <c r="M395" s="66"/>
      <c r="N395" s="66"/>
      <c r="O395" s="66"/>
      <c r="P395" s="66"/>
      <c r="Q395" s="66"/>
      <c r="R395" s="66"/>
      <c r="S395" s="37"/>
    </row>
    <row r="396" spans="1:19">
      <c r="A396" s="73"/>
      <c r="B396" s="25" t="s">
        <v>1474</v>
      </c>
      <c r="C396" s="26" t="s">
        <v>1350</v>
      </c>
      <c r="D396" s="351">
        <v>143</v>
      </c>
      <c r="E396" s="26"/>
      <c r="F396" s="351">
        <v>143</v>
      </c>
      <c r="G396" s="351" t="s">
        <v>3162</v>
      </c>
      <c r="H396" s="351"/>
      <c r="I396" s="351" t="s">
        <v>2596</v>
      </c>
      <c r="J396" s="560" t="s">
        <v>2328</v>
      </c>
      <c r="K396" s="311">
        <v>189305.77643249999</v>
      </c>
      <c r="L396" s="311">
        <v>0</v>
      </c>
      <c r="M396" s="311">
        <v>54127.000000000007</v>
      </c>
      <c r="N396" s="311">
        <v>22157.502424999999</v>
      </c>
      <c r="O396" s="311">
        <v>15510.2516975</v>
      </c>
      <c r="P396" s="68">
        <f t="shared" ref="P396:P404" si="84">SUM(K396:O396)</f>
        <v>281100.530555</v>
      </c>
      <c r="Q396" s="68">
        <f t="shared" ref="Q396:Q404" si="85">D396*P396</f>
        <v>40197375.869364999</v>
      </c>
      <c r="R396" s="127">
        <f t="shared" ref="R396:R404" si="86">F396*P396</f>
        <v>40197375.869364999</v>
      </c>
      <c r="S396" s="38"/>
    </row>
    <row r="397" spans="1:19">
      <c r="A397" s="73"/>
      <c r="B397" s="25" t="s">
        <v>1335</v>
      </c>
      <c r="C397" s="26" t="s">
        <v>1350</v>
      </c>
      <c r="D397" s="351">
        <v>2</v>
      </c>
      <c r="E397" s="26"/>
      <c r="F397" s="351">
        <v>2</v>
      </c>
      <c r="G397" s="351" t="s">
        <v>3162</v>
      </c>
      <c r="H397" s="351"/>
      <c r="I397" s="351" t="s">
        <v>2596</v>
      </c>
      <c r="J397" s="560" t="s">
        <v>2328</v>
      </c>
      <c r="K397" s="311">
        <v>428122.29439349996</v>
      </c>
      <c r="L397" s="311">
        <v>0</v>
      </c>
      <c r="M397" s="311">
        <v>110627.00000000001</v>
      </c>
      <c r="N397" s="311">
        <v>49067.274715</v>
      </c>
      <c r="O397" s="311">
        <v>34347.0923005</v>
      </c>
      <c r="P397" s="68">
        <f t="shared" si="84"/>
        <v>622163.66140899993</v>
      </c>
      <c r="Q397" s="68">
        <f t="shared" si="85"/>
        <v>1244327.3228179999</v>
      </c>
      <c r="R397" s="127">
        <f t="shared" si="86"/>
        <v>1244327.3228179999</v>
      </c>
      <c r="S397" s="36"/>
    </row>
    <row r="398" spans="1:19">
      <c r="A398" s="73"/>
      <c r="B398" s="25" t="s">
        <v>1445</v>
      </c>
      <c r="C398" s="26" t="s">
        <v>1350</v>
      </c>
      <c r="D398" s="351">
        <v>6</v>
      </c>
      <c r="E398" s="26"/>
      <c r="F398" s="351">
        <v>6</v>
      </c>
      <c r="G398" s="351" t="s">
        <v>3162</v>
      </c>
      <c r="H398" s="351"/>
      <c r="I398" s="351" t="s">
        <v>2596</v>
      </c>
      <c r="J398" s="560" t="s">
        <v>2328</v>
      </c>
      <c r="K398" s="311">
        <v>493165.81757800002</v>
      </c>
      <c r="L398" s="311">
        <v>0</v>
      </c>
      <c r="M398" s="311">
        <v>172551.00000000003</v>
      </c>
      <c r="N398" s="311">
        <v>60514.570420000004</v>
      </c>
      <c r="O398" s="311">
        <v>42360.199294000005</v>
      </c>
      <c r="P398" s="68">
        <f t="shared" si="84"/>
        <v>768591.58729200007</v>
      </c>
      <c r="Q398" s="68">
        <f t="shared" si="85"/>
        <v>4611549.5237520002</v>
      </c>
      <c r="R398" s="127">
        <f t="shared" si="86"/>
        <v>4611549.5237520002</v>
      </c>
      <c r="S398" s="15"/>
    </row>
    <row r="399" spans="1:19">
      <c r="A399" s="73"/>
      <c r="B399" s="25" t="s">
        <v>1386</v>
      </c>
      <c r="C399" s="26" t="s">
        <v>1350</v>
      </c>
      <c r="D399" s="351">
        <v>2</v>
      </c>
      <c r="E399" s="26"/>
      <c r="F399" s="351">
        <v>2</v>
      </c>
      <c r="G399" s="351" t="s">
        <v>3162</v>
      </c>
      <c r="H399" s="351"/>
      <c r="I399" s="351" t="s">
        <v>2596</v>
      </c>
      <c r="J399" s="560" t="s">
        <v>2328</v>
      </c>
      <c r="K399" s="311">
        <v>658201.62267300009</v>
      </c>
      <c r="L399" s="311">
        <v>0</v>
      </c>
      <c r="M399" s="311">
        <v>172551.00000000003</v>
      </c>
      <c r="N399" s="311">
        <v>75655.469970000006</v>
      </c>
      <c r="O399" s="311">
        <v>52958.828979000005</v>
      </c>
      <c r="P399" s="68">
        <f t="shared" si="84"/>
        <v>959366.92162200005</v>
      </c>
      <c r="Q399" s="68">
        <f t="shared" si="85"/>
        <v>1918733.8432440001</v>
      </c>
      <c r="R399" s="127">
        <f t="shared" si="86"/>
        <v>1918733.8432440001</v>
      </c>
      <c r="S399" s="18"/>
    </row>
    <row r="400" spans="1:19">
      <c r="A400" s="73"/>
      <c r="B400" s="25" t="s">
        <v>1475</v>
      </c>
      <c r="C400" s="26" t="s">
        <v>1350</v>
      </c>
      <c r="D400" s="351">
        <v>1</v>
      </c>
      <c r="E400" s="26"/>
      <c r="F400" s="351">
        <v>1</v>
      </c>
      <c r="G400" s="351" t="s">
        <v>3162</v>
      </c>
      <c r="H400" s="351"/>
      <c r="I400" s="351" t="s">
        <v>2596</v>
      </c>
      <c r="J400" s="560" t="s">
        <v>2328</v>
      </c>
      <c r="K400" s="311">
        <v>1378534.3719699997</v>
      </c>
      <c r="L400" s="311">
        <v>0</v>
      </c>
      <c r="M400" s="311">
        <v>487143.00000000006</v>
      </c>
      <c r="N400" s="311">
        <v>169581.04329999999</v>
      </c>
      <c r="O400" s="311">
        <v>118706.73031</v>
      </c>
      <c r="P400" s="68">
        <f t="shared" si="84"/>
        <v>2153965.1455799998</v>
      </c>
      <c r="Q400" s="68">
        <f t="shared" si="85"/>
        <v>2153965.1455799998</v>
      </c>
      <c r="R400" s="127">
        <f t="shared" si="86"/>
        <v>2153965.1455799998</v>
      </c>
      <c r="S400" s="15"/>
    </row>
    <row r="401" spans="1:19">
      <c r="A401" s="73"/>
      <c r="B401" s="25" t="s">
        <v>1476</v>
      </c>
      <c r="C401" s="26" t="s">
        <v>1350</v>
      </c>
      <c r="D401" s="352">
        <v>1</v>
      </c>
      <c r="E401" s="26"/>
      <c r="F401" s="352">
        <v>1</v>
      </c>
      <c r="G401" s="351" t="s">
        <v>3162</v>
      </c>
      <c r="H401" s="351"/>
      <c r="I401" s="351" t="s">
        <v>2596</v>
      </c>
      <c r="J401" s="560" t="s">
        <v>2328</v>
      </c>
      <c r="K401" s="311">
        <v>1785299.0915864999</v>
      </c>
      <c r="L401" s="311">
        <v>0</v>
      </c>
      <c r="M401" s="311">
        <v>604889.00000000012</v>
      </c>
      <c r="N401" s="311">
        <v>217318.90748499997</v>
      </c>
      <c r="O401" s="311">
        <v>152123.23523949998</v>
      </c>
      <c r="P401" s="68">
        <f t="shared" si="84"/>
        <v>2759630.234311</v>
      </c>
      <c r="Q401" s="68">
        <f t="shared" si="85"/>
        <v>2759630.234311</v>
      </c>
      <c r="R401" s="127">
        <f t="shared" si="86"/>
        <v>2759630.234311</v>
      </c>
      <c r="S401" s="15"/>
    </row>
    <row r="402" spans="1:19" s="84" customFormat="1">
      <c r="A402" s="211"/>
      <c r="B402" s="29" t="s">
        <v>2099</v>
      </c>
      <c r="C402" s="30" t="s">
        <v>1350</v>
      </c>
      <c r="D402" s="352">
        <v>4</v>
      </c>
      <c r="E402" s="30"/>
      <c r="F402" s="352">
        <v>4</v>
      </c>
      <c r="G402" s="351" t="s">
        <v>3162</v>
      </c>
      <c r="H402" s="351"/>
      <c r="I402" s="351" t="s">
        <v>2596</v>
      </c>
      <c r="J402" s="560" t="s">
        <v>2328</v>
      </c>
      <c r="K402" s="311">
        <v>331042.65740000003</v>
      </c>
      <c r="L402" s="311">
        <v>0</v>
      </c>
      <c r="M402" s="311">
        <v>77292.000000000015</v>
      </c>
      <c r="N402" s="311">
        <v>37210.885999999999</v>
      </c>
      <c r="O402" s="311">
        <v>26047.620200000001</v>
      </c>
      <c r="P402" s="68">
        <f t="shared" si="84"/>
        <v>471593.16360000003</v>
      </c>
      <c r="Q402" s="68">
        <f t="shared" si="85"/>
        <v>1886372.6544000001</v>
      </c>
      <c r="R402" s="127">
        <f t="shared" si="86"/>
        <v>1886372.6544000001</v>
      </c>
      <c r="S402" s="335"/>
    </row>
    <row r="403" spans="1:19" s="84" customFormat="1">
      <c r="A403" s="211"/>
      <c r="B403" s="29" t="s">
        <v>2112</v>
      </c>
      <c r="C403" s="30" t="s">
        <v>1350</v>
      </c>
      <c r="D403" s="352">
        <v>4</v>
      </c>
      <c r="E403" s="30"/>
      <c r="F403" s="352">
        <v>4</v>
      </c>
      <c r="G403" s="351" t="s">
        <v>3162</v>
      </c>
      <c r="H403" s="351"/>
      <c r="I403" s="351" t="s">
        <v>2596</v>
      </c>
      <c r="J403" s="560" t="s">
        <v>2328</v>
      </c>
      <c r="K403" s="311">
        <v>1785298.6830000002</v>
      </c>
      <c r="L403" s="311">
        <v>0</v>
      </c>
      <c r="M403" s="311">
        <v>725866.8</v>
      </c>
      <c r="N403" s="311">
        <v>228024.87000000002</v>
      </c>
      <c r="O403" s="311">
        <v>159617.40900000001</v>
      </c>
      <c r="P403" s="68">
        <f t="shared" si="84"/>
        <v>2898807.7620000001</v>
      </c>
      <c r="Q403" s="68">
        <f t="shared" si="85"/>
        <v>11595231.048</v>
      </c>
      <c r="R403" s="127">
        <f t="shared" si="86"/>
        <v>11595231.048</v>
      </c>
      <c r="S403" s="335"/>
    </row>
    <row r="404" spans="1:19" s="84" customFormat="1">
      <c r="A404" s="211"/>
      <c r="B404" s="29" t="s">
        <v>2113</v>
      </c>
      <c r="C404" s="30" t="s">
        <v>1350</v>
      </c>
      <c r="D404" s="352">
        <v>2</v>
      </c>
      <c r="E404" s="30"/>
      <c r="F404" s="352">
        <v>2</v>
      </c>
      <c r="G404" s="351" t="s">
        <v>3162</v>
      </c>
      <c r="H404" s="351"/>
      <c r="I404" s="351" t="s">
        <v>2596</v>
      </c>
      <c r="J404" s="560" t="s">
        <v>2328</v>
      </c>
      <c r="K404" s="311">
        <v>493165.50780000002</v>
      </c>
      <c r="L404" s="311">
        <v>0</v>
      </c>
      <c r="M404" s="311">
        <v>207061.2</v>
      </c>
      <c r="N404" s="311">
        <v>63568.541999999994</v>
      </c>
      <c r="O404" s="311">
        <v>44497.979399999997</v>
      </c>
      <c r="P404" s="68">
        <f t="shared" si="84"/>
        <v>808293.22919999994</v>
      </c>
      <c r="Q404" s="68">
        <f t="shared" si="85"/>
        <v>1616586.4583999999</v>
      </c>
      <c r="R404" s="127">
        <f t="shared" si="86"/>
        <v>1616586.4583999999</v>
      </c>
      <c r="S404" s="335"/>
    </row>
    <row r="405" spans="1:19" s="84" customFormat="1">
      <c r="A405" s="211">
        <v>4.21</v>
      </c>
      <c r="B405" s="82" t="s">
        <v>2114</v>
      </c>
      <c r="C405" s="30"/>
      <c r="D405" s="352"/>
      <c r="E405" s="30"/>
      <c r="F405" s="352"/>
      <c r="G405" s="30"/>
      <c r="H405" s="30"/>
      <c r="I405" s="30"/>
      <c r="J405" s="571"/>
      <c r="K405" s="127"/>
      <c r="L405" s="127"/>
      <c r="M405" s="127"/>
      <c r="N405" s="127"/>
      <c r="O405" s="127"/>
      <c r="P405" s="127"/>
      <c r="Q405" s="127"/>
      <c r="R405" s="127"/>
      <c r="S405" s="30"/>
    </row>
    <row r="406" spans="1:19" s="84" customFormat="1">
      <c r="A406" s="211"/>
      <c r="B406" s="29" t="s">
        <v>2099</v>
      </c>
      <c r="C406" s="30" t="s">
        <v>1350</v>
      </c>
      <c r="D406" s="352">
        <v>1</v>
      </c>
      <c r="E406" s="30"/>
      <c r="F406" s="352">
        <v>1</v>
      </c>
      <c r="G406" s="351" t="s">
        <v>3162</v>
      </c>
      <c r="H406" s="351"/>
      <c r="I406" s="351" t="s">
        <v>2596</v>
      </c>
      <c r="J406" s="560" t="s">
        <v>2328</v>
      </c>
      <c r="K406" s="311">
        <v>331042.65740000003</v>
      </c>
      <c r="L406" s="311">
        <v>0</v>
      </c>
      <c r="M406" s="311">
        <v>124375.33333333336</v>
      </c>
      <c r="N406" s="311">
        <v>41377.55266666667</v>
      </c>
      <c r="O406" s="311">
        <v>28964.286866666669</v>
      </c>
      <c r="P406" s="68">
        <f t="shared" ref="P406:P408" si="87">SUM(K406:O406)</f>
        <v>525759.83026666672</v>
      </c>
      <c r="Q406" s="68">
        <f>D406*P406</f>
        <v>525759.83026666672</v>
      </c>
      <c r="R406" s="127">
        <f>F406*P406</f>
        <v>525759.83026666672</v>
      </c>
      <c r="S406" s="26"/>
    </row>
    <row r="407" spans="1:19" s="84" customFormat="1">
      <c r="A407" s="211"/>
      <c r="B407" s="29" t="s">
        <v>2098</v>
      </c>
      <c r="C407" s="30" t="s">
        <v>1350</v>
      </c>
      <c r="D407" s="352">
        <v>1</v>
      </c>
      <c r="E407" s="30"/>
      <c r="F407" s="352">
        <v>1</v>
      </c>
      <c r="G407" s="351" t="s">
        <v>3162</v>
      </c>
      <c r="H407" s="351"/>
      <c r="I407" s="351" t="s">
        <v>2596</v>
      </c>
      <c r="J407" s="560" t="s">
        <v>2328</v>
      </c>
      <c r="K407" s="311">
        <v>333954.57059999998</v>
      </c>
      <c r="L407" s="311">
        <v>0</v>
      </c>
      <c r="M407" s="311">
        <v>124375.33333333336</v>
      </c>
      <c r="N407" s="311">
        <v>41644.700666666671</v>
      </c>
      <c r="O407" s="311">
        <v>29151.290466666669</v>
      </c>
      <c r="P407" s="68">
        <f t="shared" si="87"/>
        <v>529125.89506666665</v>
      </c>
      <c r="Q407" s="68">
        <f>D407*P407</f>
        <v>529125.89506666665</v>
      </c>
      <c r="R407" s="127">
        <f>F407*P407</f>
        <v>529125.89506666665</v>
      </c>
      <c r="S407" s="26"/>
    </row>
    <row r="408" spans="1:19" s="84" customFormat="1">
      <c r="A408" s="211"/>
      <c r="B408" s="29" t="s">
        <v>1453</v>
      </c>
      <c r="C408" s="30" t="s">
        <v>1350</v>
      </c>
      <c r="D408" s="352">
        <v>1</v>
      </c>
      <c r="E408" s="30"/>
      <c r="F408" s="352">
        <v>1</v>
      </c>
      <c r="G408" s="351" t="s">
        <v>3162</v>
      </c>
      <c r="H408" s="351"/>
      <c r="I408" s="351" t="s">
        <v>2596</v>
      </c>
      <c r="J408" s="560" t="s">
        <v>2328</v>
      </c>
      <c r="K408" s="311">
        <v>638785.73640000005</v>
      </c>
      <c r="L408" s="311">
        <v>0</v>
      </c>
      <c r="M408" s="311">
        <v>219634.33333333337</v>
      </c>
      <c r="N408" s="311">
        <v>78040.862666666668</v>
      </c>
      <c r="O408" s="311">
        <v>54628.603866666672</v>
      </c>
      <c r="P408" s="68">
        <f t="shared" si="87"/>
        <v>991089.53626666672</v>
      </c>
      <c r="Q408" s="68">
        <f>D408*P408</f>
        <v>991089.53626666672</v>
      </c>
      <c r="R408" s="127">
        <f>F408*P408</f>
        <v>991089.53626666672</v>
      </c>
      <c r="S408" s="26"/>
    </row>
    <row r="409" spans="1:19">
      <c r="A409" s="73">
        <v>4.22</v>
      </c>
      <c r="B409" s="27" t="s">
        <v>1371</v>
      </c>
      <c r="C409" s="24"/>
      <c r="D409" s="351"/>
      <c r="E409" s="24"/>
      <c r="F409" s="351"/>
      <c r="G409" s="37"/>
      <c r="H409" s="37"/>
      <c r="I409" s="37"/>
      <c r="J409" s="583"/>
      <c r="K409" s="66"/>
      <c r="L409" s="66"/>
      <c r="M409" s="66"/>
      <c r="N409" s="66"/>
      <c r="O409" s="66"/>
      <c r="P409" s="66"/>
      <c r="Q409" s="66"/>
      <c r="R409" s="66"/>
      <c r="S409" s="37"/>
    </row>
    <row r="410" spans="1:19">
      <c r="A410" s="73"/>
      <c r="B410" s="25" t="s">
        <v>1477</v>
      </c>
      <c r="C410" s="26" t="s">
        <v>1350</v>
      </c>
      <c r="D410" s="351">
        <v>1</v>
      </c>
      <c r="E410" s="24"/>
      <c r="F410" s="351">
        <v>1</v>
      </c>
      <c r="G410" s="351" t="s">
        <v>3162</v>
      </c>
      <c r="H410" s="351"/>
      <c r="I410" s="351" t="s">
        <v>2596</v>
      </c>
      <c r="J410" s="560" t="s">
        <v>2328</v>
      </c>
      <c r="K410" s="311">
        <v>273765.27668700001</v>
      </c>
      <c r="L410" s="311">
        <v>0</v>
      </c>
      <c r="M410" s="311">
        <v>60116.000000000007</v>
      </c>
      <c r="N410" s="311">
        <v>30436.080429999998</v>
      </c>
      <c r="O410" s="311">
        <v>21305.256300999998</v>
      </c>
      <c r="P410" s="68">
        <f t="shared" ref="P410:P419" si="88">SUM(K410:O410)</f>
        <v>385622.61341799999</v>
      </c>
      <c r="Q410" s="68">
        <f t="shared" ref="Q410:Q419" si="89">D410*P410</f>
        <v>385622.61341799999</v>
      </c>
      <c r="R410" s="127">
        <f t="shared" ref="R410:R419" si="90">F410*P410</f>
        <v>385622.61341799999</v>
      </c>
      <c r="S410" s="37"/>
    </row>
    <row r="411" spans="1:19">
      <c r="A411" s="73"/>
      <c r="B411" s="25" t="s">
        <v>1478</v>
      </c>
      <c r="C411" s="26" t="s">
        <v>1350</v>
      </c>
      <c r="D411" s="351">
        <v>1</v>
      </c>
      <c r="E411" s="24"/>
      <c r="F411" s="351">
        <v>1</v>
      </c>
      <c r="G411" s="351" t="s">
        <v>3162</v>
      </c>
      <c r="H411" s="351"/>
      <c r="I411" s="351" t="s">
        <v>2596</v>
      </c>
      <c r="J411" s="560" t="s">
        <v>2328</v>
      </c>
      <c r="K411" s="311">
        <v>389290.34025350004</v>
      </c>
      <c r="L411" s="311">
        <v>0</v>
      </c>
      <c r="M411" s="311">
        <v>87349.000000000015</v>
      </c>
      <c r="N411" s="311">
        <v>43444.710115000002</v>
      </c>
      <c r="O411" s="311">
        <v>30411.297080500004</v>
      </c>
      <c r="P411" s="68">
        <f t="shared" si="88"/>
        <v>550495.34744900011</v>
      </c>
      <c r="Q411" s="68">
        <f t="shared" si="89"/>
        <v>550495.34744900011</v>
      </c>
      <c r="R411" s="127">
        <f t="shared" si="90"/>
        <v>550495.34744900011</v>
      </c>
      <c r="S411" s="37"/>
    </row>
    <row r="412" spans="1:19">
      <c r="A412" s="73"/>
      <c r="B412" s="25" t="s">
        <v>1447</v>
      </c>
      <c r="C412" s="26" t="s">
        <v>1350</v>
      </c>
      <c r="D412" s="351">
        <v>1</v>
      </c>
      <c r="E412" s="24"/>
      <c r="F412" s="351">
        <v>1</v>
      </c>
      <c r="G412" s="351" t="s">
        <v>3162</v>
      </c>
      <c r="H412" s="351"/>
      <c r="I412" s="351" t="s">
        <v>2596</v>
      </c>
      <c r="J412" s="560" t="s">
        <v>2328</v>
      </c>
      <c r="K412" s="311">
        <v>547530.55337400001</v>
      </c>
      <c r="L412" s="311">
        <v>0</v>
      </c>
      <c r="M412" s="311">
        <v>135035</v>
      </c>
      <c r="N412" s="311">
        <v>62182.160859999996</v>
      </c>
      <c r="O412" s="311">
        <v>43527.512601999995</v>
      </c>
      <c r="P412" s="68">
        <f t="shared" si="88"/>
        <v>788275.22683599999</v>
      </c>
      <c r="Q412" s="68">
        <f t="shared" si="89"/>
        <v>788275.22683599999</v>
      </c>
      <c r="R412" s="127">
        <f t="shared" si="90"/>
        <v>788275.22683599999</v>
      </c>
      <c r="S412" s="37"/>
    </row>
    <row r="413" spans="1:19">
      <c r="A413" s="73"/>
      <c r="B413" s="25" t="s">
        <v>1452</v>
      </c>
      <c r="C413" s="26" t="s">
        <v>1350</v>
      </c>
      <c r="D413" s="351">
        <v>2</v>
      </c>
      <c r="E413" s="24"/>
      <c r="F413" s="351">
        <v>2</v>
      </c>
      <c r="G413" s="351" t="s">
        <v>3162</v>
      </c>
      <c r="H413" s="351"/>
      <c r="I413" s="351" t="s">
        <v>2596</v>
      </c>
      <c r="J413" s="560" t="s">
        <v>2328</v>
      </c>
      <c r="K413" s="311">
        <v>628106.85821450001</v>
      </c>
      <c r="L413" s="311">
        <v>0</v>
      </c>
      <c r="M413" s="311">
        <v>135035</v>
      </c>
      <c r="N413" s="311">
        <v>69574.482405000002</v>
      </c>
      <c r="O413" s="311">
        <v>48702.137683499997</v>
      </c>
      <c r="P413" s="68">
        <f t="shared" si="88"/>
        <v>881418.47830299998</v>
      </c>
      <c r="Q413" s="68">
        <f t="shared" si="89"/>
        <v>1762836.956606</v>
      </c>
      <c r="R413" s="127">
        <f t="shared" si="90"/>
        <v>1762836.956606</v>
      </c>
      <c r="S413" s="38"/>
    </row>
    <row r="414" spans="1:19">
      <c r="A414" s="73"/>
      <c r="B414" s="25" t="s">
        <v>1453</v>
      </c>
      <c r="C414" s="26" t="s">
        <v>1350</v>
      </c>
      <c r="D414" s="351">
        <v>2</v>
      </c>
      <c r="E414" s="24"/>
      <c r="F414" s="351">
        <v>2</v>
      </c>
      <c r="G414" s="351" t="s">
        <v>3162</v>
      </c>
      <c r="H414" s="351"/>
      <c r="I414" s="351" t="s">
        <v>2596</v>
      </c>
      <c r="J414" s="560" t="s">
        <v>2328</v>
      </c>
      <c r="K414" s="311">
        <v>624223.66280050005</v>
      </c>
      <c r="L414" s="311">
        <v>0</v>
      </c>
      <c r="M414" s="311">
        <v>135035</v>
      </c>
      <c r="N414" s="311">
        <v>69218.225944999998</v>
      </c>
      <c r="O414" s="311">
        <v>48452.758161500009</v>
      </c>
      <c r="P414" s="68">
        <f t="shared" si="88"/>
        <v>876929.64690699999</v>
      </c>
      <c r="Q414" s="68">
        <f t="shared" si="89"/>
        <v>1753859.293814</v>
      </c>
      <c r="R414" s="127">
        <f t="shared" si="90"/>
        <v>1753859.293814</v>
      </c>
      <c r="S414" s="36"/>
    </row>
    <row r="415" spans="1:19">
      <c r="A415" s="73"/>
      <c r="B415" s="25" t="s">
        <v>1438</v>
      </c>
      <c r="C415" s="26" t="s">
        <v>1350</v>
      </c>
      <c r="D415" s="352">
        <v>1</v>
      </c>
      <c r="E415" s="24"/>
      <c r="F415" s="352">
        <v>1</v>
      </c>
      <c r="G415" s="351" t="s">
        <v>3162</v>
      </c>
      <c r="H415" s="351"/>
      <c r="I415" s="351" t="s">
        <v>2596</v>
      </c>
      <c r="J415" s="560" t="s">
        <v>2328</v>
      </c>
      <c r="K415" s="311">
        <v>728099.14012500003</v>
      </c>
      <c r="L415" s="311">
        <v>0</v>
      </c>
      <c r="M415" s="311">
        <v>162381.00000000003</v>
      </c>
      <c r="N415" s="311">
        <v>81168.086249999993</v>
      </c>
      <c r="O415" s="311">
        <v>56817.660374999999</v>
      </c>
      <c r="P415" s="68">
        <f t="shared" si="88"/>
        <v>1028465.8867500001</v>
      </c>
      <c r="Q415" s="68">
        <f t="shared" si="89"/>
        <v>1028465.8867500001</v>
      </c>
      <c r="R415" s="127">
        <f t="shared" si="90"/>
        <v>1028465.8867500001</v>
      </c>
      <c r="S415" s="15"/>
    </row>
    <row r="416" spans="1:19">
      <c r="A416" s="73"/>
      <c r="B416" s="25" t="s">
        <v>1457</v>
      </c>
      <c r="C416" s="26" t="s">
        <v>1350</v>
      </c>
      <c r="D416" s="351">
        <v>1</v>
      </c>
      <c r="E416" s="26"/>
      <c r="F416" s="351">
        <v>1</v>
      </c>
      <c r="G416" s="351" t="s">
        <v>3162</v>
      </c>
      <c r="H416" s="351"/>
      <c r="I416" s="351" t="s">
        <v>2596</v>
      </c>
      <c r="J416" s="560" t="s">
        <v>2328</v>
      </c>
      <c r="K416" s="311">
        <v>707712.36420149996</v>
      </c>
      <c r="L416" s="311">
        <v>0</v>
      </c>
      <c r="M416" s="311">
        <v>162381.00000000003</v>
      </c>
      <c r="N416" s="311">
        <v>79297.739835</v>
      </c>
      <c r="O416" s="311">
        <v>55508.417884499999</v>
      </c>
      <c r="P416" s="68">
        <f t="shared" si="88"/>
        <v>1004899.521921</v>
      </c>
      <c r="Q416" s="68">
        <f t="shared" si="89"/>
        <v>1004899.521921</v>
      </c>
      <c r="R416" s="127">
        <f t="shared" si="90"/>
        <v>1004899.521921</v>
      </c>
      <c r="S416" s="18"/>
    </row>
    <row r="417" spans="1:19">
      <c r="A417" s="73"/>
      <c r="B417" s="25" t="s">
        <v>1341</v>
      </c>
      <c r="C417" s="26" t="s">
        <v>1350</v>
      </c>
      <c r="D417" s="352">
        <v>1</v>
      </c>
      <c r="E417" s="26"/>
      <c r="F417" s="352">
        <v>1</v>
      </c>
      <c r="G417" s="351" t="s">
        <v>3162</v>
      </c>
      <c r="H417" s="351"/>
      <c r="I417" s="351" t="s">
        <v>2596</v>
      </c>
      <c r="J417" s="560" t="s">
        <v>2328</v>
      </c>
      <c r="K417" s="311">
        <v>897988.9394875</v>
      </c>
      <c r="L417" s="311">
        <v>0</v>
      </c>
      <c r="M417" s="311">
        <v>224418.00000000003</v>
      </c>
      <c r="N417" s="311">
        <v>102244.306375</v>
      </c>
      <c r="O417" s="311">
        <v>71571.01446250001</v>
      </c>
      <c r="P417" s="68">
        <f t="shared" si="88"/>
        <v>1296222.2603250002</v>
      </c>
      <c r="Q417" s="68">
        <f t="shared" si="89"/>
        <v>1296222.2603250002</v>
      </c>
      <c r="R417" s="127">
        <f t="shared" si="90"/>
        <v>1296222.2603250002</v>
      </c>
      <c r="S417" s="15"/>
    </row>
    <row r="418" spans="1:19" s="84" customFormat="1">
      <c r="A418" s="211"/>
      <c r="B418" s="29" t="s">
        <v>2099</v>
      </c>
      <c r="C418" s="30" t="s">
        <v>1350</v>
      </c>
      <c r="D418" s="352">
        <v>1</v>
      </c>
      <c r="E418" s="30"/>
      <c r="F418" s="352">
        <v>1</v>
      </c>
      <c r="G418" s="351" t="s">
        <v>3162</v>
      </c>
      <c r="H418" s="351"/>
      <c r="I418" s="351" t="s">
        <v>2596</v>
      </c>
      <c r="J418" s="560" t="s">
        <v>2328</v>
      </c>
      <c r="K418" s="311">
        <v>316480.95500000002</v>
      </c>
      <c r="L418" s="311">
        <v>0</v>
      </c>
      <c r="M418" s="311">
        <v>60116.000000000007</v>
      </c>
      <c r="N418" s="311">
        <v>34354.950000000004</v>
      </c>
      <c r="O418" s="311">
        <v>24048.465000000004</v>
      </c>
      <c r="P418" s="68">
        <f t="shared" si="88"/>
        <v>435000.37000000005</v>
      </c>
      <c r="Q418" s="68">
        <f t="shared" si="89"/>
        <v>435000.37000000005</v>
      </c>
      <c r="R418" s="127">
        <f t="shared" si="90"/>
        <v>435000.37000000005</v>
      </c>
      <c r="S418" s="335"/>
    </row>
    <row r="419" spans="1:19" s="84" customFormat="1">
      <c r="A419" s="211"/>
      <c r="B419" s="29" t="s">
        <v>2066</v>
      </c>
      <c r="C419" s="30" t="s">
        <v>1350</v>
      </c>
      <c r="D419" s="352">
        <v>1</v>
      </c>
      <c r="E419" s="30"/>
      <c r="F419" s="352">
        <v>1</v>
      </c>
      <c r="G419" s="351" t="s">
        <v>3162</v>
      </c>
      <c r="H419" s="351"/>
      <c r="I419" s="351" t="s">
        <v>2596</v>
      </c>
      <c r="J419" s="560" t="s">
        <v>2328</v>
      </c>
      <c r="K419" s="311">
        <v>630048.9286000001</v>
      </c>
      <c r="L419" s="311">
        <v>0</v>
      </c>
      <c r="M419" s="311">
        <v>135035</v>
      </c>
      <c r="N419" s="311">
        <v>69752.65400000001</v>
      </c>
      <c r="O419" s="311">
        <v>48826.857800000005</v>
      </c>
      <c r="P419" s="68">
        <f t="shared" si="88"/>
        <v>883663.44040000008</v>
      </c>
      <c r="Q419" s="68">
        <f t="shared" si="89"/>
        <v>883663.44040000008</v>
      </c>
      <c r="R419" s="127">
        <f t="shared" si="90"/>
        <v>883663.44040000008</v>
      </c>
      <c r="S419" s="335"/>
    </row>
    <row r="420" spans="1:19" ht="28.5">
      <c r="A420" s="73">
        <v>4.2300000000000004</v>
      </c>
      <c r="B420" s="72" t="s">
        <v>1479</v>
      </c>
      <c r="C420" s="24"/>
      <c r="D420" s="351"/>
      <c r="E420" s="24"/>
      <c r="F420" s="351"/>
      <c r="G420" s="15"/>
      <c r="H420" s="15"/>
      <c r="I420" s="15"/>
      <c r="J420" s="572"/>
      <c r="K420" s="66"/>
      <c r="L420" s="66"/>
      <c r="M420" s="66"/>
      <c r="N420" s="66"/>
      <c r="O420" s="66"/>
      <c r="P420" s="66"/>
      <c r="Q420" s="66"/>
      <c r="R420" s="66"/>
      <c r="S420" s="15"/>
    </row>
    <row r="421" spans="1:19">
      <c r="A421" s="73"/>
      <c r="B421" s="25" t="s">
        <v>1480</v>
      </c>
      <c r="C421" s="26" t="s">
        <v>1350</v>
      </c>
      <c r="D421" s="351">
        <v>1</v>
      </c>
      <c r="E421" s="24"/>
      <c r="F421" s="351">
        <v>1</v>
      </c>
      <c r="G421" s="351" t="s">
        <v>3163</v>
      </c>
      <c r="H421" s="351"/>
      <c r="I421" s="351" t="s">
        <v>2596</v>
      </c>
      <c r="J421" s="560" t="s">
        <v>2328</v>
      </c>
      <c r="K421" s="311">
        <v>2251395</v>
      </c>
      <c r="L421" s="311">
        <v>0</v>
      </c>
      <c r="M421" s="311">
        <v>311767.00000000006</v>
      </c>
      <c r="N421" s="311">
        <v>234140</v>
      </c>
      <c r="O421" s="311">
        <v>163898.00000000003</v>
      </c>
      <c r="P421" s="68">
        <f t="shared" ref="P421:P423" si="91">SUM(K421:O421)</f>
        <v>2961200</v>
      </c>
      <c r="Q421" s="68">
        <f>D421*P421</f>
        <v>2961200</v>
      </c>
      <c r="R421" s="127">
        <f>F421*P421</f>
        <v>2961200</v>
      </c>
      <c r="S421" s="15"/>
    </row>
    <row r="422" spans="1:19">
      <c r="A422" s="73"/>
      <c r="B422" s="25" t="s">
        <v>1481</v>
      </c>
      <c r="C422" s="26" t="s">
        <v>1350</v>
      </c>
      <c r="D422" s="351">
        <v>1</v>
      </c>
      <c r="E422" s="24"/>
      <c r="F422" s="351">
        <v>1</v>
      </c>
      <c r="G422" s="351" t="s">
        <v>3163</v>
      </c>
      <c r="H422" s="351"/>
      <c r="I422" s="351" t="s">
        <v>2596</v>
      </c>
      <c r="J422" s="560" t="s">
        <v>2328</v>
      </c>
      <c r="K422" s="311">
        <v>3677834.4000000004</v>
      </c>
      <c r="L422" s="311">
        <v>0</v>
      </c>
      <c r="M422" s="311">
        <v>382875.07500000001</v>
      </c>
      <c r="N422" s="311">
        <v>371298.75</v>
      </c>
      <c r="O422" s="311">
        <v>259909.12500000003</v>
      </c>
      <c r="P422" s="68">
        <f t="shared" si="91"/>
        <v>4691917.3500000006</v>
      </c>
      <c r="Q422" s="68">
        <f>D422*P422</f>
        <v>4691917.3500000006</v>
      </c>
      <c r="R422" s="127">
        <f>F422*P422</f>
        <v>4691917.3500000006</v>
      </c>
      <c r="S422" s="15"/>
    </row>
    <row r="423" spans="1:19" s="84" customFormat="1">
      <c r="A423" s="211"/>
      <c r="B423" s="29" t="s">
        <v>1673</v>
      </c>
      <c r="C423" s="30" t="s">
        <v>1350</v>
      </c>
      <c r="D423" s="352">
        <v>1</v>
      </c>
      <c r="E423" s="30"/>
      <c r="F423" s="352">
        <v>1</v>
      </c>
      <c r="G423" s="351" t="s">
        <v>3163</v>
      </c>
      <c r="H423" s="351"/>
      <c r="I423" s="351" t="s">
        <v>2596</v>
      </c>
      <c r="J423" s="560" t="s">
        <v>2328</v>
      </c>
      <c r="K423" s="311">
        <v>1500930</v>
      </c>
      <c r="L423" s="311">
        <v>0</v>
      </c>
      <c r="M423" s="311">
        <v>223966.00000000003</v>
      </c>
      <c r="N423" s="311">
        <v>157520</v>
      </c>
      <c r="O423" s="311">
        <v>110264.00000000001</v>
      </c>
      <c r="P423" s="68">
        <f t="shared" si="91"/>
        <v>1992680</v>
      </c>
      <c r="Q423" s="68">
        <f>D423*P423</f>
        <v>1992680</v>
      </c>
      <c r="R423" s="127">
        <f>F423*P423</f>
        <v>1992680</v>
      </c>
      <c r="S423" s="26"/>
    </row>
    <row r="424" spans="1:19" s="84" customFormat="1">
      <c r="A424" s="211">
        <v>4.24</v>
      </c>
      <c r="B424" s="82" t="s">
        <v>2115</v>
      </c>
      <c r="C424" s="30"/>
      <c r="D424" s="352"/>
      <c r="E424" s="30"/>
      <c r="F424" s="352"/>
      <c r="G424" s="338"/>
      <c r="H424" s="338"/>
      <c r="I424" s="338"/>
      <c r="J424" s="579"/>
      <c r="K424" s="127"/>
      <c r="L424" s="127"/>
      <c r="M424" s="127"/>
      <c r="N424" s="127"/>
      <c r="O424" s="127"/>
      <c r="P424" s="127"/>
      <c r="Q424" s="127"/>
      <c r="R424" s="127"/>
      <c r="S424" s="338"/>
    </row>
    <row r="425" spans="1:19" s="84" customFormat="1" ht="30">
      <c r="A425" s="211"/>
      <c r="B425" s="29" t="s">
        <v>2116</v>
      </c>
      <c r="C425" s="30" t="s">
        <v>1350</v>
      </c>
      <c r="D425" s="352">
        <v>4</v>
      </c>
      <c r="E425" s="30"/>
      <c r="F425" s="352">
        <v>4</v>
      </c>
      <c r="G425" s="351" t="s">
        <v>3128</v>
      </c>
      <c r="H425" s="351"/>
      <c r="I425" s="351" t="s">
        <v>2596</v>
      </c>
      <c r="J425" s="560" t="s">
        <v>2328</v>
      </c>
      <c r="K425" s="311">
        <v>66228.400000000009</v>
      </c>
      <c r="L425" s="311">
        <v>0</v>
      </c>
      <c r="M425" s="311">
        <v>41810.000000000007</v>
      </c>
      <c r="N425" s="311">
        <v>9776</v>
      </c>
      <c r="O425" s="311">
        <v>6843.2000000000007</v>
      </c>
      <c r="P425" s="68">
        <f t="shared" ref="P425:P429" si="92">SUM(K425:O425)</f>
        <v>124657.60000000002</v>
      </c>
      <c r="Q425" s="68">
        <f>D425*P425</f>
        <v>498630.40000000008</v>
      </c>
      <c r="R425" s="127">
        <f>F425*P425</f>
        <v>498630.40000000008</v>
      </c>
      <c r="S425" s="335"/>
    </row>
    <row r="426" spans="1:19" s="84" customFormat="1" ht="30">
      <c r="A426" s="211"/>
      <c r="B426" s="29" t="s">
        <v>2117</v>
      </c>
      <c r="C426" s="30" t="s">
        <v>1350</v>
      </c>
      <c r="D426" s="352">
        <v>50</v>
      </c>
      <c r="E426" s="30"/>
      <c r="F426" s="352">
        <v>50</v>
      </c>
      <c r="G426" s="351" t="s">
        <v>3128</v>
      </c>
      <c r="H426" s="351"/>
      <c r="I426" s="351" t="s">
        <v>2596</v>
      </c>
      <c r="J426" s="560" t="s">
        <v>2328</v>
      </c>
      <c r="K426" s="311">
        <v>115899.70000000001</v>
      </c>
      <c r="L426" s="311">
        <v>0</v>
      </c>
      <c r="M426" s="311">
        <v>73167.500000000015</v>
      </c>
      <c r="N426" s="311">
        <v>17108</v>
      </c>
      <c r="O426" s="311">
        <v>11975.6</v>
      </c>
      <c r="P426" s="68">
        <f t="shared" si="92"/>
        <v>218150.80000000002</v>
      </c>
      <c r="Q426" s="68">
        <f>D426*P426</f>
        <v>10907540</v>
      </c>
      <c r="R426" s="127">
        <f>F426*P426</f>
        <v>10907540</v>
      </c>
      <c r="S426" s="333"/>
    </row>
    <row r="427" spans="1:19" s="84" customFormat="1" ht="30">
      <c r="A427" s="211"/>
      <c r="B427" s="29" t="s">
        <v>2118</v>
      </c>
      <c r="C427" s="30" t="s">
        <v>1350</v>
      </c>
      <c r="D427" s="352">
        <v>133</v>
      </c>
      <c r="E427" s="30"/>
      <c r="F427" s="352">
        <v>133</v>
      </c>
      <c r="G427" s="351" t="s">
        <v>3128</v>
      </c>
      <c r="H427" s="351"/>
      <c r="I427" s="351" t="s">
        <v>2596</v>
      </c>
      <c r="J427" s="560" t="s">
        <v>2328</v>
      </c>
      <c r="K427" s="311">
        <v>132456.80000000002</v>
      </c>
      <c r="L427" s="311">
        <v>0</v>
      </c>
      <c r="M427" s="311">
        <v>83620.000000000015</v>
      </c>
      <c r="N427" s="311">
        <v>19552</v>
      </c>
      <c r="O427" s="311">
        <v>13686.400000000001</v>
      </c>
      <c r="P427" s="68">
        <f t="shared" si="92"/>
        <v>249315.20000000004</v>
      </c>
      <c r="Q427" s="68">
        <f>D427*P427</f>
        <v>33158921.600000005</v>
      </c>
      <c r="R427" s="127">
        <f>F427*P427</f>
        <v>33158921.600000005</v>
      </c>
      <c r="S427" s="329"/>
    </row>
    <row r="428" spans="1:19" s="84" customFormat="1" ht="30">
      <c r="A428" s="211"/>
      <c r="B428" s="29" t="s">
        <v>2119</v>
      </c>
      <c r="C428" s="30" t="s">
        <v>1350</v>
      </c>
      <c r="D428" s="352">
        <v>1</v>
      </c>
      <c r="E428" s="30"/>
      <c r="F428" s="352">
        <v>1</v>
      </c>
      <c r="G428" s="351" t="s">
        <v>3128</v>
      </c>
      <c r="H428" s="351"/>
      <c r="I428" s="351" t="s">
        <v>2596</v>
      </c>
      <c r="J428" s="560" t="s">
        <v>2328</v>
      </c>
      <c r="K428" s="311">
        <v>115899.70000000001</v>
      </c>
      <c r="L428" s="311">
        <v>0</v>
      </c>
      <c r="M428" s="311">
        <v>73167.500000000015</v>
      </c>
      <c r="N428" s="311">
        <v>17108</v>
      </c>
      <c r="O428" s="311">
        <v>11975.6</v>
      </c>
      <c r="P428" s="68">
        <f t="shared" si="92"/>
        <v>218150.80000000002</v>
      </c>
      <c r="Q428" s="68">
        <f>D428*P428</f>
        <v>218150.80000000002</v>
      </c>
      <c r="R428" s="127">
        <f>F428*P428</f>
        <v>218150.80000000002</v>
      </c>
      <c r="S428" s="26"/>
    </row>
    <row r="429" spans="1:19" s="84" customFormat="1" ht="30">
      <c r="A429" s="211"/>
      <c r="B429" s="29" t="s">
        <v>2026</v>
      </c>
      <c r="C429" s="30" t="s">
        <v>1350</v>
      </c>
      <c r="D429" s="352">
        <v>24</v>
      </c>
      <c r="E429" s="30"/>
      <c r="F429" s="352">
        <v>24</v>
      </c>
      <c r="G429" s="351" t="s">
        <v>3128</v>
      </c>
      <c r="H429" s="351"/>
      <c r="I429" s="351" t="s">
        <v>2596</v>
      </c>
      <c r="J429" s="560" t="s">
        <v>2328</v>
      </c>
      <c r="K429" s="311">
        <v>198685.2</v>
      </c>
      <c r="L429" s="311">
        <v>0</v>
      </c>
      <c r="M429" s="311">
        <v>125430.00000000001</v>
      </c>
      <c r="N429" s="311">
        <v>29328</v>
      </c>
      <c r="O429" s="311">
        <v>20529.600000000002</v>
      </c>
      <c r="P429" s="68">
        <f t="shared" si="92"/>
        <v>373972.8</v>
      </c>
      <c r="Q429" s="68">
        <f>D429*P429</f>
        <v>8975347.1999999993</v>
      </c>
      <c r="R429" s="127">
        <f>F429*P429</f>
        <v>8975347.1999999993</v>
      </c>
      <c r="S429" s="26"/>
    </row>
    <row r="430" spans="1:19" s="84" customFormat="1">
      <c r="A430" s="211">
        <v>4.25</v>
      </c>
      <c r="B430" s="82" t="s">
        <v>2120</v>
      </c>
      <c r="C430" s="30"/>
      <c r="D430" s="352"/>
      <c r="E430" s="30"/>
      <c r="F430" s="352"/>
      <c r="G430" s="30"/>
      <c r="H430" s="30"/>
      <c r="I430" s="30"/>
      <c r="J430" s="571"/>
      <c r="K430" s="127"/>
      <c r="L430" s="127"/>
      <c r="M430" s="127"/>
      <c r="N430" s="127"/>
      <c r="O430" s="127"/>
      <c r="P430" s="127"/>
      <c r="Q430" s="127"/>
      <c r="R430" s="127"/>
      <c r="S430" s="30"/>
    </row>
    <row r="431" spans="1:19" s="84" customFormat="1" ht="30">
      <c r="A431" s="211"/>
      <c r="B431" s="29" t="s">
        <v>1673</v>
      </c>
      <c r="C431" s="30" t="s">
        <v>1350</v>
      </c>
      <c r="D431" s="352">
        <v>1</v>
      </c>
      <c r="E431" s="30"/>
      <c r="F431" s="352">
        <v>1</v>
      </c>
      <c r="G431" s="351" t="s">
        <v>3128</v>
      </c>
      <c r="H431" s="351"/>
      <c r="I431" s="351" t="s">
        <v>2596</v>
      </c>
      <c r="J431" s="560" t="s">
        <v>2328</v>
      </c>
      <c r="K431" s="311">
        <v>982744.00000000012</v>
      </c>
      <c r="L431" s="311">
        <v>0</v>
      </c>
      <c r="M431" s="311">
        <v>391968.75000000006</v>
      </c>
      <c r="N431" s="311">
        <v>124847.5</v>
      </c>
      <c r="O431" s="311">
        <v>87393.250000000015</v>
      </c>
      <c r="P431" s="68">
        <f t="shared" ref="P431:P435" si="93">SUM(K431:O431)</f>
        <v>1586953.5000000002</v>
      </c>
      <c r="Q431" s="68">
        <f>D431*P431</f>
        <v>1586953.5000000002</v>
      </c>
      <c r="R431" s="127">
        <f>F431*P431</f>
        <v>1586953.5000000002</v>
      </c>
      <c r="S431" s="26"/>
    </row>
    <row r="432" spans="1:19" s="84" customFormat="1" ht="30">
      <c r="A432" s="211"/>
      <c r="B432" s="29" t="s">
        <v>1481</v>
      </c>
      <c r="C432" s="30" t="s">
        <v>1350</v>
      </c>
      <c r="D432" s="352">
        <v>1</v>
      </c>
      <c r="E432" s="30"/>
      <c r="F432" s="352">
        <v>1</v>
      </c>
      <c r="G432" s="351" t="s">
        <v>3128</v>
      </c>
      <c r="H432" s="351"/>
      <c r="I432" s="351" t="s">
        <v>2596</v>
      </c>
      <c r="J432" s="560" t="s">
        <v>2328</v>
      </c>
      <c r="K432" s="311">
        <v>2007147.8</v>
      </c>
      <c r="L432" s="311">
        <v>0</v>
      </c>
      <c r="M432" s="311">
        <v>792647.91666666674</v>
      </c>
      <c r="N432" s="311">
        <v>254287.83333333337</v>
      </c>
      <c r="O432" s="311">
        <v>178001.48333333337</v>
      </c>
      <c r="P432" s="68">
        <f t="shared" si="93"/>
        <v>3232085.0333333337</v>
      </c>
      <c r="Q432" s="68">
        <f>D432*P432</f>
        <v>3232085.0333333337</v>
      </c>
      <c r="R432" s="127">
        <f>F432*P432</f>
        <v>3232085.0333333337</v>
      </c>
      <c r="S432" s="26"/>
    </row>
    <row r="433" spans="1:19" s="84" customFormat="1" ht="30">
      <c r="A433" s="211"/>
      <c r="B433" s="29" t="s">
        <v>1480</v>
      </c>
      <c r="C433" s="30" t="s">
        <v>1350</v>
      </c>
      <c r="D433" s="352">
        <v>1</v>
      </c>
      <c r="E433" s="28"/>
      <c r="F433" s="352">
        <v>1</v>
      </c>
      <c r="G433" s="351" t="s">
        <v>3128</v>
      </c>
      <c r="H433" s="351"/>
      <c r="I433" s="351" t="s">
        <v>2596</v>
      </c>
      <c r="J433" s="560" t="s">
        <v>2328</v>
      </c>
      <c r="K433" s="311">
        <v>1415365</v>
      </c>
      <c r="L433" s="311">
        <v>0</v>
      </c>
      <c r="M433" s="311">
        <v>566177.08333333337</v>
      </c>
      <c r="N433" s="311">
        <v>179954.16666666669</v>
      </c>
      <c r="O433" s="311">
        <v>125967.91666666669</v>
      </c>
      <c r="P433" s="68">
        <f t="shared" si="93"/>
        <v>2287464.1666666665</v>
      </c>
      <c r="Q433" s="68">
        <f>D433*P433</f>
        <v>2287464.1666666665</v>
      </c>
      <c r="R433" s="127">
        <f>F433*P433</f>
        <v>2287464.1666666665</v>
      </c>
      <c r="S433" s="203"/>
    </row>
    <row r="434" spans="1:19">
      <c r="A434" s="73">
        <v>4.26</v>
      </c>
      <c r="B434" s="72" t="s">
        <v>1482</v>
      </c>
      <c r="C434" s="26" t="s">
        <v>1350</v>
      </c>
      <c r="D434" s="351">
        <v>48</v>
      </c>
      <c r="E434" s="24"/>
      <c r="F434" s="351">
        <v>48</v>
      </c>
      <c r="G434" s="351" t="s">
        <v>3307</v>
      </c>
      <c r="H434" s="351"/>
      <c r="I434" s="351" t="s">
        <v>2596</v>
      </c>
      <c r="J434" s="560" t="s">
        <v>2328</v>
      </c>
      <c r="K434" s="311">
        <v>645936.67044549994</v>
      </c>
      <c r="L434" s="311">
        <v>0</v>
      </c>
      <c r="M434" s="311">
        <v>147391.55000000002</v>
      </c>
      <c r="N434" s="311">
        <v>72303.744995000001</v>
      </c>
      <c r="O434" s="311">
        <v>50612.621496499996</v>
      </c>
      <c r="P434" s="68">
        <f t="shared" si="93"/>
        <v>916244.58693699993</v>
      </c>
      <c r="Q434" s="68">
        <f>D434*P434</f>
        <v>43979740.172975995</v>
      </c>
      <c r="R434" s="127">
        <f>F434*P434</f>
        <v>43979740.172975995</v>
      </c>
      <c r="S434" s="37"/>
    </row>
    <row r="435" spans="1:19">
      <c r="A435" s="73">
        <v>4.2699999999999996</v>
      </c>
      <c r="B435" s="72" t="s">
        <v>1408</v>
      </c>
      <c r="C435" s="26" t="s">
        <v>78</v>
      </c>
      <c r="D435" s="351">
        <v>1</v>
      </c>
      <c r="E435" s="24"/>
      <c r="F435" s="351">
        <v>1</v>
      </c>
      <c r="G435" s="37"/>
      <c r="H435" s="37"/>
      <c r="I435" s="37"/>
      <c r="J435" s="37" t="s">
        <v>2381</v>
      </c>
      <c r="K435" s="311">
        <v>274478795.58533269</v>
      </c>
      <c r="L435" s="311">
        <v>0</v>
      </c>
      <c r="M435" s="311">
        <v>129516144.51000002</v>
      </c>
      <c r="N435" s="311">
        <v>34236859.330112934</v>
      </c>
      <c r="O435" s="311">
        <v>23965801.531079058</v>
      </c>
      <c r="P435" s="68">
        <f t="shared" si="93"/>
        <v>462197600.95652473</v>
      </c>
      <c r="Q435" s="68">
        <f>D435*P435</f>
        <v>462197600.95652473</v>
      </c>
      <c r="R435" s="127">
        <f>F435*P435</f>
        <v>462197600.95652473</v>
      </c>
      <c r="S435" s="37"/>
    </row>
    <row r="436" spans="1:19" s="84" customFormat="1">
      <c r="A436" s="211">
        <v>4.28</v>
      </c>
      <c r="B436" s="82" t="s">
        <v>2002</v>
      </c>
      <c r="C436" s="30"/>
      <c r="D436" s="352"/>
      <c r="E436" s="30"/>
      <c r="F436" s="352"/>
      <c r="G436" s="30"/>
      <c r="H436" s="30"/>
      <c r="I436" s="30"/>
      <c r="J436" s="571"/>
      <c r="K436" s="127"/>
      <c r="L436" s="127"/>
      <c r="M436" s="127"/>
      <c r="N436" s="127"/>
      <c r="O436" s="127"/>
      <c r="P436" s="127"/>
      <c r="Q436" s="127"/>
      <c r="R436" s="127"/>
      <c r="S436" s="30"/>
    </row>
    <row r="437" spans="1:19" s="84" customFormat="1">
      <c r="A437" s="211"/>
      <c r="B437" s="29" t="s">
        <v>1442</v>
      </c>
      <c r="C437" s="30" t="s">
        <v>117</v>
      </c>
      <c r="D437" s="352">
        <v>26</v>
      </c>
      <c r="E437" s="30"/>
      <c r="F437" s="352">
        <v>26</v>
      </c>
      <c r="G437" s="351" t="s">
        <v>3125</v>
      </c>
      <c r="H437" s="351"/>
      <c r="I437" s="351" t="s">
        <v>2596</v>
      </c>
      <c r="J437" s="560" t="s">
        <v>2328</v>
      </c>
      <c r="K437" s="311">
        <v>536536.56420000002</v>
      </c>
      <c r="L437" s="311">
        <v>0</v>
      </c>
      <c r="M437" s="311">
        <v>301333.33333333337</v>
      </c>
      <c r="N437" s="311">
        <v>75890.204666666672</v>
      </c>
      <c r="O437" s="311">
        <v>53123.143266666666</v>
      </c>
      <c r="P437" s="68">
        <f t="shared" ref="P437:P454" si="94">SUM(K437:O437)</f>
        <v>966883.24546666676</v>
      </c>
      <c r="Q437" s="68">
        <f t="shared" ref="Q437:Q454" si="95">D437*P437</f>
        <v>25138964.382133335</v>
      </c>
      <c r="R437" s="127">
        <f t="shared" ref="R437:R454" si="96">F437*P437</f>
        <v>25138964.382133335</v>
      </c>
      <c r="S437" s="26"/>
    </row>
    <row r="438" spans="1:19" s="84" customFormat="1">
      <c r="A438" s="211"/>
      <c r="B438" s="29" t="s">
        <v>1443</v>
      </c>
      <c r="C438" s="30" t="s">
        <v>117</v>
      </c>
      <c r="D438" s="352">
        <v>23</v>
      </c>
      <c r="E438" s="30"/>
      <c r="F438" s="352">
        <v>23</v>
      </c>
      <c r="G438" s="351" t="s">
        <v>3125</v>
      </c>
      <c r="H438" s="351"/>
      <c r="I438" s="351" t="s">
        <v>2596</v>
      </c>
      <c r="J438" s="560" t="s">
        <v>2328</v>
      </c>
      <c r="K438" s="311">
        <v>536536.56420000002</v>
      </c>
      <c r="L438" s="311">
        <v>0</v>
      </c>
      <c r="M438" s="311">
        <v>301333.33333333337</v>
      </c>
      <c r="N438" s="311">
        <v>75890.204666666672</v>
      </c>
      <c r="O438" s="311">
        <v>53123.143266666666</v>
      </c>
      <c r="P438" s="68">
        <f t="shared" si="94"/>
        <v>966883.24546666676</v>
      </c>
      <c r="Q438" s="68">
        <f t="shared" si="95"/>
        <v>22238314.645733334</v>
      </c>
      <c r="R438" s="127">
        <f t="shared" si="96"/>
        <v>22238314.645733334</v>
      </c>
      <c r="S438" s="26"/>
    </row>
    <row r="439" spans="1:19" s="84" customFormat="1">
      <c r="A439" s="211"/>
      <c r="B439" s="29" t="s">
        <v>1444</v>
      </c>
      <c r="C439" s="30" t="s">
        <v>117</v>
      </c>
      <c r="D439" s="352">
        <v>25</v>
      </c>
      <c r="E439" s="30"/>
      <c r="F439" s="352">
        <v>25</v>
      </c>
      <c r="G439" s="351" t="s">
        <v>3125</v>
      </c>
      <c r="H439" s="351"/>
      <c r="I439" s="351" t="s">
        <v>2596</v>
      </c>
      <c r="J439" s="560" t="s">
        <v>2328</v>
      </c>
      <c r="K439" s="311">
        <v>590190.11379999993</v>
      </c>
      <c r="L439" s="311">
        <v>0</v>
      </c>
      <c r="M439" s="311">
        <v>331466.66666666674</v>
      </c>
      <c r="N439" s="311">
        <v>83479.215333333341</v>
      </c>
      <c r="O439" s="311">
        <v>58435.450733333339</v>
      </c>
      <c r="P439" s="68">
        <f t="shared" si="94"/>
        <v>1063571.4465333333</v>
      </c>
      <c r="Q439" s="68">
        <f t="shared" si="95"/>
        <v>26589286.16333333</v>
      </c>
      <c r="R439" s="127">
        <f t="shared" si="96"/>
        <v>26589286.16333333</v>
      </c>
      <c r="S439" s="26"/>
    </row>
    <row r="440" spans="1:19" s="84" customFormat="1">
      <c r="A440" s="211"/>
      <c r="B440" s="29" t="s">
        <v>1445</v>
      </c>
      <c r="C440" s="30" t="s">
        <v>117</v>
      </c>
      <c r="D440" s="352">
        <v>23</v>
      </c>
      <c r="E440" s="30"/>
      <c r="F440" s="352">
        <v>23</v>
      </c>
      <c r="G440" s="351" t="s">
        <v>3125</v>
      </c>
      <c r="H440" s="351"/>
      <c r="I440" s="351" t="s">
        <v>2596</v>
      </c>
      <c r="J440" s="560" t="s">
        <v>2328</v>
      </c>
      <c r="K440" s="311">
        <v>536536.56420000002</v>
      </c>
      <c r="L440" s="311">
        <v>0</v>
      </c>
      <c r="M440" s="311">
        <v>301333.33333333337</v>
      </c>
      <c r="N440" s="311">
        <v>75890.204666666672</v>
      </c>
      <c r="O440" s="311">
        <v>53123.143266666666</v>
      </c>
      <c r="P440" s="68">
        <f t="shared" si="94"/>
        <v>966883.24546666676</v>
      </c>
      <c r="Q440" s="68">
        <f t="shared" si="95"/>
        <v>22238314.645733334</v>
      </c>
      <c r="R440" s="127">
        <f t="shared" si="96"/>
        <v>22238314.645733334</v>
      </c>
      <c r="S440" s="329"/>
    </row>
    <row r="441" spans="1:19" s="84" customFormat="1">
      <c r="A441" s="211"/>
      <c r="B441" s="29" t="s">
        <v>1436</v>
      </c>
      <c r="C441" s="30" t="s">
        <v>117</v>
      </c>
      <c r="D441" s="352">
        <v>31</v>
      </c>
      <c r="E441" s="30"/>
      <c r="F441" s="352">
        <v>31</v>
      </c>
      <c r="G441" s="351" t="s">
        <v>3125</v>
      </c>
      <c r="H441" s="351"/>
      <c r="I441" s="351" t="s">
        <v>2596</v>
      </c>
      <c r="J441" s="560" t="s">
        <v>2328</v>
      </c>
      <c r="K441" s="311">
        <v>536536.56420000002</v>
      </c>
      <c r="L441" s="311">
        <v>0</v>
      </c>
      <c r="M441" s="311">
        <v>301333.33333333337</v>
      </c>
      <c r="N441" s="311">
        <v>75890.204666666672</v>
      </c>
      <c r="O441" s="311">
        <v>53123.143266666666</v>
      </c>
      <c r="P441" s="68">
        <f t="shared" si="94"/>
        <v>966883.24546666676</v>
      </c>
      <c r="Q441" s="68">
        <f t="shared" si="95"/>
        <v>29973380.609466668</v>
      </c>
      <c r="R441" s="127">
        <f t="shared" si="96"/>
        <v>29973380.609466668</v>
      </c>
      <c r="S441" s="36"/>
    </row>
    <row r="442" spans="1:19" s="84" customFormat="1">
      <c r="A442" s="211"/>
      <c r="B442" s="29" t="s">
        <v>1448</v>
      </c>
      <c r="C442" s="30" t="s">
        <v>117</v>
      </c>
      <c r="D442" s="352">
        <v>7</v>
      </c>
      <c r="E442" s="30"/>
      <c r="F442" s="352">
        <v>7</v>
      </c>
      <c r="G442" s="351" t="s">
        <v>3125</v>
      </c>
      <c r="H442" s="351"/>
      <c r="I442" s="351" t="s">
        <v>2596</v>
      </c>
      <c r="J442" s="560" t="s">
        <v>2328</v>
      </c>
      <c r="K442" s="311">
        <v>671083.83160000003</v>
      </c>
      <c r="L442" s="311">
        <v>0</v>
      </c>
      <c r="M442" s="311">
        <v>376666.66666666674</v>
      </c>
      <c r="N442" s="311">
        <v>94900.657333333336</v>
      </c>
      <c r="O442" s="311">
        <v>66430.460133333341</v>
      </c>
      <c r="P442" s="68">
        <f t="shared" si="94"/>
        <v>1209081.6157333334</v>
      </c>
      <c r="Q442" s="68">
        <f t="shared" si="95"/>
        <v>8463571.3101333342</v>
      </c>
      <c r="R442" s="127">
        <f t="shared" si="96"/>
        <v>8463571.3101333342</v>
      </c>
      <c r="S442" s="15"/>
    </row>
    <row r="443" spans="1:19" s="84" customFormat="1">
      <c r="A443" s="211"/>
      <c r="B443" s="29" t="s">
        <v>1449</v>
      </c>
      <c r="C443" s="30" t="s">
        <v>117</v>
      </c>
      <c r="D443" s="352">
        <v>15</v>
      </c>
      <c r="E443" s="30"/>
      <c r="F443" s="352">
        <v>15</v>
      </c>
      <c r="G443" s="351" t="s">
        <v>3125</v>
      </c>
      <c r="H443" s="351"/>
      <c r="I443" s="351" t="s">
        <v>2596</v>
      </c>
      <c r="J443" s="560" t="s">
        <v>2328</v>
      </c>
      <c r="K443" s="311">
        <v>697497.21299999999</v>
      </c>
      <c r="L443" s="311">
        <v>0</v>
      </c>
      <c r="M443" s="311">
        <v>391733.33333333337</v>
      </c>
      <c r="N443" s="311">
        <v>98657.236666666679</v>
      </c>
      <c r="O443" s="311">
        <v>69060.065666666676</v>
      </c>
      <c r="P443" s="68">
        <f t="shared" si="94"/>
        <v>1256947.8486666668</v>
      </c>
      <c r="Q443" s="68">
        <f t="shared" si="95"/>
        <v>18854217.73</v>
      </c>
      <c r="R443" s="127">
        <f t="shared" si="96"/>
        <v>18854217.73</v>
      </c>
      <c r="S443" s="18"/>
    </row>
    <row r="444" spans="1:19" s="84" customFormat="1">
      <c r="A444" s="211"/>
      <c r="B444" s="29" t="s">
        <v>1450</v>
      </c>
      <c r="C444" s="30" t="s">
        <v>117</v>
      </c>
      <c r="D444" s="352">
        <v>46</v>
      </c>
      <c r="E444" s="30"/>
      <c r="F444" s="352">
        <v>46</v>
      </c>
      <c r="G444" s="351" t="s">
        <v>3125</v>
      </c>
      <c r="H444" s="351"/>
      <c r="I444" s="351" t="s">
        <v>2596</v>
      </c>
      <c r="J444" s="560" t="s">
        <v>2328</v>
      </c>
      <c r="K444" s="311">
        <v>671083.83160000003</v>
      </c>
      <c r="L444" s="311">
        <v>0</v>
      </c>
      <c r="M444" s="311">
        <v>376666.66666666674</v>
      </c>
      <c r="N444" s="311">
        <v>94900.657333333336</v>
      </c>
      <c r="O444" s="311">
        <v>66430.460133333341</v>
      </c>
      <c r="P444" s="68">
        <f t="shared" si="94"/>
        <v>1209081.6157333334</v>
      </c>
      <c r="Q444" s="68">
        <f t="shared" si="95"/>
        <v>55617754.323733337</v>
      </c>
      <c r="R444" s="127">
        <f t="shared" si="96"/>
        <v>55617754.323733337</v>
      </c>
      <c r="S444" s="15"/>
    </row>
    <row r="445" spans="1:19" s="84" customFormat="1">
      <c r="A445" s="211"/>
      <c r="B445" s="29" t="s">
        <v>1451</v>
      </c>
      <c r="C445" s="30" t="s">
        <v>117</v>
      </c>
      <c r="D445" s="352">
        <v>7</v>
      </c>
      <c r="E445" s="30"/>
      <c r="F445" s="352">
        <v>7</v>
      </c>
      <c r="G445" s="351" t="s">
        <v>3125</v>
      </c>
      <c r="H445" s="351"/>
      <c r="I445" s="351" t="s">
        <v>2596</v>
      </c>
      <c r="J445" s="560" t="s">
        <v>2328</v>
      </c>
      <c r="K445" s="311">
        <v>697497.21299999999</v>
      </c>
      <c r="L445" s="311">
        <v>0</v>
      </c>
      <c r="M445" s="311">
        <v>391733.33333333337</v>
      </c>
      <c r="N445" s="311">
        <v>98657.236666666679</v>
      </c>
      <c r="O445" s="311">
        <v>69060.065666666676</v>
      </c>
      <c r="P445" s="68">
        <f t="shared" si="94"/>
        <v>1256947.8486666668</v>
      </c>
      <c r="Q445" s="68">
        <f t="shared" si="95"/>
        <v>8798634.9406666681</v>
      </c>
      <c r="R445" s="127">
        <f t="shared" si="96"/>
        <v>8798634.9406666681</v>
      </c>
      <c r="S445" s="15"/>
    </row>
    <row r="446" spans="1:19" s="84" customFormat="1">
      <c r="A446" s="211"/>
      <c r="B446" s="29" t="s">
        <v>1417</v>
      </c>
      <c r="C446" s="30" t="s">
        <v>117</v>
      </c>
      <c r="D446" s="352">
        <v>40</v>
      </c>
      <c r="E446" s="30"/>
      <c r="F446" s="352">
        <v>40</v>
      </c>
      <c r="G446" s="351" t="s">
        <v>3125</v>
      </c>
      <c r="H446" s="351"/>
      <c r="I446" s="351" t="s">
        <v>2596</v>
      </c>
      <c r="J446" s="560" t="s">
        <v>2328</v>
      </c>
      <c r="K446" s="311">
        <v>832044.4804</v>
      </c>
      <c r="L446" s="311">
        <v>0</v>
      </c>
      <c r="M446" s="311">
        <v>467066.66666666674</v>
      </c>
      <c r="N446" s="311">
        <v>117667.68933333334</v>
      </c>
      <c r="O446" s="311">
        <v>82367.382533333337</v>
      </c>
      <c r="P446" s="68">
        <f t="shared" si="94"/>
        <v>1499146.2189333334</v>
      </c>
      <c r="Q446" s="68">
        <f t="shared" si="95"/>
        <v>59965848.757333338</v>
      </c>
      <c r="R446" s="127">
        <f t="shared" si="96"/>
        <v>59965848.757333338</v>
      </c>
      <c r="S446" s="15"/>
    </row>
    <row r="447" spans="1:19" s="84" customFormat="1">
      <c r="A447" s="30"/>
      <c r="B447" s="29" t="s">
        <v>1418</v>
      </c>
      <c r="C447" s="30" t="s">
        <v>117</v>
      </c>
      <c r="D447" s="352">
        <v>8</v>
      </c>
      <c r="E447" s="30"/>
      <c r="F447" s="352">
        <v>8</v>
      </c>
      <c r="G447" s="351" t="s">
        <v>3125</v>
      </c>
      <c r="H447" s="351"/>
      <c r="I447" s="351" t="s">
        <v>2596</v>
      </c>
      <c r="J447" s="560" t="s">
        <v>2328</v>
      </c>
      <c r="K447" s="311">
        <v>617430.28200000012</v>
      </c>
      <c r="L447" s="311">
        <v>0</v>
      </c>
      <c r="M447" s="311">
        <v>346533.33333333337</v>
      </c>
      <c r="N447" s="311">
        <v>87311.646666666682</v>
      </c>
      <c r="O447" s="311">
        <v>61118.152666666683</v>
      </c>
      <c r="P447" s="68">
        <f t="shared" si="94"/>
        <v>1112393.4146666669</v>
      </c>
      <c r="Q447" s="68">
        <f t="shared" si="95"/>
        <v>8899147.3173333351</v>
      </c>
      <c r="R447" s="127">
        <f t="shared" si="96"/>
        <v>8899147.3173333351</v>
      </c>
      <c r="S447" s="15"/>
    </row>
    <row r="448" spans="1:19" s="84" customFormat="1">
      <c r="A448" s="30"/>
      <c r="B448" s="29" t="s">
        <v>1454</v>
      </c>
      <c r="C448" s="30" t="s">
        <v>117</v>
      </c>
      <c r="D448" s="352">
        <v>15</v>
      </c>
      <c r="E448" s="30"/>
      <c r="F448" s="352">
        <v>15</v>
      </c>
      <c r="G448" s="351" t="s">
        <v>3125</v>
      </c>
      <c r="H448" s="351"/>
      <c r="I448" s="351" t="s">
        <v>2596</v>
      </c>
      <c r="J448" s="560" t="s">
        <v>2328</v>
      </c>
      <c r="K448" s="311">
        <v>804805.38040000002</v>
      </c>
      <c r="L448" s="311">
        <v>0</v>
      </c>
      <c r="M448" s="311">
        <v>452000.00000000006</v>
      </c>
      <c r="N448" s="311">
        <v>113835.35600000001</v>
      </c>
      <c r="O448" s="311">
        <v>79684.749200000006</v>
      </c>
      <c r="P448" s="68">
        <f t="shared" si="94"/>
        <v>1450325.4856</v>
      </c>
      <c r="Q448" s="68">
        <f t="shared" si="95"/>
        <v>21754882.284000002</v>
      </c>
      <c r="R448" s="127">
        <f t="shared" si="96"/>
        <v>21754882.284000002</v>
      </c>
      <c r="S448" s="37"/>
    </row>
    <row r="449" spans="1:19" s="84" customFormat="1">
      <c r="A449" s="30"/>
      <c r="B449" s="29" t="s">
        <v>1455</v>
      </c>
      <c r="C449" s="30" t="s">
        <v>117</v>
      </c>
      <c r="D449" s="352">
        <v>33</v>
      </c>
      <c r="E449" s="30"/>
      <c r="F449" s="352">
        <v>33</v>
      </c>
      <c r="G449" s="351" t="s">
        <v>3125</v>
      </c>
      <c r="H449" s="351"/>
      <c r="I449" s="351" t="s">
        <v>2596</v>
      </c>
      <c r="J449" s="560" t="s">
        <v>2328</v>
      </c>
      <c r="K449" s="311">
        <v>804805.38040000002</v>
      </c>
      <c r="L449" s="311">
        <v>0</v>
      </c>
      <c r="M449" s="311">
        <v>452000.00000000006</v>
      </c>
      <c r="N449" s="311">
        <v>113835.35600000001</v>
      </c>
      <c r="O449" s="311">
        <v>79684.749200000006</v>
      </c>
      <c r="P449" s="68">
        <f t="shared" si="94"/>
        <v>1450325.4856</v>
      </c>
      <c r="Q449" s="68">
        <f t="shared" si="95"/>
        <v>47860741.024800003</v>
      </c>
      <c r="R449" s="127">
        <f t="shared" si="96"/>
        <v>47860741.024800003</v>
      </c>
      <c r="S449" s="37"/>
    </row>
    <row r="450" spans="1:19" s="84" customFormat="1">
      <c r="A450" s="30"/>
      <c r="B450" s="29" t="s">
        <v>1456</v>
      </c>
      <c r="C450" s="30" t="s">
        <v>117</v>
      </c>
      <c r="D450" s="352">
        <v>25</v>
      </c>
      <c r="E450" s="30"/>
      <c r="F450" s="352">
        <v>25</v>
      </c>
      <c r="G450" s="351" t="s">
        <v>3125</v>
      </c>
      <c r="H450" s="351"/>
      <c r="I450" s="351" t="s">
        <v>2596</v>
      </c>
      <c r="J450" s="560" t="s">
        <v>2328</v>
      </c>
      <c r="K450" s="311">
        <v>832044.4804</v>
      </c>
      <c r="L450" s="311">
        <v>0</v>
      </c>
      <c r="M450" s="311">
        <v>467066.66666666674</v>
      </c>
      <c r="N450" s="311">
        <v>117667.68933333334</v>
      </c>
      <c r="O450" s="311">
        <v>82367.382533333337</v>
      </c>
      <c r="P450" s="68">
        <f t="shared" si="94"/>
        <v>1499146.2189333334</v>
      </c>
      <c r="Q450" s="68">
        <f t="shared" si="95"/>
        <v>37478655.473333336</v>
      </c>
      <c r="R450" s="127">
        <f t="shared" si="96"/>
        <v>37478655.473333336</v>
      </c>
      <c r="S450" s="37"/>
    </row>
    <row r="451" spans="1:19" s="84" customFormat="1">
      <c r="A451" s="30"/>
      <c r="B451" s="29" t="s">
        <v>1457</v>
      </c>
      <c r="C451" s="30" t="s">
        <v>117</v>
      </c>
      <c r="D451" s="352">
        <v>63</v>
      </c>
      <c r="E451" s="30"/>
      <c r="F451" s="352">
        <v>63</v>
      </c>
      <c r="G451" s="351" t="s">
        <v>3125</v>
      </c>
      <c r="H451" s="351"/>
      <c r="I451" s="351" t="s">
        <v>2596</v>
      </c>
      <c r="J451" s="560" t="s">
        <v>2328</v>
      </c>
      <c r="K451" s="311">
        <v>794413.93080000009</v>
      </c>
      <c r="L451" s="311">
        <v>0</v>
      </c>
      <c r="M451" s="311">
        <v>436933.33333333337</v>
      </c>
      <c r="N451" s="311">
        <v>111548.67866666667</v>
      </c>
      <c r="O451" s="311">
        <v>78084.075066666672</v>
      </c>
      <c r="P451" s="68">
        <f t="shared" si="94"/>
        <v>1420980.0178666667</v>
      </c>
      <c r="Q451" s="68">
        <f t="shared" si="95"/>
        <v>89521741.125599995</v>
      </c>
      <c r="R451" s="127">
        <f t="shared" si="96"/>
        <v>89521741.125599995</v>
      </c>
      <c r="S451" s="37"/>
    </row>
    <row r="452" spans="1:19" s="84" customFormat="1">
      <c r="A452" s="30"/>
      <c r="B452" s="29" t="s">
        <v>1669</v>
      </c>
      <c r="C452" s="30" t="s">
        <v>117</v>
      </c>
      <c r="D452" s="352">
        <v>5</v>
      </c>
      <c r="E452" s="30"/>
      <c r="F452" s="352">
        <v>5</v>
      </c>
      <c r="G452" s="351" t="s">
        <v>3125</v>
      </c>
      <c r="H452" s="351"/>
      <c r="I452" s="351" t="s">
        <v>2596</v>
      </c>
      <c r="J452" s="560" t="s">
        <v>2328</v>
      </c>
      <c r="K452" s="311">
        <v>1094437.1284</v>
      </c>
      <c r="L452" s="311">
        <v>0</v>
      </c>
      <c r="M452" s="311">
        <v>602666.66666666674</v>
      </c>
      <c r="N452" s="311">
        <v>153740.40933333334</v>
      </c>
      <c r="O452" s="311">
        <v>107618.28653333333</v>
      </c>
      <c r="P452" s="68">
        <f t="shared" si="94"/>
        <v>1958462.4909333335</v>
      </c>
      <c r="Q452" s="68">
        <f t="shared" si="95"/>
        <v>9792312.4546666667</v>
      </c>
      <c r="R452" s="127">
        <f t="shared" si="96"/>
        <v>9792312.4546666667</v>
      </c>
      <c r="S452" s="37"/>
    </row>
    <row r="453" spans="1:19" s="84" customFormat="1">
      <c r="A453" s="30"/>
      <c r="B453" s="29" t="s">
        <v>1344</v>
      </c>
      <c r="C453" s="30" t="s">
        <v>117</v>
      </c>
      <c r="D453" s="352">
        <v>10</v>
      </c>
      <c r="E453" s="30"/>
      <c r="F453" s="352">
        <v>10</v>
      </c>
      <c r="G453" s="351" t="s">
        <v>3125</v>
      </c>
      <c r="H453" s="351"/>
      <c r="I453" s="351" t="s">
        <v>2596</v>
      </c>
      <c r="J453" s="560" t="s">
        <v>2328</v>
      </c>
      <c r="K453" s="311">
        <v>2774304.4714000002</v>
      </c>
      <c r="L453" s="311">
        <v>0</v>
      </c>
      <c r="M453" s="311">
        <v>1476533.3333333335</v>
      </c>
      <c r="N453" s="311">
        <v>385190.01266666671</v>
      </c>
      <c r="O453" s="311">
        <v>269633.0088666667</v>
      </c>
      <c r="P453" s="68">
        <f t="shared" si="94"/>
        <v>4905660.8262666678</v>
      </c>
      <c r="Q453" s="68">
        <f t="shared" si="95"/>
        <v>49056608.26266668</v>
      </c>
      <c r="R453" s="127">
        <f t="shared" si="96"/>
        <v>49056608.26266668</v>
      </c>
      <c r="S453" s="37"/>
    </row>
    <row r="454" spans="1:19" s="84" customFormat="1">
      <c r="A454" s="30"/>
      <c r="B454" s="29" t="s">
        <v>2121</v>
      </c>
      <c r="C454" s="30" t="s">
        <v>117</v>
      </c>
      <c r="D454" s="352">
        <v>5</v>
      </c>
      <c r="E454" s="30"/>
      <c r="F454" s="352">
        <v>5</v>
      </c>
      <c r="G454" s="351" t="s">
        <v>3125</v>
      </c>
      <c r="H454" s="351"/>
      <c r="I454" s="351" t="s">
        <v>2596</v>
      </c>
      <c r="J454" s="560" t="s">
        <v>2328</v>
      </c>
      <c r="K454" s="311">
        <v>2683514.9487999999</v>
      </c>
      <c r="L454" s="311">
        <v>0</v>
      </c>
      <c r="M454" s="311">
        <v>1398186.666666667</v>
      </c>
      <c r="N454" s="311">
        <v>369927.36533333338</v>
      </c>
      <c r="O454" s="311">
        <v>258949.15573333335</v>
      </c>
      <c r="P454" s="68">
        <f t="shared" si="94"/>
        <v>4710578.136533333</v>
      </c>
      <c r="Q454" s="68">
        <f t="shared" si="95"/>
        <v>23552890.682666667</v>
      </c>
      <c r="R454" s="127">
        <f t="shared" si="96"/>
        <v>23552890.682666667</v>
      </c>
      <c r="S454" s="36"/>
    </row>
    <row r="455" spans="1:19" s="538" customFormat="1">
      <c r="A455" s="539" t="s">
        <v>114</v>
      </c>
      <c r="B455" s="540" t="s">
        <v>2226</v>
      </c>
      <c r="C455" s="539"/>
      <c r="D455" s="349"/>
      <c r="E455" s="539"/>
      <c r="F455" s="349"/>
      <c r="G455" s="286"/>
      <c r="H455" s="286"/>
      <c r="I455" s="286"/>
      <c r="J455" s="586"/>
      <c r="K455" s="222"/>
      <c r="L455" s="222"/>
      <c r="M455" s="222"/>
      <c r="N455" s="222"/>
      <c r="O455" s="222"/>
      <c r="P455" s="222"/>
      <c r="Q455" s="222"/>
      <c r="R455" s="222"/>
      <c r="S455" s="286"/>
    </row>
    <row r="456" spans="1:19">
      <c r="A456" s="215" t="s">
        <v>2227</v>
      </c>
      <c r="B456" s="216" t="s">
        <v>2228</v>
      </c>
      <c r="C456" s="24"/>
      <c r="D456" s="351"/>
      <c r="E456" s="24"/>
      <c r="F456" s="351"/>
      <c r="G456" s="37"/>
      <c r="H456" s="37"/>
      <c r="I456" s="37"/>
      <c r="J456" s="583"/>
      <c r="K456" s="66"/>
      <c r="L456" s="66"/>
      <c r="M456" s="66"/>
      <c r="N456" s="66"/>
      <c r="O456" s="66"/>
      <c r="P456" s="66"/>
      <c r="Q456" s="66"/>
      <c r="R456" s="66"/>
      <c r="S456" s="37"/>
    </row>
    <row r="457" spans="1:19">
      <c r="A457" s="24">
        <v>1.1000000000000001</v>
      </c>
      <c r="B457" s="27" t="s">
        <v>1483</v>
      </c>
      <c r="C457" s="24"/>
      <c r="D457" s="351"/>
      <c r="E457" s="24"/>
      <c r="F457" s="351"/>
      <c r="G457" s="15"/>
      <c r="H457" s="15"/>
      <c r="I457" s="15"/>
      <c r="J457" s="572"/>
      <c r="K457" s="66"/>
      <c r="L457" s="66"/>
      <c r="M457" s="66"/>
      <c r="N457" s="66"/>
      <c r="O457" s="66"/>
      <c r="P457" s="66"/>
      <c r="Q457" s="66"/>
      <c r="R457" s="66"/>
      <c r="S457" s="15"/>
    </row>
    <row r="458" spans="1:19">
      <c r="A458" s="24"/>
      <c r="B458" s="25" t="s">
        <v>1484</v>
      </c>
      <c r="C458" s="26" t="s">
        <v>1336</v>
      </c>
      <c r="D458" s="351">
        <v>101</v>
      </c>
      <c r="E458" s="24"/>
      <c r="F458" s="351">
        <v>101</v>
      </c>
      <c r="G458" s="351" t="s">
        <v>3304</v>
      </c>
      <c r="H458" s="351"/>
      <c r="I458" s="351" t="s">
        <v>2596</v>
      </c>
      <c r="J458" s="560" t="s">
        <v>2328</v>
      </c>
      <c r="K458" s="311">
        <v>562950.67197600007</v>
      </c>
      <c r="L458" s="311">
        <v>0</v>
      </c>
      <c r="M458" s="311">
        <v>350300.00000000006</v>
      </c>
      <c r="N458" s="311">
        <v>82646.850640000019</v>
      </c>
      <c r="O458" s="311">
        <v>57852.795448000012</v>
      </c>
      <c r="P458" s="68">
        <f t="shared" ref="P458:P469" si="97">SUM(K458:O458)</f>
        <v>1053750.3180640002</v>
      </c>
      <c r="Q458" s="68">
        <f t="shared" ref="Q458:Q469" si="98">D458*P458</f>
        <v>106428782.12446402</v>
      </c>
      <c r="R458" s="127">
        <f t="shared" ref="R458:R469" si="99">F458*P458</f>
        <v>106428782.12446402</v>
      </c>
      <c r="S458" s="308"/>
    </row>
    <row r="459" spans="1:19">
      <c r="A459" s="24"/>
      <c r="B459" s="25" t="s">
        <v>1485</v>
      </c>
      <c r="C459" s="26" t="s">
        <v>1336</v>
      </c>
      <c r="D459" s="351">
        <v>34</v>
      </c>
      <c r="E459" s="24"/>
      <c r="F459" s="351">
        <v>34</v>
      </c>
      <c r="G459" s="351" t="s">
        <v>3162</v>
      </c>
      <c r="H459" s="351"/>
      <c r="I459" s="351" t="s">
        <v>2596</v>
      </c>
      <c r="J459" s="560" t="s">
        <v>2328</v>
      </c>
      <c r="K459" s="311">
        <v>958538.89777800022</v>
      </c>
      <c r="L459" s="311">
        <v>0</v>
      </c>
      <c r="M459" s="311">
        <v>512266.66666666674</v>
      </c>
      <c r="N459" s="311">
        <v>133272.68175333337</v>
      </c>
      <c r="O459" s="311">
        <v>93290.87722733336</v>
      </c>
      <c r="P459" s="68">
        <f t="shared" si="97"/>
        <v>1697369.1234253338</v>
      </c>
      <c r="Q459" s="68">
        <f t="shared" si="98"/>
        <v>57710550.19646135</v>
      </c>
      <c r="R459" s="127">
        <f t="shared" si="99"/>
        <v>57710550.19646135</v>
      </c>
      <c r="S459" s="38"/>
    </row>
    <row r="460" spans="1:19">
      <c r="A460" s="24"/>
      <c r="B460" s="25" t="s">
        <v>1486</v>
      </c>
      <c r="C460" s="26" t="s">
        <v>1336</v>
      </c>
      <c r="D460" s="351">
        <v>66</v>
      </c>
      <c r="E460" s="24"/>
      <c r="F460" s="351">
        <v>66</v>
      </c>
      <c r="G460" s="351" t="s">
        <v>3162</v>
      </c>
      <c r="H460" s="351"/>
      <c r="I460" s="351" t="s">
        <v>2596</v>
      </c>
      <c r="J460" s="560" t="s">
        <v>2328</v>
      </c>
      <c r="K460" s="311">
        <v>986686.43137680017</v>
      </c>
      <c r="L460" s="311">
        <v>0</v>
      </c>
      <c r="M460" s="311">
        <v>527333.33333333337</v>
      </c>
      <c r="N460" s="311">
        <v>137188.35761866669</v>
      </c>
      <c r="O460" s="311">
        <v>96031.850333066686</v>
      </c>
      <c r="P460" s="68">
        <f t="shared" si="97"/>
        <v>1747239.9726618668</v>
      </c>
      <c r="Q460" s="68">
        <f t="shared" si="98"/>
        <v>115317838.19568321</v>
      </c>
      <c r="R460" s="127">
        <f t="shared" si="99"/>
        <v>115317838.19568321</v>
      </c>
      <c r="S460" s="36"/>
    </row>
    <row r="461" spans="1:19">
      <c r="A461" s="24"/>
      <c r="B461" s="25" t="s">
        <v>1487</v>
      </c>
      <c r="C461" s="26" t="s">
        <v>1336</v>
      </c>
      <c r="D461" s="351">
        <v>7</v>
      </c>
      <c r="E461" s="24"/>
      <c r="F461" s="351">
        <v>7</v>
      </c>
      <c r="G461" s="351" t="s">
        <v>3162</v>
      </c>
      <c r="H461" s="351"/>
      <c r="I461" s="351" t="s">
        <v>2596</v>
      </c>
      <c r="J461" s="560" t="s">
        <v>2328</v>
      </c>
      <c r="K461" s="311">
        <v>1113593.6546448001</v>
      </c>
      <c r="L461" s="311">
        <v>0</v>
      </c>
      <c r="M461" s="311">
        <v>587600.00000000012</v>
      </c>
      <c r="N461" s="311">
        <v>154164.55547200001</v>
      </c>
      <c r="O461" s="311">
        <v>107915.18883040002</v>
      </c>
      <c r="P461" s="68">
        <f t="shared" si="97"/>
        <v>1963273.3989472005</v>
      </c>
      <c r="Q461" s="68">
        <f t="shared" si="98"/>
        <v>13742913.792630404</v>
      </c>
      <c r="R461" s="127">
        <f t="shared" si="99"/>
        <v>13742913.792630404</v>
      </c>
      <c r="S461" s="15"/>
    </row>
    <row r="462" spans="1:19">
      <c r="A462" s="24"/>
      <c r="B462" s="25" t="s">
        <v>1489</v>
      </c>
      <c r="C462" s="26" t="s">
        <v>1336</v>
      </c>
      <c r="D462" s="352">
        <v>7</v>
      </c>
      <c r="E462" s="24"/>
      <c r="F462" s="352">
        <v>7</v>
      </c>
      <c r="G462" s="351" t="s">
        <v>3162</v>
      </c>
      <c r="H462" s="351"/>
      <c r="I462" s="351" t="s">
        <v>2596</v>
      </c>
      <c r="J462" s="560" t="s">
        <v>2328</v>
      </c>
      <c r="K462" s="311">
        <v>2861938.6700660004</v>
      </c>
      <c r="L462" s="311">
        <v>0</v>
      </c>
      <c r="M462" s="311">
        <v>1476533.3333333335</v>
      </c>
      <c r="N462" s="311">
        <v>393229.84740666673</v>
      </c>
      <c r="O462" s="311">
        <v>275260.89318466675</v>
      </c>
      <c r="P462" s="68">
        <f t="shared" si="97"/>
        <v>5006962.7439906672</v>
      </c>
      <c r="Q462" s="68">
        <f t="shared" si="98"/>
        <v>35048739.20793467</v>
      </c>
      <c r="R462" s="127">
        <f t="shared" si="99"/>
        <v>35048739.20793467</v>
      </c>
      <c r="S462" s="15"/>
    </row>
    <row r="463" spans="1:19">
      <c r="A463" s="24"/>
      <c r="B463" s="25" t="s">
        <v>1490</v>
      </c>
      <c r="C463" s="26" t="s">
        <v>1336</v>
      </c>
      <c r="D463" s="351">
        <v>46</v>
      </c>
      <c r="E463" s="24"/>
      <c r="F463" s="351">
        <v>46</v>
      </c>
      <c r="G463" s="351" t="s">
        <v>3162</v>
      </c>
      <c r="H463" s="351"/>
      <c r="I463" s="351" t="s">
        <v>2596</v>
      </c>
      <c r="J463" s="560" t="s">
        <v>2328</v>
      </c>
      <c r="K463" s="311">
        <v>1224477.8779128001</v>
      </c>
      <c r="L463" s="311">
        <v>0</v>
      </c>
      <c r="M463" s="311">
        <v>647866.66666666674</v>
      </c>
      <c r="N463" s="311">
        <v>169670.75332533335</v>
      </c>
      <c r="O463" s="311">
        <v>118769.52732773336</v>
      </c>
      <c r="P463" s="68">
        <f t="shared" si="97"/>
        <v>2160784.8252325337</v>
      </c>
      <c r="Q463" s="68">
        <f t="shared" si="98"/>
        <v>99396101.960696548</v>
      </c>
      <c r="R463" s="127">
        <f t="shared" si="99"/>
        <v>99396101.960696548</v>
      </c>
      <c r="S463" s="15"/>
    </row>
    <row r="464" spans="1:19">
      <c r="A464" s="24"/>
      <c r="B464" s="25" t="s">
        <v>1491</v>
      </c>
      <c r="C464" s="26" t="s">
        <v>1336</v>
      </c>
      <c r="D464" s="351">
        <v>14</v>
      </c>
      <c r="E464" s="24"/>
      <c r="F464" s="351">
        <v>14</v>
      </c>
      <c r="G464" s="351" t="s">
        <v>3162</v>
      </c>
      <c r="H464" s="351"/>
      <c r="I464" s="351" t="s">
        <v>2596</v>
      </c>
      <c r="J464" s="560" t="s">
        <v>2328</v>
      </c>
      <c r="K464" s="311">
        <v>1253908.8559480002</v>
      </c>
      <c r="L464" s="311">
        <v>0</v>
      </c>
      <c r="M464" s="311">
        <v>662933.33333333349</v>
      </c>
      <c r="N464" s="311">
        <v>173704.17638666672</v>
      </c>
      <c r="O464" s="311">
        <v>121592.92347066669</v>
      </c>
      <c r="P464" s="68">
        <f t="shared" si="97"/>
        <v>2212139.2891386673</v>
      </c>
      <c r="Q464" s="68">
        <f t="shared" si="98"/>
        <v>30969950.047941342</v>
      </c>
      <c r="R464" s="127">
        <f t="shared" si="99"/>
        <v>30969950.047941342</v>
      </c>
      <c r="S464" s="15"/>
    </row>
    <row r="465" spans="1:19">
      <c r="A465" s="24"/>
      <c r="B465" s="25" t="s">
        <v>1492</v>
      </c>
      <c r="C465" s="26" t="s">
        <v>1336</v>
      </c>
      <c r="D465" s="351">
        <v>14</v>
      </c>
      <c r="E465" s="24"/>
      <c r="F465" s="351">
        <v>14</v>
      </c>
      <c r="G465" s="351" t="s">
        <v>3162</v>
      </c>
      <c r="H465" s="351"/>
      <c r="I465" s="351" t="s">
        <v>2596</v>
      </c>
      <c r="J465" s="560" t="s">
        <v>2328</v>
      </c>
      <c r="K465" s="311">
        <v>1364793.0792160002</v>
      </c>
      <c r="L465" s="311">
        <v>0</v>
      </c>
      <c r="M465" s="311">
        <v>723200.00000000012</v>
      </c>
      <c r="N465" s="311">
        <v>189210.37424000003</v>
      </c>
      <c r="O465" s="311">
        <v>132447.26196800001</v>
      </c>
      <c r="P465" s="68">
        <f t="shared" si="97"/>
        <v>2409650.7154240003</v>
      </c>
      <c r="Q465" s="68">
        <f t="shared" si="98"/>
        <v>33735110.015936002</v>
      </c>
      <c r="R465" s="127">
        <f t="shared" si="99"/>
        <v>33735110.015936002</v>
      </c>
      <c r="S465" s="15"/>
    </row>
    <row r="466" spans="1:19">
      <c r="A466" s="24"/>
      <c r="B466" s="25" t="s">
        <v>1493</v>
      </c>
      <c r="C466" s="26" t="s">
        <v>1336</v>
      </c>
      <c r="D466" s="351">
        <v>53</v>
      </c>
      <c r="E466" s="24"/>
      <c r="F466" s="351">
        <v>53</v>
      </c>
      <c r="G466" s="351" t="s">
        <v>3162</v>
      </c>
      <c r="H466" s="351"/>
      <c r="I466" s="351" t="s">
        <v>2596</v>
      </c>
      <c r="J466" s="560" t="s">
        <v>2328</v>
      </c>
      <c r="K466" s="311">
        <v>1674423.9709848005</v>
      </c>
      <c r="L466" s="311">
        <v>0</v>
      </c>
      <c r="M466" s="311">
        <v>888933.33333333349</v>
      </c>
      <c r="N466" s="311">
        <v>232283.54473866674</v>
      </c>
      <c r="O466" s="311">
        <v>162598.4813170667</v>
      </c>
      <c r="P466" s="68">
        <f t="shared" si="97"/>
        <v>2958239.3303738669</v>
      </c>
      <c r="Q466" s="68">
        <f t="shared" si="98"/>
        <v>156786684.50981495</v>
      </c>
      <c r="R466" s="127">
        <f t="shared" si="99"/>
        <v>156786684.50981495</v>
      </c>
      <c r="S466" s="37"/>
    </row>
    <row r="467" spans="1:19" s="84" customFormat="1">
      <c r="A467" s="30"/>
      <c r="B467" s="29" t="s">
        <v>2122</v>
      </c>
      <c r="C467" s="30" t="s">
        <v>117</v>
      </c>
      <c r="D467" s="352">
        <v>10</v>
      </c>
      <c r="E467" s="30"/>
      <c r="F467" s="352">
        <v>10</v>
      </c>
      <c r="G467" s="351" t="s">
        <v>3162</v>
      </c>
      <c r="H467" s="351"/>
      <c r="I467" s="351" t="s">
        <v>2596</v>
      </c>
      <c r="J467" s="560" t="s">
        <v>2328</v>
      </c>
      <c r="K467" s="311">
        <v>2449712.6738</v>
      </c>
      <c r="L467" s="311">
        <v>0</v>
      </c>
      <c r="M467" s="311">
        <v>1310800.0000000002</v>
      </c>
      <c r="N467" s="311">
        <v>340744.28200000001</v>
      </c>
      <c r="O467" s="311">
        <v>238520.99740000002</v>
      </c>
      <c r="P467" s="68">
        <f t="shared" si="97"/>
        <v>4339777.9532000003</v>
      </c>
      <c r="Q467" s="68">
        <f t="shared" si="98"/>
        <v>43397779.532000005</v>
      </c>
      <c r="R467" s="127">
        <f t="shared" si="99"/>
        <v>43397779.532000005</v>
      </c>
      <c r="S467" s="15"/>
    </row>
    <row r="468" spans="1:19" s="84" customFormat="1">
      <c r="A468" s="30"/>
      <c r="B468" s="29" t="s">
        <v>2123</v>
      </c>
      <c r="C468" s="30" t="s">
        <v>117</v>
      </c>
      <c r="D468" s="352">
        <v>10</v>
      </c>
      <c r="E468" s="30"/>
      <c r="F468" s="352">
        <v>10</v>
      </c>
      <c r="G468" s="351" t="s">
        <v>3162</v>
      </c>
      <c r="H468" s="351"/>
      <c r="I468" s="351" t="s">
        <v>2596</v>
      </c>
      <c r="J468" s="560" t="s">
        <v>2328</v>
      </c>
      <c r="K468" s="311">
        <v>2666997.3722000001</v>
      </c>
      <c r="L468" s="311">
        <v>0</v>
      </c>
      <c r="M468" s="311">
        <v>1416266.666666667</v>
      </c>
      <c r="N468" s="311">
        <v>370011.99133333337</v>
      </c>
      <c r="O468" s="311">
        <v>259008.39393333337</v>
      </c>
      <c r="P468" s="68">
        <f t="shared" si="97"/>
        <v>4712284.4241333343</v>
      </c>
      <c r="Q468" s="68">
        <f t="shared" si="98"/>
        <v>47122844.241333343</v>
      </c>
      <c r="R468" s="127">
        <f t="shared" si="99"/>
        <v>47122844.241333343</v>
      </c>
      <c r="S468" s="15"/>
    </row>
    <row r="469" spans="1:19" s="84" customFormat="1">
      <c r="A469" s="30"/>
      <c r="B469" s="29" t="s">
        <v>2124</v>
      </c>
      <c r="C469" s="30" t="s">
        <v>117</v>
      </c>
      <c r="D469" s="352">
        <v>3</v>
      </c>
      <c r="E469" s="30"/>
      <c r="F469" s="352">
        <v>3</v>
      </c>
      <c r="G469" s="351" t="s">
        <v>3304</v>
      </c>
      <c r="H469" s="351"/>
      <c r="I469" s="351" t="s">
        <v>2596</v>
      </c>
      <c r="J469" s="560" t="s">
        <v>2328</v>
      </c>
      <c r="K469" s="311">
        <v>726387.75020000013</v>
      </c>
      <c r="L469" s="311">
        <v>0</v>
      </c>
      <c r="M469" s="311">
        <v>467066.66666666674</v>
      </c>
      <c r="N469" s="311">
        <v>107974.41133333334</v>
      </c>
      <c r="O469" s="311">
        <v>75582.087933333343</v>
      </c>
      <c r="P469" s="68">
        <f t="shared" si="97"/>
        <v>1377010.9161333335</v>
      </c>
      <c r="Q469" s="68">
        <f t="shared" si="98"/>
        <v>4131032.7484000004</v>
      </c>
      <c r="R469" s="127">
        <f t="shared" si="99"/>
        <v>4131032.7484000004</v>
      </c>
      <c r="S469" s="38"/>
    </row>
    <row r="470" spans="1:19">
      <c r="A470" s="24" t="s">
        <v>1348</v>
      </c>
      <c r="B470" s="27" t="s">
        <v>1494</v>
      </c>
      <c r="C470" s="24"/>
      <c r="D470" s="351"/>
      <c r="E470" s="24"/>
      <c r="F470" s="351"/>
      <c r="G470" s="37"/>
      <c r="H470" s="37"/>
      <c r="I470" s="37"/>
      <c r="J470" s="583"/>
      <c r="K470" s="66"/>
      <c r="L470" s="66"/>
      <c r="M470" s="66"/>
      <c r="N470" s="66"/>
      <c r="O470" s="66"/>
      <c r="P470" s="66"/>
      <c r="Q470" s="66"/>
      <c r="R470" s="66"/>
      <c r="S470" s="37"/>
    </row>
    <row r="471" spans="1:19">
      <c r="A471" s="24"/>
      <c r="B471" s="25" t="s">
        <v>1484</v>
      </c>
      <c r="C471" s="26" t="s">
        <v>1350</v>
      </c>
      <c r="D471" s="351">
        <v>2</v>
      </c>
      <c r="E471" s="24"/>
      <c r="F471" s="351">
        <v>2</v>
      </c>
      <c r="G471" s="351" t="s">
        <v>3304</v>
      </c>
      <c r="H471" s="351"/>
      <c r="I471" s="351" t="s">
        <v>2596</v>
      </c>
      <c r="J471" s="560" t="s">
        <v>2328</v>
      </c>
      <c r="K471" s="311">
        <v>994546.18715760019</v>
      </c>
      <c r="L471" s="311">
        <v>0</v>
      </c>
      <c r="M471" s="311">
        <v>494798.75000000006</v>
      </c>
      <c r="N471" s="311">
        <v>135030.26946400001</v>
      </c>
      <c r="O471" s="311">
        <v>94521.188624800023</v>
      </c>
      <c r="P471" s="68">
        <f t="shared" ref="P471:P474" si="100">SUM(K471:O471)</f>
        <v>1718896.3952464003</v>
      </c>
      <c r="Q471" s="68">
        <f>D471*P471</f>
        <v>3437792.7904928005</v>
      </c>
      <c r="R471" s="127">
        <f>F471*P471</f>
        <v>3437792.7904928005</v>
      </c>
      <c r="S471" s="37"/>
    </row>
    <row r="472" spans="1:19">
      <c r="A472" s="26"/>
      <c r="B472" s="25" t="s">
        <v>1485</v>
      </c>
      <c r="C472" s="26" t="s">
        <v>1350</v>
      </c>
      <c r="D472" s="351">
        <v>5</v>
      </c>
      <c r="E472" s="26"/>
      <c r="F472" s="351">
        <v>5</v>
      </c>
      <c r="G472" s="351" t="s">
        <v>3162</v>
      </c>
      <c r="H472" s="351"/>
      <c r="I472" s="351" t="s">
        <v>2596</v>
      </c>
      <c r="J472" s="560" t="s">
        <v>2328</v>
      </c>
      <c r="K472" s="311">
        <v>2607302.002216801</v>
      </c>
      <c r="L472" s="311">
        <v>0</v>
      </c>
      <c r="M472" s="311">
        <v>1126986.6666666667</v>
      </c>
      <c r="N472" s="311">
        <v>338935.35188533342</v>
      </c>
      <c r="O472" s="311">
        <v>237254.74631973341</v>
      </c>
      <c r="P472" s="68">
        <f t="shared" si="100"/>
        <v>4310478.7670885352</v>
      </c>
      <c r="Q472" s="68">
        <f>D472*P472</f>
        <v>21552393.835442677</v>
      </c>
      <c r="R472" s="127">
        <f>F472*P472</f>
        <v>21552393.835442677</v>
      </c>
      <c r="S472" s="15"/>
    </row>
    <row r="473" spans="1:19">
      <c r="A473" s="26"/>
      <c r="B473" s="25" t="s">
        <v>1490</v>
      </c>
      <c r="C473" s="26" t="s">
        <v>1350</v>
      </c>
      <c r="D473" s="351">
        <v>1</v>
      </c>
      <c r="E473" s="26"/>
      <c r="F473" s="351">
        <v>1</v>
      </c>
      <c r="G473" s="351" t="s">
        <v>3162</v>
      </c>
      <c r="H473" s="351"/>
      <c r="I473" s="351" t="s">
        <v>2596</v>
      </c>
      <c r="J473" s="560" t="s">
        <v>2328</v>
      </c>
      <c r="K473" s="311">
        <v>4244793.5286204014</v>
      </c>
      <c r="L473" s="311">
        <v>0</v>
      </c>
      <c r="M473" s="311">
        <v>1832106.666666667</v>
      </c>
      <c r="N473" s="311">
        <v>551563.93228933343</v>
      </c>
      <c r="O473" s="311">
        <v>386094.75260253344</v>
      </c>
      <c r="P473" s="68">
        <f t="shared" si="100"/>
        <v>7014558.8801789349</v>
      </c>
      <c r="Q473" s="68">
        <f>D473*P473</f>
        <v>7014558.8801789349</v>
      </c>
      <c r="R473" s="127">
        <f>F473*P473</f>
        <v>7014558.8801789349</v>
      </c>
      <c r="S473" s="38"/>
    </row>
    <row r="474" spans="1:19" s="84" customFormat="1">
      <c r="A474" s="30"/>
      <c r="B474" s="29" t="s">
        <v>2125</v>
      </c>
      <c r="C474" s="30" t="s">
        <v>1350</v>
      </c>
      <c r="D474" s="352">
        <v>2</v>
      </c>
      <c r="E474" s="30"/>
      <c r="F474" s="352">
        <v>2</v>
      </c>
      <c r="G474" s="351" t="s">
        <v>3162</v>
      </c>
      <c r="H474" s="351"/>
      <c r="I474" s="351" t="s">
        <v>2596</v>
      </c>
      <c r="J474" s="560" t="s">
        <v>2328</v>
      </c>
      <c r="K474" s="311">
        <v>2597176.6156000001</v>
      </c>
      <c r="L474" s="311">
        <v>0</v>
      </c>
      <c r="M474" s="311">
        <v>1160133.3333333335</v>
      </c>
      <c r="N474" s="311">
        <v>340939.75066666672</v>
      </c>
      <c r="O474" s="311">
        <v>238657.82546666669</v>
      </c>
      <c r="P474" s="68">
        <f t="shared" si="100"/>
        <v>4336907.5250666672</v>
      </c>
      <c r="Q474" s="68">
        <f>D474*P474</f>
        <v>8673815.0501333345</v>
      </c>
      <c r="R474" s="127">
        <f>F474*P474</f>
        <v>8673815.0501333345</v>
      </c>
      <c r="S474" s="15"/>
    </row>
    <row r="475" spans="1:19">
      <c r="A475" s="24" t="s">
        <v>1351</v>
      </c>
      <c r="B475" s="27" t="s">
        <v>1495</v>
      </c>
      <c r="C475" s="24"/>
      <c r="D475" s="351"/>
      <c r="E475" s="24"/>
      <c r="F475" s="351"/>
      <c r="G475" s="36"/>
      <c r="H475" s="36"/>
      <c r="I475" s="36"/>
      <c r="J475" s="584"/>
      <c r="K475" s="65"/>
      <c r="L475" s="65"/>
      <c r="M475" s="65"/>
      <c r="N475" s="65"/>
      <c r="O475" s="65"/>
      <c r="P475" s="65"/>
      <c r="Q475" s="65"/>
      <c r="R475" s="65"/>
      <c r="S475" s="36"/>
    </row>
    <row r="476" spans="1:19">
      <c r="A476" s="26"/>
      <c r="B476" s="25" t="s">
        <v>1496</v>
      </c>
      <c r="C476" s="26" t="s">
        <v>1350</v>
      </c>
      <c r="D476" s="351">
        <v>3</v>
      </c>
      <c r="E476" s="26"/>
      <c r="F476" s="351">
        <v>3</v>
      </c>
      <c r="G476" s="351" t="s">
        <v>3162</v>
      </c>
      <c r="H476" s="351"/>
      <c r="I476" s="351" t="s">
        <v>2596</v>
      </c>
      <c r="J476" s="560" t="s">
        <v>2328</v>
      </c>
      <c r="K476" s="311">
        <v>451883.29299960012</v>
      </c>
      <c r="L476" s="311">
        <v>0</v>
      </c>
      <c r="M476" s="311">
        <v>224493.33333333337</v>
      </c>
      <c r="N476" s="311">
        <v>61323.849510666681</v>
      </c>
      <c r="O476" s="311">
        <v>42926.69465746668</v>
      </c>
      <c r="P476" s="68">
        <f t="shared" ref="P476:P483" si="101">SUM(K476:O476)</f>
        <v>780627.17050106695</v>
      </c>
      <c r="Q476" s="68">
        <f t="shared" ref="Q476:Q483" si="102">D476*P476</f>
        <v>2341881.511503201</v>
      </c>
      <c r="R476" s="127">
        <f t="shared" ref="R476:R483" si="103">F476*P476</f>
        <v>2341881.511503201</v>
      </c>
      <c r="S476" s="15"/>
    </row>
    <row r="477" spans="1:19">
      <c r="A477" s="26"/>
      <c r="B477" s="25" t="s">
        <v>1497</v>
      </c>
      <c r="C477" s="26" t="s">
        <v>1350</v>
      </c>
      <c r="D477" s="351">
        <v>2</v>
      </c>
      <c r="E477" s="26"/>
      <c r="F477" s="351">
        <v>2</v>
      </c>
      <c r="G477" s="351" t="s">
        <v>3162</v>
      </c>
      <c r="H477" s="351"/>
      <c r="I477" s="351" t="s">
        <v>2596</v>
      </c>
      <c r="J477" s="560" t="s">
        <v>2328</v>
      </c>
      <c r="K477" s="311">
        <v>540590.67161400011</v>
      </c>
      <c r="L477" s="311">
        <v>0</v>
      </c>
      <c r="M477" s="311">
        <v>229013.33333333337</v>
      </c>
      <c r="N477" s="311">
        <v>69862.141126666684</v>
      </c>
      <c r="O477" s="311">
        <v>48903.498788666686</v>
      </c>
      <c r="P477" s="68">
        <f t="shared" si="101"/>
        <v>888369.64486266684</v>
      </c>
      <c r="Q477" s="68">
        <f t="shared" si="102"/>
        <v>1776739.2897253337</v>
      </c>
      <c r="R477" s="127">
        <f t="shared" si="103"/>
        <v>1776739.2897253337</v>
      </c>
      <c r="S477" s="18"/>
    </row>
    <row r="478" spans="1:19">
      <c r="A478" s="26"/>
      <c r="B478" s="25" t="s">
        <v>1498</v>
      </c>
      <c r="C478" s="26" t="s">
        <v>1350</v>
      </c>
      <c r="D478" s="351">
        <v>1</v>
      </c>
      <c r="E478" s="26"/>
      <c r="F478" s="351">
        <v>1</v>
      </c>
      <c r="G478" s="351" t="s">
        <v>3162</v>
      </c>
      <c r="H478" s="351"/>
      <c r="I478" s="351" t="s">
        <v>2596</v>
      </c>
      <c r="J478" s="560" t="s">
        <v>2328</v>
      </c>
      <c r="K478" s="311">
        <v>675174.49495440011</v>
      </c>
      <c r="L478" s="311">
        <v>0</v>
      </c>
      <c r="M478" s="311">
        <v>280240</v>
      </c>
      <c r="N478" s="311">
        <v>86742.614216000016</v>
      </c>
      <c r="O478" s="311">
        <v>60719.829951200009</v>
      </c>
      <c r="P478" s="68">
        <f t="shared" si="101"/>
        <v>1102876.9391216</v>
      </c>
      <c r="Q478" s="68">
        <f t="shared" si="102"/>
        <v>1102876.9391216</v>
      </c>
      <c r="R478" s="127">
        <f t="shared" si="103"/>
        <v>1102876.9391216</v>
      </c>
      <c r="S478" s="15"/>
    </row>
    <row r="479" spans="1:19">
      <c r="A479" s="26"/>
      <c r="B479" s="25" t="s">
        <v>1499</v>
      </c>
      <c r="C479" s="26" t="s">
        <v>1350</v>
      </c>
      <c r="D479" s="351">
        <v>3</v>
      </c>
      <c r="E479" s="26"/>
      <c r="F479" s="351">
        <v>3</v>
      </c>
      <c r="G479" s="351" t="s">
        <v>3162</v>
      </c>
      <c r="H479" s="351"/>
      <c r="I479" s="351" t="s">
        <v>2596</v>
      </c>
      <c r="J479" s="560" t="s">
        <v>2328</v>
      </c>
      <c r="K479" s="311">
        <v>708439.76193480019</v>
      </c>
      <c r="L479" s="311">
        <v>0</v>
      </c>
      <c r="M479" s="311">
        <v>293800.00000000006</v>
      </c>
      <c r="N479" s="311">
        <v>90994.473572000017</v>
      </c>
      <c r="O479" s="311">
        <v>63696.131500400013</v>
      </c>
      <c r="P479" s="68">
        <f t="shared" si="101"/>
        <v>1156930.3670072001</v>
      </c>
      <c r="Q479" s="68">
        <f t="shared" si="102"/>
        <v>3470791.1010216004</v>
      </c>
      <c r="R479" s="127">
        <f t="shared" si="103"/>
        <v>3470791.1010216004</v>
      </c>
      <c r="S479" s="15"/>
    </row>
    <row r="480" spans="1:19">
      <c r="A480" s="26"/>
      <c r="B480" s="25" t="s">
        <v>1500</v>
      </c>
      <c r="C480" s="26" t="s">
        <v>1350</v>
      </c>
      <c r="D480" s="351">
        <v>2</v>
      </c>
      <c r="E480" s="26"/>
      <c r="F480" s="351">
        <v>2</v>
      </c>
      <c r="G480" s="351" t="s">
        <v>3162</v>
      </c>
      <c r="H480" s="351"/>
      <c r="I480" s="351" t="s">
        <v>2596</v>
      </c>
      <c r="J480" s="560" t="s">
        <v>2328</v>
      </c>
      <c r="K480" s="311">
        <v>716969.31757080008</v>
      </c>
      <c r="L480" s="311">
        <v>0</v>
      </c>
      <c r="M480" s="311">
        <v>298320.00000000006</v>
      </c>
      <c r="N480" s="311">
        <v>92177.001612000007</v>
      </c>
      <c r="O480" s="311">
        <v>64523.901128400008</v>
      </c>
      <c r="P480" s="68">
        <f t="shared" si="101"/>
        <v>1171990.2203112002</v>
      </c>
      <c r="Q480" s="68">
        <f t="shared" si="102"/>
        <v>2343980.4406224005</v>
      </c>
      <c r="R480" s="127">
        <f t="shared" si="103"/>
        <v>2343980.4406224005</v>
      </c>
      <c r="S480" s="15"/>
    </row>
    <row r="481" spans="1:19">
      <c r="A481" s="26"/>
      <c r="B481" s="25" t="s">
        <v>1501</v>
      </c>
      <c r="C481" s="26" t="s">
        <v>1350</v>
      </c>
      <c r="D481" s="351">
        <v>1</v>
      </c>
      <c r="E481" s="26"/>
      <c r="F481" s="351">
        <v>1</v>
      </c>
      <c r="G481" s="351" t="s">
        <v>3162</v>
      </c>
      <c r="H481" s="351"/>
      <c r="I481" s="351" t="s">
        <v>2596</v>
      </c>
      <c r="J481" s="560" t="s">
        <v>2328</v>
      </c>
      <c r="K481" s="311">
        <v>756635.76236920024</v>
      </c>
      <c r="L481" s="311">
        <v>0</v>
      </c>
      <c r="M481" s="311">
        <v>314893.33333333337</v>
      </c>
      <c r="N481" s="311">
        <v>97282.791654666682</v>
      </c>
      <c r="O481" s="311">
        <v>68097.954158266686</v>
      </c>
      <c r="P481" s="68">
        <f t="shared" si="101"/>
        <v>1236909.841515467</v>
      </c>
      <c r="Q481" s="68">
        <f t="shared" si="102"/>
        <v>1236909.841515467</v>
      </c>
      <c r="R481" s="127">
        <f t="shared" si="103"/>
        <v>1236909.841515467</v>
      </c>
      <c r="S481" s="15"/>
    </row>
    <row r="482" spans="1:19">
      <c r="A482" s="26"/>
      <c r="B482" s="25" t="s">
        <v>1502</v>
      </c>
      <c r="C482" s="26" t="s">
        <v>1350</v>
      </c>
      <c r="D482" s="351">
        <v>1</v>
      </c>
      <c r="E482" s="26"/>
      <c r="F482" s="351">
        <v>1</v>
      </c>
      <c r="G482" s="351" t="s">
        <v>3162</v>
      </c>
      <c r="H482" s="351"/>
      <c r="I482" s="351" t="s">
        <v>2596</v>
      </c>
      <c r="J482" s="560" t="s">
        <v>2328</v>
      </c>
      <c r="K482" s="311">
        <v>825725.1630208001</v>
      </c>
      <c r="L482" s="311">
        <v>0</v>
      </c>
      <c r="M482" s="311">
        <v>345026.66666666674</v>
      </c>
      <c r="N482" s="311">
        <v>106287.93544533335</v>
      </c>
      <c r="O482" s="311">
        <v>74401.554811733353</v>
      </c>
      <c r="P482" s="68">
        <f t="shared" si="101"/>
        <v>1351441.3199445335</v>
      </c>
      <c r="Q482" s="68">
        <f t="shared" si="102"/>
        <v>1351441.3199445335</v>
      </c>
      <c r="R482" s="127">
        <f t="shared" si="103"/>
        <v>1351441.3199445335</v>
      </c>
      <c r="S482" s="37"/>
    </row>
    <row r="483" spans="1:19" s="84" customFormat="1">
      <c r="A483" s="30"/>
      <c r="B483" s="29" t="s">
        <v>2126</v>
      </c>
      <c r="C483" s="30" t="s">
        <v>1350</v>
      </c>
      <c r="D483" s="352">
        <v>2</v>
      </c>
      <c r="E483" s="30"/>
      <c r="F483" s="352">
        <v>2</v>
      </c>
      <c r="G483" s="351" t="s">
        <v>3162</v>
      </c>
      <c r="H483" s="351"/>
      <c r="I483" s="351" t="s">
        <v>2596</v>
      </c>
      <c r="J483" s="560" t="s">
        <v>2328</v>
      </c>
      <c r="K483" s="311">
        <v>523669.027</v>
      </c>
      <c r="L483" s="311">
        <v>0</v>
      </c>
      <c r="M483" s="311">
        <v>229013.33333333337</v>
      </c>
      <c r="N483" s="311">
        <v>68309.69666666667</v>
      </c>
      <c r="O483" s="311">
        <v>47816.787666666671</v>
      </c>
      <c r="P483" s="68">
        <f t="shared" si="101"/>
        <v>868808.8446666667</v>
      </c>
      <c r="Q483" s="68">
        <f t="shared" si="102"/>
        <v>1737617.6893333334</v>
      </c>
      <c r="R483" s="127">
        <f t="shared" si="103"/>
        <v>1737617.6893333334</v>
      </c>
      <c r="S483" s="15"/>
    </row>
    <row r="484" spans="1:19">
      <c r="A484" s="24">
        <v>1.4</v>
      </c>
      <c r="B484" s="72" t="s">
        <v>1466</v>
      </c>
      <c r="C484" s="24"/>
      <c r="D484" s="351"/>
      <c r="E484" s="24"/>
      <c r="F484" s="351"/>
      <c r="G484" s="37"/>
      <c r="H484" s="37"/>
      <c r="I484" s="37"/>
      <c r="J484" s="583"/>
      <c r="K484" s="66"/>
      <c r="L484" s="66"/>
      <c r="M484" s="66"/>
      <c r="N484" s="66"/>
      <c r="O484" s="66"/>
      <c r="P484" s="66"/>
      <c r="Q484" s="66"/>
      <c r="R484" s="66"/>
      <c r="S484" s="37"/>
    </row>
    <row r="485" spans="1:19" ht="30">
      <c r="A485" s="26"/>
      <c r="B485" s="25" t="s">
        <v>1503</v>
      </c>
      <c r="C485" s="26" t="s">
        <v>1350</v>
      </c>
      <c r="D485" s="351">
        <v>120</v>
      </c>
      <c r="E485" s="26"/>
      <c r="F485" s="351">
        <v>120</v>
      </c>
      <c r="G485" s="351" t="s">
        <v>3305</v>
      </c>
      <c r="H485" s="351"/>
      <c r="I485" s="351" t="s">
        <v>2596</v>
      </c>
      <c r="J485" s="560" t="s">
        <v>2328</v>
      </c>
      <c r="K485" s="311">
        <v>929829.66523749998</v>
      </c>
      <c r="L485" s="311">
        <v>0</v>
      </c>
      <c r="M485" s="311">
        <v>246905.00000000003</v>
      </c>
      <c r="N485" s="311">
        <v>107155.47387500001</v>
      </c>
      <c r="O485" s="311">
        <v>75008.831712500003</v>
      </c>
      <c r="P485" s="68">
        <f>SUM(K485:O485)</f>
        <v>1358898.970825</v>
      </c>
      <c r="Q485" s="68">
        <f>D485*P485</f>
        <v>163067876.49899998</v>
      </c>
      <c r="R485" s="127">
        <f>F485*P485</f>
        <v>163067876.49899998</v>
      </c>
      <c r="S485" s="37"/>
    </row>
    <row r="486" spans="1:19">
      <c r="A486" s="24">
        <v>1.5</v>
      </c>
      <c r="B486" s="72" t="s">
        <v>1376</v>
      </c>
      <c r="C486" s="24"/>
      <c r="D486" s="351"/>
      <c r="E486" s="24"/>
      <c r="F486" s="351"/>
      <c r="G486" s="37"/>
      <c r="H486" s="37"/>
      <c r="I486" s="37"/>
      <c r="J486" s="583"/>
      <c r="K486" s="66"/>
      <c r="L486" s="66"/>
      <c r="M486" s="66"/>
      <c r="N486" s="66"/>
      <c r="O486" s="66"/>
      <c r="P486" s="66"/>
      <c r="Q486" s="66"/>
      <c r="R486" s="66"/>
      <c r="S486" s="37"/>
    </row>
    <row r="487" spans="1:19">
      <c r="A487" s="26"/>
      <c r="B487" s="25" t="s">
        <v>1504</v>
      </c>
      <c r="C487" s="26" t="s">
        <v>1350</v>
      </c>
      <c r="D487" s="351">
        <v>1</v>
      </c>
      <c r="E487" s="26"/>
      <c r="F487" s="351">
        <v>1</v>
      </c>
      <c r="G487" s="351" t="s">
        <v>3162</v>
      </c>
      <c r="H487" s="351"/>
      <c r="I487" s="351" t="s">
        <v>2596</v>
      </c>
      <c r="J487" s="560" t="s">
        <v>2328</v>
      </c>
      <c r="K487" s="311">
        <v>1320286.4407599997</v>
      </c>
      <c r="L487" s="311">
        <v>0</v>
      </c>
      <c r="M487" s="311">
        <v>376968.00000000006</v>
      </c>
      <c r="N487" s="311">
        <v>154487.19639999999</v>
      </c>
      <c r="O487" s="311">
        <v>108141.03747999998</v>
      </c>
      <c r="P487" s="68">
        <f t="shared" ref="P487:P489" si="104">SUM(K487:O487)</f>
        <v>1959882.6746399996</v>
      </c>
      <c r="Q487" s="68">
        <f>D487*P487</f>
        <v>1959882.6746399996</v>
      </c>
      <c r="R487" s="127">
        <f>F487*P487</f>
        <v>1959882.6746399996</v>
      </c>
      <c r="S487" s="37"/>
    </row>
    <row r="488" spans="1:19">
      <c r="A488" s="26"/>
      <c r="B488" s="25" t="s">
        <v>1505</v>
      </c>
      <c r="C488" s="26" t="s">
        <v>1350</v>
      </c>
      <c r="D488" s="351">
        <v>1</v>
      </c>
      <c r="E488" s="26"/>
      <c r="F488" s="351">
        <v>1</v>
      </c>
      <c r="G488" s="351" t="s">
        <v>3162</v>
      </c>
      <c r="H488" s="351"/>
      <c r="I488" s="351" t="s">
        <v>2596</v>
      </c>
      <c r="J488" s="560" t="s">
        <v>2328</v>
      </c>
      <c r="K488" s="311">
        <v>1208644.5726074998</v>
      </c>
      <c r="L488" s="311">
        <v>0</v>
      </c>
      <c r="M488" s="311">
        <v>376968.00000000006</v>
      </c>
      <c r="N488" s="311">
        <v>144244.823175</v>
      </c>
      <c r="O488" s="311">
        <v>100971.3762225</v>
      </c>
      <c r="P488" s="68">
        <f t="shared" si="104"/>
        <v>1830828.7720049997</v>
      </c>
      <c r="Q488" s="68">
        <f>D488*P488</f>
        <v>1830828.7720049997</v>
      </c>
      <c r="R488" s="127">
        <f>F488*P488</f>
        <v>1830828.7720049997</v>
      </c>
      <c r="S488" s="37"/>
    </row>
    <row r="489" spans="1:19">
      <c r="A489" s="26"/>
      <c r="B489" s="25" t="s">
        <v>1337</v>
      </c>
      <c r="C489" s="26" t="s">
        <v>1350</v>
      </c>
      <c r="D489" s="351">
        <v>2</v>
      </c>
      <c r="E489" s="26"/>
      <c r="F489" s="351">
        <v>2</v>
      </c>
      <c r="G489" s="351" t="s">
        <v>3162</v>
      </c>
      <c r="H489" s="351"/>
      <c r="I489" s="351" t="s">
        <v>2596</v>
      </c>
      <c r="J489" s="560" t="s">
        <v>2328</v>
      </c>
      <c r="K489" s="311">
        <v>612574.07655849995</v>
      </c>
      <c r="L489" s="311">
        <v>0</v>
      </c>
      <c r="M489" s="311">
        <v>135035</v>
      </c>
      <c r="N489" s="311">
        <v>68149.456564999986</v>
      </c>
      <c r="O489" s="311">
        <v>47704.6195955</v>
      </c>
      <c r="P489" s="68">
        <f t="shared" si="104"/>
        <v>863463.15271899989</v>
      </c>
      <c r="Q489" s="68">
        <f>D489*P489</f>
        <v>1726926.3054379998</v>
      </c>
      <c r="R489" s="127">
        <f>F489*P489</f>
        <v>1726926.3054379998</v>
      </c>
      <c r="S489" s="36"/>
    </row>
    <row r="490" spans="1:19" ht="57">
      <c r="A490" s="24">
        <v>1.6</v>
      </c>
      <c r="B490" s="72" t="s">
        <v>1377</v>
      </c>
      <c r="C490" s="24"/>
      <c r="D490" s="351"/>
      <c r="E490" s="24"/>
      <c r="F490" s="351"/>
      <c r="G490" s="37"/>
      <c r="H490" s="37"/>
      <c r="I490" s="37"/>
      <c r="J490" s="583"/>
      <c r="K490" s="66"/>
      <c r="L490" s="66"/>
      <c r="M490" s="66"/>
      <c r="N490" s="66"/>
      <c r="O490" s="66"/>
      <c r="P490" s="66"/>
      <c r="Q490" s="66"/>
      <c r="R490" s="66"/>
      <c r="S490" s="37"/>
    </row>
    <row r="491" spans="1:19" ht="45">
      <c r="A491" s="24"/>
      <c r="B491" s="25" t="s">
        <v>1506</v>
      </c>
      <c r="C491" s="26" t="s">
        <v>1350</v>
      </c>
      <c r="D491" s="352">
        <v>1</v>
      </c>
      <c r="E491" s="26"/>
      <c r="F491" s="352">
        <v>1</v>
      </c>
      <c r="G491" s="351" t="s">
        <v>3306</v>
      </c>
      <c r="H491" s="351"/>
      <c r="I491" s="351" t="s">
        <v>2596</v>
      </c>
      <c r="J491" s="560" t="s">
        <v>2328</v>
      </c>
      <c r="K491" s="311">
        <v>5856871.5216424018</v>
      </c>
      <c r="L491" s="311">
        <v>0</v>
      </c>
      <c r="M491" s="311">
        <v>1513917.5000000002</v>
      </c>
      <c r="N491" s="311">
        <v>671302.66253600013</v>
      </c>
      <c r="O491" s="311">
        <v>469911.86377520009</v>
      </c>
      <c r="P491" s="68">
        <f t="shared" ref="P491:P493" si="105">SUM(K491:O491)</f>
        <v>8512003.5479536019</v>
      </c>
      <c r="Q491" s="68">
        <f>D491*P491</f>
        <v>8512003.5479536019</v>
      </c>
      <c r="R491" s="127">
        <f>F491*P491</f>
        <v>8512003.5479536019</v>
      </c>
      <c r="S491" s="37"/>
    </row>
    <row r="492" spans="1:19" ht="45">
      <c r="A492" s="24"/>
      <c r="B492" s="25" t="s">
        <v>1378</v>
      </c>
      <c r="C492" s="26" t="s">
        <v>1350</v>
      </c>
      <c r="D492" s="352">
        <v>14</v>
      </c>
      <c r="E492" s="26"/>
      <c r="F492" s="352">
        <v>14</v>
      </c>
      <c r="G492" s="351" t="s">
        <v>3306</v>
      </c>
      <c r="H492" s="351"/>
      <c r="I492" s="351" t="s">
        <v>2596</v>
      </c>
      <c r="J492" s="560" t="s">
        <v>2328</v>
      </c>
      <c r="K492" s="311">
        <v>6653994.5956456019</v>
      </c>
      <c r="L492" s="311">
        <v>0</v>
      </c>
      <c r="M492" s="311">
        <v>1702910.0000000002</v>
      </c>
      <c r="N492" s="311">
        <v>761158.21978400019</v>
      </c>
      <c r="O492" s="311">
        <v>532810.7538488002</v>
      </c>
      <c r="P492" s="68">
        <f t="shared" si="105"/>
        <v>9650873.5692784023</v>
      </c>
      <c r="Q492" s="68">
        <f>D492*P492</f>
        <v>135112229.96989763</v>
      </c>
      <c r="R492" s="127">
        <f>F492*P492</f>
        <v>135112229.96989763</v>
      </c>
      <c r="S492" s="37"/>
    </row>
    <row r="493" spans="1:19" ht="45">
      <c r="A493" s="24"/>
      <c r="B493" s="25" t="s">
        <v>1380</v>
      </c>
      <c r="C493" s="26" t="s">
        <v>1350</v>
      </c>
      <c r="D493" s="352">
        <v>6</v>
      </c>
      <c r="E493" s="26"/>
      <c r="F493" s="352">
        <v>6</v>
      </c>
      <c r="G493" s="351" t="s">
        <v>3306</v>
      </c>
      <c r="H493" s="351"/>
      <c r="I493" s="351" t="s">
        <v>2596</v>
      </c>
      <c r="J493" s="560" t="s">
        <v>2328</v>
      </c>
      <c r="K493" s="311">
        <v>11628447.486924803</v>
      </c>
      <c r="L493" s="311">
        <v>0</v>
      </c>
      <c r="M493" s="311">
        <v>3377570.0000000005</v>
      </c>
      <c r="N493" s="311">
        <v>1365730.0446720002</v>
      </c>
      <c r="O493" s="311">
        <v>956011.03127040027</v>
      </c>
      <c r="P493" s="68">
        <f t="shared" si="105"/>
        <v>17327758.562867202</v>
      </c>
      <c r="Q493" s="68">
        <f>D493*P493</f>
        <v>103966551.37720321</v>
      </c>
      <c r="R493" s="127">
        <f>F493*P493</f>
        <v>103966551.37720321</v>
      </c>
      <c r="S493" s="37"/>
    </row>
    <row r="494" spans="1:19">
      <c r="A494" s="24">
        <v>1.7</v>
      </c>
      <c r="B494" s="72" t="s">
        <v>1507</v>
      </c>
      <c r="C494" s="24"/>
      <c r="D494" s="351"/>
      <c r="E494" s="24"/>
      <c r="F494" s="351"/>
      <c r="G494" s="38"/>
      <c r="H494" s="38"/>
      <c r="I494" s="38"/>
      <c r="J494" s="585"/>
      <c r="K494" s="65"/>
      <c r="L494" s="65"/>
      <c r="M494" s="65"/>
      <c r="N494" s="65"/>
      <c r="O494" s="65"/>
      <c r="P494" s="65"/>
      <c r="Q494" s="65"/>
      <c r="R494" s="65"/>
      <c r="S494" s="38"/>
    </row>
    <row r="495" spans="1:19" ht="30">
      <c r="A495" s="24"/>
      <c r="B495" s="25" t="s">
        <v>1508</v>
      </c>
      <c r="C495" s="26" t="s">
        <v>1350</v>
      </c>
      <c r="D495" s="351">
        <v>1</v>
      </c>
      <c r="E495" s="24"/>
      <c r="F495" s="351">
        <v>1</v>
      </c>
      <c r="G495" s="351" t="s">
        <v>3351</v>
      </c>
      <c r="H495" s="351"/>
      <c r="I495" s="351" t="s">
        <v>2596</v>
      </c>
      <c r="J495" s="560" t="s">
        <v>2328</v>
      </c>
      <c r="K495" s="311">
        <v>6766712.8670400009</v>
      </c>
      <c r="L495" s="311">
        <v>0</v>
      </c>
      <c r="M495" s="311">
        <v>288828.00000000006</v>
      </c>
      <c r="N495" s="311">
        <v>646359.34560000012</v>
      </c>
      <c r="O495" s="311">
        <v>452451.54192000005</v>
      </c>
      <c r="P495" s="68">
        <f t="shared" ref="P495:P498" si="106">SUM(K495:O495)</f>
        <v>8154351.7545600003</v>
      </c>
      <c r="Q495" s="68">
        <f>D495*P495</f>
        <v>8154351.7545600003</v>
      </c>
      <c r="R495" s="127">
        <f>F495*P495</f>
        <v>8154351.7545600003</v>
      </c>
      <c r="S495" s="36"/>
    </row>
    <row r="496" spans="1:19" ht="30">
      <c r="A496" s="24"/>
      <c r="B496" s="25" t="s">
        <v>1509</v>
      </c>
      <c r="C496" s="26" t="s">
        <v>1350</v>
      </c>
      <c r="D496" s="351">
        <v>1</v>
      </c>
      <c r="E496" s="24"/>
      <c r="F496" s="351">
        <v>1</v>
      </c>
      <c r="G496" s="351" t="s">
        <v>3351</v>
      </c>
      <c r="H496" s="351"/>
      <c r="I496" s="351" t="s">
        <v>2596</v>
      </c>
      <c r="J496" s="560" t="s">
        <v>2328</v>
      </c>
      <c r="K496" s="311">
        <v>8336892.5203200011</v>
      </c>
      <c r="L496" s="311">
        <v>0</v>
      </c>
      <c r="M496" s="311">
        <v>487143.00000000006</v>
      </c>
      <c r="N496" s="311">
        <v>807962.52480000013</v>
      </c>
      <c r="O496" s="311">
        <v>565573.76736000006</v>
      </c>
      <c r="P496" s="68">
        <f t="shared" si="106"/>
        <v>10197571.812480003</v>
      </c>
      <c r="Q496" s="68">
        <f>D496*P496</f>
        <v>10197571.812480003</v>
      </c>
      <c r="R496" s="127">
        <f>F496*P496</f>
        <v>10197571.812480003</v>
      </c>
      <c r="S496" s="15"/>
    </row>
    <row r="497" spans="1:19" ht="30">
      <c r="A497" s="24"/>
      <c r="B497" s="25" t="s">
        <v>1346</v>
      </c>
      <c r="C497" s="26" t="s">
        <v>1350</v>
      </c>
      <c r="D497" s="351">
        <v>1</v>
      </c>
      <c r="E497" s="24"/>
      <c r="F497" s="351">
        <v>1</v>
      </c>
      <c r="G497" s="351" t="s">
        <v>3351</v>
      </c>
      <c r="H497" s="351"/>
      <c r="I497" s="351" t="s">
        <v>2596</v>
      </c>
      <c r="J497" s="560" t="s">
        <v>2328</v>
      </c>
      <c r="K497" s="311">
        <v>7759918.3905599993</v>
      </c>
      <c r="L497" s="311">
        <v>0</v>
      </c>
      <c r="M497" s="311">
        <v>381714.00000000006</v>
      </c>
      <c r="N497" s="311">
        <v>745699.11839999992</v>
      </c>
      <c r="O497" s="311">
        <v>521989.38287999993</v>
      </c>
      <c r="P497" s="68">
        <f t="shared" si="106"/>
        <v>9409320.8918399997</v>
      </c>
      <c r="Q497" s="68">
        <f>D497*P497</f>
        <v>9409320.8918399997</v>
      </c>
      <c r="R497" s="127">
        <f>F497*P497</f>
        <v>9409320.8918399997</v>
      </c>
      <c r="S497" s="18"/>
    </row>
    <row r="498" spans="1:19" s="84" customFormat="1" ht="30">
      <c r="A498" s="30"/>
      <c r="B498" s="29" t="s">
        <v>1510</v>
      </c>
      <c r="C498" s="30" t="s">
        <v>1350</v>
      </c>
      <c r="D498" s="352">
        <v>2</v>
      </c>
      <c r="E498" s="30"/>
      <c r="F498" s="352">
        <v>2</v>
      </c>
      <c r="G498" s="351" t="s">
        <v>3351</v>
      </c>
      <c r="H498" s="351"/>
      <c r="I498" s="351" t="s">
        <v>2596</v>
      </c>
      <c r="J498" s="560" t="s">
        <v>2328</v>
      </c>
      <c r="K498" s="311">
        <v>7978203.1378000006</v>
      </c>
      <c r="L498" s="311">
        <v>0</v>
      </c>
      <c r="M498" s="311">
        <v>381714.00000000006</v>
      </c>
      <c r="N498" s="311">
        <v>765725.24200000009</v>
      </c>
      <c r="O498" s="311">
        <v>536007.66940000001</v>
      </c>
      <c r="P498" s="68">
        <f t="shared" si="106"/>
        <v>9661650.0492000021</v>
      </c>
      <c r="Q498" s="68">
        <f>D498*P498</f>
        <v>19323300.098400004</v>
      </c>
      <c r="R498" s="127">
        <f>F498*P498</f>
        <v>19323300.098400004</v>
      </c>
      <c r="S498" s="15"/>
    </row>
    <row r="499" spans="1:19">
      <c r="A499" s="24">
        <v>1.8</v>
      </c>
      <c r="B499" s="72" t="s">
        <v>1371</v>
      </c>
      <c r="C499" s="24"/>
      <c r="D499" s="351"/>
      <c r="E499" s="24"/>
      <c r="F499" s="351"/>
      <c r="G499" s="15"/>
      <c r="H499" s="15"/>
      <c r="I499" s="15"/>
      <c r="J499" s="572"/>
      <c r="K499" s="66"/>
      <c r="L499" s="66"/>
      <c r="M499" s="66"/>
      <c r="N499" s="66"/>
      <c r="O499" s="66"/>
      <c r="P499" s="66"/>
      <c r="Q499" s="66"/>
      <c r="R499" s="66"/>
      <c r="S499" s="15"/>
    </row>
    <row r="500" spans="1:19">
      <c r="A500" s="24"/>
      <c r="B500" s="25" t="s">
        <v>1346</v>
      </c>
      <c r="C500" s="26" t="s">
        <v>1350</v>
      </c>
      <c r="D500" s="352">
        <v>2</v>
      </c>
      <c r="E500" s="24"/>
      <c r="F500" s="352">
        <v>2</v>
      </c>
      <c r="G500" s="351" t="s">
        <v>3162</v>
      </c>
      <c r="H500" s="351"/>
      <c r="I500" s="351" t="s">
        <v>2596</v>
      </c>
      <c r="J500" s="560" t="s">
        <v>2328</v>
      </c>
      <c r="K500" s="311">
        <v>1140688.6528624999</v>
      </c>
      <c r="L500" s="311">
        <v>0</v>
      </c>
      <c r="M500" s="311">
        <v>295947.00000000006</v>
      </c>
      <c r="N500" s="311">
        <v>130840.33512499998</v>
      </c>
      <c r="O500" s="311">
        <v>91588.234587500003</v>
      </c>
      <c r="P500" s="68">
        <f t="shared" ref="P500:P503" si="107">SUM(K500:O500)</f>
        <v>1659064.222575</v>
      </c>
      <c r="Q500" s="68">
        <f>D500*P500</f>
        <v>3318128.44515</v>
      </c>
      <c r="R500" s="127">
        <f>F500*P500</f>
        <v>3318128.44515</v>
      </c>
      <c r="S500" s="15"/>
    </row>
    <row r="501" spans="1:19">
      <c r="A501" s="24"/>
      <c r="B501" s="25" t="s">
        <v>1510</v>
      </c>
      <c r="C501" s="26" t="s">
        <v>1350</v>
      </c>
      <c r="D501" s="352">
        <v>2</v>
      </c>
      <c r="E501" s="24"/>
      <c r="F501" s="352">
        <v>2</v>
      </c>
      <c r="G501" s="351" t="s">
        <v>3162</v>
      </c>
      <c r="H501" s="351"/>
      <c r="I501" s="351" t="s">
        <v>2596</v>
      </c>
      <c r="J501" s="560" t="s">
        <v>2328</v>
      </c>
      <c r="K501" s="311">
        <v>1227089.750824</v>
      </c>
      <c r="L501" s="311">
        <v>0</v>
      </c>
      <c r="M501" s="311">
        <v>295947.00000000006</v>
      </c>
      <c r="N501" s="311">
        <v>138767.04136</v>
      </c>
      <c r="O501" s="311">
        <v>97136.928952000002</v>
      </c>
      <c r="P501" s="68">
        <f t="shared" si="107"/>
        <v>1758940.721136</v>
      </c>
      <c r="Q501" s="68">
        <f>D501*P501</f>
        <v>3517881.442272</v>
      </c>
      <c r="R501" s="127">
        <f>F501*P501</f>
        <v>3517881.442272</v>
      </c>
      <c r="S501" s="15"/>
    </row>
    <row r="502" spans="1:19">
      <c r="A502" s="73">
        <v>1.9</v>
      </c>
      <c r="B502" s="72" t="s">
        <v>1482</v>
      </c>
      <c r="C502" s="26" t="s">
        <v>1350</v>
      </c>
      <c r="D502" s="351">
        <v>12</v>
      </c>
      <c r="E502" s="24"/>
      <c r="F502" s="351">
        <v>12</v>
      </c>
      <c r="G502" s="351" t="s">
        <v>3307</v>
      </c>
      <c r="H502" s="351"/>
      <c r="I502" s="351" t="s">
        <v>2596</v>
      </c>
      <c r="J502" s="560" t="s">
        <v>2328</v>
      </c>
      <c r="K502" s="311">
        <v>645936.67044549994</v>
      </c>
      <c r="L502" s="311">
        <v>0</v>
      </c>
      <c r="M502" s="311">
        <v>147391.55000000002</v>
      </c>
      <c r="N502" s="311">
        <v>72303.744995000001</v>
      </c>
      <c r="O502" s="311">
        <v>50612.621496499996</v>
      </c>
      <c r="P502" s="68">
        <f t="shared" si="107"/>
        <v>916244.58693699993</v>
      </c>
      <c r="Q502" s="68">
        <f>D502*P502</f>
        <v>10994935.043243999</v>
      </c>
      <c r="R502" s="127">
        <f>F502*P502</f>
        <v>10994935.043243999</v>
      </c>
      <c r="S502" s="15"/>
    </row>
    <row r="503" spans="1:19">
      <c r="A503" s="73">
        <v>1.1000000000000001</v>
      </c>
      <c r="B503" s="72" t="s">
        <v>1408</v>
      </c>
      <c r="C503" s="26" t="s">
        <v>78</v>
      </c>
      <c r="D503" s="351">
        <v>1</v>
      </c>
      <c r="E503" s="24"/>
      <c r="F503" s="351">
        <v>1</v>
      </c>
      <c r="G503" s="351"/>
      <c r="H503" s="351"/>
      <c r="I503" s="351"/>
      <c r="J503" s="560" t="s">
        <v>2381</v>
      </c>
      <c r="K503" s="311">
        <v>137001437.04444543</v>
      </c>
      <c r="L503" s="311">
        <v>0</v>
      </c>
      <c r="M503" s="311">
        <v>59713442.750000015</v>
      </c>
      <c r="N503" s="311">
        <v>16670752.524953002</v>
      </c>
      <c r="O503" s="311">
        <v>11669526.767467102</v>
      </c>
      <c r="P503" s="68">
        <f t="shared" si="107"/>
        <v>225055159.08686557</v>
      </c>
      <c r="Q503" s="68">
        <f>D503*P503</f>
        <v>225055159.08686557</v>
      </c>
      <c r="R503" s="127">
        <f>F503*P503</f>
        <v>225055159.08686557</v>
      </c>
      <c r="S503" s="37"/>
    </row>
    <row r="504" spans="1:19" s="83" customFormat="1" ht="28.5">
      <c r="A504" s="28">
        <v>1.1100000000000001</v>
      </c>
      <c r="B504" s="82" t="s">
        <v>2127</v>
      </c>
      <c r="C504" s="28"/>
      <c r="D504" s="352"/>
      <c r="E504" s="28"/>
      <c r="F504" s="352"/>
      <c r="G504" s="18"/>
      <c r="H504" s="18"/>
      <c r="I504" s="18"/>
      <c r="J504" s="587"/>
      <c r="K504" s="65"/>
      <c r="L504" s="65"/>
      <c r="M504" s="65"/>
      <c r="N504" s="65"/>
      <c r="O504" s="65"/>
      <c r="P504" s="65"/>
      <c r="Q504" s="65"/>
      <c r="R504" s="65"/>
      <c r="S504" s="18"/>
    </row>
    <row r="505" spans="1:19" s="84" customFormat="1">
      <c r="A505" s="30"/>
      <c r="B505" s="29" t="s">
        <v>1449</v>
      </c>
      <c r="C505" s="30" t="s">
        <v>117</v>
      </c>
      <c r="D505" s="352">
        <v>7</v>
      </c>
      <c r="E505" s="30"/>
      <c r="F505" s="352">
        <v>7</v>
      </c>
      <c r="G505" s="351" t="s">
        <v>3309</v>
      </c>
      <c r="H505" s="351"/>
      <c r="I505" s="351" t="s">
        <v>2596</v>
      </c>
      <c r="J505" s="560" t="s">
        <v>2328</v>
      </c>
      <c r="K505" s="311">
        <v>1305022.0764000001</v>
      </c>
      <c r="L505" s="311">
        <v>0</v>
      </c>
      <c r="M505" s="311">
        <v>538633.33333333337</v>
      </c>
      <c r="N505" s="311">
        <v>167393.46266666669</v>
      </c>
      <c r="O505" s="311">
        <v>117175.42386666668</v>
      </c>
      <c r="P505" s="68">
        <f t="shared" ref="P505:P515" si="108">SUM(K505:O505)</f>
        <v>2128224.2962666671</v>
      </c>
      <c r="Q505" s="68">
        <f t="shared" ref="Q505:Q515" si="109">D505*P505</f>
        <v>14897570.073866669</v>
      </c>
      <c r="R505" s="127">
        <f t="shared" ref="R505:R515" si="110">F505*P505</f>
        <v>14897570.073866669</v>
      </c>
      <c r="S505" s="15"/>
    </row>
    <row r="506" spans="1:19" s="84" customFormat="1">
      <c r="A506" s="30"/>
      <c r="B506" s="29" t="s">
        <v>1417</v>
      </c>
      <c r="C506" s="30" t="s">
        <v>117</v>
      </c>
      <c r="D506" s="352">
        <v>8</v>
      </c>
      <c r="E506" s="30"/>
      <c r="F506" s="352">
        <v>8</v>
      </c>
      <c r="G506" s="351" t="s">
        <v>3309</v>
      </c>
      <c r="H506" s="351"/>
      <c r="I506" s="351" t="s">
        <v>2596</v>
      </c>
      <c r="J506" s="560" t="s">
        <v>2328</v>
      </c>
      <c r="K506" s="311">
        <v>1555956.1430000002</v>
      </c>
      <c r="L506" s="311">
        <v>0</v>
      </c>
      <c r="M506" s="311">
        <v>642216.66666666674</v>
      </c>
      <c r="N506" s="311">
        <v>199581.60333333333</v>
      </c>
      <c r="O506" s="311">
        <v>139707.12233333333</v>
      </c>
      <c r="P506" s="68">
        <f t="shared" si="108"/>
        <v>2537461.535333334</v>
      </c>
      <c r="Q506" s="68">
        <f t="shared" si="109"/>
        <v>20299692.282666672</v>
      </c>
      <c r="R506" s="127">
        <f t="shared" si="110"/>
        <v>20299692.282666672</v>
      </c>
      <c r="S506" s="15"/>
    </row>
    <row r="507" spans="1:19" s="84" customFormat="1">
      <c r="A507" s="30"/>
      <c r="B507" s="29" t="s">
        <v>1454</v>
      </c>
      <c r="C507" s="30" t="s">
        <v>117</v>
      </c>
      <c r="D507" s="352">
        <v>5</v>
      </c>
      <c r="E507" s="30"/>
      <c r="F507" s="352">
        <v>5</v>
      </c>
      <c r="G507" s="351" t="s">
        <v>3309</v>
      </c>
      <c r="H507" s="351"/>
      <c r="I507" s="351" t="s">
        <v>2596</v>
      </c>
      <c r="J507" s="560" t="s">
        <v>2328</v>
      </c>
      <c r="K507" s="311">
        <v>1505604.3996000001</v>
      </c>
      <c r="L507" s="311">
        <v>0</v>
      </c>
      <c r="M507" s="311">
        <v>621500.00000000012</v>
      </c>
      <c r="N507" s="311">
        <v>193128.84400000001</v>
      </c>
      <c r="O507" s="311">
        <v>135190.19080000001</v>
      </c>
      <c r="P507" s="68">
        <f t="shared" si="108"/>
        <v>2455423.4344000001</v>
      </c>
      <c r="Q507" s="68">
        <f t="shared" si="109"/>
        <v>12277117.172</v>
      </c>
      <c r="R507" s="127">
        <f t="shared" si="110"/>
        <v>12277117.172</v>
      </c>
      <c r="S507" s="37"/>
    </row>
    <row r="508" spans="1:19" s="84" customFormat="1">
      <c r="A508" s="30"/>
      <c r="B508" s="29" t="s">
        <v>1386</v>
      </c>
      <c r="C508" s="30" t="s">
        <v>117</v>
      </c>
      <c r="D508" s="352">
        <v>6</v>
      </c>
      <c r="E508" s="30"/>
      <c r="F508" s="352">
        <v>6</v>
      </c>
      <c r="G508" s="351" t="s">
        <v>3309</v>
      </c>
      <c r="H508" s="351"/>
      <c r="I508" s="351" t="s">
        <v>2596</v>
      </c>
      <c r="J508" s="560" t="s">
        <v>2328</v>
      </c>
      <c r="K508" s="311">
        <v>1305022.0764000001</v>
      </c>
      <c r="L508" s="311">
        <v>0</v>
      </c>
      <c r="M508" s="311">
        <v>538633.33333333337</v>
      </c>
      <c r="N508" s="311">
        <v>167393.46266666669</v>
      </c>
      <c r="O508" s="311">
        <v>117175.42386666668</v>
      </c>
      <c r="P508" s="68">
        <f t="shared" si="108"/>
        <v>2128224.2962666671</v>
      </c>
      <c r="Q508" s="68">
        <f t="shared" si="109"/>
        <v>12769345.777600002</v>
      </c>
      <c r="R508" s="127">
        <f t="shared" si="110"/>
        <v>12769345.777600002</v>
      </c>
      <c r="S508" s="37"/>
    </row>
    <row r="509" spans="1:19" s="84" customFormat="1">
      <c r="A509" s="30"/>
      <c r="B509" s="29" t="s">
        <v>1455</v>
      </c>
      <c r="C509" s="30" t="s">
        <v>117</v>
      </c>
      <c r="D509" s="352">
        <v>38</v>
      </c>
      <c r="E509" s="30"/>
      <c r="F509" s="352">
        <v>38</v>
      </c>
      <c r="G509" s="351" t="s">
        <v>3309</v>
      </c>
      <c r="H509" s="351"/>
      <c r="I509" s="351" t="s">
        <v>2596</v>
      </c>
      <c r="J509" s="560" t="s">
        <v>2328</v>
      </c>
      <c r="K509" s="311">
        <v>1505604.3996000001</v>
      </c>
      <c r="L509" s="311">
        <v>0</v>
      </c>
      <c r="M509" s="311">
        <v>621500.00000000012</v>
      </c>
      <c r="N509" s="311">
        <v>193128.84400000001</v>
      </c>
      <c r="O509" s="311">
        <v>135190.19080000001</v>
      </c>
      <c r="P509" s="68">
        <f t="shared" si="108"/>
        <v>2455423.4344000001</v>
      </c>
      <c r="Q509" s="68">
        <f t="shared" si="109"/>
        <v>93306090.507200003</v>
      </c>
      <c r="R509" s="127">
        <f t="shared" si="110"/>
        <v>93306090.507200003</v>
      </c>
      <c r="S509" s="39"/>
    </row>
    <row r="510" spans="1:19" s="84" customFormat="1">
      <c r="A510" s="30"/>
      <c r="B510" s="29" t="s">
        <v>1420</v>
      </c>
      <c r="C510" s="30" t="s">
        <v>117</v>
      </c>
      <c r="D510" s="352">
        <v>6</v>
      </c>
      <c r="E510" s="30"/>
      <c r="F510" s="352">
        <v>6</v>
      </c>
      <c r="G510" s="351" t="s">
        <v>3309</v>
      </c>
      <c r="H510" s="351"/>
      <c r="I510" s="351" t="s">
        <v>2596</v>
      </c>
      <c r="J510" s="560" t="s">
        <v>2328</v>
      </c>
      <c r="K510" s="311">
        <v>1606307.8864000002</v>
      </c>
      <c r="L510" s="311">
        <v>0</v>
      </c>
      <c r="M510" s="311">
        <v>662933.33333333349</v>
      </c>
      <c r="N510" s="311">
        <v>206034.36266666668</v>
      </c>
      <c r="O510" s="311">
        <v>144224.05386666668</v>
      </c>
      <c r="P510" s="68">
        <f t="shared" si="108"/>
        <v>2619499.6362666669</v>
      </c>
      <c r="Q510" s="68">
        <f t="shared" si="109"/>
        <v>15716997.817600001</v>
      </c>
      <c r="R510" s="127">
        <f t="shared" si="110"/>
        <v>15716997.817600001</v>
      </c>
      <c r="S510" s="36"/>
    </row>
    <row r="511" spans="1:19" s="84" customFormat="1">
      <c r="A511" s="30"/>
      <c r="B511" s="29" t="s">
        <v>2128</v>
      </c>
      <c r="C511" s="30" t="s">
        <v>117</v>
      </c>
      <c r="D511" s="352">
        <v>5</v>
      </c>
      <c r="E511" s="30"/>
      <c r="F511" s="352">
        <v>5</v>
      </c>
      <c r="G511" s="351" t="s">
        <v>3309</v>
      </c>
      <c r="H511" s="351"/>
      <c r="I511" s="351" t="s">
        <v>2596</v>
      </c>
      <c r="J511" s="560" t="s">
        <v>2328</v>
      </c>
      <c r="K511" s="311">
        <v>2108176.0196000002</v>
      </c>
      <c r="L511" s="311">
        <v>0</v>
      </c>
      <c r="M511" s="311">
        <v>870100.00000000012</v>
      </c>
      <c r="N511" s="311">
        <v>270410.64400000003</v>
      </c>
      <c r="O511" s="311">
        <v>189287.45080000002</v>
      </c>
      <c r="P511" s="68">
        <f t="shared" si="108"/>
        <v>3437974.1144000003</v>
      </c>
      <c r="Q511" s="68">
        <f t="shared" si="109"/>
        <v>17189870.572000001</v>
      </c>
      <c r="R511" s="127">
        <f t="shared" si="110"/>
        <v>17189870.572000001</v>
      </c>
      <c r="S511" s="15"/>
    </row>
    <row r="512" spans="1:19" s="84" customFormat="1">
      <c r="A512" s="30"/>
      <c r="B512" s="29" t="s">
        <v>1373</v>
      </c>
      <c r="C512" s="30" t="s">
        <v>117</v>
      </c>
      <c r="D512" s="352">
        <v>5</v>
      </c>
      <c r="E512" s="30"/>
      <c r="F512" s="352">
        <v>5</v>
      </c>
      <c r="G512" s="351" t="s">
        <v>3309</v>
      </c>
      <c r="H512" s="351"/>
      <c r="I512" s="351" t="s">
        <v>2596</v>
      </c>
      <c r="J512" s="560" t="s">
        <v>2328</v>
      </c>
      <c r="K512" s="311">
        <v>1706186.7228000001</v>
      </c>
      <c r="L512" s="311">
        <v>0</v>
      </c>
      <c r="M512" s="311">
        <v>704366.66666666674</v>
      </c>
      <c r="N512" s="311">
        <v>218864.22533333336</v>
      </c>
      <c r="O512" s="311">
        <v>153204.95773333334</v>
      </c>
      <c r="P512" s="68">
        <f t="shared" si="108"/>
        <v>2782622.5725333337</v>
      </c>
      <c r="Q512" s="68">
        <f t="shared" si="109"/>
        <v>13913112.862666668</v>
      </c>
      <c r="R512" s="127">
        <f t="shared" si="110"/>
        <v>13913112.862666668</v>
      </c>
      <c r="S512" s="18"/>
    </row>
    <row r="513" spans="1:19" s="84" customFormat="1">
      <c r="A513" s="30"/>
      <c r="B513" s="29" t="s">
        <v>2129</v>
      </c>
      <c r="C513" s="30" t="s">
        <v>117</v>
      </c>
      <c r="D513" s="352">
        <v>4</v>
      </c>
      <c r="E513" s="30"/>
      <c r="F513" s="352">
        <v>4</v>
      </c>
      <c r="G513" s="351" t="s">
        <v>3309</v>
      </c>
      <c r="H513" s="351"/>
      <c r="I513" s="351" t="s">
        <v>2596</v>
      </c>
      <c r="J513" s="560" t="s">
        <v>2328</v>
      </c>
      <c r="K513" s="311">
        <v>1727550.7228000001</v>
      </c>
      <c r="L513" s="311">
        <v>0</v>
      </c>
      <c r="M513" s="311">
        <v>704366.66666666674</v>
      </c>
      <c r="N513" s="311">
        <v>220824.22533333336</v>
      </c>
      <c r="O513" s="311">
        <v>154576.95773333334</v>
      </c>
      <c r="P513" s="68">
        <f t="shared" si="108"/>
        <v>2807318.5725333337</v>
      </c>
      <c r="Q513" s="68">
        <f t="shared" si="109"/>
        <v>11229274.290133335</v>
      </c>
      <c r="R513" s="127">
        <f t="shared" si="110"/>
        <v>11229274.290133335</v>
      </c>
      <c r="S513" s="15"/>
    </row>
    <row r="514" spans="1:19" s="84" customFormat="1">
      <c r="A514" s="30"/>
      <c r="B514" s="29" t="s">
        <v>1374</v>
      </c>
      <c r="C514" s="30" t="s">
        <v>117</v>
      </c>
      <c r="D514" s="352">
        <v>22</v>
      </c>
      <c r="E514" s="30"/>
      <c r="F514" s="352">
        <v>22</v>
      </c>
      <c r="G514" s="351" t="s">
        <v>3309</v>
      </c>
      <c r="H514" s="351"/>
      <c r="I514" s="351" t="s">
        <v>2596</v>
      </c>
      <c r="J514" s="560" t="s">
        <v>2328</v>
      </c>
      <c r="K514" s="311">
        <v>2250782.8560000001</v>
      </c>
      <c r="L514" s="311">
        <v>0</v>
      </c>
      <c r="M514" s="311">
        <v>911533.33333333349</v>
      </c>
      <c r="N514" s="311">
        <v>287160.50666666665</v>
      </c>
      <c r="O514" s="311">
        <v>201012.35466666668</v>
      </c>
      <c r="P514" s="68">
        <f t="shared" si="108"/>
        <v>3650489.0506666671</v>
      </c>
      <c r="Q514" s="68">
        <f t="shared" si="109"/>
        <v>80310759.114666671</v>
      </c>
      <c r="R514" s="127">
        <f t="shared" si="110"/>
        <v>80310759.114666671</v>
      </c>
      <c r="S514" s="15"/>
    </row>
    <row r="515" spans="1:19" s="84" customFormat="1">
      <c r="A515" s="30"/>
      <c r="B515" s="29" t="s">
        <v>1421</v>
      </c>
      <c r="C515" s="30" t="s">
        <v>117</v>
      </c>
      <c r="D515" s="352">
        <v>23</v>
      </c>
      <c r="E515" s="30"/>
      <c r="F515" s="352">
        <v>23</v>
      </c>
      <c r="G515" s="351" t="s">
        <v>3309</v>
      </c>
      <c r="H515" s="351"/>
      <c r="I515" s="351" t="s">
        <v>2596</v>
      </c>
      <c r="J515" s="560" t="s">
        <v>2328</v>
      </c>
      <c r="K515" s="311">
        <v>1777902.4662000001</v>
      </c>
      <c r="L515" s="311">
        <v>0</v>
      </c>
      <c r="M515" s="311">
        <v>725083.33333333349</v>
      </c>
      <c r="N515" s="311">
        <v>227276.98466666669</v>
      </c>
      <c r="O515" s="311">
        <v>159093.88926666669</v>
      </c>
      <c r="P515" s="68">
        <f t="shared" si="108"/>
        <v>2889356.6734666666</v>
      </c>
      <c r="Q515" s="68">
        <f t="shared" si="109"/>
        <v>66455203.489733331</v>
      </c>
      <c r="R515" s="127">
        <f t="shared" si="110"/>
        <v>66455203.489733331</v>
      </c>
      <c r="S515" s="15"/>
    </row>
    <row r="516" spans="1:19" s="84" customFormat="1">
      <c r="A516" s="28">
        <v>1.1200000000000001</v>
      </c>
      <c r="B516" s="82" t="s">
        <v>2130</v>
      </c>
      <c r="C516" s="30"/>
      <c r="D516" s="352"/>
      <c r="E516" s="30"/>
      <c r="F516" s="352"/>
      <c r="G516" s="203"/>
      <c r="H516" s="203"/>
      <c r="I516" s="203"/>
      <c r="J516" s="588"/>
      <c r="K516" s="127"/>
      <c r="L516" s="127"/>
      <c r="M516" s="127"/>
      <c r="N516" s="127"/>
      <c r="O516" s="127"/>
      <c r="P516" s="127"/>
      <c r="Q516" s="127"/>
      <c r="R516" s="127"/>
      <c r="S516" s="203"/>
    </row>
    <row r="517" spans="1:19" s="84" customFormat="1">
      <c r="A517" s="30"/>
      <c r="B517" s="29" t="s">
        <v>2131</v>
      </c>
      <c r="C517" s="30" t="s">
        <v>1350</v>
      </c>
      <c r="D517" s="352">
        <v>1</v>
      </c>
      <c r="E517" s="30"/>
      <c r="F517" s="352">
        <v>1</v>
      </c>
      <c r="G517" s="351" t="s">
        <v>3162</v>
      </c>
      <c r="H517" s="18"/>
      <c r="I517" s="351" t="s">
        <v>2596</v>
      </c>
      <c r="J517" s="560" t="s">
        <v>2328</v>
      </c>
      <c r="K517" s="311">
        <v>2073992.5514</v>
      </c>
      <c r="L517" s="311">
        <v>0</v>
      </c>
      <c r="M517" s="311">
        <v>2585440.0000000005</v>
      </c>
      <c r="N517" s="311">
        <v>419074.54600000003</v>
      </c>
      <c r="O517" s="311">
        <v>293352.18220000004</v>
      </c>
      <c r="P517" s="68">
        <f t="shared" ref="P517:P518" si="111">SUM(K517:O517)</f>
        <v>5371859.2796</v>
      </c>
      <c r="Q517" s="68">
        <f>D517*P517</f>
        <v>5371859.2796</v>
      </c>
      <c r="R517" s="127">
        <f>F517*P517</f>
        <v>5371859.2796</v>
      </c>
      <c r="S517" s="18"/>
    </row>
    <row r="518" spans="1:19" s="84" customFormat="1">
      <c r="A518" s="30"/>
      <c r="B518" s="29" t="s">
        <v>2132</v>
      </c>
      <c r="C518" s="30" t="s">
        <v>1350</v>
      </c>
      <c r="D518" s="352">
        <v>2</v>
      </c>
      <c r="E518" s="30"/>
      <c r="F518" s="352">
        <v>2</v>
      </c>
      <c r="G518" s="351" t="s">
        <v>3304</v>
      </c>
      <c r="H518" s="15"/>
      <c r="I518" s="351" t="s">
        <v>2596</v>
      </c>
      <c r="J518" s="560" t="s">
        <v>2328</v>
      </c>
      <c r="K518" s="311">
        <v>699148.65020000003</v>
      </c>
      <c r="L518" s="311">
        <v>0</v>
      </c>
      <c r="M518" s="311">
        <v>462687.91666666674</v>
      </c>
      <c r="N518" s="311">
        <v>105087.91133333334</v>
      </c>
      <c r="O518" s="311">
        <v>73561.53793333334</v>
      </c>
      <c r="P518" s="68">
        <f t="shared" si="111"/>
        <v>1340486.0161333333</v>
      </c>
      <c r="Q518" s="68">
        <f>D518*P518</f>
        <v>2680972.0322666666</v>
      </c>
      <c r="R518" s="127">
        <f>F518*P518</f>
        <v>2680972.0322666666</v>
      </c>
      <c r="S518" s="15"/>
    </row>
    <row r="519" spans="1:19" s="538" customFormat="1" ht="28.5">
      <c r="A519" s="215" t="s">
        <v>2229</v>
      </c>
      <c r="B519" s="544" t="s">
        <v>2230</v>
      </c>
      <c r="C519" s="24"/>
      <c r="D519" s="351"/>
      <c r="E519" s="24"/>
      <c r="F519" s="351"/>
      <c r="G519" s="37"/>
      <c r="H519" s="37"/>
      <c r="I519" s="37"/>
      <c r="J519" s="583"/>
      <c r="K519" s="66"/>
      <c r="L519" s="66"/>
      <c r="M519" s="66"/>
      <c r="N519" s="66"/>
      <c r="O519" s="66"/>
      <c r="P519" s="66"/>
      <c r="Q519" s="66"/>
      <c r="R519" s="66"/>
      <c r="S519" s="37"/>
    </row>
    <row r="520" spans="1:19">
      <c r="A520" s="24">
        <v>2.1</v>
      </c>
      <c r="B520" s="27" t="s">
        <v>1483</v>
      </c>
      <c r="C520" s="24"/>
      <c r="D520" s="351"/>
      <c r="E520" s="24"/>
      <c r="F520" s="351"/>
      <c r="G520" s="37"/>
      <c r="H520" s="37"/>
      <c r="I520" s="37"/>
      <c r="J520" s="583"/>
      <c r="K520" s="66"/>
      <c r="L520" s="66"/>
      <c r="M520" s="66"/>
      <c r="N520" s="66"/>
      <c r="O520" s="66"/>
      <c r="P520" s="66"/>
      <c r="Q520" s="66"/>
      <c r="R520" s="66"/>
      <c r="S520" s="37"/>
    </row>
    <row r="521" spans="1:19">
      <c r="A521" s="24"/>
      <c r="B521" s="25" t="s">
        <v>1511</v>
      </c>
      <c r="C521" s="26" t="s">
        <v>1336</v>
      </c>
      <c r="D521" s="351">
        <v>8</v>
      </c>
      <c r="E521" s="24"/>
      <c r="F521" s="351">
        <v>8</v>
      </c>
      <c r="G521" s="351" t="s">
        <v>3310</v>
      </c>
      <c r="H521" s="351"/>
      <c r="I521" s="351" t="s">
        <v>2596</v>
      </c>
      <c r="J521" s="560" t="s">
        <v>2328</v>
      </c>
      <c r="K521" s="311">
        <v>89728.8</v>
      </c>
      <c r="L521" s="311">
        <v>0</v>
      </c>
      <c r="M521" s="311">
        <v>42874.083333333343</v>
      </c>
      <c r="N521" s="311">
        <v>12026.166666666668</v>
      </c>
      <c r="O521" s="311">
        <v>8418.3166666666675</v>
      </c>
      <c r="P521" s="68">
        <f t="shared" ref="P521:P550" si="112">SUM(K521:O521)</f>
        <v>153047.3666666667</v>
      </c>
      <c r="Q521" s="68">
        <f t="shared" ref="Q521:Q550" si="113">D521*P521</f>
        <v>1224378.9333333336</v>
      </c>
      <c r="R521" s="127">
        <f t="shared" ref="R521:R550" si="114">F521*P521</f>
        <v>1224378.9333333336</v>
      </c>
      <c r="S521" s="37"/>
    </row>
    <row r="522" spans="1:19">
      <c r="A522" s="26"/>
      <c r="B522" s="25" t="s">
        <v>1512</v>
      </c>
      <c r="C522" s="26" t="s">
        <v>1336</v>
      </c>
      <c r="D522" s="351">
        <v>17</v>
      </c>
      <c r="E522" s="26"/>
      <c r="F522" s="351">
        <v>17</v>
      </c>
      <c r="G522" s="351" t="s">
        <v>3310</v>
      </c>
      <c r="H522" s="351"/>
      <c r="I522" s="351" t="s">
        <v>2596</v>
      </c>
      <c r="J522" s="560" t="s">
        <v>2328</v>
      </c>
      <c r="K522" s="311">
        <v>123911.20000000001</v>
      </c>
      <c r="L522" s="311">
        <v>0</v>
      </c>
      <c r="M522" s="311">
        <v>64311.125000000007</v>
      </c>
      <c r="N522" s="311">
        <v>17059.25</v>
      </c>
      <c r="O522" s="311">
        <v>11941.475</v>
      </c>
      <c r="P522" s="68">
        <f t="shared" si="112"/>
        <v>217223.05000000002</v>
      </c>
      <c r="Q522" s="68">
        <f t="shared" si="113"/>
        <v>3692791.85</v>
      </c>
      <c r="R522" s="127">
        <f t="shared" si="114"/>
        <v>3692791.85</v>
      </c>
      <c r="S522" s="37"/>
    </row>
    <row r="523" spans="1:19">
      <c r="A523" s="26"/>
      <c r="B523" s="25" t="s">
        <v>1513</v>
      </c>
      <c r="C523" s="26" t="s">
        <v>1336</v>
      </c>
      <c r="D523" s="351">
        <v>10</v>
      </c>
      <c r="E523" s="26"/>
      <c r="F523" s="351">
        <v>10</v>
      </c>
      <c r="G523" s="351" t="s">
        <v>3310</v>
      </c>
      <c r="H523" s="351"/>
      <c r="I523" s="351" t="s">
        <v>2596</v>
      </c>
      <c r="J523" s="560" t="s">
        <v>2328</v>
      </c>
      <c r="K523" s="311">
        <v>97236.934250400023</v>
      </c>
      <c r="L523" s="311">
        <v>0</v>
      </c>
      <c r="M523" s="311">
        <v>81925.000000000015</v>
      </c>
      <c r="N523" s="311">
        <v>16170.819656000001</v>
      </c>
      <c r="O523" s="311">
        <v>11319.573759200002</v>
      </c>
      <c r="P523" s="68">
        <f t="shared" si="112"/>
        <v>206652.32766560005</v>
      </c>
      <c r="Q523" s="68">
        <f t="shared" si="113"/>
        <v>2066523.2766560004</v>
      </c>
      <c r="R523" s="127">
        <f t="shared" si="114"/>
        <v>2066523.2766560004</v>
      </c>
      <c r="S523" s="36"/>
    </row>
    <row r="524" spans="1:19">
      <c r="A524" s="26"/>
      <c r="B524" s="25" t="s">
        <v>1514</v>
      </c>
      <c r="C524" s="26" t="s">
        <v>1336</v>
      </c>
      <c r="D524" s="351">
        <v>26</v>
      </c>
      <c r="E524" s="26"/>
      <c r="F524" s="351">
        <v>26</v>
      </c>
      <c r="G524" s="351" t="s">
        <v>3310</v>
      </c>
      <c r="H524" s="351"/>
      <c r="I524" s="351" t="s">
        <v>2596</v>
      </c>
      <c r="J524" s="560" t="s">
        <v>2328</v>
      </c>
      <c r="K524" s="311">
        <v>113443.08995880003</v>
      </c>
      <c r="L524" s="311">
        <v>0</v>
      </c>
      <c r="M524" s="311">
        <v>95579.166666666686</v>
      </c>
      <c r="N524" s="311">
        <v>18865.956265333338</v>
      </c>
      <c r="O524" s="311">
        <v>13206.169385733336</v>
      </c>
      <c r="P524" s="68">
        <f t="shared" si="112"/>
        <v>241094.3822765334</v>
      </c>
      <c r="Q524" s="68">
        <f t="shared" si="113"/>
        <v>6268453.939189868</v>
      </c>
      <c r="R524" s="127">
        <f t="shared" si="114"/>
        <v>6268453.939189868</v>
      </c>
      <c r="S524" s="37"/>
    </row>
    <row r="525" spans="1:19">
      <c r="A525" s="26"/>
      <c r="B525" s="25" t="s">
        <v>1515</v>
      </c>
      <c r="C525" s="26" t="s">
        <v>1336</v>
      </c>
      <c r="D525" s="351">
        <v>84</v>
      </c>
      <c r="E525" s="26"/>
      <c r="F525" s="351">
        <v>84</v>
      </c>
      <c r="G525" s="351" t="s">
        <v>3310</v>
      </c>
      <c r="H525" s="351"/>
      <c r="I525" s="351" t="s">
        <v>2596</v>
      </c>
      <c r="J525" s="560" t="s">
        <v>2328</v>
      </c>
      <c r="K525" s="311">
        <v>129649.24566720004</v>
      </c>
      <c r="L525" s="311">
        <v>0</v>
      </c>
      <c r="M525" s="311">
        <v>109233.33333333334</v>
      </c>
      <c r="N525" s="311">
        <v>21561.092874666672</v>
      </c>
      <c r="O525" s="311">
        <v>15092.765012266671</v>
      </c>
      <c r="P525" s="68">
        <f t="shared" si="112"/>
        <v>275536.43688746676</v>
      </c>
      <c r="Q525" s="68">
        <f t="shared" si="113"/>
        <v>23145060.698547207</v>
      </c>
      <c r="R525" s="127">
        <f t="shared" si="114"/>
        <v>23145060.698547207</v>
      </c>
      <c r="S525" s="37"/>
    </row>
    <row r="526" spans="1:19">
      <c r="A526" s="26"/>
      <c r="B526" s="25" t="s">
        <v>1516</v>
      </c>
      <c r="C526" s="26" t="s">
        <v>1336</v>
      </c>
      <c r="D526" s="351">
        <v>97</v>
      </c>
      <c r="E526" s="26"/>
      <c r="F526" s="351">
        <v>97</v>
      </c>
      <c r="G526" s="351" t="s">
        <v>3310</v>
      </c>
      <c r="H526" s="351"/>
      <c r="I526" s="351" t="s">
        <v>2596</v>
      </c>
      <c r="J526" s="560" t="s">
        <v>2328</v>
      </c>
      <c r="K526" s="311">
        <v>145855.40137560002</v>
      </c>
      <c r="L526" s="311">
        <v>0</v>
      </c>
      <c r="M526" s="311">
        <v>122887.50000000001</v>
      </c>
      <c r="N526" s="311">
        <v>24256.229484000003</v>
      </c>
      <c r="O526" s="311">
        <v>16979.360638800004</v>
      </c>
      <c r="P526" s="68">
        <f t="shared" si="112"/>
        <v>309978.49149840005</v>
      </c>
      <c r="Q526" s="68">
        <f t="shared" si="113"/>
        <v>30067913.675344806</v>
      </c>
      <c r="R526" s="127">
        <f t="shared" si="114"/>
        <v>30067913.675344806</v>
      </c>
      <c r="S526" s="37"/>
    </row>
    <row r="527" spans="1:19">
      <c r="A527" s="26"/>
      <c r="B527" s="25" t="s">
        <v>1517</v>
      </c>
      <c r="C527" s="26" t="s">
        <v>1336</v>
      </c>
      <c r="D527" s="351">
        <v>16</v>
      </c>
      <c r="E527" s="26"/>
      <c r="F527" s="351">
        <v>16</v>
      </c>
      <c r="G527" s="351" t="s">
        <v>3310</v>
      </c>
      <c r="H527" s="351"/>
      <c r="I527" s="351" t="s">
        <v>2596</v>
      </c>
      <c r="J527" s="560" t="s">
        <v>2328</v>
      </c>
      <c r="K527" s="311">
        <v>162061.55708400003</v>
      </c>
      <c r="L527" s="311">
        <v>0</v>
      </c>
      <c r="M527" s="311">
        <v>136541.66666666669</v>
      </c>
      <c r="N527" s="311">
        <v>26951.366093333334</v>
      </c>
      <c r="O527" s="311">
        <v>18865.956265333334</v>
      </c>
      <c r="P527" s="68">
        <f t="shared" si="112"/>
        <v>344420.5461093334</v>
      </c>
      <c r="Q527" s="68">
        <f t="shared" si="113"/>
        <v>5510728.7377493344</v>
      </c>
      <c r="R527" s="127">
        <f t="shared" si="114"/>
        <v>5510728.7377493344</v>
      </c>
      <c r="S527" s="37"/>
    </row>
    <row r="528" spans="1:19">
      <c r="A528" s="26"/>
      <c r="B528" s="25" t="s">
        <v>1518</v>
      </c>
      <c r="C528" s="26" t="s">
        <v>1336</v>
      </c>
      <c r="D528" s="351">
        <v>6</v>
      </c>
      <c r="E528" s="26"/>
      <c r="F528" s="351">
        <v>6</v>
      </c>
      <c r="G528" s="351" t="s">
        <v>3310</v>
      </c>
      <c r="H528" s="351"/>
      <c r="I528" s="351" t="s">
        <v>2596</v>
      </c>
      <c r="J528" s="560" t="s">
        <v>2328</v>
      </c>
      <c r="K528" s="311">
        <v>194473.86850080005</v>
      </c>
      <c r="L528" s="311">
        <v>0</v>
      </c>
      <c r="M528" s="311">
        <v>163850.00000000003</v>
      </c>
      <c r="N528" s="311">
        <v>32341.639312000003</v>
      </c>
      <c r="O528" s="311">
        <v>22639.147518400005</v>
      </c>
      <c r="P528" s="68">
        <f t="shared" si="112"/>
        <v>413304.65533120011</v>
      </c>
      <c r="Q528" s="68">
        <f t="shared" si="113"/>
        <v>2479827.9319872009</v>
      </c>
      <c r="R528" s="127">
        <f t="shared" si="114"/>
        <v>2479827.9319872009</v>
      </c>
      <c r="S528" s="38"/>
    </row>
    <row r="529" spans="1:19">
      <c r="A529" s="26"/>
      <c r="B529" s="25" t="s">
        <v>1519</v>
      </c>
      <c r="C529" s="26" t="s">
        <v>1336</v>
      </c>
      <c r="D529" s="351">
        <v>17</v>
      </c>
      <c r="E529" s="26"/>
      <c r="F529" s="351">
        <v>17</v>
      </c>
      <c r="G529" s="351" t="s">
        <v>3310</v>
      </c>
      <c r="H529" s="351"/>
      <c r="I529" s="351" t="s">
        <v>2596</v>
      </c>
      <c r="J529" s="560" t="s">
        <v>2328</v>
      </c>
      <c r="K529" s="311">
        <v>178267.71279240004</v>
      </c>
      <c r="L529" s="311">
        <v>0</v>
      </c>
      <c r="M529" s="311">
        <v>150195.83333333337</v>
      </c>
      <c r="N529" s="311">
        <v>29646.502702666668</v>
      </c>
      <c r="O529" s="311">
        <v>20752.551891866671</v>
      </c>
      <c r="P529" s="68">
        <f t="shared" si="112"/>
        <v>378862.60072026675</v>
      </c>
      <c r="Q529" s="68">
        <f t="shared" si="113"/>
        <v>6440664.2122445349</v>
      </c>
      <c r="R529" s="127">
        <f t="shared" si="114"/>
        <v>6440664.2122445349</v>
      </c>
      <c r="S529" s="36"/>
    </row>
    <row r="530" spans="1:19">
      <c r="A530" s="26"/>
      <c r="B530" s="25" t="s">
        <v>1520</v>
      </c>
      <c r="C530" s="26" t="s">
        <v>1336</v>
      </c>
      <c r="D530" s="351">
        <v>37</v>
      </c>
      <c r="E530" s="26"/>
      <c r="F530" s="351">
        <v>37</v>
      </c>
      <c r="G530" s="351" t="s">
        <v>3310</v>
      </c>
      <c r="H530" s="351"/>
      <c r="I530" s="351" t="s">
        <v>2596</v>
      </c>
      <c r="J530" s="560" t="s">
        <v>2328</v>
      </c>
      <c r="K530" s="311">
        <v>194473.86850080005</v>
      </c>
      <c r="L530" s="311">
        <v>0</v>
      </c>
      <c r="M530" s="311">
        <v>163850.00000000003</v>
      </c>
      <c r="N530" s="311">
        <v>32341.639312000003</v>
      </c>
      <c r="O530" s="311">
        <v>22639.147518400005</v>
      </c>
      <c r="P530" s="68">
        <f t="shared" si="112"/>
        <v>413304.65533120011</v>
      </c>
      <c r="Q530" s="68">
        <f t="shared" si="113"/>
        <v>15292272.247254403</v>
      </c>
      <c r="R530" s="127">
        <f t="shared" si="114"/>
        <v>15292272.247254403</v>
      </c>
      <c r="S530" s="15"/>
    </row>
    <row r="531" spans="1:19">
      <c r="A531" s="26"/>
      <c r="B531" s="25" t="s">
        <v>1522</v>
      </c>
      <c r="C531" s="26" t="s">
        <v>1336</v>
      </c>
      <c r="D531" s="351">
        <v>4</v>
      </c>
      <c r="E531" s="26"/>
      <c r="F531" s="351">
        <v>4</v>
      </c>
      <c r="G531" s="351" t="s">
        <v>3310</v>
      </c>
      <c r="H531" s="351"/>
      <c r="I531" s="351" t="s">
        <v>2596</v>
      </c>
      <c r="J531" s="560" t="s">
        <v>2328</v>
      </c>
      <c r="K531" s="311">
        <v>226886.17991760006</v>
      </c>
      <c r="L531" s="311">
        <v>0</v>
      </c>
      <c r="M531" s="311">
        <v>191158.33333333337</v>
      </c>
      <c r="N531" s="311">
        <v>37731.912530666676</v>
      </c>
      <c r="O531" s="311">
        <v>26412.338771466671</v>
      </c>
      <c r="P531" s="68">
        <f t="shared" si="112"/>
        <v>482188.76455306681</v>
      </c>
      <c r="Q531" s="68">
        <f t="shared" si="113"/>
        <v>1928755.0582122672</v>
      </c>
      <c r="R531" s="127">
        <f t="shared" si="114"/>
        <v>1928755.0582122672</v>
      </c>
      <c r="S531" s="15"/>
    </row>
    <row r="532" spans="1:19">
      <c r="A532" s="26"/>
      <c r="B532" s="25" t="s">
        <v>1523</v>
      </c>
      <c r="C532" s="26" t="s">
        <v>1336</v>
      </c>
      <c r="D532" s="351">
        <v>4</v>
      </c>
      <c r="E532" s="26"/>
      <c r="F532" s="351">
        <v>4</v>
      </c>
      <c r="G532" s="351" t="s">
        <v>3310</v>
      </c>
      <c r="H532" s="351"/>
      <c r="I532" s="351" t="s">
        <v>2596</v>
      </c>
      <c r="J532" s="560" t="s">
        <v>2328</v>
      </c>
      <c r="K532" s="311">
        <v>226886.17991760006</v>
      </c>
      <c r="L532" s="311">
        <v>0</v>
      </c>
      <c r="M532" s="311">
        <v>191158.33333333337</v>
      </c>
      <c r="N532" s="311">
        <v>37731.912530666676</v>
      </c>
      <c r="O532" s="311">
        <v>26412.338771466671</v>
      </c>
      <c r="P532" s="68">
        <f t="shared" si="112"/>
        <v>482188.76455306681</v>
      </c>
      <c r="Q532" s="68">
        <f t="shared" si="113"/>
        <v>1928755.0582122672</v>
      </c>
      <c r="R532" s="127">
        <f t="shared" si="114"/>
        <v>1928755.0582122672</v>
      </c>
      <c r="S532" s="15"/>
    </row>
    <row r="533" spans="1:19">
      <c r="A533" s="26"/>
      <c r="B533" s="25" t="s">
        <v>1524</v>
      </c>
      <c r="C533" s="26" t="s">
        <v>1336</v>
      </c>
      <c r="D533" s="351">
        <v>10</v>
      </c>
      <c r="E533" s="26"/>
      <c r="F533" s="351">
        <v>10</v>
      </c>
      <c r="G533" s="351" t="s">
        <v>3310</v>
      </c>
      <c r="H533" s="351"/>
      <c r="I533" s="351" t="s">
        <v>2596</v>
      </c>
      <c r="J533" s="560" t="s">
        <v>2328</v>
      </c>
      <c r="K533" s="311">
        <v>243092.33562600007</v>
      </c>
      <c r="L533" s="311">
        <v>0</v>
      </c>
      <c r="M533" s="311">
        <v>204812.50000000003</v>
      </c>
      <c r="N533" s="311">
        <v>40427.04914000001</v>
      </c>
      <c r="O533" s="311">
        <v>28298.934398000005</v>
      </c>
      <c r="P533" s="68">
        <f t="shared" si="112"/>
        <v>516630.8191640001</v>
      </c>
      <c r="Q533" s="68">
        <f t="shared" si="113"/>
        <v>5166308.1916400008</v>
      </c>
      <c r="R533" s="127">
        <f t="shared" si="114"/>
        <v>5166308.1916400008</v>
      </c>
      <c r="S533" s="15"/>
    </row>
    <row r="534" spans="1:19">
      <c r="A534" s="26"/>
      <c r="B534" s="25" t="s">
        <v>1525</v>
      </c>
      <c r="C534" s="26" t="s">
        <v>1336</v>
      </c>
      <c r="D534" s="351">
        <v>15</v>
      </c>
      <c r="E534" s="26"/>
      <c r="F534" s="351">
        <v>15</v>
      </c>
      <c r="G534" s="351" t="s">
        <v>3310</v>
      </c>
      <c r="H534" s="351"/>
      <c r="I534" s="351" t="s">
        <v>2596</v>
      </c>
      <c r="J534" s="560" t="s">
        <v>2328</v>
      </c>
      <c r="K534" s="311">
        <v>259298.49133440008</v>
      </c>
      <c r="L534" s="311">
        <v>0</v>
      </c>
      <c r="M534" s="311">
        <v>218466.66666666669</v>
      </c>
      <c r="N534" s="311">
        <v>43122.185749333345</v>
      </c>
      <c r="O534" s="311">
        <v>30185.530024533342</v>
      </c>
      <c r="P534" s="68">
        <f t="shared" si="112"/>
        <v>551072.87377493351</v>
      </c>
      <c r="Q534" s="68">
        <f t="shared" si="113"/>
        <v>8266093.1066240026</v>
      </c>
      <c r="R534" s="127">
        <f t="shared" si="114"/>
        <v>8266093.1066240026</v>
      </c>
      <c r="S534" s="15"/>
    </row>
    <row r="535" spans="1:19">
      <c r="A535" s="26"/>
      <c r="B535" s="25" t="s">
        <v>1526</v>
      </c>
      <c r="C535" s="26" t="s">
        <v>1336</v>
      </c>
      <c r="D535" s="351">
        <v>13</v>
      </c>
      <c r="E535" s="26"/>
      <c r="F535" s="351">
        <v>13</v>
      </c>
      <c r="G535" s="351" t="s">
        <v>3310</v>
      </c>
      <c r="H535" s="351"/>
      <c r="I535" s="351" t="s">
        <v>2596</v>
      </c>
      <c r="J535" s="560" t="s">
        <v>2328</v>
      </c>
      <c r="K535" s="311">
        <v>291710.80275120004</v>
      </c>
      <c r="L535" s="311">
        <v>0</v>
      </c>
      <c r="M535" s="311">
        <v>245775.00000000003</v>
      </c>
      <c r="N535" s="311">
        <v>48512.458968000006</v>
      </c>
      <c r="O535" s="311">
        <v>33958.721277600009</v>
      </c>
      <c r="P535" s="68">
        <f t="shared" si="112"/>
        <v>619956.9829968001</v>
      </c>
      <c r="Q535" s="68">
        <f t="shared" si="113"/>
        <v>8059440.7789584016</v>
      </c>
      <c r="R535" s="127">
        <f t="shared" si="114"/>
        <v>8059440.7789584016</v>
      </c>
      <c r="S535" s="15"/>
    </row>
    <row r="536" spans="1:19">
      <c r="A536" s="26"/>
      <c r="B536" s="25" t="s">
        <v>1527</v>
      </c>
      <c r="C536" s="26" t="s">
        <v>1336</v>
      </c>
      <c r="D536" s="351">
        <v>8</v>
      </c>
      <c r="E536" s="26"/>
      <c r="F536" s="351">
        <v>8</v>
      </c>
      <c r="G536" s="351" t="s">
        <v>3311</v>
      </c>
      <c r="H536" s="351"/>
      <c r="I536" s="351" t="s">
        <v>2596</v>
      </c>
      <c r="J536" s="560" t="s">
        <v>2328</v>
      </c>
      <c r="K536" s="311">
        <v>313887.64740480011</v>
      </c>
      <c r="L536" s="311">
        <v>0</v>
      </c>
      <c r="M536" s="311">
        <v>226000.00000000003</v>
      </c>
      <c r="N536" s="311">
        <v>48797.031872000014</v>
      </c>
      <c r="O536" s="311">
        <v>34157.922310400012</v>
      </c>
      <c r="P536" s="68">
        <f t="shared" si="112"/>
        <v>622842.60158720019</v>
      </c>
      <c r="Q536" s="68">
        <f t="shared" si="113"/>
        <v>4982740.8126976015</v>
      </c>
      <c r="R536" s="127">
        <f t="shared" si="114"/>
        <v>4982740.8126976015</v>
      </c>
      <c r="S536" s="37"/>
    </row>
    <row r="537" spans="1:19">
      <c r="A537" s="26"/>
      <c r="B537" s="25" t="s">
        <v>1528</v>
      </c>
      <c r="C537" s="26" t="s">
        <v>1336</v>
      </c>
      <c r="D537" s="351">
        <v>9</v>
      </c>
      <c r="E537" s="26"/>
      <c r="F537" s="351">
        <v>9</v>
      </c>
      <c r="G537" s="351" t="s">
        <v>3311</v>
      </c>
      <c r="H537" s="351"/>
      <c r="I537" s="351" t="s">
        <v>2596</v>
      </c>
      <c r="J537" s="560" t="s">
        <v>2328</v>
      </c>
      <c r="K537" s="311">
        <v>353123.60333040013</v>
      </c>
      <c r="L537" s="311">
        <v>0</v>
      </c>
      <c r="M537" s="311">
        <v>254250.00000000003</v>
      </c>
      <c r="N537" s="311">
        <v>54896.66085600001</v>
      </c>
      <c r="O537" s="311">
        <v>38427.662599200012</v>
      </c>
      <c r="P537" s="68">
        <f t="shared" si="112"/>
        <v>700697.92678560026</v>
      </c>
      <c r="Q537" s="68">
        <f t="shared" si="113"/>
        <v>6306281.3410704024</v>
      </c>
      <c r="R537" s="127">
        <f t="shared" si="114"/>
        <v>6306281.3410704024</v>
      </c>
      <c r="S537" s="37"/>
    </row>
    <row r="538" spans="1:19">
      <c r="A538" s="26"/>
      <c r="B538" s="25" t="s">
        <v>1529</v>
      </c>
      <c r="C538" s="26" t="s">
        <v>1336</v>
      </c>
      <c r="D538" s="351">
        <v>68</v>
      </c>
      <c r="E538" s="26"/>
      <c r="F538" s="351">
        <v>68</v>
      </c>
      <c r="G538" s="351" t="s">
        <v>3311</v>
      </c>
      <c r="H538" s="351"/>
      <c r="I538" s="351" t="s">
        <v>2596</v>
      </c>
      <c r="J538" s="560" t="s">
        <v>2328</v>
      </c>
      <c r="K538" s="311">
        <v>392359.5592560001</v>
      </c>
      <c r="L538" s="311">
        <v>0</v>
      </c>
      <c r="M538" s="311">
        <v>282500</v>
      </c>
      <c r="N538" s="311">
        <v>60996.289840000012</v>
      </c>
      <c r="O538" s="311">
        <v>42697.402888000011</v>
      </c>
      <c r="P538" s="68">
        <f t="shared" si="112"/>
        <v>778553.25198400009</v>
      </c>
      <c r="Q538" s="68">
        <f t="shared" si="113"/>
        <v>52941621.134912007</v>
      </c>
      <c r="R538" s="127">
        <f t="shared" si="114"/>
        <v>52941621.134912007</v>
      </c>
      <c r="S538" s="37"/>
    </row>
    <row r="539" spans="1:19">
      <c r="A539" s="26"/>
      <c r="B539" s="25" t="s">
        <v>1530</v>
      </c>
      <c r="C539" s="26" t="s">
        <v>1336</v>
      </c>
      <c r="D539" s="351">
        <v>126</v>
      </c>
      <c r="E539" s="26"/>
      <c r="F539" s="351">
        <v>126</v>
      </c>
      <c r="G539" s="351" t="s">
        <v>3311</v>
      </c>
      <c r="H539" s="351"/>
      <c r="I539" s="351" t="s">
        <v>2596</v>
      </c>
      <c r="J539" s="560" t="s">
        <v>2328</v>
      </c>
      <c r="K539" s="311">
        <v>353123.60333040013</v>
      </c>
      <c r="L539" s="311">
        <v>0</v>
      </c>
      <c r="M539" s="311">
        <v>254250.00000000003</v>
      </c>
      <c r="N539" s="311">
        <v>54896.66085600001</v>
      </c>
      <c r="O539" s="311">
        <v>38427.662599200012</v>
      </c>
      <c r="P539" s="68">
        <f t="shared" si="112"/>
        <v>700697.92678560026</v>
      </c>
      <c r="Q539" s="68">
        <f t="shared" si="113"/>
        <v>88287938.774985626</v>
      </c>
      <c r="R539" s="127">
        <f t="shared" si="114"/>
        <v>88287938.774985626</v>
      </c>
      <c r="S539" s="37"/>
    </row>
    <row r="540" spans="1:19">
      <c r="A540" s="26"/>
      <c r="B540" s="25" t="s">
        <v>1531</v>
      </c>
      <c r="C540" s="26" t="s">
        <v>1336</v>
      </c>
      <c r="D540" s="351">
        <v>11</v>
      </c>
      <c r="E540" s="26"/>
      <c r="F540" s="351">
        <v>11</v>
      </c>
      <c r="G540" s="351" t="s">
        <v>3311</v>
      </c>
      <c r="H540" s="351"/>
      <c r="I540" s="351" t="s">
        <v>2596</v>
      </c>
      <c r="J540" s="560" t="s">
        <v>2328</v>
      </c>
      <c r="K540" s="311">
        <v>392359.5592560001</v>
      </c>
      <c r="L540" s="311">
        <v>0</v>
      </c>
      <c r="M540" s="311">
        <v>282500</v>
      </c>
      <c r="N540" s="311">
        <v>60996.289840000012</v>
      </c>
      <c r="O540" s="311">
        <v>42697.402888000011</v>
      </c>
      <c r="P540" s="68">
        <f t="shared" si="112"/>
        <v>778553.25198400009</v>
      </c>
      <c r="Q540" s="68">
        <f t="shared" si="113"/>
        <v>8564085.7718240004</v>
      </c>
      <c r="R540" s="127">
        <f t="shared" si="114"/>
        <v>8564085.7718240004</v>
      </c>
      <c r="S540" s="37"/>
    </row>
    <row r="541" spans="1:19">
      <c r="A541" s="26"/>
      <c r="B541" s="25" t="s">
        <v>1532</v>
      </c>
      <c r="C541" s="26" t="s">
        <v>1336</v>
      </c>
      <c r="D541" s="352">
        <v>3</v>
      </c>
      <c r="E541" s="26"/>
      <c r="F541" s="352">
        <v>3</v>
      </c>
      <c r="G541" s="351" t="s">
        <v>3311</v>
      </c>
      <c r="H541" s="351"/>
      <c r="I541" s="351" t="s">
        <v>2596</v>
      </c>
      <c r="J541" s="560" t="s">
        <v>2328</v>
      </c>
      <c r="K541" s="311">
        <v>431595.51518160006</v>
      </c>
      <c r="L541" s="311">
        <v>0</v>
      </c>
      <c r="M541" s="311">
        <v>310750.00000000006</v>
      </c>
      <c r="N541" s="311">
        <v>67095.918824000008</v>
      </c>
      <c r="O541" s="311">
        <v>46967.143176800011</v>
      </c>
      <c r="P541" s="68">
        <f t="shared" si="112"/>
        <v>856408.57718240016</v>
      </c>
      <c r="Q541" s="68">
        <f t="shared" si="113"/>
        <v>2569225.7315472006</v>
      </c>
      <c r="R541" s="127">
        <f t="shared" si="114"/>
        <v>2569225.7315472006</v>
      </c>
      <c r="S541" s="37"/>
    </row>
    <row r="542" spans="1:19">
      <c r="A542" s="26"/>
      <c r="B542" s="25" t="s">
        <v>1533</v>
      </c>
      <c r="C542" s="26" t="s">
        <v>1336</v>
      </c>
      <c r="D542" s="351">
        <v>20</v>
      </c>
      <c r="E542" s="26"/>
      <c r="F542" s="351">
        <v>20</v>
      </c>
      <c r="G542" s="351" t="s">
        <v>3304</v>
      </c>
      <c r="H542" s="351"/>
      <c r="I542" s="351" t="s">
        <v>2596</v>
      </c>
      <c r="J542" s="560" t="s">
        <v>2328</v>
      </c>
      <c r="K542" s="311">
        <v>539920.87175880012</v>
      </c>
      <c r="L542" s="311">
        <v>0</v>
      </c>
      <c r="M542" s="311">
        <v>335704.16666666674</v>
      </c>
      <c r="N542" s="311">
        <v>79242.358265333343</v>
      </c>
      <c r="O542" s="311">
        <v>55469.650785733349</v>
      </c>
      <c r="P542" s="68">
        <f t="shared" si="112"/>
        <v>1010337.0474765336</v>
      </c>
      <c r="Q542" s="68">
        <f t="shared" si="113"/>
        <v>20206740.949530672</v>
      </c>
      <c r="R542" s="127">
        <f t="shared" si="114"/>
        <v>20206740.949530672</v>
      </c>
      <c r="S542" s="37"/>
    </row>
    <row r="543" spans="1:19">
      <c r="A543" s="26"/>
      <c r="B543" s="25" t="s">
        <v>1484</v>
      </c>
      <c r="C543" s="26" t="s">
        <v>1336</v>
      </c>
      <c r="D543" s="351">
        <v>13</v>
      </c>
      <c r="E543" s="26"/>
      <c r="F543" s="351">
        <v>13</v>
      </c>
      <c r="G543" s="351" t="s">
        <v>3304</v>
      </c>
      <c r="H543" s="351"/>
      <c r="I543" s="351" t="s">
        <v>2596</v>
      </c>
      <c r="J543" s="560" t="s">
        <v>2328</v>
      </c>
      <c r="K543" s="311">
        <v>562950.67197600007</v>
      </c>
      <c r="L543" s="311">
        <v>0</v>
      </c>
      <c r="M543" s="311">
        <v>350300.00000000006</v>
      </c>
      <c r="N543" s="311">
        <v>82646.850640000019</v>
      </c>
      <c r="O543" s="311">
        <v>57852.795448000012</v>
      </c>
      <c r="P543" s="68">
        <f t="shared" si="112"/>
        <v>1053750.3180640002</v>
      </c>
      <c r="Q543" s="68">
        <f t="shared" si="113"/>
        <v>13698754.134832002</v>
      </c>
      <c r="R543" s="127">
        <f t="shared" si="114"/>
        <v>13698754.134832002</v>
      </c>
      <c r="S543" s="37"/>
    </row>
    <row r="544" spans="1:19">
      <c r="A544" s="26"/>
      <c r="B544" s="25" t="s">
        <v>1534</v>
      </c>
      <c r="C544" s="26" t="s">
        <v>1336</v>
      </c>
      <c r="D544" s="351">
        <v>11</v>
      </c>
      <c r="E544" s="26"/>
      <c r="F544" s="351">
        <v>11</v>
      </c>
      <c r="G544" s="351" t="s">
        <v>3304</v>
      </c>
      <c r="H544" s="351"/>
      <c r="I544" s="351" t="s">
        <v>2596</v>
      </c>
      <c r="J544" s="560" t="s">
        <v>2328</v>
      </c>
      <c r="K544" s="311">
        <v>609863.22797400015</v>
      </c>
      <c r="L544" s="311">
        <v>0</v>
      </c>
      <c r="M544" s="311">
        <v>379491.66666666674</v>
      </c>
      <c r="N544" s="311">
        <v>89534.088193333359</v>
      </c>
      <c r="O544" s="311">
        <v>62673.861735333347</v>
      </c>
      <c r="P544" s="68">
        <f t="shared" si="112"/>
        <v>1141562.8445693336</v>
      </c>
      <c r="Q544" s="68">
        <f t="shared" si="113"/>
        <v>12557191.290262669</v>
      </c>
      <c r="R544" s="127">
        <f t="shared" si="114"/>
        <v>12557191.290262669</v>
      </c>
      <c r="S544" s="37"/>
    </row>
    <row r="545" spans="1:19">
      <c r="A545" s="26"/>
      <c r="B545" s="25" t="s">
        <v>1535</v>
      </c>
      <c r="C545" s="26" t="s">
        <v>1336</v>
      </c>
      <c r="D545" s="351">
        <v>7</v>
      </c>
      <c r="E545" s="26"/>
      <c r="F545" s="351">
        <v>7</v>
      </c>
      <c r="G545" s="351" t="s">
        <v>3304</v>
      </c>
      <c r="H545" s="351"/>
      <c r="I545" s="351" t="s">
        <v>2596</v>
      </c>
      <c r="J545" s="560" t="s">
        <v>2328</v>
      </c>
      <c r="K545" s="311">
        <v>633745.98375480017</v>
      </c>
      <c r="L545" s="311">
        <v>0</v>
      </c>
      <c r="M545" s="311">
        <v>394087.50000000006</v>
      </c>
      <c r="N545" s="311">
        <v>93016.833372000023</v>
      </c>
      <c r="O545" s="311">
        <v>65111.783360400012</v>
      </c>
      <c r="P545" s="68">
        <f t="shared" si="112"/>
        <v>1185962.1004872003</v>
      </c>
      <c r="Q545" s="68">
        <f t="shared" si="113"/>
        <v>8301734.7034104019</v>
      </c>
      <c r="R545" s="127">
        <f t="shared" si="114"/>
        <v>8301734.7034104019</v>
      </c>
      <c r="S545" s="37"/>
    </row>
    <row r="546" spans="1:19">
      <c r="A546" s="26"/>
      <c r="B546" s="25" t="s">
        <v>1536</v>
      </c>
      <c r="C546" s="26" t="s">
        <v>1336</v>
      </c>
      <c r="D546" s="351">
        <v>8</v>
      </c>
      <c r="E546" s="26"/>
      <c r="F546" s="351">
        <v>8</v>
      </c>
      <c r="G546" s="351" t="s">
        <v>3304</v>
      </c>
      <c r="H546" s="351"/>
      <c r="I546" s="351" t="s">
        <v>2596</v>
      </c>
      <c r="J546" s="560" t="s">
        <v>2328</v>
      </c>
      <c r="K546" s="311">
        <v>680658.53975280025</v>
      </c>
      <c r="L546" s="311">
        <v>0</v>
      </c>
      <c r="M546" s="311">
        <v>423279.16666666674</v>
      </c>
      <c r="N546" s="311">
        <v>99904.070925333363</v>
      </c>
      <c r="O546" s="311">
        <v>69932.849647733354</v>
      </c>
      <c r="P546" s="68">
        <f t="shared" si="112"/>
        <v>1273774.6269925337</v>
      </c>
      <c r="Q546" s="68">
        <f t="shared" si="113"/>
        <v>10190197.015940269</v>
      </c>
      <c r="R546" s="127">
        <f t="shared" si="114"/>
        <v>10190197.015940269</v>
      </c>
      <c r="S546" s="37"/>
    </row>
    <row r="547" spans="1:19">
      <c r="A547" s="26"/>
      <c r="B547" s="25" t="s">
        <v>1488</v>
      </c>
      <c r="C547" s="26" t="s">
        <v>1336</v>
      </c>
      <c r="D547" s="351">
        <v>1</v>
      </c>
      <c r="E547" s="26"/>
      <c r="F547" s="351">
        <v>1</v>
      </c>
      <c r="G547" s="351" t="s">
        <v>3162</v>
      </c>
      <c r="H547" s="351"/>
      <c r="I547" s="351" t="s">
        <v>2596</v>
      </c>
      <c r="J547" s="560" t="s">
        <v>2328</v>
      </c>
      <c r="K547" s="311">
        <v>1326442.1675820004</v>
      </c>
      <c r="L547" s="311">
        <v>0</v>
      </c>
      <c r="M547" s="311">
        <v>693066.66666666674</v>
      </c>
      <c r="N547" s="311">
        <v>183025.27531333338</v>
      </c>
      <c r="O547" s="311">
        <v>128117.69271933337</v>
      </c>
      <c r="P547" s="68">
        <f t="shared" si="112"/>
        <v>2330651.8022813336</v>
      </c>
      <c r="Q547" s="68">
        <f t="shared" si="113"/>
        <v>2330651.8022813336</v>
      </c>
      <c r="R547" s="127">
        <f t="shared" si="114"/>
        <v>2330651.8022813336</v>
      </c>
      <c r="S547" s="37"/>
    </row>
    <row r="548" spans="1:19">
      <c r="A548" s="26"/>
      <c r="B548" s="25" t="s">
        <v>1537</v>
      </c>
      <c r="C548" s="26" t="s">
        <v>1336</v>
      </c>
      <c r="D548" s="351">
        <v>112</v>
      </c>
      <c r="E548" s="26"/>
      <c r="F548" s="351">
        <v>112</v>
      </c>
      <c r="G548" s="351" t="s">
        <v>3162</v>
      </c>
      <c r="H548" s="351"/>
      <c r="I548" s="351" t="s">
        <v>2596</v>
      </c>
      <c r="J548" s="560" t="s">
        <v>2328</v>
      </c>
      <c r="K548" s="311">
        <v>1492768.5024840003</v>
      </c>
      <c r="L548" s="311">
        <v>0</v>
      </c>
      <c r="M548" s="311">
        <v>783466.66666666674</v>
      </c>
      <c r="N548" s="311">
        <v>206284.57209333335</v>
      </c>
      <c r="O548" s="311">
        <v>144399.20046533336</v>
      </c>
      <c r="P548" s="68">
        <f t="shared" si="112"/>
        <v>2626918.9417093336</v>
      </c>
      <c r="Q548" s="68">
        <f t="shared" si="113"/>
        <v>294214921.47144538</v>
      </c>
      <c r="R548" s="127">
        <f t="shared" si="114"/>
        <v>294214921.47144538</v>
      </c>
      <c r="S548" s="37"/>
    </row>
    <row r="549" spans="1:19" s="84" customFormat="1">
      <c r="A549" s="30"/>
      <c r="B549" s="29" t="s">
        <v>1625</v>
      </c>
      <c r="C549" s="30" t="s">
        <v>117</v>
      </c>
      <c r="D549" s="352">
        <v>4</v>
      </c>
      <c r="E549" s="30"/>
      <c r="F549" s="352">
        <v>4</v>
      </c>
      <c r="G549" s="351" t="s">
        <v>3304</v>
      </c>
      <c r="H549" s="351"/>
      <c r="I549" s="351" t="s">
        <v>2596</v>
      </c>
      <c r="J549" s="560" t="s">
        <v>2328</v>
      </c>
      <c r="K549" s="311">
        <v>743478.95020000008</v>
      </c>
      <c r="L549" s="311">
        <v>0</v>
      </c>
      <c r="M549" s="311">
        <v>467066.66666666674</v>
      </c>
      <c r="N549" s="311">
        <v>109542.41133333334</v>
      </c>
      <c r="O549" s="311">
        <v>76679.687933333335</v>
      </c>
      <c r="P549" s="68">
        <f t="shared" si="112"/>
        <v>1396767.7161333333</v>
      </c>
      <c r="Q549" s="68">
        <f t="shared" si="113"/>
        <v>5587070.8645333331</v>
      </c>
      <c r="R549" s="127">
        <f t="shared" si="114"/>
        <v>5587070.8645333331</v>
      </c>
      <c r="S549" s="15"/>
    </row>
    <row r="550" spans="1:19" s="84" customFormat="1">
      <c r="A550" s="30"/>
      <c r="B550" s="29" t="s">
        <v>2133</v>
      </c>
      <c r="C550" s="30" t="s">
        <v>117</v>
      </c>
      <c r="D550" s="352">
        <v>26</v>
      </c>
      <c r="E550" s="30"/>
      <c r="F550" s="352">
        <v>26</v>
      </c>
      <c r="G550" s="351" t="s">
        <v>3162</v>
      </c>
      <c r="H550" s="351"/>
      <c r="I550" s="351" t="s">
        <v>2596</v>
      </c>
      <c r="J550" s="560" t="s">
        <v>2328</v>
      </c>
      <c r="K550" s="311">
        <v>1040783.5788</v>
      </c>
      <c r="L550" s="311">
        <v>0</v>
      </c>
      <c r="M550" s="311">
        <v>572533.33333333337</v>
      </c>
      <c r="N550" s="311">
        <v>146151.39866666668</v>
      </c>
      <c r="O550" s="311">
        <v>102305.97906666667</v>
      </c>
      <c r="P550" s="68">
        <f t="shared" si="112"/>
        <v>1861774.2898666665</v>
      </c>
      <c r="Q550" s="68">
        <f t="shared" si="113"/>
        <v>48406131.536533333</v>
      </c>
      <c r="R550" s="127">
        <f t="shared" si="114"/>
        <v>48406131.536533333</v>
      </c>
      <c r="S550" s="37"/>
    </row>
    <row r="551" spans="1:19">
      <c r="A551" s="24" t="s">
        <v>1393</v>
      </c>
      <c r="B551" s="27" t="s">
        <v>1494</v>
      </c>
      <c r="C551" s="24"/>
      <c r="D551" s="351"/>
      <c r="E551" s="24"/>
      <c r="F551" s="351"/>
      <c r="G551" s="37"/>
      <c r="H551" s="37"/>
      <c r="I551" s="37"/>
      <c r="J551" s="583"/>
      <c r="K551" s="66"/>
      <c r="L551" s="66"/>
      <c r="M551" s="66"/>
      <c r="N551" s="66"/>
      <c r="O551" s="66"/>
      <c r="P551" s="66"/>
      <c r="Q551" s="66"/>
      <c r="R551" s="66"/>
      <c r="S551" s="37"/>
    </row>
    <row r="552" spans="1:19">
      <c r="A552" s="24"/>
      <c r="B552" s="25" t="s">
        <v>1515</v>
      </c>
      <c r="C552" s="26" t="s">
        <v>1350</v>
      </c>
      <c r="D552" s="351">
        <v>6</v>
      </c>
      <c r="E552" s="24"/>
      <c r="F552" s="351">
        <v>6</v>
      </c>
      <c r="G552" s="351" t="s">
        <v>3310</v>
      </c>
      <c r="H552" s="351"/>
      <c r="I552" s="351" t="s">
        <v>2596</v>
      </c>
      <c r="J552" s="560" t="s">
        <v>2328</v>
      </c>
      <c r="K552" s="311">
        <v>74774</v>
      </c>
      <c r="L552" s="311">
        <v>0</v>
      </c>
      <c r="M552" s="311">
        <v>34135.416666666672</v>
      </c>
      <c r="N552" s="311">
        <v>9880.8333333333358</v>
      </c>
      <c r="O552" s="311">
        <v>6916.5833333333348</v>
      </c>
      <c r="P552" s="68">
        <f t="shared" ref="P552:P563" si="115">SUM(K552:O552)</f>
        <v>125706.83333333333</v>
      </c>
      <c r="Q552" s="68">
        <f t="shared" ref="Q552:Q563" si="116">D552*P552</f>
        <v>754241</v>
      </c>
      <c r="R552" s="127">
        <f t="shared" ref="R552:R563" si="117">F552*P552</f>
        <v>754241</v>
      </c>
      <c r="S552" s="37"/>
    </row>
    <row r="553" spans="1:19">
      <c r="A553" s="24"/>
      <c r="B553" s="25" t="s">
        <v>1516</v>
      </c>
      <c r="C553" s="26" t="s">
        <v>1350</v>
      </c>
      <c r="D553" s="351">
        <v>6</v>
      </c>
      <c r="E553" s="24"/>
      <c r="F553" s="351">
        <v>6</v>
      </c>
      <c r="G553" s="351" t="s">
        <v>3310</v>
      </c>
      <c r="H553" s="351"/>
      <c r="I553" s="351" t="s">
        <v>2596</v>
      </c>
      <c r="J553" s="560" t="s">
        <v>2328</v>
      </c>
      <c r="K553" s="311">
        <v>74774</v>
      </c>
      <c r="L553" s="311">
        <v>0</v>
      </c>
      <c r="M553" s="311">
        <v>47789.583333333343</v>
      </c>
      <c r="N553" s="311">
        <v>11089.166666666668</v>
      </c>
      <c r="O553" s="311">
        <v>7762.4166666666679</v>
      </c>
      <c r="P553" s="68">
        <f t="shared" si="115"/>
        <v>141415.16666666666</v>
      </c>
      <c r="Q553" s="68">
        <f t="shared" si="116"/>
        <v>848491</v>
      </c>
      <c r="R553" s="127">
        <f t="shared" si="117"/>
        <v>848491</v>
      </c>
      <c r="S553" s="37"/>
    </row>
    <row r="554" spans="1:19">
      <c r="A554" s="24"/>
      <c r="B554" s="25" t="s">
        <v>1519</v>
      </c>
      <c r="C554" s="26" t="s">
        <v>1350</v>
      </c>
      <c r="D554" s="351">
        <v>4</v>
      </c>
      <c r="E554" s="24"/>
      <c r="F554" s="351">
        <v>4</v>
      </c>
      <c r="G554" s="351" t="s">
        <v>3310</v>
      </c>
      <c r="H554" s="351"/>
      <c r="I554" s="351" t="s">
        <v>2596</v>
      </c>
      <c r="J554" s="560" t="s">
        <v>2328</v>
      </c>
      <c r="K554" s="311">
        <v>122825.60115840004</v>
      </c>
      <c r="L554" s="311">
        <v>0</v>
      </c>
      <c r="M554" s="311">
        <v>81925.000000000015</v>
      </c>
      <c r="N554" s="311">
        <v>18518.403776000003</v>
      </c>
      <c r="O554" s="311">
        <v>12962.882643200004</v>
      </c>
      <c r="P554" s="68">
        <f t="shared" si="115"/>
        <v>236231.88757760005</v>
      </c>
      <c r="Q554" s="68">
        <f t="shared" si="116"/>
        <v>944927.5503104002</v>
      </c>
      <c r="R554" s="127">
        <f t="shared" si="117"/>
        <v>944927.5503104002</v>
      </c>
      <c r="S554" s="37"/>
    </row>
    <row r="555" spans="1:19">
      <c r="A555" s="24"/>
      <c r="B555" s="25" t="s">
        <v>1524</v>
      </c>
      <c r="C555" s="26" t="s">
        <v>1350</v>
      </c>
      <c r="D555" s="351">
        <v>1</v>
      </c>
      <c r="E555" s="24"/>
      <c r="F555" s="351">
        <v>1</v>
      </c>
      <c r="G555" s="351" t="s">
        <v>3310</v>
      </c>
      <c r="H555" s="351"/>
      <c r="I555" s="351" t="s">
        <v>2596</v>
      </c>
      <c r="J555" s="560" t="s">
        <v>2328</v>
      </c>
      <c r="K555" s="311">
        <v>238827.55780800004</v>
      </c>
      <c r="L555" s="311">
        <v>0</v>
      </c>
      <c r="M555" s="311">
        <v>161119.16666666669</v>
      </c>
      <c r="N555" s="311">
        <v>36169.118453333343</v>
      </c>
      <c r="O555" s="311">
        <v>25318.38291733334</v>
      </c>
      <c r="P555" s="68">
        <f t="shared" si="115"/>
        <v>461434.22584533342</v>
      </c>
      <c r="Q555" s="68">
        <f t="shared" si="116"/>
        <v>461434.22584533342</v>
      </c>
      <c r="R555" s="127">
        <f t="shared" si="117"/>
        <v>461434.22584533342</v>
      </c>
      <c r="S555" s="37"/>
    </row>
    <row r="556" spans="1:19">
      <c r="A556" s="24"/>
      <c r="B556" s="25" t="s">
        <v>1528</v>
      </c>
      <c r="C556" s="26" t="s">
        <v>1350</v>
      </c>
      <c r="D556" s="351">
        <v>3</v>
      </c>
      <c r="E556" s="24"/>
      <c r="F556" s="351">
        <v>3</v>
      </c>
      <c r="G556" s="351" t="s">
        <v>3311</v>
      </c>
      <c r="H556" s="351"/>
      <c r="I556" s="351" t="s">
        <v>2596</v>
      </c>
      <c r="J556" s="560" t="s">
        <v>2328</v>
      </c>
      <c r="K556" s="311">
        <v>416242.31503680011</v>
      </c>
      <c r="L556" s="311">
        <v>0</v>
      </c>
      <c r="M556" s="311">
        <v>240125.00000000003</v>
      </c>
      <c r="N556" s="311">
        <v>59437.368352000012</v>
      </c>
      <c r="O556" s="311">
        <v>41606.157846400012</v>
      </c>
      <c r="P556" s="68">
        <f t="shared" si="115"/>
        <v>757410.84123520018</v>
      </c>
      <c r="Q556" s="68">
        <f t="shared" si="116"/>
        <v>2272232.5237056008</v>
      </c>
      <c r="R556" s="127">
        <f t="shared" si="117"/>
        <v>2272232.5237056008</v>
      </c>
      <c r="S556" s="37"/>
    </row>
    <row r="557" spans="1:19">
      <c r="A557" s="24"/>
      <c r="B557" s="25" t="s">
        <v>1534</v>
      </c>
      <c r="C557" s="26" t="s">
        <v>1350</v>
      </c>
      <c r="D557" s="351">
        <v>1</v>
      </c>
      <c r="E557" s="24"/>
      <c r="F557" s="351">
        <v>1</v>
      </c>
      <c r="G557" s="351" t="s">
        <v>3304</v>
      </c>
      <c r="H557" s="351"/>
      <c r="I557" s="351" t="s">
        <v>2596</v>
      </c>
      <c r="J557" s="560" t="s">
        <v>2328</v>
      </c>
      <c r="K557" s="311">
        <v>1078135.8323904001</v>
      </c>
      <c r="L557" s="311">
        <v>0</v>
      </c>
      <c r="M557" s="311">
        <v>537126.66666666674</v>
      </c>
      <c r="N557" s="311">
        <v>146444.87758933334</v>
      </c>
      <c r="O557" s="311">
        <v>102511.41431253335</v>
      </c>
      <c r="P557" s="68">
        <f t="shared" si="115"/>
        <v>1864218.7909589335</v>
      </c>
      <c r="Q557" s="68">
        <f t="shared" si="116"/>
        <v>1864218.7909589335</v>
      </c>
      <c r="R557" s="127">
        <f t="shared" si="117"/>
        <v>1864218.7909589335</v>
      </c>
      <c r="S557" s="37"/>
    </row>
    <row r="558" spans="1:19">
      <c r="A558" s="24"/>
      <c r="B558" s="25" t="s">
        <v>1535</v>
      </c>
      <c r="C558" s="26" t="s">
        <v>1350</v>
      </c>
      <c r="D558" s="351">
        <v>2</v>
      </c>
      <c r="E558" s="24"/>
      <c r="F558" s="351">
        <v>2</v>
      </c>
      <c r="G558" s="351" t="s">
        <v>3304</v>
      </c>
      <c r="H558" s="351"/>
      <c r="I558" s="351" t="s">
        <v>2596</v>
      </c>
      <c r="J558" s="560" t="s">
        <v>2328</v>
      </c>
      <c r="K558" s="311">
        <v>1243609.2117288006</v>
      </c>
      <c r="L558" s="311">
        <v>0</v>
      </c>
      <c r="M558" s="311">
        <v>618863.33333333349</v>
      </c>
      <c r="N558" s="311">
        <v>168859.25489866672</v>
      </c>
      <c r="O558" s="311">
        <v>118201.4784290667</v>
      </c>
      <c r="P558" s="68">
        <f t="shared" si="115"/>
        <v>2149533.2783898674</v>
      </c>
      <c r="Q558" s="68">
        <f t="shared" si="116"/>
        <v>4299066.5567797348</v>
      </c>
      <c r="R558" s="127">
        <f t="shared" si="117"/>
        <v>4299066.5567797348</v>
      </c>
      <c r="S558" s="37"/>
    </row>
    <row r="559" spans="1:19" s="84" customFormat="1">
      <c r="A559" s="30"/>
      <c r="B559" s="29" t="s">
        <v>1520</v>
      </c>
      <c r="C559" s="30" t="s">
        <v>1350</v>
      </c>
      <c r="D559" s="352">
        <v>1</v>
      </c>
      <c r="E559" s="30"/>
      <c r="F559" s="352">
        <v>1</v>
      </c>
      <c r="G559" s="351" t="s">
        <v>3310</v>
      </c>
      <c r="H559" s="351"/>
      <c r="I559" s="351" t="s">
        <v>2596</v>
      </c>
      <c r="J559" s="560" t="s">
        <v>2328</v>
      </c>
      <c r="K559" s="311">
        <v>147753.42400000003</v>
      </c>
      <c r="L559" s="311">
        <v>0</v>
      </c>
      <c r="M559" s="311">
        <v>102406.25000000001</v>
      </c>
      <c r="N559" s="311">
        <v>22617.86</v>
      </c>
      <c r="O559" s="311">
        <v>15832.502000000002</v>
      </c>
      <c r="P559" s="68">
        <f t="shared" si="115"/>
        <v>288610.03600000002</v>
      </c>
      <c r="Q559" s="68">
        <f t="shared" si="116"/>
        <v>288610.03600000002</v>
      </c>
      <c r="R559" s="127">
        <f t="shared" si="117"/>
        <v>288610.03600000002</v>
      </c>
      <c r="S559" s="37"/>
    </row>
    <row r="560" spans="1:19" s="84" customFormat="1">
      <c r="A560" s="30"/>
      <c r="B560" s="29" t="s">
        <v>1523</v>
      </c>
      <c r="C560" s="30" t="s">
        <v>1350</v>
      </c>
      <c r="D560" s="352">
        <v>1</v>
      </c>
      <c r="E560" s="30"/>
      <c r="F560" s="352">
        <v>1</v>
      </c>
      <c r="G560" s="351" t="s">
        <v>3310</v>
      </c>
      <c r="H560" s="351"/>
      <c r="I560" s="351" t="s">
        <v>2596</v>
      </c>
      <c r="J560" s="560" t="s">
        <v>2328</v>
      </c>
      <c r="K560" s="311">
        <v>215439.91700000002</v>
      </c>
      <c r="L560" s="311">
        <v>0</v>
      </c>
      <c r="M560" s="311">
        <v>150195.83333333337</v>
      </c>
      <c r="N560" s="311">
        <v>33056.796666666669</v>
      </c>
      <c r="O560" s="311">
        <v>23139.757666666668</v>
      </c>
      <c r="P560" s="68">
        <f t="shared" si="115"/>
        <v>421832.30466666672</v>
      </c>
      <c r="Q560" s="68">
        <f t="shared" si="116"/>
        <v>421832.30466666672</v>
      </c>
      <c r="R560" s="127">
        <f t="shared" si="117"/>
        <v>421832.30466666672</v>
      </c>
      <c r="S560" s="37"/>
    </row>
    <row r="561" spans="1:19" s="84" customFormat="1">
      <c r="A561" s="30"/>
      <c r="B561" s="29" t="s">
        <v>1529</v>
      </c>
      <c r="C561" s="30" t="s">
        <v>1350</v>
      </c>
      <c r="D561" s="352">
        <v>4</v>
      </c>
      <c r="E561" s="30"/>
      <c r="F561" s="352">
        <v>4</v>
      </c>
      <c r="G561" s="351" t="s">
        <v>3311</v>
      </c>
      <c r="H561" s="351"/>
      <c r="I561" s="351" t="s">
        <v>2596</v>
      </c>
      <c r="J561" s="560" t="s">
        <v>2328</v>
      </c>
      <c r="K561" s="311">
        <v>447388.86500000005</v>
      </c>
      <c r="L561" s="311">
        <v>0</v>
      </c>
      <c r="M561" s="311">
        <v>265550</v>
      </c>
      <c r="N561" s="311">
        <v>64544.850000000006</v>
      </c>
      <c r="O561" s="311">
        <v>45181.395000000004</v>
      </c>
      <c r="P561" s="68">
        <f t="shared" si="115"/>
        <v>822665.11</v>
      </c>
      <c r="Q561" s="68">
        <f t="shared" si="116"/>
        <v>3290660.44</v>
      </c>
      <c r="R561" s="127">
        <f t="shared" si="117"/>
        <v>3290660.44</v>
      </c>
      <c r="S561" s="15"/>
    </row>
    <row r="562" spans="1:19" s="84" customFormat="1">
      <c r="A562" s="30"/>
      <c r="B562" s="29" t="s">
        <v>2134</v>
      </c>
      <c r="C562" s="30" t="s">
        <v>1350</v>
      </c>
      <c r="D562" s="352">
        <v>1</v>
      </c>
      <c r="E562" s="30"/>
      <c r="F562" s="352">
        <v>1</v>
      </c>
      <c r="G562" s="351" t="s">
        <v>3304</v>
      </c>
      <c r="H562" s="351"/>
      <c r="I562" s="351" t="s">
        <v>2596</v>
      </c>
      <c r="J562" s="560" t="s">
        <v>2328</v>
      </c>
      <c r="K562" s="311">
        <v>871665.08660000004</v>
      </c>
      <c r="L562" s="311">
        <v>0</v>
      </c>
      <c r="M562" s="311">
        <v>448092.08333333337</v>
      </c>
      <c r="N562" s="311">
        <v>119623.44066666668</v>
      </c>
      <c r="O562" s="311">
        <v>83736.408466666675</v>
      </c>
      <c r="P562" s="68">
        <f t="shared" si="115"/>
        <v>1523117.019066667</v>
      </c>
      <c r="Q562" s="68">
        <f t="shared" si="116"/>
        <v>1523117.019066667</v>
      </c>
      <c r="R562" s="127">
        <f t="shared" si="117"/>
        <v>1523117.019066667</v>
      </c>
      <c r="S562" s="308"/>
    </row>
    <row r="563" spans="1:19" s="84" customFormat="1">
      <c r="A563" s="30"/>
      <c r="B563" s="29" t="s">
        <v>1537</v>
      </c>
      <c r="C563" s="30" t="s">
        <v>1350</v>
      </c>
      <c r="D563" s="352">
        <v>1</v>
      </c>
      <c r="E563" s="30"/>
      <c r="F563" s="352">
        <v>1</v>
      </c>
      <c r="G563" s="351" t="s">
        <v>3162</v>
      </c>
      <c r="H563" s="351"/>
      <c r="I563" s="351" t="s">
        <v>2596</v>
      </c>
      <c r="J563" s="560" t="s">
        <v>2328</v>
      </c>
      <c r="K563" s="311">
        <v>5529724.2350000003</v>
      </c>
      <c r="L563" s="311">
        <v>0</v>
      </c>
      <c r="M563" s="311">
        <v>2461893.333333334</v>
      </c>
      <c r="N563" s="311">
        <v>725180.81666666677</v>
      </c>
      <c r="O563" s="311">
        <v>507626.57166666671</v>
      </c>
      <c r="P563" s="68">
        <f t="shared" si="115"/>
        <v>9224424.9566666689</v>
      </c>
      <c r="Q563" s="68">
        <f t="shared" si="116"/>
        <v>9224424.9566666689</v>
      </c>
      <c r="R563" s="127">
        <f t="shared" si="117"/>
        <v>9224424.9566666689</v>
      </c>
      <c r="S563" s="38"/>
    </row>
    <row r="564" spans="1:19">
      <c r="A564" s="24" t="s">
        <v>1395</v>
      </c>
      <c r="B564" s="27" t="s">
        <v>1495</v>
      </c>
      <c r="C564" s="24"/>
      <c r="D564" s="351"/>
      <c r="E564" s="24"/>
      <c r="F564" s="351"/>
      <c r="G564" s="37"/>
      <c r="H564" s="37"/>
      <c r="I564" s="37"/>
      <c r="J564" s="583"/>
      <c r="K564" s="66"/>
      <c r="L564" s="66"/>
      <c r="M564" s="66"/>
      <c r="N564" s="66"/>
      <c r="O564" s="66"/>
      <c r="P564" s="66"/>
      <c r="Q564" s="66"/>
      <c r="R564" s="66"/>
      <c r="S564" s="37"/>
    </row>
    <row r="565" spans="1:19">
      <c r="A565" s="24"/>
      <c r="B565" s="25" t="s">
        <v>1538</v>
      </c>
      <c r="C565" s="26" t="s">
        <v>1350</v>
      </c>
      <c r="D565" s="351">
        <v>2</v>
      </c>
      <c r="E565" s="24"/>
      <c r="F565" s="351">
        <v>2</v>
      </c>
      <c r="G565" s="351" t="s">
        <v>3310</v>
      </c>
      <c r="H565" s="351"/>
      <c r="I565" s="351" t="s">
        <v>2596</v>
      </c>
      <c r="J565" s="560" t="s">
        <v>2328</v>
      </c>
      <c r="K565" s="311">
        <v>52030.289379600013</v>
      </c>
      <c r="L565" s="311">
        <v>0</v>
      </c>
      <c r="M565" s="311">
        <v>35500.833333333336</v>
      </c>
      <c r="N565" s="311">
        <v>7915.0877106666685</v>
      </c>
      <c r="O565" s="311">
        <v>5540.5613974666685</v>
      </c>
      <c r="P565" s="68">
        <f t="shared" ref="P565:P574" si="118">SUM(K565:O565)</f>
        <v>100986.77182106668</v>
      </c>
      <c r="Q565" s="68">
        <f t="shared" ref="Q565:Q574" si="119">D565*P565</f>
        <v>201973.54364213336</v>
      </c>
      <c r="R565" s="127">
        <f t="shared" ref="R565:R574" si="120">F565*P565</f>
        <v>201973.54364213336</v>
      </c>
      <c r="S565" s="37"/>
    </row>
    <row r="566" spans="1:19">
      <c r="A566" s="24"/>
      <c r="B566" s="25" t="s">
        <v>1539</v>
      </c>
      <c r="C566" s="26" t="s">
        <v>1350</v>
      </c>
      <c r="D566" s="351">
        <v>1</v>
      </c>
      <c r="E566" s="24"/>
      <c r="F566" s="351">
        <v>1</v>
      </c>
      <c r="G566" s="351" t="s">
        <v>3310</v>
      </c>
      <c r="H566" s="351"/>
      <c r="I566" s="351" t="s">
        <v>2596</v>
      </c>
      <c r="J566" s="560" t="s">
        <v>2328</v>
      </c>
      <c r="K566" s="311">
        <v>55442.111634000008</v>
      </c>
      <c r="L566" s="311">
        <v>0</v>
      </c>
      <c r="M566" s="311">
        <v>36866.250000000007</v>
      </c>
      <c r="N566" s="311">
        <v>8348.9322600000014</v>
      </c>
      <c r="O566" s="311">
        <v>5844.2525820000019</v>
      </c>
      <c r="P566" s="68">
        <f t="shared" si="118"/>
        <v>106501.54647600002</v>
      </c>
      <c r="Q566" s="68">
        <f t="shared" si="119"/>
        <v>106501.54647600002</v>
      </c>
      <c r="R566" s="127">
        <f t="shared" si="120"/>
        <v>106501.54647600002</v>
      </c>
      <c r="S566" s="37"/>
    </row>
    <row r="567" spans="1:19">
      <c r="A567" s="26"/>
      <c r="B567" s="25" t="s">
        <v>1540</v>
      </c>
      <c r="C567" s="26" t="s">
        <v>1350</v>
      </c>
      <c r="D567" s="351">
        <v>2</v>
      </c>
      <c r="E567" s="26"/>
      <c r="F567" s="351">
        <v>2</v>
      </c>
      <c r="G567" s="351" t="s">
        <v>3310</v>
      </c>
      <c r="H567" s="351"/>
      <c r="I567" s="351" t="s">
        <v>2596</v>
      </c>
      <c r="J567" s="560" t="s">
        <v>2328</v>
      </c>
      <c r="K567" s="311">
        <v>62265.756142800019</v>
      </c>
      <c r="L567" s="311">
        <v>0</v>
      </c>
      <c r="M567" s="311">
        <v>42327.916666666672</v>
      </c>
      <c r="N567" s="311">
        <v>9458.2880253333351</v>
      </c>
      <c r="O567" s="311">
        <v>6620.8016177333348</v>
      </c>
      <c r="P567" s="68">
        <f t="shared" si="118"/>
        <v>120672.76245253337</v>
      </c>
      <c r="Q567" s="68">
        <f t="shared" si="119"/>
        <v>241345.52490506673</v>
      </c>
      <c r="R567" s="127">
        <f t="shared" si="120"/>
        <v>241345.52490506673</v>
      </c>
      <c r="S567" s="37"/>
    </row>
    <row r="568" spans="1:19">
      <c r="A568" s="26"/>
      <c r="B568" s="25" t="s">
        <v>1541</v>
      </c>
      <c r="C568" s="26" t="s">
        <v>1350</v>
      </c>
      <c r="D568" s="351">
        <v>3</v>
      </c>
      <c r="E568" s="26"/>
      <c r="F568" s="351">
        <v>3</v>
      </c>
      <c r="G568" s="351" t="s">
        <v>3310</v>
      </c>
      <c r="H568" s="351"/>
      <c r="I568" s="351" t="s">
        <v>2596</v>
      </c>
      <c r="J568" s="560" t="s">
        <v>2328</v>
      </c>
      <c r="K568" s="311">
        <v>67383.489524400007</v>
      </c>
      <c r="L568" s="311">
        <v>0</v>
      </c>
      <c r="M568" s="311">
        <v>45058.750000000007</v>
      </c>
      <c r="N568" s="311">
        <v>10169.471516000001</v>
      </c>
      <c r="O568" s="311">
        <v>7118.6300612000014</v>
      </c>
      <c r="P568" s="68">
        <f t="shared" si="118"/>
        <v>129730.34110160002</v>
      </c>
      <c r="Q568" s="68">
        <f t="shared" si="119"/>
        <v>389191.02330480004</v>
      </c>
      <c r="R568" s="127">
        <f t="shared" si="120"/>
        <v>389191.02330480004</v>
      </c>
      <c r="S568" s="38"/>
    </row>
    <row r="569" spans="1:19">
      <c r="A569" s="26"/>
      <c r="B569" s="25" t="s">
        <v>1542</v>
      </c>
      <c r="C569" s="26" t="s">
        <v>1350</v>
      </c>
      <c r="D569" s="351">
        <v>1</v>
      </c>
      <c r="E569" s="26"/>
      <c r="F569" s="351">
        <v>1</v>
      </c>
      <c r="G569" s="351" t="s">
        <v>3311</v>
      </c>
      <c r="H569" s="351"/>
      <c r="I569" s="351" t="s">
        <v>2596</v>
      </c>
      <c r="J569" s="560" t="s">
        <v>2328</v>
      </c>
      <c r="K569" s="311">
        <v>120266.73446760004</v>
      </c>
      <c r="L569" s="311">
        <v>0</v>
      </c>
      <c r="M569" s="311">
        <v>69212.5</v>
      </c>
      <c r="N569" s="311">
        <v>17158.645364000004</v>
      </c>
      <c r="O569" s="311">
        <v>12011.051754800003</v>
      </c>
      <c r="P569" s="68">
        <f t="shared" si="118"/>
        <v>218648.93158640002</v>
      </c>
      <c r="Q569" s="68">
        <f t="shared" si="119"/>
        <v>218648.93158640002</v>
      </c>
      <c r="R569" s="127">
        <f t="shared" si="120"/>
        <v>218648.93158640002</v>
      </c>
      <c r="S569" s="36"/>
    </row>
    <row r="570" spans="1:19">
      <c r="A570" s="26"/>
      <c r="B570" s="25" t="s">
        <v>1543</v>
      </c>
      <c r="C570" s="26" t="s">
        <v>1350</v>
      </c>
      <c r="D570" s="351">
        <v>1</v>
      </c>
      <c r="E570" s="26"/>
      <c r="F570" s="351">
        <v>1</v>
      </c>
      <c r="G570" s="351" t="s">
        <v>3311</v>
      </c>
      <c r="H570" s="351"/>
      <c r="I570" s="351" t="s">
        <v>2596</v>
      </c>
      <c r="J570" s="560" t="s">
        <v>2328</v>
      </c>
      <c r="K570" s="311">
        <v>131355.15679440004</v>
      </c>
      <c r="L570" s="311">
        <v>0</v>
      </c>
      <c r="M570" s="311">
        <v>76275.000000000015</v>
      </c>
      <c r="N570" s="311">
        <v>18800.931816000004</v>
      </c>
      <c r="O570" s="311">
        <v>13160.652271200002</v>
      </c>
      <c r="P570" s="68">
        <f t="shared" si="118"/>
        <v>239591.74088160007</v>
      </c>
      <c r="Q570" s="68">
        <f t="shared" si="119"/>
        <v>239591.74088160007</v>
      </c>
      <c r="R570" s="127">
        <f t="shared" si="120"/>
        <v>239591.74088160007</v>
      </c>
      <c r="S570" s="15"/>
    </row>
    <row r="571" spans="1:19">
      <c r="A571" s="26"/>
      <c r="B571" s="25" t="s">
        <v>1544</v>
      </c>
      <c r="C571" s="26" t="s">
        <v>1350</v>
      </c>
      <c r="D571" s="351">
        <v>1</v>
      </c>
      <c r="E571" s="26"/>
      <c r="F571" s="351">
        <v>1</v>
      </c>
      <c r="G571" s="351" t="s">
        <v>3304</v>
      </c>
      <c r="H571" s="351"/>
      <c r="I571" s="351" t="s">
        <v>2596</v>
      </c>
      <c r="J571" s="560" t="s">
        <v>2328</v>
      </c>
      <c r="K571" s="311">
        <v>185091.35730120004</v>
      </c>
      <c r="L571" s="311">
        <v>0</v>
      </c>
      <c r="M571" s="311">
        <v>91953.750000000015</v>
      </c>
      <c r="N571" s="311">
        <v>25118.358468000006</v>
      </c>
      <c r="O571" s="311">
        <v>17582.850927600004</v>
      </c>
      <c r="P571" s="68">
        <f t="shared" si="118"/>
        <v>319746.31669680006</v>
      </c>
      <c r="Q571" s="68">
        <f t="shared" si="119"/>
        <v>319746.31669680006</v>
      </c>
      <c r="R571" s="127">
        <f t="shared" si="120"/>
        <v>319746.31669680006</v>
      </c>
      <c r="S571" s="18"/>
    </row>
    <row r="572" spans="1:19">
      <c r="A572" s="26"/>
      <c r="B572" s="25" t="s">
        <v>1545</v>
      </c>
      <c r="C572" s="26" t="s">
        <v>1350</v>
      </c>
      <c r="D572" s="351">
        <v>1</v>
      </c>
      <c r="E572" s="26"/>
      <c r="F572" s="351">
        <v>1</v>
      </c>
      <c r="G572" s="351" t="s">
        <v>3304</v>
      </c>
      <c r="H572" s="351"/>
      <c r="I572" s="351" t="s">
        <v>2596</v>
      </c>
      <c r="J572" s="560" t="s">
        <v>2328</v>
      </c>
      <c r="K572" s="311">
        <v>196179.77962800005</v>
      </c>
      <c r="L572" s="311">
        <v>0</v>
      </c>
      <c r="M572" s="311">
        <v>97792.083333333343</v>
      </c>
      <c r="N572" s="311">
        <v>26652.311586666674</v>
      </c>
      <c r="O572" s="311">
        <v>18656.618110666674</v>
      </c>
      <c r="P572" s="68">
        <f t="shared" si="118"/>
        <v>339280.79265866673</v>
      </c>
      <c r="Q572" s="68">
        <f t="shared" si="119"/>
        <v>339280.79265866673</v>
      </c>
      <c r="R572" s="127">
        <f t="shared" si="120"/>
        <v>339280.79265866673</v>
      </c>
      <c r="S572" s="15"/>
    </row>
    <row r="573" spans="1:19">
      <c r="A573" s="26"/>
      <c r="B573" s="25" t="s">
        <v>1546</v>
      </c>
      <c r="C573" s="26" t="s">
        <v>1350</v>
      </c>
      <c r="D573" s="351">
        <v>1</v>
      </c>
      <c r="E573" s="26"/>
      <c r="F573" s="351">
        <v>1</v>
      </c>
      <c r="G573" s="351" t="s">
        <v>3304</v>
      </c>
      <c r="H573" s="351"/>
      <c r="I573" s="351" t="s">
        <v>2596</v>
      </c>
      <c r="J573" s="560" t="s">
        <v>2328</v>
      </c>
      <c r="K573" s="311">
        <v>280654.46915240004</v>
      </c>
      <c r="L573" s="311">
        <v>0</v>
      </c>
      <c r="M573" s="311">
        <v>131362.5</v>
      </c>
      <c r="N573" s="311">
        <v>37373.116436000004</v>
      </c>
      <c r="O573" s="311">
        <v>26161.181505200006</v>
      </c>
      <c r="P573" s="68">
        <f t="shared" si="118"/>
        <v>475551.26709360001</v>
      </c>
      <c r="Q573" s="68">
        <f t="shared" si="119"/>
        <v>475551.26709360001</v>
      </c>
      <c r="R573" s="127">
        <f t="shared" si="120"/>
        <v>475551.26709360001</v>
      </c>
      <c r="S573" s="15"/>
    </row>
    <row r="574" spans="1:19">
      <c r="A574" s="26"/>
      <c r="B574" s="25" t="s">
        <v>1547</v>
      </c>
      <c r="C574" s="26" t="s">
        <v>1350</v>
      </c>
      <c r="D574" s="351">
        <v>1</v>
      </c>
      <c r="E574" s="26"/>
      <c r="F574" s="351">
        <v>1</v>
      </c>
      <c r="G574" s="351" t="s">
        <v>3162</v>
      </c>
      <c r="H574" s="351"/>
      <c r="I574" s="351" t="s">
        <v>2596</v>
      </c>
      <c r="J574" s="560" t="s">
        <v>2328</v>
      </c>
      <c r="K574" s="311">
        <v>380880.75896640011</v>
      </c>
      <c r="L574" s="311">
        <v>0</v>
      </c>
      <c r="M574" s="311">
        <v>156693.33333333337</v>
      </c>
      <c r="N574" s="311">
        <v>48809.855562666678</v>
      </c>
      <c r="O574" s="311">
        <v>34166.898893866673</v>
      </c>
      <c r="P574" s="68">
        <f t="shared" si="118"/>
        <v>620550.8467562669</v>
      </c>
      <c r="Q574" s="68">
        <f t="shared" si="119"/>
        <v>620550.8467562669</v>
      </c>
      <c r="R574" s="127">
        <f t="shared" si="120"/>
        <v>620550.8467562669</v>
      </c>
      <c r="S574" s="15"/>
    </row>
    <row r="575" spans="1:19">
      <c r="A575" s="24" t="s">
        <v>1401</v>
      </c>
      <c r="B575" s="27" t="s">
        <v>1548</v>
      </c>
      <c r="C575" s="24"/>
      <c r="D575" s="351"/>
      <c r="E575" s="24"/>
      <c r="F575" s="351"/>
      <c r="G575" s="39"/>
      <c r="H575" s="39"/>
      <c r="I575" s="39"/>
      <c r="J575" s="589"/>
      <c r="K575" s="65"/>
      <c r="L575" s="65"/>
      <c r="M575" s="65"/>
      <c r="N575" s="65"/>
      <c r="O575" s="65"/>
      <c r="P575" s="65"/>
      <c r="Q575" s="65"/>
      <c r="R575" s="65"/>
      <c r="S575" s="39"/>
    </row>
    <row r="576" spans="1:19">
      <c r="A576" s="24"/>
      <c r="B576" s="25" t="s">
        <v>1549</v>
      </c>
      <c r="C576" s="26" t="s">
        <v>1350</v>
      </c>
      <c r="D576" s="351">
        <v>1</v>
      </c>
      <c r="E576" s="24"/>
      <c r="F576" s="351">
        <v>1</v>
      </c>
      <c r="G576" s="351" t="s">
        <v>3310</v>
      </c>
      <c r="H576" s="351"/>
      <c r="I576" s="351" t="s">
        <v>2596</v>
      </c>
      <c r="J576" s="560" t="s">
        <v>2328</v>
      </c>
      <c r="K576" s="311">
        <v>111737.17883160003</v>
      </c>
      <c r="L576" s="311">
        <v>0</v>
      </c>
      <c r="M576" s="311">
        <v>64174.583333333343</v>
      </c>
      <c r="N576" s="311">
        <v>15930.28399066667</v>
      </c>
      <c r="O576" s="311">
        <v>11151.198793466669</v>
      </c>
      <c r="P576" s="68">
        <f t="shared" ref="P576:P582" si="121">SUM(K576:O576)</f>
        <v>202993.24494906672</v>
      </c>
      <c r="Q576" s="68">
        <f t="shared" ref="Q576:Q582" si="122">D576*P576</f>
        <v>202993.24494906672</v>
      </c>
      <c r="R576" s="127">
        <f t="shared" ref="R576:R582" si="123">F576*P576</f>
        <v>202993.24494906672</v>
      </c>
      <c r="S576" s="36"/>
    </row>
    <row r="577" spans="1:19">
      <c r="A577" s="24"/>
      <c r="B577" s="25" t="s">
        <v>1550</v>
      </c>
      <c r="C577" s="26" t="s">
        <v>1350</v>
      </c>
      <c r="D577" s="351">
        <v>10</v>
      </c>
      <c r="E577" s="24"/>
      <c r="F577" s="351">
        <v>10</v>
      </c>
      <c r="G577" s="351" t="s">
        <v>3310</v>
      </c>
      <c r="H577" s="351"/>
      <c r="I577" s="351" t="s">
        <v>2596</v>
      </c>
      <c r="J577" s="560" t="s">
        <v>2328</v>
      </c>
      <c r="K577" s="311">
        <v>140737.66799400002</v>
      </c>
      <c r="L577" s="311">
        <v>0</v>
      </c>
      <c r="M577" s="311">
        <v>77828.750000000015</v>
      </c>
      <c r="N577" s="311">
        <v>19799.212660000005</v>
      </c>
      <c r="O577" s="311">
        <v>13859.448862000003</v>
      </c>
      <c r="P577" s="68">
        <f t="shared" si="121"/>
        <v>252225.07951600003</v>
      </c>
      <c r="Q577" s="68">
        <f t="shared" si="122"/>
        <v>2522250.7951600002</v>
      </c>
      <c r="R577" s="127">
        <f t="shared" si="123"/>
        <v>2522250.7951600002</v>
      </c>
      <c r="S577" s="15"/>
    </row>
    <row r="578" spans="1:19">
      <c r="A578" s="24"/>
      <c r="B578" s="25" t="s">
        <v>1551</v>
      </c>
      <c r="C578" s="26" t="s">
        <v>1350</v>
      </c>
      <c r="D578" s="351">
        <v>1</v>
      </c>
      <c r="E578" s="24"/>
      <c r="F578" s="351">
        <v>1</v>
      </c>
      <c r="G578" s="351" t="s">
        <v>3310</v>
      </c>
      <c r="H578" s="351"/>
      <c r="I578" s="351" t="s">
        <v>2596</v>
      </c>
      <c r="J578" s="560" t="s">
        <v>2328</v>
      </c>
      <c r="K578" s="311">
        <v>197885.69075520002</v>
      </c>
      <c r="L578" s="311">
        <v>0</v>
      </c>
      <c r="M578" s="311">
        <v>111964.16666666669</v>
      </c>
      <c r="N578" s="311">
        <v>28062.983861333338</v>
      </c>
      <c r="O578" s="311">
        <v>19644.088702933335</v>
      </c>
      <c r="P578" s="68">
        <f t="shared" si="121"/>
        <v>357556.92998613341</v>
      </c>
      <c r="Q578" s="68">
        <f t="shared" si="122"/>
        <v>357556.92998613341</v>
      </c>
      <c r="R578" s="127">
        <f t="shared" si="123"/>
        <v>357556.92998613341</v>
      </c>
      <c r="S578" s="18"/>
    </row>
    <row r="579" spans="1:19">
      <c r="A579" s="24"/>
      <c r="B579" s="25" t="s">
        <v>1552</v>
      </c>
      <c r="C579" s="26" t="s">
        <v>1350</v>
      </c>
      <c r="D579" s="351">
        <v>1</v>
      </c>
      <c r="E579" s="24"/>
      <c r="F579" s="351">
        <v>1</v>
      </c>
      <c r="G579" s="351" t="s">
        <v>3311</v>
      </c>
      <c r="H579" s="351"/>
      <c r="I579" s="351" t="s">
        <v>2596</v>
      </c>
      <c r="J579" s="560" t="s">
        <v>2328</v>
      </c>
      <c r="K579" s="311">
        <v>686629.2286980002</v>
      </c>
      <c r="L579" s="311">
        <v>0</v>
      </c>
      <c r="M579" s="311">
        <v>289562.50000000006</v>
      </c>
      <c r="N579" s="311">
        <v>88618.507220000029</v>
      </c>
      <c r="O579" s="311">
        <v>62032.95505400002</v>
      </c>
      <c r="P579" s="68">
        <f t="shared" si="121"/>
        <v>1126843.1909720004</v>
      </c>
      <c r="Q579" s="68">
        <f t="shared" si="122"/>
        <v>1126843.1909720004</v>
      </c>
      <c r="R579" s="127">
        <f t="shared" si="123"/>
        <v>1126843.1909720004</v>
      </c>
      <c r="S579" s="15"/>
    </row>
    <row r="580" spans="1:19">
      <c r="A580" s="24"/>
      <c r="B580" s="25" t="s">
        <v>1553</v>
      </c>
      <c r="C580" s="26" t="s">
        <v>1350</v>
      </c>
      <c r="D580" s="351">
        <v>1</v>
      </c>
      <c r="E580" s="24"/>
      <c r="F580" s="351">
        <v>1</v>
      </c>
      <c r="G580" s="351" t="s">
        <v>3304</v>
      </c>
      <c r="H580" s="351"/>
      <c r="I580" s="351" t="s">
        <v>2596</v>
      </c>
      <c r="J580" s="560" t="s">
        <v>2328</v>
      </c>
      <c r="K580" s="311">
        <v>1149784.0997328004</v>
      </c>
      <c r="L580" s="311">
        <v>0</v>
      </c>
      <c r="M580" s="311">
        <v>442253.75</v>
      </c>
      <c r="N580" s="311">
        <v>144622.27979200004</v>
      </c>
      <c r="O580" s="311">
        <v>101235.59585440003</v>
      </c>
      <c r="P580" s="68">
        <f t="shared" si="121"/>
        <v>1837895.7253792004</v>
      </c>
      <c r="Q580" s="68">
        <f t="shared" si="122"/>
        <v>1837895.7253792004</v>
      </c>
      <c r="R580" s="127">
        <f t="shared" si="123"/>
        <v>1837895.7253792004</v>
      </c>
      <c r="S580" s="15"/>
    </row>
    <row r="581" spans="1:19">
      <c r="A581" s="24"/>
      <c r="B581" s="25" t="s">
        <v>1554</v>
      </c>
      <c r="C581" s="26" t="s">
        <v>1350</v>
      </c>
      <c r="D581" s="351">
        <v>1</v>
      </c>
      <c r="E581" s="24"/>
      <c r="F581" s="351">
        <v>1</v>
      </c>
      <c r="G581" s="351" t="s">
        <v>3304</v>
      </c>
      <c r="H581" s="351"/>
      <c r="I581" s="351" t="s">
        <v>2596</v>
      </c>
      <c r="J581" s="560" t="s">
        <v>2328</v>
      </c>
      <c r="K581" s="311">
        <v>1383493.9241592002</v>
      </c>
      <c r="L581" s="311">
        <v>0</v>
      </c>
      <c r="M581" s="311">
        <v>531288.33333333337</v>
      </c>
      <c r="N581" s="311">
        <v>173942.7147546667</v>
      </c>
      <c r="O581" s="311">
        <v>121759.9003282667</v>
      </c>
      <c r="P581" s="68">
        <f t="shared" si="121"/>
        <v>2210484.872575467</v>
      </c>
      <c r="Q581" s="68">
        <f t="shared" si="122"/>
        <v>2210484.872575467</v>
      </c>
      <c r="R581" s="127">
        <f t="shared" si="123"/>
        <v>2210484.872575467</v>
      </c>
      <c r="S581" s="15"/>
    </row>
    <row r="582" spans="1:19">
      <c r="A582" s="24"/>
      <c r="B582" s="25" t="s">
        <v>1555</v>
      </c>
      <c r="C582" s="26" t="s">
        <v>1350</v>
      </c>
      <c r="D582" s="351">
        <v>1</v>
      </c>
      <c r="E582" s="24"/>
      <c r="F582" s="351">
        <v>1</v>
      </c>
      <c r="G582" s="351" t="s">
        <v>3304</v>
      </c>
      <c r="H582" s="351"/>
      <c r="I582" s="351" t="s">
        <v>2596</v>
      </c>
      <c r="J582" s="560" t="s">
        <v>2328</v>
      </c>
      <c r="K582" s="311">
        <v>1414200.3244488004</v>
      </c>
      <c r="L582" s="311">
        <v>0</v>
      </c>
      <c r="M582" s="311">
        <v>529828.75</v>
      </c>
      <c r="N582" s="311">
        <v>176630.64903200004</v>
      </c>
      <c r="O582" s="311">
        <v>123641.45432240004</v>
      </c>
      <c r="P582" s="68">
        <f t="shared" si="121"/>
        <v>2244301.1778032007</v>
      </c>
      <c r="Q582" s="68">
        <f t="shared" si="122"/>
        <v>2244301.1778032007</v>
      </c>
      <c r="R582" s="127">
        <f t="shared" si="123"/>
        <v>2244301.1778032007</v>
      </c>
      <c r="S582" s="26"/>
    </row>
    <row r="583" spans="1:19">
      <c r="A583" s="24">
        <v>2.5</v>
      </c>
      <c r="B583" s="27" t="s">
        <v>1556</v>
      </c>
      <c r="C583" s="24"/>
      <c r="D583" s="351"/>
      <c r="E583" s="24"/>
      <c r="F583" s="351"/>
      <c r="G583" s="40"/>
      <c r="H583" s="40"/>
      <c r="I583" s="40"/>
      <c r="J583" s="590"/>
      <c r="K583" s="66"/>
      <c r="L583" s="66"/>
      <c r="M583" s="66"/>
      <c r="N583" s="66"/>
      <c r="O583" s="66"/>
      <c r="P583" s="66"/>
      <c r="Q583" s="66"/>
      <c r="R583" s="66"/>
      <c r="S583" s="40"/>
    </row>
    <row r="584" spans="1:19">
      <c r="A584" s="26"/>
      <c r="B584" s="25" t="s">
        <v>1557</v>
      </c>
      <c r="C584" s="26" t="s">
        <v>117</v>
      </c>
      <c r="D584" s="351">
        <v>176</v>
      </c>
      <c r="E584" s="26"/>
      <c r="F584" s="351">
        <v>176</v>
      </c>
      <c r="G584" s="351" t="s">
        <v>3205</v>
      </c>
      <c r="H584" s="351"/>
      <c r="I584" s="351" t="s">
        <v>3179</v>
      </c>
      <c r="J584" s="560" t="s">
        <v>2328</v>
      </c>
      <c r="K584" s="311">
        <v>8249</v>
      </c>
      <c r="L584" s="311">
        <v>0</v>
      </c>
      <c r="M584" s="311">
        <v>20340.000000000004</v>
      </c>
      <c r="N584" s="311">
        <v>2530</v>
      </c>
      <c r="O584" s="311">
        <v>1771.0000000000002</v>
      </c>
      <c r="P584" s="68">
        <f t="shared" ref="P584:P585" si="124">SUM(K584:O584)</f>
        <v>32890.000000000007</v>
      </c>
      <c r="Q584" s="68">
        <f>D584*P584</f>
        <v>5788640.0000000009</v>
      </c>
      <c r="R584" s="127">
        <f>F584*P584</f>
        <v>5788640.0000000009</v>
      </c>
      <c r="S584" s="40"/>
    </row>
    <row r="585" spans="1:19">
      <c r="A585" s="26"/>
      <c r="B585" s="25" t="s">
        <v>1558</v>
      </c>
      <c r="C585" s="26" t="s">
        <v>117</v>
      </c>
      <c r="D585" s="351">
        <v>35</v>
      </c>
      <c r="E585" s="26"/>
      <c r="F585" s="351">
        <v>35</v>
      </c>
      <c r="G585" s="351" t="s">
        <v>3204</v>
      </c>
      <c r="H585" s="351"/>
      <c r="I585" s="351" t="s">
        <v>3179</v>
      </c>
      <c r="J585" s="560" t="s">
        <v>2328</v>
      </c>
      <c r="K585" s="311">
        <v>6215.0000000000009</v>
      </c>
      <c r="L585" s="311">
        <v>0</v>
      </c>
      <c r="M585" s="311">
        <v>19455.652173913048</v>
      </c>
      <c r="N585" s="311">
        <v>2271.739130434783</v>
      </c>
      <c r="O585" s="311">
        <v>1590.2173913043482</v>
      </c>
      <c r="P585" s="68">
        <f t="shared" si="124"/>
        <v>29532.608695652179</v>
      </c>
      <c r="Q585" s="68">
        <f>D585*P585</f>
        <v>1033641.3043478263</v>
      </c>
      <c r="R585" s="127">
        <f>F585*P585</f>
        <v>1033641.3043478263</v>
      </c>
      <c r="S585" s="15"/>
    </row>
    <row r="586" spans="1:19">
      <c r="A586" s="24">
        <v>2.6</v>
      </c>
      <c r="B586" s="27" t="s">
        <v>1559</v>
      </c>
      <c r="C586" s="24"/>
      <c r="D586" s="351"/>
      <c r="E586" s="24"/>
      <c r="F586" s="351"/>
      <c r="G586" s="37"/>
      <c r="H586" s="37"/>
      <c r="I586" s="37"/>
      <c r="J586" s="583"/>
      <c r="K586" s="66"/>
      <c r="L586" s="66"/>
      <c r="M586" s="66"/>
      <c r="N586" s="66"/>
      <c r="O586" s="66"/>
      <c r="P586" s="66"/>
      <c r="Q586" s="66"/>
      <c r="R586" s="66"/>
      <c r="S586" s="37"/>
    </row>
    <row r="587" spans="1:19" ht="30">
      <c r="A587" s="24"/>
      <c r="B587" s="25" t="s">
        <v>1560</v>
      </c>
      <c r="C587" s="26" t="s">
        <v>1350</v>
      </c>
      <c r="D587" s="351">
        <v>92</v>
      </c>
      <c r="E587" s="24"/>
      <c r="F587" s="351">
        <v>92</v>
      </c>
      <c r="G587" s="351" t="s">
        <v>3312</v>
      </c>
      <c r="H587" s="351"/>
      <c r="I587" s="351" t="s">
        <v>2596</v>
      </c>
      <c r="J587" s="560" t="s">
        <v>2328</v>
      </c>
      <c r="K587" s="311">
        <v>291291.60000000003</v>
      </c>
      <c r="L587" s="311">
        <v>0</v>
      </c>
      <c r="M587" s="311">
        <v>127803.00000000001</v>
      </c>
      <c r="N587" s="311">
        <v>38034</v>
      </c>
      <c r="O587" s="311">
        <v>26623.800000000003</v>
      </c>
      <c r="P587" s="68">
        <f t="shared" ref="P587:P592" si="125">SUM(K587:O587)</f>
        <v>483752.4</v>
      </c>
      <c r="Q587" s="68">
        <f t="shared" ref="Q587:Q592" si="126">D587*P587</f>
        <v>44505220.800000004</v>
      </c>
      <c r="R587" s="127">
        <f t="shared" ref="R587:R592" si="127">F587*P587</f>
        <v>44505220.800000004</v>
      </c>
      <c r="S587" s="37"/>
    </row>
    <row r="588" spans="1:19" ht="30">
      <c r="A588" s="26"/>
      <c r="B588" s="25" t="s">
        <v>1561</v>
      </c>
      <c r="C588" s="26" t="s">
        <v>1350</v>
      </c>
      <c r="D588" s="351">
        <v>95</v>
      </c>
      <c r="E588" s="26"/>
      <c r="F588" s="351">
        <v>95</v>
      </c>
      <c r="G588" s="351" t="s">
        <v>3312</v>
      </c>
      <c r="H588" s="351"/>
      <c r="I588" s="351" t="s">
        <v>2596</v>
      </c>
      <c r="J588" s="560" t="s">
        <v>2328</v>
      </c>
      <c r="K588" s="311">
        <v>322422</v>
      </c>
      <c r="L588" s="311">
        <v>0</v>
      </c>
      <c r="M588" s="311">
        <v>138043.625</v>
      </c>
      <c r="N588" s="311">
        <v>41796.25</v>
      </c>
      <c r="O588" s="311">
        <v>29257.375000000004</v>
      </c>
      <c r="P588" s="68">
        <f t="shared" si="125"/>
        <v>531519.25</v>
      </c>
      <c r="Q588" s="68">
        <f t="shared" si="126"/>
        <v>50494328.75</v>
      </c>
      <c r="R588" s="127">
        <f t="shared" si="127"/>
        <v>50494328.75</v>
      </c>
      <c r="S588" s="37"/>
    </row>
    <row r="589" spans="1:19" ht="30">
      <c r="A589" s="26"/>
      <c r="B589" s="25" t="s">
        <v>1562</v>
      </c>
      <c r="C589" s="26" t="s">
        <v>1350</v>
      </c>
      <c r="D589" s="351">
        <v>2</v>
      </c>
      <c r="E589" s="26"/>
      <c r="F589" s="351">
        <v>2</v>
      </c>
      <c r="G589" s="351" t="s">
        <v>3312</v>
      </c>
      <c r="H589" s="351"/>
      <c r="I589" s="351" t="s">
        <v>2596</v>
      </c>
      <c r="J589" s="560" t="s">
        <v>2328</v>
      </c>
      <c r="K589" s="311">
        <v>402471.60000000003</v>
      </c>
      <c r="L589" s="311">
        <v>0</v>
      </c>
      <c r="M589" s="311">
        <v>181082.50000000003</v>
      </c>
      <c r="N589" s="311">
        <v>52949</v>
      </c>
      <c r="O589" s="311">
        <v>37064.300000000003</v>
      </c>
      <c r="P589" s="68">
        <f t="shared" si="125"/>
        <v>673567.40000000014</v>
      </c>
      <c r="Q589" s="68">
        <f t="shared" si="126"/>
        <v>1347134.8000000003</v>
      </c>
      <c r="R589" s="127">
        <f t="shared" si="127"/>
        <v>1347134.8000000003</v>
      </c>
      <c r="S589" s="37"/>
    </row>
    <row r="590" spans="1:19" ht="30">
      <c r="A590" s="26"/>
      <c r="B590" s="25" t="s">
        <v>1563</v>
      </c>
      <c r="C590" s="26" t="s">
        <v>1350</v>
      </c>
      <c r="D590" s="361">
        <v>1</v>
      </c>
      <c r="E590" s="26"/>
      <c r="F590" s="361">
        <v>1</v>
      </c>
      <c r="G590" s="351" t="s">
        <v>3312</v>
      </c>
      <c r="H590" s="351"/>
      <c r="I590" s="351" t="s">
        <v>2596</v>
      </c>
      <c r="J590" s="560" t="s">
        <v>2328</v>
      </c>
      <c r="K590" s="311">
        <v>460285.2</v>
      </c>
      <c r="L590" s="311">
        <v>0</v>
      </c>
      <c r="M590" s="311">
        <v>192735.62500000003</v>
      </c>
      <c r="N590" s="311">
        <v>59284.25</v>
      </c>
      <c r="O590" s="311">
        <v>41498.975000000006</v>
      </c>
      <c r="P590" s="68">
        <f t="shared" si="125"/>
        <v>753804.05</v>
      </c>
      <c r="Q590" s="68">
        <f t="shared" si="126"/>
        <v>753804.05</v>
      </c>
      <c r="R590" s="127">
        <f t="shared" si="127"/>
        <v>753804.05</v>
      </c>
      <c r="S590" s="37"/>
    </row>
    <row r="591" spans="1:19" ht="30">
      <c r="A591" s="26"/>
      <c r="B591" s="25" t="s">
        <v>1564</v>
      </c>
      <c r="C591" s="26" t="s">
        <v>1350</v>
      </c>
      <c r="D591" s="351">
        <v>3</v>
      </c>
      <c r="E591" s="26"/>
      <c r="F591" s="351">
        <v>3</v>
      </c>
      <c r="G591" s="351" t="s">
        <v>3312</v>
      </c>
      <c r="H591" s="351"/>
      <c r="I591" s="351" t="s">
        <v>2596</v>
      </c>
      <c r="J591" s="560" t="s">
        <v>2328</v>
      </c>
      <c r="K591" s="311">
        <v>688204.20000000007</v>
      </c>
      <c r="L591" s="311">
        <v>0</v>
      </c>
      <c r="M591" s="311">
        <v>251721.62500000003</v>
      </c>
      <c r="N591" s="311">
        <v>85414.25</v>
      </c>
      <c r="O591" s="311">
        <v>59789.975000000006</v>
      </c>
      <c r="P591" s="68">
        <f t="shared" si="125"/>
        <v>1085130.05</v>
      </c>
      <c r="Q591" s="68">
        <f t="shared" si="126"/>
        <v>3255390.1500000004</v>
      </c>
      <c r="R591" s="127">
        <f t="shared" si="127"/>
        <v>3255390.1500000004</v>
      </c>
      <c r="S591" s="37"/>
    </row>
    <row r="592" spans="1:19" ht="30">
      <c r="A592" s="26"/>
      <c r="B592" s="25" t="s">
        <v>1565</v>
      </c>
      <c r="C592" s="26" t="s">
        <v>1350</v>
      </c>
      <c r="D592" s="351">
        <v>11</v>
      </c>
      <c r="E592" s="26"/>
      <c r="F592" s="351">
        <v>11</v>
      </c>
      <c r="G592" s="351" t="s">
        <v>3312</v>
      </c>
      <c r="H592" s="351"/>
      <c r="I592" s="351" t="s">
        <v>2596</v>
      </c>
      <c r="J592" s="560" t="s">
        <v>2328</v>
      </c>
      <c r="K592" s="311">
        <v>986166.60000000009</v>
      </c>
      <c r="L592" s="311">
        <v>0</v>
      </c>
      <c r="M592" s="311">
        <v>382505.00000000006</v>
      </c>
      <c r="N592" s="311">
        <v>124324</v>
      </c>
      <c r="O592" s="311">
        <v>87026.8</v>
      </c>
      <c r="P592" s="68">
        <f t="shared" si="125"/>
        <v>1580022.4000000001</v>
      </c>
      <c r="Q592" s="68">
        <f t="shared" si="126"/>
        <v>17380246.400000002</v>
      </c>
      <c r="R592" s="127">
        <f t="shared" si="127"/>
        <v>17380246.400000002</v>
      </c>
      <c r="S592" s="37"/>
    </row>
    <row r="593" spans="1:19" ht="28.5">
      <c r="A593" s="24">
        <v>2.7</v>
      </c>
      <c r="B593" s="72" t="s">
        <v>1479</v>
      </c>
      <c r="C593" s="24"/>
      <c r="D593" s="351"/>
      <c r="E593" s="24"/>
      <c r="F593" s="351"/>
      <c r="G593" s="37"/>
      <c r="H593" s="37"/>
      <c r="I593" s="37"/>
      <c r="J593" s="583"/>
      <c r="K593" s="66"/>
      <c r="L593" s="66"/>
      <c r="M593" s="66"/>
      <c r="N593" s="66"/>
      <c r="O593" s="66"/>
      <c r="P593" s="66"/>
      <c r="Q593" s="66"/>
      <c r="R593" s="66"/>
      <c r="S593" s="37"/>
    </row>
    <row r="594" spans="1:19">
      <c r="A594" s="26"/>
      <c r="B594" s="25" t="s">
        <v>1566</v>
      </c>
      <c r="C594" s="26" t="s">
        <v>1350</v>
      </c>
      <c r="D594" s="351">
        <v>1</v>
      </c>
      <c r="E594" s="26"/>
      <c r="F594" s="351">
        <v>1</v>
      </c>
      <c r="G594" s="351" t="s">
        <v>3163</v>
      </c>
      <c r="H594" s="351"/>
      <c r="I594" s="351" t="s">
        <v>2596</v>
      </c>
      <c r="J594" s="560" t="s">
        <v>2328</v>
      </c>
      <c r="K594" s="311">
        <v>111180.00000000001</v>
      </c>
      <c r="L594" s="311">
        <v>0</v>
      </c>
      <c r="M594" s="311">
        <v>51528.000000000007</v>
      </c>
      <c r="N594" s="311">
        <v>14760</v>
      </c>
      <c r="O594" s="311">
        <v>10332.000000000002</v>
      </c>
      <c r="P594" s="68">
        <f t="shared" ref="P594:P604" si="128">SUM(K594:O594)</f>
        <v>187800.00000000003</v>
      </c>
      <c r="Q594" s="68">
        <f t="shared" ref="Q594:Q604" si="129">D594*P594</f>
        <v>187800.00000000003</v>
      </c>
      <c r="R594" s="127">
        <f t="shared" ref="R594:R604" si="130">F594*P594</f>
        <v>187800.00000000003</v>
      </c>
      <c r="S594" s="37"/>
    </row>
    <row r="595" spans="1:19" s="84" customFormat="1">
      <c r="A595" s="30"/>
      <c r="B595" s="29" t="s">
        <v>1577</v>
      </c>
      <c r="C595" s="30" t="s">
        <v>1350</v>
      </c>
      <c r="D595" s="352">
        <v>2</v>
      </c>
      <c r="E595" s="30"/>
      <c r="F595" s="352">
        <v>2</v>
      </c>
      <c r="G595" s="351" t="s">
        <v>3163</v>
      </c>
      <c r="H595" s="351"/>
      <c r="I595" s="351" t="s">
        <v>2596</v>
      </c>
      <c r="J595" s="560" t="s">
        <v>2328</v>
      </c>
      <c r="K595" s="311">
        <v>144534</v>
      </c>
      <c r="L595" s="311">
        <v>0</v>
      </c>
      <c r="M595" s="311">
        <v>51528.000000000007</v>
      </c>
      <c r="N595" s="311">
        <v>17820</v>
      </c>
      <c r="O595" s="311">
        <v>12474.000000000002</v>
      </c>
      <c r="P595" s="68">
        <f t="shared" si="128"/>
        <v>226356</v>
      </c>
      <c r="Q595" s="68">
        <f t="shared" si="129"/>
        <v>452712</v>
      </c>
      <c r="R595" s="127">
        <f t="shared" si="130"/>
        <v>452712</v>
      </c>
      <c r="S595" s="37"/>
    </row>
    <row r="596" spans="1:19" s="84" customFormat="1">
      <c r="A596" s="30"/>
      <c r="B596" s="29" t="s">
        <v>1689</v>
      </c>
      <c r="C596" s="30" t="s">
        <v>1350</v>
      </c>
      <c r="D596" s="352">
        <v>10</v>
      </c>
      <c r="E596" s="30"/>
      <c r="F596" s="352">
        <v>10</v>
      </c>
      <c r="G596" s="351" t="s">
        <v>3163</v>
      </c>
      <c r="H596" s="351"/>
      <c r="I596" s="351" t="s">
        <v>2596</v>
      </c>
      <c r="J596" s="560" t="s">
        <v>2328</v>
      </c>
      <c r="K596" s="311">
        <v>225695.40000000002</v>
      </c>
      <c r="L596" s="311">
        <v>0</v>
      </c>
      <c r="M596" s="311">
        <v>65879</v>
      </c>
      <c r="N596" s="311">
        <v>26536</v>
      </c>
      <c r="O596" s="311">
        <v>18575.2</v>
      </c>
      <c r="P596" s="68">
        <f t="shared" si="128"/>
        <v>336685.60000000003</v>
      </c>
      <c r="Q596" s="68">
        <f t="shared" si="129"/>
        <v>3366856.0000000005</v>
      </c>
      <c r="R596" s="127">
        <f t="shared" si="130"/>
        <v>3366856.0000000005</v>
      </c>
      <c r="S596" s="37"/>
    </row>
    <row r="597" spans="1:19" s="84" customFormat="1">
      <c r="A597" s="30"/>
      <c r="B597" s="29" t="s">
        <v>1575</v>
      </c>
      <c r="C597" s="30" t="s">
        <v>1350</v>
      </c>
      <c r="D597" s="352">
        <v>1</v>
      </c>
      <c r="E597" s="30"/>
      <c r="F597" s="352">
        <v>1</v>
      </c>
      <c r="G597" s="351" t="s">
        <v>3163</v>
      </c>
      <c r="H597" s="351"/>
      <c r="I597" s="351" t="s">
        <v>2596</v>
      </c>
      <c r="J597" s="560" t="s">
        <v>2328</v>
      </c>
      <c r="K597" s="311">
        <v>242372.40000000002</v>
      </c>
      <c r="L597" s="311">
        <v>0</v>
      </c>
      <c r="M597" s="311">
        <v>72207.000000000015</v>
      </c>
      <c r="N597" s="311">
        <v>28626</v>
      </c>
      <c r="O597" s="311">
        <v>20038.2</v>
      </c>
      <c r="P597" s="68">
        <f t="shared" si="128"/>
        <v>363243.60000000003</v>
      </c>
      <c r="Q597" s="68">
        <f t="shared" si="129"/>
        <v>363243.60000000003</v>
      </c>
      <c r="R597" s="127">
        <f t="shared" si="130"/>
        <v>363243.60000000003</v>
      </c>
      <c r="S597" s="37"/>
    </row>
    <row r="598" spans="1:19" s="84" customFormat="1">
      <c r="A598" s="30"/>
      <c r="B598" s="29" t="s">
        <v>1335</v>
      </c>
      <c r="C598" s="30" t="s">
        <v>1350</v>
      </c>
      <c r="D598" s="352">
        <v>3</v>
      </c>
      <c r="E598" s="30"/>
      <c r="F598" s="352">
        <v>3</v>
      </c>
      <c r="G598" s="351" t="s">
        <v>3163</v>
      </c>
      <c r="H598" s="351"/>
      <c r="I598" s="351" t="s">
        <v>2596</v>
      </c>
      <c r="J598" s="560" t="s">
        <v>2328</v>
      </c>
      <c r="K598" s="311">
        <v>289068</v>
      </c>
      <c r="L598" s="311">
        <v>0</v>
      </c>
      <c r="M598" s="311">
        <v>72207.000000000015</v>
      </c>
      <c r="N598" s="311">
        <v>32910</v>
      </c>
      <c r="O598" s="311">
        <v>23037.000000000004</v>
      </c>
      <c r="P598" s="68">
        <f t="shared" si="128"/>
        <v>417222</v>
      </c>
      <c r="Q598" s="68">
        <f t="shared" si="129"/>
        <v>1251666</v>
      </c>
      <c r="R598" s="127">
        <f t="shared" si="130"/>
        <v>1251666</v>
      </c>
      <c r="S598" s="15"/>
    </row>
    <row r="599" spans="1:19" s="84" customFormat="1">
      <c r="A599" s="30"/>
      <c r="B599" s="29" t="s">
        <v>1445</v>
      </c>
      <c r="C599" s="30" t="s">
        <v>1350</v>
      </c>
      <c r="D599" s="352">
        <v>1</v>
      </c>
      <c r="E599" s="30"/>
      <c r="F599" s="352">
        <v>1</v>
      </c>
      <c r="G599" s="351" t="s">
        <v>3163</v>
      </c>
      <c r="H599" s="351"/>
      <c r="I599" s="351" t="s">
        <v>2596</v>
      </c>
      <c r="J599" s="560" t="s">
        <v>2328</v>
      </c>
      <c r="K599" s="311">
        <v>375788.4</v>
      </c>
      <c r="L599" s="311">
        <v>0</v>
      </c>
      <c r="M599" s="311">
        <v>95824.000000000015</v>
      </c>
      <c r="N599" s="311">
        <v>42956</v>
      </c>
      <c r="O599" s="311">
        <v>30069.200000000004</v>
      </c>
      <c r="P599" s="68">
        <f t="shared" si="128"/>
        <v>544637.6</v>
      </c>
      <c r="Q599" s="68">
        <f t="shared" si="129"/>
        <v>544637.6</v>
      </c>
      <c r="R599" s="127">
        <f t="shared" si="130"/>
        <v>544637.6</v>
      </c>
      <c r="S599" s="308"/>
    </row>
    <row r="600" spans="1:19" s="84" customFormat="1">
      <c r="A600" s="30"/>
      <c r="B600" s="29" t="s">
        <v>2093</v>
      </c>
      <c r="C600" s="30" t="s">
        <v>1350</v>
      </c>
      <c r="D600" s="352">
        <v>2</v>
      </c>
      <c r="E600" s="30"/>
      <c r="F600" s="352">
        <v>2</v>
      </c>
      <c r="G600" s="351" t="s">
        <v>3163</v>
      </c>
      <c r="H600" s="351"/>
      <c r="I600" s="351" t="s">
        <v>2596</v>
      </c>
      <c r="J600" s="560" t="s">
        <v>2328</v>
      </c>
      <c r="K600" s="311">
        <v>540334.80000000005</v>
      </c>
      <c r="L600" s="311">
        <v>0</v>
      </c>
      <c r="M600" s="311">
        <v>111870.00000000001</v>
      </c>
      <c r="N600" s="311">
        <v>59472</v>
      </c>
      <c r="O600" s="311">
        <v>41630.400000000001</v>
      </c>
      <c r="P600" s="68">
        <f t="shared" si="128"/>
        <v>753307.20000000007</v>
      </c>
      <c r="Q600" s="68">
        <f t="shared" si="129"/>
        <v>1506614.4000000001</v>
      </c>
      <c r="R600" s="127">
        <f t="shared" si="130"/>
        <v>1506614.4000000001</v>
      </c>
      <c r="S600" s="38"/>
    </row>
    <row r="601" spans="1:19" s="84" customFormat="1">
      <c r="A601" s="30"/>
      <c r="B601" s="29" t="s">
        <v>1455</v>
      </c>
      <c r="C601" s="30" t="s">
        <v>1350</v>
      </c>
      <c r="D601" s="352">
        <v>1</v>
      </c>
      <c r="E601" s="30"/>
      <c r="F601" s="352">
        <v>1</v>
      </c>
      <c r="G601" s="351" t="s">
        <v>3163</v>
      </c>
      <c r="H601" s="351"/>
      <c r="I601" s="351" t="s">
        <v>2596</v>
      </c>
      <c r="J601" s="560" t="s">
        <v>2328</v>
      </c>
      <c r="K601" s="311">
        <v>750465</v>
      </c>
      <c r="L601" s="311">
        <v>0</v>
      </c>
      <c r="M601" s="311">
        <v>127577.00000000001</v>
      </c>
      <c r="N601" s="311">
        <v>80140</v>
      </c>
      <c r="O601" s="311">
        <v>56098.000000000007</v>
      </c>
      <c r="P601" s="68">
        <f t="shared" si="128"/>
        <v>1014280</v>
      </c>
      <c r="Q601" s="68">
        <f t="shared" si="129"/>
        <v>1014280</v>
      </c>
      <c r="R601" s="127">
        <f t="shared" si="130"/>
        <v>1014280</v>
      </c>
      <c r="S601" s="36"/>
    </row>
    <row r="602" spans="1:19" s="84" customFormat="1">
      <c r="A602" s="30"/>
      <c r="B602" s="29" t="s">
        <v>1387</v>
      </c>
      <c r="C602" s="30" t="s">
        <v>1350</v>
      </c>
      <c r="D602" s="352">
        <v>3</v>
      </c>
      <c r="E602" s="30"/>
      <c r="F602" s="352">
        <v>3</v>
      </c>
      <c r="G602" s="351" t="s">
        <v>3163</v>
      </c>
      <c r="H602" s="351"/>
      <c r="I602" s="351" t="s">
        <v>2596</v>
      </c>
      <c r="J602" s="560" t="s">
        <v>2328</v>
      </c>
      <c r="K602" s="311">
        <v>720446.4</v>
      </c>
      <c r="L602" s="311">
        <v>0</v>
      </c>
      <c r="M602" s="311">
        <v>143736.00000000003</v>
      </c>
      <c r="N602" s="311">
        <v>78816</v>
      </c>
      <c r="O602" s="311">
        <v>55171.200000000004</v>
      </c>
      <c r="P602" s="68">
        <f t="shared" si="128"/>
        <v>998169.59999999998</v>
      </c>
      <c r="Q602" s="68">
        <f t="shared" si="129"/>
        <v>2994508.8</v>
      </c>
      <c r="R602" s="127">
        <f t="shared" si="130"/>
        <v>2994508.8</v>
      </c>
      <c r="S602" s="15"/>
    </row>
    <row r="603" spans="1:19" s="84" customFormat="1">
      <c r="A603" s="30"/>
      <c r="B603" s="29" t="s">
        <v>1390</v>
      </c>
      <c r="C603" s="30" t="s">
        <v>1350</v>
      </c>
      <c r="D603" s="352">
        <v>1</v>
      </c>
      <c r="E603" s="30"/>
      <c r="F603" s="352">
        <v>1</v>
      </c>
      <c r="G603" s="351" t="s">
        <v>3163</v>
      </c>
      <c r="H603" s="351"/>
      <c r="I603" s="351" t="s">
        <v>2596</v>
      </c>
      <c r="J603" s="560" t="s">
        <v>2328</v>
      </c>
      <c r="K603" s="311">
        <v>1126253.4000000001</v>
      </c>
      <c r="L603" s="311">
        <v>0</v>
      </c>
      <c r="M603" s="311">
        <v>175715.00000000003</v>
      </c>
      <c r="N603" s="311">
        <v>118876</v>
      </c>
      <c r="O603" s="311">
        <v>83213.200000000012</v>
      </c>
      <c r="P603" s="68">
        <f t="shared" si="128"/>
        <v>1504057.6</v>
      </c>
      <c r="Q603" s="68">
        <f t="shared" si="129"/>
        <v>1504057.6</v>
      </c>
      <c r="R603" s="127">
        <f t="shared" si="130"/>
        <v>1504057.6</v>
      </c>
      <c r="S603" s="18"/>
    </row>
    <row r="604" spans="1:19" s="84" customFormat="1">
      <c r="A604" s="30"/>
      <c r="B604" s="29" t="s">
        <v>1505</v>
      </c>
      <c r="C604" s="30" t="s">
        <v>1350</v>
      </c>
      <c r="D604" s="352">
        <v>1</v>
      </c>
      <c r="E604" s="30"/>
      <c r="F604" s="352">
        <v>1</v>
      </c>
      <c r="G604" s="351" t="s">
        <v>3163</v>
      </c>
      <c r="H604" s="351"/>
      <c r="I604" s="351" t="s">
        <v>2596</v>
      </c>
      <c r="J604" s="560" t="s">
        <v>2328</v>
      </c>
      <c r="K604" s="311">
        <v>1080669.6000000001</v>
      </c>
      <c r="L604" s="311">
        <v>0</v>
      </c>
      <c r="M604" s="311">
        <v>223966.00000000003</v>
      </c>
      <c r="N604" s="311">
        <v>118964</v>
      </c>
      <c r="O604" s="311">
        <v>83274.8</v>
      </c>
      <c r="P604" s="68">
        <f t="shared" si="128"/>
        <v>1506874.4000000001</v>
      </c>
      <c r="Q604" s="68">
        <f t="shared" si="129"/>
        <v>1506874.4000000001</v>
      </c>
      <c r="R604" s="127">
        <f t="shared" si="130"/>
        <v>1506874.4000000001</v>
      </c>
      <c r="S604" s="15"/>
    </row>
    <row r="605" spans="1:19" ht="28.5">
      <c r="A605" s="24">
        <v>2.8</v>
      </c>
      <c r="B605" s="72" t="s">
        <v>1567</v>
      </c>
      <c r="C605" s="24"/>
      <c r="D605" s="351"/>
      <c r="E605" s="24"/>
      <c r="F605" s="351"/>
      <c r="G605" s="37"/>
      <c r="H605" s="37"/>
      <c r="I605" s="37"/>
      <c r="J605" s="583"/>
      <c r="K605" s="66"/>
      <c r="L605" s="66"/>
      <c r="M605" s="66"/>
      <c r="N605" s="66"/>
      <c r="O605" s="66"/>
      <c r="P605" s="66"/>
      <c r="Q605" s="66"/>
      <c r="R605" s="66"/>
      <c r="S605" s="37"/>
    </row>
    <row r="606" spans="1:19">
      <c r="A606" s="24"/>
      <c r="B606" s="25" t="s">
        <v>1568</v>
      </c>
      <c r="C606" s="26" t="s">
        <v>1350</v>
      </c>
      <c r="D606" s="351">
        <v>1</v>
      </c>
      <c r="E606" s="24"/>
      <c r="F606" s="351">
        <v>1</v>
      </c>
      <c r="G606" s="351" t="s">
        <v>3163</v>
      </c>
      <c r="H606" s="351"/>
      <c r="I606" s="351" t="s">
        <v>2596</v>
      </c>
      <c r="J606" s="560" t="s">
        <v>2328</v>
      </c>
      <c r="K606" s="311">
        <v>177888</v>
      </c>
      <c r="L606" s="311">
        <v>0</v>
      </c>
      <c r="M606" s="311">
        <v>65879</v>
      </c>
      <c r="N606" s="311">
        <v>22150</v>
      </c>
      <c r="O606" s="311">
        <v>15505.000000000002</v>
      </c>
      <c r="P606" s="68">
        <f t="shared" ref="P606:P611" si="131">SUM(K606:O606)</f>
        <v>281422</v>
      </c>
      <c r="Q606" s="68">
        <f t="shared" ref="Q606:Q611" si="132">D606*P606</f>
        <v>281422</v>
      </c>
      <c r="R606" s="127">
        <f t="shared" ref="R606:R611" si="133">F606*P606</f>
        <v>281422</v>
      </c>
      <c r="S606" s="37"/>
    </row>
    <row r="607" spans="1:19">
      <c r="A607" s="24"/>
      <c r="B607" s="25" t="s">
        <v>1569</v>
      </c>
      <c r="C607" s="26" t="s">
        <v>1350</v>
      </c>
      <c r="D607" s="351">
        <v>2</v>
      </c>
      <c r="E607" s="24"/>
      <c r="F607" s="351">
        <v>2</v>
      </c>
      <c r="G607" s="351" t="s">
        <v>3163</v>
      </c>
      <c r="H607" s="351"/>
      <c r="I607" s="351" t="s">
        <v>2596</v>
      </c>
      <c r="J607" s="560" t="s">
        <v>2328</v>
      </c>
      <c r="K607" s="311">
        <v>242372.40000000002</v>
      </c>
      <c r="L607" s="311">
        <v>0</v>
      </c>
      <c r="M607" s="311">
        <v>72207.000000000015</v>
      </c>
      <c r="N607" s="311">
        <v>28626</v>
      </c>
      <c r="O607" s="311">
        <v>20038.2</v>
      </c>
      <c r="P607" s="68">
        <f t="shared" si="131"/>
        <v>363243.60000000003</v>
      </c>
      <c r="Q607" s="68">
        <f t="shared" si="132"/>
        <v>726487.20000000007</v>
      </c>
      <c r="R607" s="127">
        <f t="shared" si="133"/>
        <v>726487.20000000007</v>
      </c>
      <c r="S607" s="37"/>
    </row>
    <row r="608" spans="1:19">
      <c r="A608" s="24"/>
      <c r="B608" s="25" t="s">
        <v>1570</v>
      </c>
      <c r="C608" s="26" t="s">
        <v>1350</v>
      </c>
      <c r="D608" s="351">
        <v>3</v>
      </c>
      <c r="E608" s="24"/>
      <c r="F608" s="351">
        <v>3</v>
      </c>
      <c r="G608" s="351" t="s">
        <v>3163</v>
      </c>
      <c r="H608" s="351"/>
      <c r="I608" s="351" t="s">
        <v>2596</v>
      </c>
      <c r="J608" s="560" t="s">
        <v>2328</v>
      </c>
      <c r="K608" s="311">
        <v>325757.40000000002</v>
      </c>
      <c r="L608" s="311">
        <v>0</v>
      </c>
      <c r="M608" s="311">
        <v>95824.000000000015</v>
      </c>
      <c r="N608" s="311">
        <v>38366</v>
      </c>
      <c r="O608" s="311">
        <v>26856.200000000004</v>
      </c>
      <c r="P608" s="68">
        <f t="shared" si="131"/>
        <v>486803.60000000003</v>
      </c>
      <c r="Q608" s="68">
        <f t="shared" si="132"/>
        <v>1460410.8</v>
      </c>
      <c r="R608" s="127">
        <f t="shared" si="133"/>
        <v>1460410.8</v>
      </c>
      <c r="S608" s="39"/>
    </row>
    <row r="609" spans="1:19">
      <c r="A609" s="24"/>
      <c r="B609" s="25" t="s">
        <v>1571</v>
      </c>
      <c r="C609" s="26" t="s">
        <v>1350</v>
      </c>
      <c r="D609" s="351">
        <v>1</v>
      </c>
      <c r="E609" s="24"/>
      <c r="F609" s="351">
        <v>1</v>
      </c>
      <c r="G609" s="351" t="s">
        <v>3163</v>
      </c>
      <c r="H609" s="351"/>
      <c r="I609" s="351" t="s">
        <v>2596</v>
      </c>
      <c r="J609" s="560" t="s">
        <v>2328</v>
      </c>
      <c r="K609" s="311">
        <v>531440.4</v>
      </c>
      <c r="L609" s="311">
        <v>0</v>
      </c>
      <c r="M609" s="311">
        <v>111870.00000000001</v>
      </c>
      <c r="N609" s="311">
        <v>58656</v>
      </c>
      <c r="O609" s="311">
        <v>41059.200000000004</v>
      </c>
      <c r="P609" s="68">
        <f t="shared" si="131"/>
        <v>743025.6</v>
      </c>
      <c r="Q609" s="68">
        <f t="shared" si="132"/>
        <v>743025.6</v>
      </c>
      <c r="R609" s="127">
        <f t="shared" si="133"/>
        <v>743025.6</v>
      </c>
      <c r="S609" s="36"/>
    </row>
    <row r="610" spans="1:19">
      <c r="A610" s="24"/>
      <c r="B610" s="25" t="s">
        <v>1572</v>
      </c>
      <c r="C610" s="26" t="s">
        <v>1350</v>
      </c>
      <c r="D610" s="351">
        <v>1</v>
      </c>
      <c r="E610" s="24"/>
      <c r="F610" s="351">
        <v>1</v>
      </c>
      <c r="G610" s="351" t="s">
        <v>3163</v>
      </c>
      <c r="H610" s="351"/>
      <c r="I610" s="351" t="s">
        <v>2596</v>
      </c>
      <c r="J610" s="560" t="s">
        <v>2328</v>
      </c>
      <c r="K610" s="311">
        <v>675974.4</v>
      </c>
      <c r="L610" s="311">
        <v>0</v>
      </c>
      <c r="M610" s="311">
        <v>159669.00000000003</v>
      </c>
      <c r="N610" s="311">
        <v>76146</v>
      </c>
      <c r="O610" s="311">
        <v>53302.200000000004</v>
      </c>
      <c r="P610" s="68">
        <f t="shared" si="131"/>
        <v>965091.6</v>
      </c>
      <c r="Q610" s="68">
        <f t="shared" si="132"/>
        <v>965091.6</v>
      </c>
      <c r="R610" s="127">
        <f t="shared" si="133"/>
        <v>965091.6</v>
      </c>
      <c r="S610" s="15"/>
    </row>
    <row r="611" spans="1:19">
      <c r="A611" s="24"/>
      <c r="B611" s="25" t="s">
        <v>1480</v>
      </c>
      <c r="C611" s="26" t="s">
        <v>1350</v>
      </c>
      <c r="D611" s="351">
        <v>1</v>
      </c>
      <c r="E611" s="24"/>
      <c r="F611" s="351">
        <v>1</v>
      </c>
      <c r="G611" s="351" t="s">
        <v>3163</v>
      </c>
      <c r="H611" s="351"/>
      <c r="I611" s="351" t="s">
        <v>2596</v>
      </c>
      <c r="J611" s="560" t="s">
        <v>2328</v>
      </c>
      <c r="K611" s="311">
        <v>2251395</v>
      </c>
      <c r="L611" s="311">
        <v>0</v>
      </c>
      <c r="M611" s="311">
        <v>311767.00000000006</v>
      </c>
      <c r="N611" s="311">
        <v>234140</v>
      </c>
      <c r="O611" s="311">
        <v>163898.00000000003</v>
      </c>
      <c r="P611" s="68">
        <f t="shared" si="131"/>
        <v>2961200</v>
      </c>
      <c r="Q611" s="68">
        <f t="shared" si="132"/>
        <v>2961200</v>
      </c>
      <c r="R611" s="127">
        <f t="shared" si="133"/>
        <v>2961200</v>
      </c>
      <c r="S611" s="18"/>
    </row>
    <row r="612" spans="1:19" ht="57">
      <c r="A612" s="24">
        <v>2.9</v>
      </c>
      <c r="B612" s="72" t="s">
        <v>1377</v>
      </c>
      <c r="C612" s="24"/>
      <c r="D612" s="351"/>
      <c r="E612" s="24"/>
      <c r="F612" s="351"/>
      <c r="G612" s="15"/>
      <c r="H612" s="15"/>
      <c r="I612" s="15"/>
      <c r="J612" s="572"/>
      <c r="K612" s="66"/>
      <c r="L612" s="66"/>
      <c r="M612" s="66"/>
      <c r="N612" s="66"/>
      <c r="O612" s="66"/>
      <c r="P612" s="66"/>
      <c r="Q612" s="66"/>
      <c r="R612" s="66"/>
      <c r="S612" s="15"/>
    </row>
    <row r="613" spans="1:19" ht="45">
      <c r="A613" s="24"/>
      <c r="B613" s="25" t="s">
        <v>1573</v>
      </c>
      <c r="C613" s="26" t="s">
        <v>1350</v>
      </c>
      <c r="D613" s="351">
        <v>1</v>
      </c>
      <c r="E613" s="24"/>
      <c r="F613" s="351">
        <v>1</v>
      </c>
      <c r="G613" s="351" t="s">
        <v>3313</v>
      </c>
      <c r="H613" s="351"/>
      <c r="I613" s="351" t="s">
        <v>2596</v>
      </c>
      <c r="J613" s="560" t="s">
        <v>2328</v>
      </c>
      <c r="K613" s="311">
        <v>1996465.8</v>
      </c>
      <c r="L613" s="311">
        <v>0</v>
      </c>
      <c r="M613" s="311">
        <v>390528.00000000006</v>
      </c>
      <c r="N613" s="311">
        <v>217722</v>
      </c>
      <c r="O613" s="311">
        <v>152405.40000000002</v>
      </c>
      <c r="P613" s="68">
        <f t="shared" ref="P613:P614" si="134">SUM(K613:O613)</f>
        <v>2757121.2</v>
      </c>
      <c r="Q613" s="68">
        <f>D613*P613</f>
        <v>2757121.2</v>
      </c>
      <c r="R613" s="127">
        <f>F613*P613</f>
        <v>2757121.2</v>
      </c>
      <c r="S613" s="15"/>
    </row>
    <row r="614" spans="1:19" ht="45">
      <c r="A614" s="24"/>
      <c r="B614" s="25" t="s">
        <v>1574</v>
      </c>
      <c r="C614" s="26" t="s">
        <v>1350</v>
      </c>
      <c r="D614" s="351">
        <v>2</v>
      </c>
      <c r="E614" s="24"/>
      <c r="F614" s="351">
        <v>2</v>
      </c>
      <c r="G614" s="351" t="s">
        <v>3314</v>
      </c>
      <c r="H614" s="351"/>
      <c r="I614" s="351" t="s">
        <v>2596</v>
      </c>
      <c r="J614" s="560" t="s">
        <v>2328</v>
      </c>
      <c r="K614" s="311">
        <v>4210844.4000000004</v>
      </c>
      <c r="L614" s="311">
        <v>0</v>
      </c>
      <c r="M614" s="311">
        <v>1052453.75</v>
      </c>
      <c r="N614" s="311">
        <v>479453.5</v>
      </c>
      <c r="O614" s="311">
        <v>335617.45</v>
      </c>
      <c r="P614" s="68">
        <f t="shared" si="134"/>
        <v>6078369.1000000006</v>
      </c>
      <c r="Q614" s="68">
        <f>D614*P614</f>
        <v>12156738.200000001</v>
      </c>
      <c r="R614" s="127">
        <f>F614*P614</f>
        <v>12156738.200000001</v>
      </c>
      <c r="S614" s="15"/>
    </row>
    <row r="615" spans="1:19">
      <c r="A615" s="73">
        <v>2.1</v>
      </c>
      <c r="B615" s="72" t="s">
        <v>1376</v>
      </c>
      <c r="C615" s="24"/>
      <c r="D615" s="351"/>
      <c r="E615" s="24"/>
      <c r="F615" s="351"/>
      <c r="G615" s="351"/>
      <c r="H615" s="351"/>
      <c r="I615" s="351"/>
      <c r="J615" s="560"/>
      <c r="K615" s="66"/>
      <c r="L615" s="66"/>
      <c r="M615" s="66"/>
      <c r="N615" s="66"/>
      <c r="O615" s="66"/>
      <c r="P615" s="66"/>
      <c r="Q615" s="66"/>
      <c r="R615" s="66"/>
      <c r="S615" s="26"/>
    </row>
    <row r="616" spans="1:19">
      <c r="A616" s="24"/>
      <c r="B616" s="25" t="s">
        <v>1575</v>
      </c>
      <c r="C616" s="26" t="s">
        <v>1350</v>
      </c>
      <c r="D616" s="351">
        <v>3</v>
      </c>
      <c r="E616" s="24"/>
      <c r="F616" s="351">
        <v>3</v>
      </c>
      <c r="G616" s="351" t="s">
        <v>3162</v>
      </c>
      <c r="H616" s="351"/>
      <c r="I616" s="351" t="s">
        <v>2596</v>
      </c>
      <c r="J616" s="560" t="s">
        <v>2328</v>
      </c>
      <c r="K616" s="311">
        <v>384436.34598600003</v>
      </c>
      <c r="L616" s="311">
        <v>0</v>
      </c>
      <c r="M616" s="311">
        <v>87349.000000000015</v>
      </c>
      <c r="N616" s="311">
        <v>42999.389540000004</v>
      </c>
      <c r="O616" s="311">
        <v>30099.572678</v>
      </c>
      <c r="P616" s="68">
        <f t="shared" ref="P616:P618" si="135">SUM(K616:O616)</f>
        <v>544884.308204</v>
      </c>
      <c r="Q616" s="68">
        <f>D616*P616</f>
        <v>1634652.9246120001</v>
      </c>
      <c r="R616" s="127">
        <f>F616*P616</f>
        <v>1634652.9246120001</v>
      </c>
      <c r="S616" s="40"/>
    </row>
    <row r="617" spans="1:19">
      <c r="A617" s="24"/>
      <c r="B617" s="25" t="s">
        <v>1445</v>
      </c>
      <c r="C617" s="26" t="s">
        <v>1350</v>
      </c>
      <c r="D617" s="351">
        <v>4</v>
      </c>
      <c r="E617" s="24"/>
      <c r="F617" s="351">
        <v>4</v>
      </c>
      <c r="G617" s="351" t="s">
        <v>3162</v>
      </c>
      <c r="H617" s="351"/>
      <c r="I617" s="351" t="s">
        <v>2596</v>
      </c>
      <c r="J617" s="560" t="s">
        <v>2328</v>
      </c>
      <c r="K617" s="311">
        <v>498019.81184549996</v>
      </c>
      <c r="L617" s="311">
        <v>0</v>
      </c>
      <c r="M617" s="311">
        <v>135035</v>
      </c>
      <c r="N617" s="311">
        <v>57639.890995000002</v>
      </c>
      <c r="O617" s="311">
        <v>40347.923696500002</v>
      </c>
      <c r="P617" s="68">
        <f t="shared" si="135"/>
        <v>731042.62653700006</v>
      </c>
      <c r="Q617" s="68">
        <f>D617*P617</f>
        <v>2924170.5061480002</v>
      </c>
      <c r="R617" s="127">
        <f>F617*P617</f>
        <v>2924170.5061480002</v>
      </c>
      <c r="S617" s="40"/>
    </row>
    <row r="618" spans="1:19">
      <c r="A618" s="24"/>
      <c r="B618" s="25" t="s">
        <v>1447</v>
      </c>
      <c r="C618" s="26" t="s">
        <v>1350</v>
      </c>
      <c r="D618" s="351">
        <v>1</v>
      </c>
      <c r="E618" s="24"/>
      <c r="F618" s="351">
        <v>1</v>
      </c>
      <c r="G618" s="351" t="s">
        <v>3162</v>
      </c>
      <c r="H618" s="351"/>
      <c r="I618" s="351" t="s">
        <v>2596</v>
      </c>
      <c r="J618" s="560" t="s">
        <v>2328</v>
      </c>
      <c r="K618" s="311">
        <v>566946.53044399992</v>
      </c>
      <c r="L618" s="311">
        <v>0</v>
      </c>
      <c r="M618" s="311">
        <v>135035</v>
      </c>
      <c r="N618" s="311">
        <v>63963.443159999995</v>
      </c>
      <c r="O618" s="311">
        <v>44774.410211999995</v>
      </c>
      <c r="P618" s="68">
        <f t="shared" si="135"/>
        <v>810719.38381599996</v>
      </c>
      <c r="Q618" s="68">
        <f>D618*P618</f>
        <v>810719.38381599996</v>
      </c>
      <c r="R618" s="127">
        <f>F618*P618</f>
        <v>810719.38381599996</v>
      </c>
      <c r="S618" s="18"/>
    </row>
    <row r="619" spans="1:19">
      <c r="A619" s="24">
        <v>2.11</v>
      </c>
      <c r="B619" s="72" t="s">
        <v>1371</v>
      </c>
      <c r="C619" s="24"/>
      <c r="D619" s="351"/>
      <c r="E619" s="24"/>
      <c r="F619" s="351"/>
      <c r="G619" s="351"/>
      <c r="H619" s="351"/>
      <c r="I619" s="351"/>
      <c r="J619" s="560"/>
      <c r="K619" s="66"/>
      <c r="L619" s="66"/>
      <c r="M619" s="66"/>
      <c r="N619" s="66"/>
      <c r="O619" s="66"/>
      <c r="P619" s="66"/>
      <c r="Q619" s="66"/>
      <c r="R619" s="66"/>
      <c r="S619" s="37"/>
    </row>
    <row r="620" spans="1:19">
      <c r="A620" s="24"/>
      <c r="B620" s="25" t="s">
        <v>1576</v>
      </c>
      <c r="C620" s="26" t="s">
        <v>1350</v>
      </c>
      <c r="D620" s="351">
        <v>1</v>
      </c>
      <c r="E620" s="24"/>
      <c r="F620" s="351">
        <v>1</v>
      </c>
      <c r="G620" s="351" t="s">
        <v>3162</v>
      </c>
      <c r="H620" s="351"/>
      <c r="I620" s="351" t="s">
        <v>2596</v>
      </c>
      <c r="J620" s="560" t="s">
        <v>2328</v>
      </c>
      <c r="K620" s="311">
        <v>196101.36840699997</v>
      </c>
      <c r="L620" s="311">
        <v>0</v>
      </c>
      <c r="M620" s="311">
        <v>42375.000000000007</v>
      </c>
      <c r="N620" s="311">
        <v>21740.951229999999</v>
      </c>
      <c r="O620" s="311">
        <v>15218.665860999999</v>
      </c>
      <c r="P620" s="68">
        <f t="shared" ref="P620:P629" si="136">SUM(K620:O620)</f>
        <v>275435.98549799999</v>
      </c>
      <c r="Q620" s="68">
        <f t="shared" ref="Q620:Q629" si="137">D620*P620</f>
        <v>275435.98549799999</v>
      </c>
      <c r="R620" s="127">
        <f t="shared" ref="R620:R629" si="138">F620*P620</f>
        <v>275435.98549799999</v>
      </c>
      <c r="S620" s="37"/>
    </row>
    <row r="621" spans="1:19">
      <c r="A621" s="24"/>
      <c r="B621" s="25" t="s">
        <v>1577</v>
      </c>
      <c r="C621" s="26" t="s">
        <v>1350</v>
      </c>
      <c r="D621" s="351">
        <v>1</v>
      </c>
      <c r="E621" s="24"/>
      <c r="F621" s="351">
        <v>1</v>
      </c>
      <c r="G621" s="351" t="s">
        <v>3162</v>
      </c>
      <c r="H621" s="351"/>
      <c r="I621" s="351" t="s">
        <v>2596</v>
      </c>
      <c r="J621" s="560" t="s">
        <v>2328</v>
      </c>
      <c r="K621" s="311">
        <v>217458.943184</v>
      </c>
      <c r="L621" s="311">
        <v>0</v>
      </c>
      <c r="M621" s="311">
        <v>42375.000000000007</v>
      </c>
      <c r="N621" s="311">
        <v>23700.36176</v>
      </c>
      <c r="O621" s="311">
        <v>16590.253232000003</v>
      </c>
      <c r="P621" s="68">
        <f t="shared" si="136"/>
        <v>300124.55817599996</v>
      </c>
      <c r="Q621" s="68">
        <f t="shared" si="137"/>
        <v>300124.55817599996</v>
      </c>
      <c r="R621" s="127">
        <f t="shared" si="138"/>
        <v>300124.55817599996</v>
      </c>
      <c r="S621" s="37"/>
    </row>
    <row r="622" spans="1:19">
      <c r="A622" s="24"/>
      <c r="B622" s="25" t="s">
        <v>1578</v>
      </c>
      <c r="C622" s="26" t="s">
        <v>1350</v>
      </c>
      <c r="D622" s="351">
        <v>2</v>
      </c>
      <c r="E622" s="24"/>
      <c r="F622" s="351">
        <v>2</v>
      </c>
      <c r="G622" s="351" t="s">
        <v>3162</v>
      </c>
      <c r="H622" s="351"/>
      <c r="I622" s="351" t="s">
        <v>2596</v>
      </c>
      <c r="J622" s="560" t="s">
        <v>2328</v>
      </c>
      <c r="K622" s="311">
        <v>251436.90305650001</v>
      </c>
      <c r="L622" s="311">
        <v>0</v>
      </c>
      <c r="M622" s="311">
        <v>42375.000000000007</v>
      </c>
      <c r="N622" s="311">
        <v>26817.605785</v>
      </c>
      <c r="O622" s="311">
        <v>18772.324049499999</v>
      </c>
      <c r="P622" s="68">
        <f t="shared" si="136"/>
        <v>339401.83289100003</v>
      </c>
      <c r="Q622" s="68">
        <f t="shared" si="137"/>
        <v>678803.66578200005</v>
      </c>
      <c r="R622" s="127">
        <f t="shared" si="138"/>
        <v>678803.66578200005</v>
      </c>
      <c r="S622" s="37"/>
    </row>
    <row r="623" spans="1:19">
      <c r="A623" s="24"/>
      <c r="B623" s="25" t="s">
        <v>1441</v>
      </c>
      <c r="C623" s="26" t="s">
        <v>1350</v>
      </c>
      <c r="D623" s="351">
        <v>1</v>
      </c>
      <c r="E623" s="24"/>
      <c r="F623" s="351">
        <v>1</v>
      </c>
      <c r="G623" s="351" t="s">
        <v>3162</v>
      </c>
      <c r="H623" s="351"/>
      <c r="I623" s="351" t="s">
        <v>2596</v>
      </c>
      <c r="J623" s="560" t="s">
        <v>2328</v>
      </c>
      <c r="K623" s="311">
        <v>319392.82280149998</v>
      </c>
      <c r="L623" s="311">
        <v>0</v>
      </c>
      <c r="M623" s="311">
        <v>60116.000000000007</v>
      </c>
      <c r="N623" s="311">
        <v>34622.093835</v>
      </c>
      <c r="O623" s="311">
        <v>24235.465684499999</v>
      </c>
      <c r="P623" s="68">
        <f t="shared" si="136"/>
        <v>438366.38232099998</v>
      </c>
      <c r="Q623" s="68">
        <f t="shared" si="137"/>
        <v>438366.38232099998</v>
      </c>
      <c r="R623" s="127">
        <f t="shared" si="138"/>
        <v>438366.38232099998</v>
      </c>
      <c r="S623" s="39"/>
    </row>
    <row r="624" spans="1:19">
      <c r="A624" s="24"/>
      <c r="B624" s="25" t="s">
        <v>1437</v>
      </c>
      <c r="C624" s="26" t="s">
        <v>1350</v>
      </c>
      <c r="D624" s="351">
        <v>1</v>
      </c>
      <c r="E624" s="24"/>
      <c r="F624" s="351">
        <v>1</v>
      </c>
      <c r="G624" s="351" t="s">
        <v>3162</v>
      </c>
      <c r="H624" s="351"/>
      <c r="I624" s="351" t="s">
        <v>2596</v>
      </c>
      <c r="J624" s="560" t="s">
        <v>2328</v>
      </c>
      <c r="K624" s="311">
        <v>676646.80088949995</v>
      </c>
      <c r="L624" s="311">
        <v>0</v>
      </c>
      <c r="M624" s="311">
        <v>135035</v>
      </c>
      <c r="N624" s="311">
        <v>74027.688154999996</v>
      </c>
      <c r="O624" s="311">
        <v>51819.381708499997</v>
      </c>
      <c r="P624" s="68">
        <f t="shared" si="136"/>
        <v>937528.87075299991</v>
      </c>
      <c r="Q624" s="68">
        <f t="shared" si="137"/>
        <v>937528.87075299991</v>
      </c>
      <c r="R624" s="127">
        <f t="shared" si="138"/>
        <v>937528.87075299991</v>
      </c>
      <c r="S624" s="329"/>
    </row>
    <row r="625" spans="1:19">
      <c r="A625" s="24"/>
      <c r="B625" s="25" t="s">
        <v>1509</v>
      </c>
      <c r="C625" s="26" t="s">
        <v>1350</v>
      </c>
      <c r="D625" s="351">
        <v>2</v>
      </c>
      <c r="E625" s="24"/>
      <c r="F625" s="351">
        <v>2</v>
      </c>
      <c r="G625" s="351" t="s">
        <v>3162</v>
      </c>
      <c r="H625" s="351"/>
      <c r="I625" s="351" t="s">
        <v>2596</v>
      </c>
      <c r="J625" s="560" t="s">
        <v>2328</v>
      </c>
      <c r="K625" s="311">
        <v>1319315.6419064999</v>
      </c>
      <c r="L625" s="311">
        <v>0</v>
      </c>
      <c r="M625" s="311">
        <v>376968.00000000006</v>
      </c>
      <c r="N625" s="311">
        <v>154398.132285</v>
      </c>
      <c r="O625" s="311">
        <v>108078.69259950001</v>
      </c>
      <c r="P625" s="68">
        <f t="shared" si="136"/>
        <v>1958760.466791</v>
      </c>
      <c r="Q625" s="68">
        <f t="shared" si="137"/>
        <v>3917520.933582</v>
      </c>
      <c r="R625" s="127">
        <f t="shared" si="138"/>
        <v>3917520.933582</v>
      </c>
      <c r="S625" s="26"/>
    </row>
    <row r="626" spans="1:19" s="84" customFormat="1">
      <c r="A626" s="30"/>
      <c r="B626" s="29" t="s">
        <v>1474</v>
      </c>
      <c r="C626" s="30" t="s">
        <v>1350</v>
      </c>
      <c r="D626" s="352">
        <v>2</v>
      </c>
      <c r="E626" s="30"/>
      <c r="F626" s="352">
        <v>2</v>
      </c>
      <c r="G626" s="351" t="s">
        <v>3162</v>
      </c>
      <c r="H626" s="351"/>
      <c r="I626" s="351" t="s">
        <v>2596</v>
      </c>
      <c r="J626" s="560" t="s">
        <v>2328</v>
      </c>
      <c r="K626" s="311">
        <v>174743.63340000002</v>
      </c>
      <c r="L626" s="311">
        <v>0</v>
      </c>
      <c r="M626" s="311">
        <v>42375.000000000007</v>
      </c>
      <c r="N626" s="311">
        <v>19781.526000000002</v>
      </c>
      <c r="O626" s="311">
        <v>13847.068200000002</v>
      </c>
      <c r="P626" s="68">
        <f t="shared" si="136"/>
        <v>250747.22760000004</v>
      </c>
      <c r="Q626" s="68">
        <f t="shared" si="137"/>
        <v>501494.45520000008</v>
      </c>
      <c r="R626" s="127">
        <f t="shared" si="138"/>
        <v>501494.45520000008</v>
      </c>
      <c r="S626" s="37"/>
    </row>
    <row r="627" spans="1:19" s="84" customFormat="1">
      <c r="A627" s="30"/>
      <c r="B627" s="29" t="s">
        <v>1477</v>
      </c>
      <c r="C627" s="30" t="s">
        <v>1350</v>
      </c>
      <c r="D627" s="352">
        <v>1</v>
      </c>
      <c r="E627" s="30"/>
      <c r="F627" s="352">
        <v>1</v>
      </c>
      <c r="G627" s="351" t="s">
        <v>3162</v>
      </c>
      <c r="H627" s="351"/>
      <c r="I627" s="351" t="s">
        <v>2596</v>
      </c>
      <c r="J627" s="560" t="s">
        <v>2328</v>
      </c>
      <c r="K627" s="311">
        <v>273765.77340000001</v>
      </c>
      <c r="L627" s="311">
        <v>0</v>
      </c>
      <c r="M627" s="311">
        <v>60116.000000000007</v>
      </c>
      <c r="N627" s="311">
        <v>30436.126000000004</v>
      </c>
      <c r="O627" s="311">
        <v>21305.288200000003</v>
      </c>
      <c r="P627" s="68">
        <f t="shared" si="136"/>
        <v>385623.1876</v>
      </c>
      <c r="Q627" s="68">
        <f t="shared" si="137"/>
        <v>385623.1876</v>
      </c>
      <c r="R627" s="127">
        <f t="shared" si="138"/>
        <v>385623.1876</v>
      </c>
      <c r="S627" s="36"/>
    </row>
    <row r="628" spans="1:19" s="84" customFormat="1">
      <c r="A628" s="30"/>
      <c r="B628" s="29" t="s">
        <v>2135</v>
      </c>
      <c r="C628" s="30" t="s">
        <v>1350</v>
      </c>
      <c r="D628" s="352">
        <v>4</v>
      </c>
      <c r="E628" s="30"/>
      <c r="F628" s="352">
        <v>4</v>
      </c>
      <c r="G628" s="351" t="s">
        <v>3162</v>
      </c>
      <c r="H628" s="351"/>
      <c r="I628" s="351" t="s">
        <v>2596</v>
      </c>
      <c r="J628" s="560" t="s">
        <v>2328</v>
      </c>
      <c r="K628" s="311">
        <v>410648.12599999999</v>
      </c>
      <c r="L628" s="311">
        <v>0</v>
      </c>
      <c r="M628" s="311">
        <v>87349.000000000015</v>
      </c>
      <c r="N628" s="311">
        <v>45404.14</v>
      </c>
      <c r="O628" s="311">
        <v>31782.898000000001</v>
      </c>
      <c r="P628" s="68">
        <f t="shared" si="136"/>
        <v>575184.16399999999</v>
      </c>
      <c r="Q628" s="68">
        <f t="shared" si="137"/>
        <v>2300736.656</v>
      </c>
      <c r="R628" s="127">
        <f t="shared" si="138"/>
        <v>2300736.656</v>
      </c>
      <c r="S628" s="37"/>
    </row>
    <row r="629" spans="1:19" s="84" customFormat="1">
      <c r="A629" s="30"/>
      <c r="B629" s="29" t="s">
        <v>1445</v>
      </c>
      <c r="C629" s="30" t="s">
        <v>1350</v>
      </c>
      <c r="D629" s="352">
        <v>1</v>
      </c>
      <c r="E629" s="30"/>
      <c r="F629" s="352">
        <v>1</v>
      </c>
      <c r="G629" s="351" t="s">
        <v>3162</v>
      </c>
      <c r="H629" s="351"/>
      <c r="I629" s="351" t="s">
        <v>2596</v>
      </c>
      <c r="J629" s="560" t="s">
        <v>2328</v>
      </c>
      <c r="K629" s="311">
        <v>478603.80540000001</v>
      </c>
      <c r="L629" s="311">
        <v>0</v>
      </c>
      <c r="M629" s="311">
        <v>135035</v>
      </c>
      <c r="N629" s="311">
        <v>55858.606000000007</v>
      </c>
      <c r="O629" s="311">
        <v>39101.024200000007</v>
      </c>
      <c r="P629" s="68">
        <f t="shared" si="136"/>
        <v>708598.43559999997</v>
      </c>
      <c r="Q629" s="68">
        <f t="shared" si="137"/>
        <v>708598.43559999997</v>
      </c>
      <c r="R629" s="127">
        <f t="shared" si="138"/>
        <v>708598.43559999997</v>
      </c>
      <c r="S629" s="37"/>
    </row>
    <row r="630" spans="1:19">
      <c r="A630" s="24">
        <v>2.12</v>
      </c>
      <c r="B630" s="72" t="s">
        <v>1507</v>
      </c>
      <c r="C630" s="24"/>
      <c r="D630" s="351"/>
      <c r="E630" s="24"/>
      <c r="F630" s="351"/>
      <c r="G630" s="26"/>
      <c r="H630" s="26"/>
      <c r="I630" s="26"/>
      <c r="J630" s="559"/>
      <c r="K630" s="66"/>
      <c r="L630" s="66"/>
      <c r="M630" s="66"/>
      <c r="N630" s="66"/>
      <c r="O630" s="66"/>
      <c r="P630" s="66"/>
      <c r="Q630" s="66"/>
      <c r="R630" s="66"/>
      <c r="S630" s="26"/>
    </row>
    <row r="631" spans="1:19" ht="30">
      <c r="A631" s="24"/>
      <c r="B631" s="25" t="s">
        <v>1576</v>
      </c>
      <c r="C631" s="26" t="s">
        <v>1350</v>
      </c>
      <c r="D631" s="351">
        <v>1</v>
      </c>
      <c r="E631" s="24"/>
      <c r="F631" s="351">
        <v>1</v>
      </c>
      <c r="G631" s="351" t="s">
        <v>3351</v>
      </c>
      <c r="H631" s="351"/>
      <c r="I631" s="351" t="s">
        <v>2596</v>
      </c>
      <c r="J631" s="560" t="s">
        <v>2328</v>
      </c>
      <c r="K631" s="311">
        <v>1798570.2134400001</v>
      </c>
      <c r="L631" s="311">
        <v>0</v>
      </c>
      <c r="M631" s="311">
        <v>54127.000000000007</v>
      </c>
      <c r="N631" s="311">
        <v>169796.44160000002</v>
      </c>
      <c r="O631" s="311">
        <v>118857.50912</v>
      </c>
      <c r="P631" s="68">
        <f t="shared" ref="P631:P636" si="139">SUM(K631:O631)</f>
        <v>2141351.1641600002</v>
      </c>
      <c r="Q631" s="68">
        <f t="shared" ref="Q631:Q636" si="140">D631*P631</f>
        <v>2141351.1641600002</v>
      </c>
      <c r="R631" s="127">
        <f t="shared" ref="R631:R636" si="141">F631*P631</f>
        <v>2141351.1641600002</v>
      </c>
      <c r="S631" s="26"/>
    </row>
    <row r="632" spans="1:19" ht="30">
      <c r="A632" s="24"/>
      <c r="B632" s="25" t="s">
        <v>1579</v>
      </c>
      <c r="C632" s="26" t="s">
        <v>1350</v>
      </c>
      <c r="D632" s="351">
        <v>2</v>
      </c>
      <c r="E632" s="24"/>
      <c r="F632" s="351">
        <v>2</v>
      </c>
      <c r="G632" s="351" t="s">
        <v>3351</v>
      </c>
      <c r="H632" s="351"/>
      <c r="I632" s="351" t="s">
        <v>2596</v>
      </c>
      <c r="J632" s="560" t="s">
        <v>2328</v>
      </c>
      <c r="K632" s="311">
        <v>3555777.6933000004</v>
      </c>
      <c r="L632" s="311">
        <v>0</v>
      </c>
      <c r="M632" s="311">
        <v>172551.00000000003</v>
      </c>
      <c r="N632" s="311">
        <v>341488.13700000005</v>
      </c>
      <c r="O632" s="311">
        <v>239041.69590000002</v>
      </c>
      <c r="P632" s="68">
        <f t="shared" si="139"/>
        <v>4308858.5262000002</v>
      </c>
      <c r="Q632" s="68">
        <f t="shared" si="140"/>
        <v>8617717.0524000004</v>
      </c>
      <c r="R632" s="127">
        <f t="shared" si="141"/>
        <v>8617717.0524000004</v>
      </c>
      <c r="S632" s="26"/>
    </row>
    <row r="633" spans="1:19" s="84" customFormat="1" ht="30">
      <c r="A633" s="30"/>
      <c r="B633" s="29" t="s">
        <v>1474</v>
      </c>
      <c r="C633" s="30" t="s">
        <v>1350</v>
      </c>
      <c r="D633" s="352">
        <v>3</v>
      </c>
      <c r="E633" s="30"/>
      <c r="F633" s="352">
        <v>3</v>
      </c>
      <c r="G633" s="351" t="s">
        <v>3351</v>
      </c>
      <c r="H633" s="351"/>
      <c r="I633" s="351" t="s">
        <v>2596</v>
      </c>
      <c r="J633" s="560" t="s">
        <v>2328</v>
      </c>
      <c r="K633" s="311">
        <v>1651009.9200000002</v>
      </c>
      <c r="L633" s="311">
        <v>0</v>
      </c>
      <c r="M633" s="311">
        <v>54127.000000000007</v>
      </c>
      <c r="N633" s="311">
        <v>156258.80000000002</v>
      </c>
      <c r="O633" s="311">
        <v>109381.16</v>
      </c>
      <c r="P633" s="68">
        <f t="shared" si="139"/>
        <v>1970776.8800000001</v>
      </c>
      <c r="Q633" s="68">
        <f t="shared" si="140"/>
        <v>5912330.6400000006</v>
      </c>
      <c r="R633" s="127">
        <f t="shared" si="141"/>
        <v>5912330.6400000006</v>
      </c>
      <c r="S633" s="37"/>
    </row>
    <row r="634" spans="1:19" s="84" customFormat="1" ht="30">
      <c r="A634" s="30"/>
      <c r="B634" s="29" t="s">
        <v>1477</v>
      </c>
      <c r="C634" s="30" t="s">
        <v>1350</v>
      </c>
      <c r="D634" s="352">
        <v>1</v>
      </c>
      <c r="E634" s="30"/>
      <c r="F634" s="352">
        <v>1</v>
      </c>
      <c r="G634" s="351" t="s">
        <v>3351</v>
      </c>
      <c r="H634" s="351"/>
      <c r="I634" s="351" t="s">
        <v>2596</v>
      </c>
      <c r="J634" s="560" t="s">
        <v>2328</v>
      </c>
      <c r="K634" s="311">
        <v>2334551.1</v>
      </c>
      <c r="L634" s="311">
        <v>0</v>
      </c>
      <c r="M634" s="311">
        <v>77292.000000000015</v>
      </c>
      <c r="N634" s="311">
        <v>221019</v>
      </c>
      <c r="O634" s="311">
        <v>154713.30000000002</v>
      </c>
      <c r="P634" s="68">
        <f t="shared" si="139"/>
        <v>2787575.4</v>
      </c>
      <c r="Q634" s="68">
        <f t="shared" si="140"/>
        <v>2787575.4</v>
      </c>
      <c r="R634" s="127">
        <f t="shared" si="141"/>
        <v>2787575.4</v>
      </c>
      <c r="S634" s="37"/>
    </row>
    <row r="635" spans="1:19">
      <c r="A635" s="73">
        <v>2.13</v>
      </c>
      <c r="B635" s="72" t="s">
        <v>1580</v>
      </c>
      <c r="C635" s="26" t="s">
        <v>1350</v>
      </c>
      <c r="D635" s="351">
        <v>20</v>
      </c>
      <c r="E635" s="24"/>
      <c r="F635" s="351">
        <v>20</v>
      </c>
      <c r="G635" s="351" t="s">
        <v>3307</v>
      </c>
      <c r="H635" s="351"/>
      <c r="I635" s="351" t="s">
        <v>2596</v>
      </c>
      <c r="J635" s="560" t="s">
        <v>2328</v>
      </c>
      <c r="K635" s="311">
        <v>645936.67044549994</v>
      </c>
      <c r="L635" s="311">
        <v>0</v>
      </c>
      <c r="M635" s="311">
        <v>147391.55000000002</v>
      </c>
      <c r="N635" s="311">
        <v>72303.744995000001</v>
      </c>
      <c r="O635" s="311">
        <v>50612.621496499996</v>
      </c>
      <c r="P635" s="68">
        <f t="shared" si="139"/>
        <v>916244.58693699993</v>
      </c>
      <c r="Q635" s="68">
        <f t="shared" si="140"/>
        <v>18324891.738739997</v>
      </c>
      <c r="R635" s="127">
        <f t="shared" si="141"/>
        <v>18324891.738739997</v>
      </c>
      <c r="S635" s="26"/>
    </row>
    <row r="636" spans="1:19">
      <c r="A636" s="73">
        <v>2.14</v>
      </c>
      <c r="B636" s="72" t="s">
        <v>1408</v>
      </c>
      <c r="C636" s="26" t="s">
        <v>78</v>
      </c>
      <c r="D636" s="351">
        <v>1</v>
      </c>
      <c r="E636" s="24"/>
      <c r="F636" s="351">
        <v>1</v>
      </c>
      <c r="G636" s="26"/>
      <c r="H636" s="26"/>
      <c r="I636" s="26"/>
      <c r="J636" s="560" t="s">
        <v>2381</v>
      </c>
      <c r="K636" s="311">
        <v>140787336.84768459</v>
      </c>
      <c r="L636" s="311">
        <v>0</v>
      </c>
      <c r="M636" s="311">
        <v>64211391.151630446</v>
      </c>
      <c r="N636" s="311">
        <v>17372773.559263986</v>
      </c>
      <c r="O636" s="311">
        <v>12160941.491484791</v>
      </c>
      <c r="P636" s="68">
        <f t="shared" si="139"/>
        <v>234532443.05006379</v>
      </c>
      <c r="Q636" s="68">
        <f t="shared" si="140"/>
        <v>234532443.05006379</v>
      </c>
      <c r="R636" s="127">
        <f t="shared" si="141"/>
        <v>234532443.05006379</v>
      </c>
      <c r="S636" s="26"/>
    </row>
    <row r="637" spans="1:19" s="83" customFormat="1">
      <c r="A637" s="28">
        <v>2.15</v>
      </c>
      <c r="B637" s="82" t="s">
        <v>2136</v>
      </c>
      <c r="C637" s="28"/>
      <c r="D637" s="352"/>
      <c r="E637" s="28"/>
      <c r="F637" s="352"/>
      <c r="G637" s="18"/>
      <c r="H637" s="18"/>
      <c r="I637" s="18"/>
      <c r="J637" s="587"/>
      <c r="K637" s="65"/>
      <c r="L637" s="65"/>
      <c r="M637" s="65"/>
      <c r="N637" s="65"/>
      <c r="O637" s="65"/>
      <c r="P637" s="65"/>
      <c r="Q637" s="65"/>
      <c r="R637" s="65"/>
      <c r="S637" s="18"/>
    </row>
    <row r="638" spans="1:19" s="84" customFormat="1">
      <c r="A638" s="30"/>
      <c r="B638" s="29" t="s">
        <v>2137</v>
      </c>
      <c r="C638" s="30" t="s">
        <v>1350</v>
      </c>
      <c r="D638" s="352">
        <v>13</v>
      </c>
      <c r="E638" s="30"/>
      <c r="F638" s="352">
        <v>13</v>
      </c>
      <c r="G638" s="351" t="s">
        <v>3162</v>
      </c>
      <c r="H638" s="15"/>
      <c r="I638" s="351" t="s">
        <v>2596</v>
      </c>
      <c r="J638" s="560" t="s">
        <v>2328</v>
      </c>
      <c r="K638" s="311">
        <v>23478567.060200002</v>
      </c>
      <c r="L638" s="311">
        <v>0</v>
      </c>
      <c r="M638" s="311">
        <v>8093813.3333333349</v>
      </c>
      <c r="N638" s="311">
        <v>2870263.6446666671</v>
      </c>
      <c r="O638" s="311">
        <v>2009184.551266667</v>
      </c>
      <c r="P638" s="68">
        <f t="shared" ref="P638:P642" si="142">SUM(K638:O638)</f>
        <v>36451828.589466676</v>
      </c>
      <c r="Q638" s="68">
        <f>D638*P638</f>
        <v>473873771.6630668</v>
      </c>
      <c r="R638" s="127">
        <f>F638*P638</f>
        <v>473873771.6630668</v>
      </c>
      <c r="S638" s="15"/>
    </row>
    <row r="639" spans="1:19" s="84" customFormat="1">
      <c r="A639" s="30"/>
      <c r="B639" s="29" t="s">
        <v>2138</v>
      </c>
      <c r="C639" s="30" t="s">
        <v>1350</v>
      </c>
      <c r="D639" s="352">
        <v>2</v>
      </c>
      <c r="E639" s="30"/>
      <c r="F639" s="352">
        <v>2</v>
      </c>
      <c r="G639" s="351" t="s">
        <v>3162</v>
      </c>
      <c r="H639" s="15"/>
      <c r="I639" s="351" t="s">
        <v>2596</v>
      </c>
      <c r="J639" s="560" t="s">
        <v>2328</v>
      </c>
      <c r="K639" s="311">
        <v>17151728.4848</v>
      </c>
      <c r="L639" s="311">
        <v>0</v>
      </c>
      <c r="M639" s="311">
        <v>5907640.0000000009</v>
      </c>
      <c r="N639" s="311">
        <v>2096353.0719999999</v>
      </c>
      <c r="O639" s="311">
        <v>1467447.1504000002</v>
      </c>
      <c r="P639" s="68">
        <f t="shared" si="142"/>
        <v>26623168.707200002</v>
      </c>
      <c r="Q639" s="68">
        <f>D639*P639</f>
        <v>53246337.414400004</v>
      </c>
      <c r="R639" s="127">
        <f>F639*P639</f>
        <v>53246337.414400004</v>
      </c>
      <c r="S639" s="15"/>
    </row>
    <row r="640" spans="1:19" s="84" customFormat="1">
      <c r="A640" s="30"/>
      <c r="B640" s="29" t="s">
        <v>2139</v>
      </c>
      <c r="C640" s="30" t="s">
        <v>1350</v>
      </c>
      <c r="D640" s="352">
        <v>8</v>
      </c>
      <c r="E640" s="30"/>
      <c r="F640" s="352">
        <v>8</v>
      </c>
      <c r="G640" s="351" t="s">
        <v>3162</v>
      </c>
      <c r="H640" s="37"/>
      <c r="I640" s="351" t="s">
        <v>2596</v>
      </c>
      <c r="J640" s="560" t="s">
        <v>2328</v>
      </c>
      <c r="K640" s="311">
        <v>11809970.062800001</v>
      </c>
      <c r="L640" s="311">
        <v>0</v>
      </c>
      <c r="M640" s="311">
        <v>4060466.6666666674</v>
      </c>
      <c r="N640" s="311">
        <v>1442816.8253333336</v>
      </c>
      <c r="O640" s="311">
        <v>1009971.7777333335</v>
      </c>
      <c r="P640" s="68">
        <f t="shared" si="142"/>
        <v>18323225.332533337</v>
      </c>
      <c r="Q640" s="68">
        <f>D640*P640</f>
        <v>146585802.6602667</v>
      </c>
      <c r="R640" s="127">
        <f>F640*P640</f>
        <v>146585802.6602667</v>
      </c>
      <c r="S640" s="37"/>
    </row>
    <row r="641" spans="1:19" s="84" customFormat="1">
      <c r="A641" s="30"/>
      <c r="B641" s="29" t="s">
        <v>2140</v>
      </c>
      <c r="C641" s="30" t="s">
        <v>1350</v>
      </c>
      <c r="D641" s="352">
        <v>1</v>
      </c>
      <c r="E641" s="30"/>
      <c r="F641" s="352">
        <v>1</v>
      </c>
      <c r="G641" s="351" t="s">
        <v>3162</v>
      </c>
      <c r="H641" s="37"/>
      <c r="I641" s="351" t="s">
        <v>2596</v>
      </c>
      <c r="J641" s="560" t="s">
        <v>2328</v>
      </c>
      <c r="K641" s="311">
        <v>8797853.2936000004</v>
      </c>
      <c r="L641" s="311">
        <v>0</v>
      </c>
      <c r="M641" s="311">
        <v>3019360.0000000005</v>
      </c>
      <c r="N641" s="311">
        <v>1074342.504</v>
      </c>
      <c r="O641" s="311">
        <v>752039.75280000002</v>
      </c>
      <c r="P641" s="68">
        <f t="shared" si="142"/>
        <v>13643595.550400002</v>
      </c>
      <c r="Q641" s="68">
        <f>D641*P641</f>
        <v>13643595.550400002</v>
      </c>
      <c r="R641" s="127">
        <f>F641*P641</f>
        <v>13643595.550400002</v>
      </c>
      <c r="S641" s="37"/>
    </row>
    <row r="642" spans="1:19" s="84" customFormat="1">
      <c r="A642" s="30"/>
      <c r="B642" s="29" t="s">
        <v>2141</v>
      </c>
      <c r="C642" s="30" t="s">
        <v>1350</v>
      </c>
      <c r="D642" s="352">
        <v>2</v>
      </c>
      <c r="E642" s="30"/>
      <c r="F642" s="352">
        <v>2</v>
      </c>
      <c r="G642" s="351" t="s">
        <v>3162</v>
      </c>
      <c r="H642" s="37"/>
      <c r="I642" s="351" t="s">
        <v>2596</v>
      </c>
      <c r="J642" s="560" t="s">
        <v>2328</v>
      </c>
      <c r="K642" s="311">
        <v>7455438.8761999998</v>
      </c>
      <c r="L642" s="311">
        <v>0</v>
      </c>
      <c r="M642" s="311">
        <v>2555758.666666667</v>
      </c>
      <c r="N642" s="311">
        <v>910158.55133333337</v>
      </c>
      <c r="O642" s="311">
        <v>637110.9859333334</v>
      </c>
      <c r="P642" s="68">
        <f t="shared" si="142"/>
        <v>11558467.080133334</v>
      </c>
      <c r="Q642" s="68">
        <f>D642*P642</f>
        <v>23116934.160266668</v>
      </c>
      <c r="R642" s="127">
        <f>F642*P642</f>
        <v>23116934.160266668</v>
      </c>
      <c r="S642" s="37"/>
    </row>
    <row r="643" spans="1:19" s="84" customFormat="1">
      <c r="A643" s="28">
        <v>2.16</v>
      </c>
      <c r="B643" s="82" t="s">
        <v>2142</v>
      </c>
      <c r="C643" s="30"/>
      <c r="D643" s="352"/>
      <c r="E643" s="30"/>
      <c r="F643" s="352"/>
      <c r="G643" s="37"/>
      <c r="H643" s="37"/>
      <c r="I643" s="351"/>
      <c r="J643" s="560"/>
      <c r="K643" s="66"/>
      <c r="L643" s="66"/>
      <c r="M643" s="66"/>
      <c r="N643" s="66"/>
      <c r="O643" s="66"/>
      <c r="P643" s="66"/>
      <c r="Q643" s="66"/>
      <c r="R643" s="66"/>
      <c r="S643" s="37"/>
    </row>
    <row r="644" spans="1:19" s="84" customFormat="1">
      <c r="A644" s="30"/>
      <c r="B644" s="29" t="s">
        <v>2143</v>
      </c>
      <c r="C644" s="30" t="s">
        <v>1350</v>
      </c>
      <c r="D644" s="352">
        <v>2</v>
      </c>
      <c r="E644" s="30"/>
      <c r="F644" s="352">
        <v>2</v>
      </c>
      <c r="G644" s="351" t="s">
        <v>3304</v>
      </c>
      <c r="H644" s="37"/>
      <c r="I644" s="351" t="s">
        <v>2596</v>
      </c>
      <c r="J644" s="560" t="s">
        <v>2328</v>
      </c>
      <c r="K644" s="311">
        <v>348233.2</v>
      </c>
      <c r="L644" s="311">
        <v>0</v>
      </c>
      <c r="M644" s="311">
        <v>149607.29166666669</v>
      </c>
      <c r="N644" s="311">
        <v>45187.583333333343</v>
      </c>
      <c r="O644" s="311">
        <v>31631.308333333338</v>
      </c>
      <c r="P644" s="68">
        <f>SUM(K644:O644)</f>
        <v>574659.38333333342</v>
      </c>
      <c r="Q644" s="68">
        <f>D644*P644</f>
        <v>1149318.7666666668</v>
      </c>
      <c r="R644" s="127">
        <f>F644*P644</f>
        <v>1149318.7666666668</v>
      </c>
      <c r="S644" s="15"/>
    </row>
    <row r="645" spans="1:19">
      <c r="A645" s="215">
        <v>3</v>
      </c>
      <c r="B645" s="216" t="s">
        <v>2231</v>
      </c>
      <c r="C645" s="24"/>
      <c r="D645" s="351"/>
      <c r="E645" s="24"/>
      <c r="F645" s="351"/>
      <c r="G645" s="26"/>
      <c r="H645" s="26"/>
      <c r="I645" s="26"/>
      <c r="J645" s="559"/>
      <c r="K645" s="66"/>
      <c r="L645" s="66"/>
      <c r="M645" s="66"/>
      <c r="N645" s="66"/>
      <c r="O645" s="66"/>
      <c r="P645" s="66"/>
      <c r="Q645" s="66"/>
      <c r="R645" s="66"/>
      <c r="S645" s="26"/>
    </row>
    <row r="646" spans="1:19" ht="57">
      <c r="A646" s="24">
        <v>1.1000000000000001</v>
      </c>
      <c r="B646" s="27" t="s">
        <v>1581</v>
      </c>
      <c r="C646" s="24"/>
      <c r="D646" s="351"/>
      <c r="E646" s="24"/>
      <c r="F646" s="351"/>
      <c r="G646" s="26"/>
      <c r="H646" s="26"/>
      <c r="I646" s="26"/>
      <c r="J646" s="559"/>
      <c r="K646" s="66"/>
      <c r="L646" s="66"/>
      <c r="M646" s="66"/>
      <c r="N646" s="66"/>
      <c r="O646" s="66"/>
      <c r="P646" s="66"/>
      <c r="Q646" s="66"/>
      <c r="R646" s="66"/>
      <c r="S646" s="26"/>
    </row>
    <row r="647" spans="1:19" ht="30">
      <c r="A647" s="24"/>
      <c r="B647" s="25" t="s">
        <v>1582</v>
      </c>
      <c r="C647" s="26" t="s">
        <v>1336</v>
      </c>
      <c r="D647" s="351">
        <v>17.649999999999999</v>
      </c>
      <c r="E647" s="24"/>
      <c r="F647" s="351">
        <v>17.649999999999999</v>
      </c>
      <c r="G647" s="351" t="s">
        <v>3315</v>
      </c>
      <c r="H647" s="351"/>
      <c r="I647" s="351" t="s">
        <v>3340</v>
      </c>
      <c r="J647" s="560" t="s">
        <v>3166</v>
      </c>
      <c r="K647" s="311">
        <v>457081.28451999999</v>
      </c>
      <c r="L647" s="311">
        <v>0</v>
      </c>
      <c r="M647" s="311">
        <v>144145.62500000003</v>
      </c>
      <c r="N647" s="311">
        <v>54690.312800000007</v>
      </c>
      <c r="O647" s="311">
        <v>38283.218960000006</v>
      </c>
      <c r="P647" s="68">
        <f t="shared" ref="P647:P654" si="143">SUM(K647:O647)</f>
        <v>694200.44127999991</v>
      </c>
      <c r="Q647" s="68">
        <f t="shared" ref="Q647:Q654" si="144">D647*P647</f>
        <v>12252637.788591998</v>
      </c>
      <c r="R647" s="127">
        <f t="shared" ref="R647:R654" si="145">F647*P647</f>
        <v>12252637.788591998</v>
      </c>
      <c r="S647" s="26"/>
    </row>
    <row r="648" spans="1:19" ht="30">
      <c r="A648" s="24"/>
      <c r="B648" s="25" t="s">
        <v>1583</v>
      </c>
      <c r="C648" s="26" t="s">
        <v>1336</v>
      </c>
      <c r="D648" s="351">
        <v>16.87</v>
      </c>
      <c r="E648" s="24"/>
      <c r="F648" s="351">
        <v>16.87</v>
      </c>
      <c r="G648" s="351" t="s">
        <v>3315</v>
      </c>
      <c r="H648" s="351"/>
      <c r="I648" s="351" t="s">
        <v>3340</v>
      </c>
      <c r="J648" s="560" t="s">
        <v>3166</v>
      </c>
      <c r="K648" s="311">
        <v>548711.18142400007</v>
      </c>
      <c r="L648" s="311">
        <v>0</v>
      </c>
      <c r="M648" s="311">
        <v>172974.75000000003</v>
      </c>
      <c r="N648" s="311">
        <v>65647.975359999997</v>
      </c>
      <c r="O648" s="311">
        <v>45953.582752000002</v>
      </c>
      <c r="P648" s="68">
        <f t="shared" si="143"/>
        <v>833287.48953600007</v>
      </c>
      <c r="Q648" s="68">
        <f t="shared" si="144"/>
        <v>14057559.948472321</v>
      </c>
      <c r="R648" s="127">
        <f t="shared" si="145"/>
        <v>14057559.948472321</v>
      </c>
      <c r="S648" s="26"/>
    </row>
    <row r="649" spans="1:19" ht="30">
      <c r="A649" s="24"/>
      <c r="B649" s="25" t="s">
        <v>1584</v>
      </c>
      <c r="C649" s="26" t="s">
        <v>1336</v>
      </c>
      <c r="D649" s="351">
        <v>175.35</v>
      </c>
      <c r="E649" s="24"/>
      <c r="F649" s="351">
        <v>175.35</v>
      </c>
      <c r="G649" s="351" t="s">
        <v>3315</v>
      </c>
      <c r="H649" s="351"/>
      <c r="I649" s="351" t="s">
        <v>3340</v>
      </c>
      <c r="J649" s="560" t="s">
        <v>3166</v>
      </c>
      <c r="K649" s="311">
        <v>639272.8783280002</v>
      </c>
      <c r="L649" s="311">
        <v>0</v>
      </c>
      <c r="M649" s="311">
        <v>201803.87500000003</v>
      </c>
      <c r="N649" s="311">
        <v>76507.637920000008</v>
      </c>
      <c r="O649" s="311">
        <v>53555.346544000015</v>
      </c>
      <c r="P649" s="68">
        <f t="shared" si="143"/>
        <v>971139.73779200017</v>
      </c>
      <c r="Q649" s="68">
        <f t="shared" si="144"/>
        <v>170289353.02182722</v>
      </c>
      <c r="R649" s="127">
        <f t="shared" si="145"/>
        <v>170289353.02182722</v>
      </c>
      <c r="S649" s="26"/>
    </row>
    <row r="650" spans="1:19" ht="30">
      <c r="A650" s="24"/>
      <c r="B650" s="25" t="s">
        <v>1521</v>
      </c>
      <c r="C650" s="26" t="s">
        <v>1336</v>
      </c>
      <c r="D650" s="351">
        <v>204.20999999999998</v>
      </c>
      <c r="E650" s="24"/>
      <c r="F650" s="351">
        <v>204.20999999999998</v>
      </c>
      <c r="G650" s="351" t="s">
        <v>3315</v>
      </c>
      <c r="H650" s="351"/>
      <c r="I650" s="351" t="s">
        <v>3340</v>
      </c>
      <c r="J650" s="560" t="s">
        <v>3166</v>
      </c>
      <c r="K650" s="311">
        <v>624445.15780920011</v>
      </c>
      <c r="L650" s="311">
        <v>0</v>
      </c>
      <c r="M650" s="311">
        <v>238712.50000000003</v>
      </c>
      <c r="N650" s="311">
        <v>78413.546588000012</v>
      </c>
      <c r="O650" s="311">
        <v>54889.482611600004</v>
      </c>
      <c r="P650" s="68">
        <f t="shared" si="143"/>
        <v>996460.6870088001</v>
      </c>
      <c r="Q650" s="68">
        <f t="shared" si="144"/>
        <v>203487236.89406705</v>
      </c>
      <c r="R650" s="127">
        <f t="shared" si="145"/>
        <v>203487236.89406705</v>
      </c>
      <c r="S650" s="26"/>
    </row>
    <row r="651" spans="1:19" ht="30">
      <c r="A651" s="24"/>
      <c r="B651" s="25" t="s">
        <v>1585</v>
      </c>
      <c r="C651" s="26" t="s">
        <v>1336</v>
      </c>
      <c r="D651" s="351">
        <v>124.69999999999999</v>
      </c>
      <c r="E651" s="24"/>
      <c r="F651" s="351">
        <v>124.69999999999999</v>
      </c>
      <c r="G651" s="351" t="s">
        <v>3316</v>
      </c>
      <c r="H651" s="351"/>
      <c r="I651" s="351" t="s">
        <v>3340</v>
      </c>
      <c r="J651" s="560" t="s">
        <v>3166</v>
      </c>
      <c r="K651" s="311">
        <v>874583.10776759998</v>
      </c>
      <c r="L651" s="311">
        <v>0</v>
      </c>
      <c r="M651" s="311">
        <v>320166.66666666674</v>
      </c>
      <c r="N651" s="311">
        <v>108570.31569733334</v>
      </c>
      <c r="O651" s="311">
        <v>75999.22098813334</v>
      </c>
      <c r="P651" s="68">
        <f t="shared" si="143"/>
        <v>1379319.3111197334</v>
      </c>
      <c r="Q651" s="68">
        <f t="shared" si="144"/>
        <v>172001118.09663072</v>
      </c>
      <c r="R651" s="127">
        <f t="shared" si="145"/>
        <v>172001118.09663072</v>
      </c>
      <c r="S651" s="26"/>
    </row>
    <row r="652" spans="1:19" ht="30">
      <c r="A652" s="24"/>
      <c r="B652" s="25" t="s">
        <v>1528</v>
      </c>
      <c r="C652" s="26" t="s">
        <v>1336</v>
      </c>
      <c r="D652" s="351">
        <v>80.78</v>
      </c>
      <c r="E652" s="24"/>
      <c r="F652" s="351">
        <v>80.78</v>
      </c>
      <c r="G652" s="351" t="s">
        <v>3316</v>
      </c>
      <c r="H652" s="351"/>
      <c r="I652" s="351" t="s">
        <v>3340</v>
      </c>
      <c r="J652" s="560" t="s">
        <v>3166</v>
      </c>
      <c r="K652" s="311">
        <v>926029.17293040012</v>
      </c>
      <c r="L652" s="311">
        <v>0</v>
      </c>
      <c r="M652" s="311">
        <v>339000.00000000006</v>
      </c>
      <c r="N652" s="311">
        <v>114956.804856</v>
      </c>
      <c r="O652" s="311">
        <v>80469.763399200005</v>
      </c>
      <c r="P652" s="68">
        <f t="shared" si="143"/>
        <v>1460455.7411856002</v>
      </c>
      <c r="Q652" s="68">
        <f t="shared" si="144"/>
        <v>117975614.77297278</v>
      </c>
      <c r="R652" s="127">
        <f t="shared" si="145"/>
        <v>117975614.77297278</v>
      </c>
      <c r="S652" s="26"/>
    </row>
    <row r="653" spans="1:19" ht="30">
      <c r="A653" s="24"/>
      <c r="B653" s="25" t="s">
        <v>1586</v>
      </c>
      <c r="C653" s="26" t="s">
        <v>1336</v>
      </c>
      <c r="D653" s="351">
        <v>24.69</v>
      </c>
      <c r="E653" s="24"/>
      <c r="F653" s="351">
        <v>24.69</v>
      </c>
      <c r="G653" s="351" t="s">
        <v>3316</v>
      </c>
      <c r="H653" s="351"/>
      <c r="I653" s="351" t="s">
        <v>3340</v>
      </c>
      <c r="J653" s="560" t="s">
        <v>3166</v>
      </c>
      <c r="K653" s="311">
        <v>977475.23809320002</v>
      </c>
      <c r="L653" s="311">
        <v>0</v>
      </c>
      <c r="M653" s="311">
        <v>357833.33333333337</v>
      </c>
      <c r="N653" s="311">
        <v>121343.29401466668</v>
      </c>
      <c r="O653" s="311">
        <v>84940.305810266684</v>
      </c>
      <c r="P653" s="68">
        <f t="shared" si="143"/>
        <v>1541592.1712514667</v>
      </c>
      <c r="Q653" s="68">
        <f t="shared" si="144"/>
        <v>38061910.708198719</v>
      </c>
      <c r="R653" s="127">
        <f t="shared" si="145"/>
        <v>38061910.708198719</v>
      </c>
      <c r="S653" s="26"/>
    </row>
    <row r="654" spans="1:19" ht="30">
      <c r="A654" s="24"/>
      <c r="B654" s="25" t="s">
        <v>1522</v>
      </c>
      <c r="C654" s="26" t="s">
        <v>1336</v>
      </c>
      <c r="D654" s="351">
        <v>14.14</v>
      </c>
      <c r="E654" s="24"/>
      <c r="F654" s="351">
        <v>14.14</v>
      </c>
      <c r="G654" s="351" t="s">
        <v>3315</v>
      </c>
      <c r="H654" s="351"/>
      <c r="I654" s="351" t="s">
        <v>3340</v>
      </c>
      <c r="J654" s="560" t="s">
        <v>3166</v>
      </c>
      <c r="K654" s="311">
        <v>672479.40071760002</v>
      </c>
      <c r="L654" s="311">
        <v>0</v>
      </c>
      <c r="M654" s="311">
        <v>257075.00000000003</v>
      </c>
      <c r="N654" s="311">
        <v>84445.357864000005</v>
      </c>
      <c r="O654" s="311">
        <v>59111.750504800002</v>
      </c>
      <c r="P654" s="68">
        <f t="shared" si="143"/>
        <v>1073111.5090864</v>
      </c>
      <c r="Q654" s="68">
        <f t="shared" si="144"/>
        <v>15173796.738481697</v>
      </c>
      <c r="R654" s="127">
        <f t="shared" si="145"/>
        <v>15173796.738481697</v>
      </c>
      <c r="S654" s="26"/>
    </row>
    <row r="655" spans="1:19" ht="57">
      <c r="A655" s="24" t="s">
        <v>1351</v>
      </c>
      <c r="B655" s="27" t="s">
        <v>1587</v>
      </c>
      <c r="C655" s="24"/>
      <c r="D655" s="351"/>
      <c r="E655" s="24"/>
      <c r="F655" s="351"/>
      <c r="G655" s="26"/>
      <c r="H655" s="26"/>
      <c r="I655" s="26"/>
      <c r="J655" s="559"/>
      <c r="K655" s="66"/>
      <c r="L655" s="66"/>
      <c r="M655" s="66"/>
      <c r="N655" s="66"/>
      <c r="O655" s="66"/>
      <c r="P655" s="66"/>
      <c r="Q655" s="66"/>
      <c r="R655" s="66"/>
      <c r="S655" s="26"/>
    </row>
    <row r="656" spans="1:19" ht="30">
      <c r="A656" s="26"/>
      <c r="B656" s="25" t="s">
        <v>1588</v>
      </c>
      <c r="C656" s="26" t="s">
        <v>1350</v>
      </c>
      <c r="D656" s="351">
        <v>84</v>
      </c>
      <c r="E656" s="26"/>
      <c r="F656" s="351">
        <v>84</v>
      </c>
      <c r="G656" s="351" t="s">
        <v>3316</v>
      </c>
      <c r="H656" s="351"/>
      <c r="I656" s="351" t="s">
        <v>3340</v>
      </c>
      <c r="J656" s="560" t="s">
        <v>3166</v>
      </c>
      <c r="K656" s="311">
        <v>426984.82002119999</v>
      </c>
      <c r="L656" s="311">
        <v>0</v>
      </c>
      <c r="M656" s="311">
        <v>143133.33333333334</v>
      </c>
      <c r="N656" s="311">
        <v>51839.585934666669</v>
      </c>
      <c r="O656" s="311">
        <v>36287.710154266671</v>
      </c>
      <c r="P656" s="68">
        <f t="shared" ref="P656:P657" si="146">SUM(K656:O656)</f>
        <v>658245.44944346673</v>
      </c>
      <c r="Q656" s="68">
        <f>D656*P656</f>
        <v>55292617.753251202</v>
      </c>
      <c r="R656" s="127">
        <f>F656*P656</f>
        <v>55292617.753251202</v>
      </c>
      <c r="S656" s="26"/>
    </row>
    <row r="657" spans="1:19" ht="30">
      <c r="A657" s="26"/>
      <c r="B657" s="25" t="s">
        <v>1589</v>
      </c>
      <c r="C657" s="26" t="s">
        <v>1350</v>
      </c>
      <c r="D657" s="351">
        <v>6</v>
      </c>
      <c r="E657" s="26"/>
      <c r="F657" s="351">
        <v>6</v>
      </c>
      <c r="G657" s="351" t="s">
        <v>3316</v>
      </c>
      <c r="H657" s="351"/>
      <c r="I657" s="351" t="s">
        <v>3340</v>
      </c>
      <c r="J657" s="560" t="s">
        <v>3166</v>
      </c>
      <c r="K657" s="311">
        <v>455693.19707519992</v>
      </c>
      <c r="L657" s="311">
        <v>0</v>
      </c>
      <c r="M657" s="311">
        <v>152550.00000000003</v>
      </c>
      <c r="N657" s="311">
        <v>55306.715327999998</v>
      </c>
      <c r="O657" s="311">
        <v>38714.700729600001</v>
      </c>
      <c r="P657" s="68">
        <f t="shared" si="146"/>
        <v>702264.61313279998</v>
      </c>
      <c r="Q657" s="68">
        <f>D657*P657</f>
        <v>4213587.6787967999</v>
      </c>
      <c r="R657" s="127">
        <f>F657*P657</f>
        <v>4213587.6787967999</v>
      </c>
      <c r="S657" s="26"/>
    </row>
    <row r="658" spans="1:19" ht="28.5">
      <c r="A658" s="24" t="s">
        <v>1590</v>
      </c>
      <c r="B658" s="27" t="s">
        <v>1591</v>
      </c>
      <c r="C658" s="24"/>
      <c r="D658" s="351"/>
      <c r="E658" s="24"/>
      <c r="F658" s="351"/>
      <c r="G658" s="26"/>
      <c r="H658" s="26"/>
      <c r="I658" s="26"/>
      <c r="J658" s="559"/>
      <c r="K658" s="66"/>
      <c r="L658" s="66"/>
      <c r="M658" s="66"/>
      <c r="N658" s="66"/>
      <c r="O658" s="66"/>
      <c r="P658" s="66"/>
      <c r="Q658" s="66"/>
      <c r="R658" s="66"/>
      <c r="S658" s="26"/>
    </row>
    <row r="659" spans="1:19" ht="30">
      <c r="A659" s="26"/>
      <c r="B659" s="25" t="s">
        <v>1592</v>
      </c>
      <c r="C659" s="26" t="s">
        <v>1336</v>
      </c>
      <c r="D659" s="351">
        <v>671.74239999999998</v>
      </c>
      <c r="E659" s="26"/>
      <c r="F659" s="351">
        <v>671.74239999999998</v>
      </c>
      <c r="G659" s="351" t="s">
        <v>3317</v>
      </c>
      <c r="H659" s="351"/>
      <c r="I659" s="351" t="s">
        <v>3179</v>
      </c>
      <c r="J659" s="560" t="s">
        <v>2328</v>
      </c>
      <c r="K659" s="311">
        <v>61585.000000000007</v>
      </c>
      <c r="L659" s="311">
        <v>0</v>
      </c>
      <c r="M659" s="311">
        <v>24814.800000000003</v>
      </c>
      <c r="N659" s="311">
        <v>7646</v>
      </c>
      <c r="O659" s="311">
        <v>5352.2000000000007</v>
      </c>
      <c r="P659" s="68">
        <f t="shared" ref="P659:P662" si="147">SUM(K659:O659)</f>
        <v>99398.000000000015</v>
      </c>
      <c r="Q659" s="68">
        <f>D659*P659</f>
        <v>66769851.075200006</v>
      </c>
      <c r="R659" s="127">
        <f>F659*P659</f>
        <v>66769851.075200006</v>
      </c>
      <c r="S659" s="26"/>
    </row>
    <row r="660" spans="1:19" ht="30">
      <c r="A660" s="26"/>
      <c r="B660" s="25" t="s">
        <v>1593</v>
      </c>
      <c r="C660" s="26" t="s">
        <v>1336</v>
      </c>
      <c r="D660" s="351">
        <v>383.80299999999994</v>
      </c>
      <c r="E660" s="26"/>
      <c r="F660" s="351">
        <v>383.80299999999994</v>
      </c>
      <c r="G660" s="351" t="s">
        <v>3318</v>
      </c>
      <c r="H660" s="351"/>
      <c r="I660" s="351" t="s">
        <v>3179</v>
      </c>
      <c r="J660" s="560" t="s">
        <v>2328</v>
      </c>
      <c r="K660" s="311">
        <v>80795.000000000015</v>
      </c>
      <c r="L660" s="311">
        <v>0</v>
      </c>
      <c r="M660" s="311">
        <v>25899.600000000002</v>
      </c>
      <c r="N660" s="311">
        <v>9442</v>
      </c>
      <c r="O660" s="311">
        <v>6609.4000000000005</v>
      </c>
      <c r="P660" s="68">
        <f t="shared" si="147"/>
        <v>122746.00000000001</v>
      </c>
      <c r="Q660" s="68">
        <f>D660*P660</f>
        <v>47110283.037999995</v>
      </c>
      <c r="R660" s="127">
        <f>F660*P660</f>
        <v>47110283.037999995</v>
      </c>
      <c r="S660" s="26"/>
    </row>
    <row r="661" spans="1:19" ht="30">
      <c r="A661" s="26"/>
      <c r="B661" s="25" t="s">
        <v>1594</v>
      </c>
      <c r="C661" s="26" t="s">
        <v>1336</v>
      </c>
      <c r="D661" s="351">
        <v>1004.1261999999998</v>
      </c>
      <c r="E661" s="26"/>
      <c r="F661" s="351">
        <v>1004.1261999999998</v>
      </c>
      <c r="G661" s="351" t="s">
        <v>3319</v>
      </c>
      <c r="H661" s="351"/>
      <c r="I661" s="351" t="s">
        <v>3179</v>
      </c>
      <c r="J661" s="560" t="s">
        <v>2328</v>
      </c>
      <c r="K661" s="311">
        <v>92547.000000000015</v>
      </c>
      <c r="L661" s="311">
        <v>0</v>
      </c>
      <c r="M661" s="311">
        <v>29425.200000000004</v>
      </c>
      <c r="N661" s="311">
        <v>10794</v>
      </c>
      <c r="O661" s="311">
        <v>7555.8000000000011</v>
      </c>
      <c r="P661" s="68">
        <f t="shared" si="147"/>
        <v>140322</v>
      </c>
      <c r="Q661" s="68">
        <f>D661*P661</f>
        <v>140900996.63639998</v>
      </c>
      <c r="R661" s="127">
        <f>F661*P661</f>
        <v>140900996.63639998</v>
      </c>
      <c r="S661" s="26"/>
    </row>
    <row r="662" spans="1:19" ht="30">
      <c r="A662" s="26"/>
      <c r="B662" s="25" t="s">
        <v>1595</v>
      </c>
      <c r="C662" s="26" t="s">
        <v>1336</v>
      </c>
      <c r="D662" s="351">
        <v>21.3766</v>
      </c>
      <c r="E662" s="26"/>
      <c r="F662" s="351">
        <v>21.3766</v>
      </c>
      <c r="G662" s="351" t="s">
        <v>3320</v>
      </c>
      <c r="H662" s="351"/>
      <c r="I662" s="351" t="s">
        <v>3179</v>
      </c>
      <c r="J662" s="560" t="s">
        <v>2328</v>
      </c>
      <c r="K662" s="311">
        <v>113000.00000000001</v>
      </c>
      <c r="L662" s="311">
        <v>0</v>
      </c>
      <c r="M662" s="311">
        <v>32007.250000000004</v>
      </c>
      <c r="N662" s="311">
        <v>12832.5</v>
      </c>
      <c r="O662" s="311">
        <v>8982.75</v>
      </c>
      <c r="P662" s="68">
        <f t="shared" si="147"/>
        <v>166822.50000000003</v>
      </c>
      <c r="Q662" s="68">
        <f>D662*P662</f>
        <v>3566097.8535000007</v>
      </c>
      <c r="R662" s="127">
        <f>F662*P662</f>
        <v>3566097.8535000007</v>
      </c>
      <c r="S662" s="26"/>
    </row>
    <row r="663" spans="1:19" ht="42.75">
      <c r="A663" s="24">
        <v>1.5</v>
      </c>
      <c r="B663" s="27" t="s">
        <v>1596</v>
      </c>
      <c r="C663" s="24"/>
      <c r="D663" s="351">
        <v>0</v>
      </c>
      <c r="E663" s="24"/>
      <c r="F663" s="351">
        <v>0</v>
      </c>
      <c r="G663" s="26"/>
      <c r="H663" s="26"/>
      <c r="I663" s="26"/>
      <c r="J663" s="559"/>
      <c r="K663" s="66"/>
      <c r="L663" s="66"/>
      <c r="M663" s="66"/>
      <c r="N663" s="66"/>
      <c r="O663" s="66"/>
      <c r="P663" s="66"/>
      <c r="Q663" s="66"/>
      <c r="R663" s="66"/>
      <c r="S663" s="26"/>
    </row>
    <row r="664" spans="1:19" ht="30">
      <c r="A664" s="26"/>
      <c r="B664" s="25" t="s">
        <v>1597</v>
      </c>
      <c r="C664" s="26" t="s">
        <v>1350</v>
      </c>
      <c r="D664" s="351">
        <v>595</v>
      </c>
      <c r="E664" s="26"/>
      <c r="F664" s="351">
        <v>595</v>
      </c>
      <c r="G664" s="351" t="s">
        <v>3321</v>
      </c>
      <c r="H664" s="351"/>
      <c r="I664" s="351" t="s">
        <v>3340</v>
      </c>
      <c r="J664" s="560" t="s">
        <v>3166</v>
      </c>
      <c r="K664" s="311">
        <v>918828.14400000009</v>
      </c>
      <c r="L664" s="311">
        <v>0</v>
      </c>
      <c r="M664" s="311">
        <v>292670.00000000006</v>
      </c>
      <c r="N664" s="311">
        <v>110196.16000000002</v>
      </c>
      <c r="O664" s="311">
        <v>77137.31200000002</v>
      </c>
      <c r="P664" s="68">
        <f t="shared" ref="P664:P666" si="148">SUM(K664:O664)</f>
        <v>1398831.6159999999</v>
      </c>
      <c r="Q664" s="68">
        <f>D664*P664</f>
        <v>832304811.51999998</v>
      </c>
      <c r="R664" s="127">
        <f>F664*P664</f>
        <v>832304811.51999998</v>
      </c>
      <c r="S664" s="26"/>
    </row>
    <row r="665" spans="1:19" ht="30">
      <c r="A665" s="26"/>
      <c r="B665" s="25" t="s">
        <v>1598</v>
      </c>
      <c r="C665" s="26" t="s">
        <v>1350</v>
      </c>
      <c r="D665" s="351">
        <v>21</v>
      </c>
      <c r="E665" s="26"/>
      <c r="F665" s="351">
        <v>21</v>
      </c>
      <c r="G665" s="351" t="s">
        <v>3321</v>
      </c>
      <c r="H665" s="351"/>
      <c r="I665" s="351" t="s">
        <v>3340</v>
      </c>
      <c r="J665" s="560" t="s">
        <v>3166</v>
      </c>
      <c r="K665" s="311">
        <v>1043336.0100000001</v>
      </c>
      <c r="L665" s="311">
        <v>0</v>
      </c>
      <c r="M665" s="311">
        <v>325444.70833333337</v>
      </c>
      <c r="N665" s="311">
        <v>124519.31666666668</v>
      </c>
      <c r="O665" s="311">
        <v>87163.521666666682</v>
      </c>
      <c r="P665" s="68">
        <f t="shared" si="148"/>
        <v>1580463.5566666669</v>
      </c>
      <c r="Q665" s="68">
        <f>D665*P665</f>
        <v>33189734.690000005</v>
      </c>
      <c r="R665" s="127">
        <f>F665*P665</f>
        <v>33189734.690000005</v>
      </c>
      <c r="S665" s="26"/>
    </row>
    <row r="666" spans="1:19" ht="30">
      <c r="A666" s="26"/>
      <c r="B666" s="25" t="s">
        <v>1599</v>
      </c>
      <c r="C666" s="26" t="s">
        <v>1350</v>
      </c>
      <c r="D666" s="351">
        <v>32</v>
      </c>
      <c r="E666" s="26"/>
      <c r="F666" s="351">
        <v>32</v>
      </c>
      <c r="G666" s="351" t="s">
        <v>3321</v>
      </c>
      <c r="H666" s="351"/>
      <c r="I666" s="351" t="s">
        <v>3340</v>
      </c>
      <c r="J666" s="560" t="s">
        <v>3166</v>
      </c>
      <c r="K666" s="311">
        <v>1354479.3440000003</v>
      </c>
      <c r="L666" s="311">
        <v>0</v>
      </c>
      <c r="M666" s="311">
        <v>253007.00000000003</v>
      </c>
      <c r="N666" s="311">
        <v>146654.16</v>
      </c>
      <c r="O666" s="311">
        <v>102657.91200000001</v>
      </c>
      <c r="P666" s="68">
        <f t="shared" si="148"/>
        <v>1856798.4160000002</v>
      </c>
      <c r="Q666" s="68">
        <f>D666*P666</f>
        <v>59417549.312000006</v>
      </c>
      <c r="R666" s="127">
        <f>F666*P666</f>
        <v>59417549.312000006</v>
      </c>
      <c r="S666" s="26"/>
    </row>
    <row r="667" spans="1:19" ht="42.75">
      <c r="A667" s="24">
        <v>1.6</v>
      </c>
      <c r="B667" s="27" t="s">
        <v>1600</v>
      </c>
      <c r="C667" s="24"/>
      <c r="D667" s="351"/>
      <c r="E667" s="24"/>
      <c r="F667" s="351"/>
      <c r="G667" s="26"/>
      <c r="H667" s="26"/>
      <c r="I667" s="26"/>
      <c r="J667" s="559"/>
      <c r="K667" s="66"/>
      <c r="L667" s="66"/>
      <c r="M667" s="66"/>
      <c r="N667" s="66"/>
      <c r="O667" s="66"/>
      <c r="P667" s="66"/>
      <c r="Q667" s="66"/>
      <c r="R667" s="66"/>
      <c r="S667" s="26"/>
    </row>
    <row r="668" spans="1:19" ht="30">
      <c r="A668" s="26"/>
      <c r="B668" s="25" t="s">
        <v>1601</v>
      </c>
      <c r="C668" s="26" t="s">
        <v>1350</v>
      </c>
      <c r="D668" s="351">
        <v>360</v>
      </c>
      <c r="E668" s="26"/>
      <c r="F668" s="351">
        <v>360</v>
      </c>
      <c r="G668" s="351" t="s">
        <v>3322</v>
      </c>
      <c r="H668" s="351"/>
      <c r="I668" s="351" t="s">
        <v>3340</v>
      </c>
      <c r="J668" s="560" t="s">
        <v>3166</v>
      </c>
      <c r="K668" s="311">
        <v>1080039.1440000001</v>
      </c>
      <c r="L668" s="311">
        <v>0</v>
      </c>
      <c r="M668" s="311">
        <v>292670.00000000006</v>
      </c>
      <c r="N668" s="311">
        <v>124986.16000000002</v>
      </c>
      <c r="O668" s="311">
        <v>87490.31200000002</v>
      </c>
      <c r="P668" s="68">
        <f t="shared" ref="P668:P670" si="149">SUM(K668:O668)</f>
        <v>1585185.6159999999</v>
      </c>
      <c r="Q668" s="68">
        <f>D668*P668</f>
        <v>570666821.75999999</v>
      </c>
      <c r="R668" s="127">
        <f>F668*P668</f>
        <v>570666821.75999999</v>
      </c>
      <c r="S668" s="26"/>
    </row>
    <row r="669" spans="1:19" ht="30">
      <c r="A669" s="26"/>
      <c r="B669" s="25" t="s">
        <v>1602</v>
      </c>
      <c r="C669" s="26" t="s">
        <v>1350</v>
      </c>
      <c r="D669" s="351">
        <v>19</v>
      </c>
      <c r="E669" s="26"/>
      <c r="F669" s="351">
        <v>19</v>
      </c>
      <c r="G669" s="351" t="s">
        <v>3322</v>
      </c>
      <c r="H669" s="351"/>
      <c r="I669" s="351" t="s">
        <v>3340</v>
      </c>
      <c r="J669" s="560" t="s">
        <v>3166</v>
      </c>
      <c r="K669" s="311">
        <v>1165634.01</v>
      </c>
      <c r="L669" s="311">
        <v>0</v>
      </c>
      <c r="M669" s="311">
        <v>325444.70833333337</v>
      </c>
      <c r="N669" s="311">
        <v>135739.31666666668</v>
      </c>
      <c r="O669" s="311">
        <v>95017.521666666682</v>
      </c>
      <c r="P669" s="68">
        <f t="shared" si="149"/>
        <v>1721835.5566666666</v>
      </c>
      <c r="Q669" s="68">
        <f>D669*P669</f>
        <v>32714875.576666668</v>
      </c>
      <c r="R669" s="127">
        <f>F669*P669</f>
        <v>32714875.576666668</v>
      </c>
      <c r="S669" s="26"/>
    </row>
    <row r="670" spans="1:19" ht="30">
      <c r="A670" s="26"/>
      <c r="B670" s="25" t="s">
        <v>1603</v>
      </c>
      <c r="C670" s="26" t="s">
        <v>1350</v>
      </c>
      <c r="D670" s="351">
        <v>20</v>
      </c>
      <c r="E670" s="26"/>
      <c r="F670" s="351">
        <v>20</v>
      </c>
      <c r="G670" s="351" t="s">
        <v>3322</v>
      </c>
      <c r="H670" s="351"/>
      <c r="I670" s="351" t="s">
        <v>3340</v>
      </c>
      <c r="J670" s="560" t="s">
        <v>3166</v>
      </c>
      <c r="K670" s="311">
        <v>1135825.344</v>
      </c>
      <c r="L670" s="311">
        <v>0</v>
      </c>
      <c r="M670" s="311">
        <v>253007.00000000003</v>
      </c>
      <c r="N670" s="311">
        <v>126594.16000000002</v>
      </c>
      <c r="O670" s="311">
        <v>88615.912000000011</v>
      </c>
      <c r="P670" s="68">
        <f t="shared" si="149"/>
        <v>1604042.416</v>
      </c>
      <c r="Q670" s="68">
        <f>D670*P670</f>
        <v>32080848.32</v>
      </c>
      <c r="R670" s="127">
        <f>F670*P670</f>
        <v>32080848.32</v>
      </c>
      <c r="S670" s="26"/>
    </row>
    <row r="671" spans="1:19" ht="42.75">
      <c r="A671" s="24">
        <v>1.7</v>
      </c>
      <c r="B671" s="27" t="s">
        <v>1604</v>
      </c>
      <c r="C671" s="24"/>
      <c r="D671" s="351"/>
      <c r="E671" s="24"/>
      <c r="F671" s="351"/>
      <c r="G671" s="26"/>
      <c r="H671" s="26"/>
      <c r="I671" s="26"/>
      <c r="J671" s="559"/>
      <c r="K671" s="66"/>
      <c r="L671" s="66"/>
      <c r="M671" s="66"/>
      <c r="N671" s="66"/>
      <c r="O671" s="66"/>
      <c r="P671" s="66"/>
      <c r="Q671" s="66"/>
      <c r="R671" s="66"/>
      <c r="S671" s="26"/>
    </row>
    <row r="672" spans="1:19" ht="30">
      <c r="A672" s="26"/>
      <c r="B672" s="25" t="s">
        <v>1605</v>
      </c>
      <c r="C672" s="26" t="s">
        <v>1350</v>
      </c>
      <c r="D672" s="351">
        <v>339</v>
      </c>
      <c r="E672" s="26"/>
      <c r="F672" s="351">
        <v>339</v>
      </c>
      <c r="G672" s="351" t="s">
        <v>3323</v>
      </c>
      <c r="H672" s="351"/>
      <c r="I672" s="351" t="s">
        <v>3340</v>
      </c>
      <c r="J672" s="560" t="s">
        <v>3166</v>
      </c>
      <c r="K672" s="311">
        <v>355516.01401750004</v>
      </c>
      <c r="L672" s="311">
        <v>0</v>
      </c>
      <c r="M672" s="311">
        <v>39112.125000000007</v>
      </c>
      <c r="N672" s="311">
        <v>36077.398074999997</v>
      </c>
      <c r="O672" s="311">
        <v>25254.178652500002</v>
      </c>
      <c r="P672" s="68">
        <f t="shared" ref="P672:P674" si="150">SUM(K672:O672)</f>
        <v>455959.71574499999</v>
      </c>
      <c r="Q672" s="68">
        <f>D672*P672</f>
        <v>154570343.637555</v>
      </c>
      <c r="R672" s="127">
        <f>F672*P672</f>
        <v>154570343.637555</v>
      </c>
      <c r="S672" s="26"/>
    </row>
    <row r="673" spans="1:19" ht="30">
      <c r="A673" s="26"/>
      <c r="B673" s="25" t="s">
        <v>1606</v>
      </c>
      <c r="C673" s="26" t="s">
        <v>1350</v>
      </c>
      <c r="D673" s="351">
        <v>88</v>
      </c>
      <c r="E673" s="26"/>
      <c r="F673" s="351">
        <v>88</v>
      </c>
      <c r="G673" s="351" t="s">
        <v>3323</v>
      </c>
      <c r="H673" s="351"/>
      <c r="I673" s="351" t="s">
        <v>3340</v>
      </c>
      <c r="J673" s="560" t="s">
        <v>3166</v>
      </c>
      <c r="K673" s="311">
        <v>455937.34219670005</v>
      </c>
      <c r="L673" s="311">
        <v>0</v>
      </c>
      <c r="M673" s="311">
        <v>55680.750000000007</v>
      </c>
      <c r="N673" s="311">
        <v>46756.613963000003</v>
      </c>
      <c r="O673" s="311">
        <v>32729.629774100002</v>
      </c>
      <c r="P673" s="68">
        <f t="shared" si="150"/>
        <v>591104.33593380009</v>
      </c>
      <c r="Q673" s="68">
        <f>D673*P673</f>
        <v>52017181.56217441</v>
      </c>
      <c r="R673" s="127">
        <f>F673*P673</f>
        <v>52017181.56217441</v>
      </c>
      <c r="S673" s="26"/>
    </row>
    <row r="674" spans="1:19" ht="30">
      <c r="A674" s="26"/>
      <c r="B674" s="25" t="s">
        <v>1607</v>
      </c>
      <c r="C674" s="26" t="s">
        <v>1350</v>
      </c>
      <c r="D674" s="351">
        <v>31</v>
      </c>
      <c r="E674" s="26"/>
      <c r="F674" s="351">
        <v>31</v>
      </c>
      <c r="G674" s="351" t="s">
        <v>3323</v>
      </c>
      <c r="H674" s="351"/>
      <c r="I674" s="351" t="s">
        <v>3340</v>
      </c>
      <c r="J674" s="560" t="s">
        <v>3166</v>
      </c>
      <c r="K674" s="311">
        <v>571891.45203190006</v>
      </c>
      <c r="L674" s="311">
        <v>0</v>
      </c>
      <c r="M674" s="311">
        <v>57898.375000000007</v>
      </c>
      <c r="N674" s="311">
        <v>57590.855691000004</v>
      </c>
      <c r="O674" s="311">
        <v>40313.598983700009</v>
      </c>
      <c r="P674" s="68">
        <f t="shared" si="150"/>
        <v>727694.2817066001</v>
      </c>
      <c r="Q674" s="68">
        <f>D674*P674</f>
        <v>22558522.732904602</v>
      </c>
      <c r="R674" s="127">
        <f>F674*P674</f>
        <v>22558522.732904602</v>
      </c>
      <c r="S674" s="26"/>
    </row>
    <row r="675" spans="1:19" ht="42.75">
      <c r="A675" s="24">
        <v>1.8</v>
      </c>
      <c r="B675" s="27" t="s">
        <v>1608</v>
      </c>
      <c r="C675" s="26"/>
      <c r="D675" s="351"/>
      <c r="E675" s="24"/>
      <c r="F675" s="351"/>
      <c r="G675" s="26"/>
      <c r="H675" s="26"/>
      <c r="I675" s="26"/>
      <c r="J675" s="559"/>
      <c r="K675" s="66"/>
      <c r="L675" s="66"/>
      <c r="M675" s="66"/>
      <c r="N675" s="66"/>
      <c r="O675" s="66"/>
      <c r="P675" s="66"/>
      <c r="Q675" s="66"/>
      <c r="R675" s="66"/>
      <c r="S675" s="26"/>
    </row>
    <row r="676" spans="1:19" ht="60">
      <c r="A676" s="26"/>
      <c r="B676" s="25" t="s">
        <v>1609</v>
      </c>
      <c r="C676" s="26" t="s">
        <v>1350</v>
      </c>
      <c r="D676" s="351">
        <v>86</v>
      </c>
      <c r="E676" s="26"/>
      <c r="F676" s="351">
        <v>86</v>
      </c>
      <c r="G676" s="351" t="s">
        <v>3343</v>
      </c>
      <c r="H676" s="351"/>
      <c r="I676" s="351" t="s">
        <v>3341</v>
      </c>
      <c r="J676" s="560" t="s">
        <v>3342</v>
      </c>
      <c r="K676" s="311">
        <v>1267126.6132</v>
      </c>
      <c r="L676" s="311">
        <v>0</v>
      </c>
      <c r="M676" s="311">
        <v>307360.00000000006</v>
      </c>
      <c r="N676" s="311">
        <v>143450.14800000002</v>
      </c>
      <c r="O676" s="311">
        <v>100415.1036</v>
      </c>
      <c r="P676" s="68">
        <f t="shared" ref="P676:P677" si="151">SUM(K676:O676)</f>
        <v>1818351.8648000001</v>
      </c>
      <c r="Q676" s="68">
        <f>D676*P676</f>
        <v>156378260.37280002</v>
      </c>
      <c r="R676" s="127">
        <f>F676*P676</f>
        <v>156378260.37280002</v>
      </c>
      <c r="S676" s="26"/>
    </row>
    <row r="677" spans="1:19" ht="60">
      <c r="A677" s="26"/>
      <c r="B677" s="25" t="s">
        <v>1610</v>
      </c>
      <c r="C677" s="26" t="s">
        <v>1350</v>
      </c>
      <c r="D677" s="351">
        <v>404</v>
      </c>
      <c r="E677" s="26"/>
      <c r="F677" s="351">
        <v>404</v>
      </c>
      <c r="G677" s="351" t="s">
        <v>3344</v>
      </c>
      <c r="H677" s="351"/>
      <c r="I677" s="351" t="s">
        <v>3341</v>
      </c>
      <c r="J677" s="560" t="s">
        <v>3342</v>
      </c>
      <c r="K677" s="311">
        <v>2219206.8640000001</v>
      </c>
      <c r="L677" s="311">
        <v>0</v>
      </c>
      <c r="M677" s="311">
        <v>416216.66666666674</v>
      </c>
      <c r="N677" s="311">
        <v>240430.29333333333</v>
      </c>
      <c r="O677" s="311">
        <v>168301.20533333335</v>
      </c>
      <c r="P677" s="68">
        <f t="shared" si="151"/>
        <v>3044155.029333334</v>
      </c>
      <c r="Q677" s="68">
        <f>D677*P677</f>
        <v>1229838631.850667</v>
      </c>
      <c r="R677" s="127">
        <f>F677*P677</f>
        <v>1229838631.850667</v>
      </c>
      <c r="S677" s="26"/>
    </row>
    <row r="678" spans="1:19" s="84" customFormat="1">
      <c r="A678" s="28">
        <v>1.9</v>
      </c>
      <c r="B678" s="82" t="s">
        <v>2144</v>
      </c>
      <c r="C678" s="30"/>
      <c r="D678" s="352"/>
      <c r="E678" s="30"/>
      <c r="F678" s="352"/>
      <c r="G678" s="212"/>
      <c r="H678" s="212"/>
      <c r="I678" s="212"/>
      <c r="J678" s="560"/>
      <c r="K678" s="80"/>
      <c r="L678" s="80"/>
      <c r="M678" s="80"/>
      <c r="N678" s="80"/>
      <c r="O678" s="80"/>
      <c r="P678" s="80"/>
      <c r="Q678" s="80"/>
      <c r="R678" s="80"/>
      <c r="S678" s="212"/>
    </row>
    <row r="679" spans="1:19" s="84" customFormat="1">
      <c r="A679" s="28"/>
      <c r="B679" s="29" t="s">
        <v>2145</v>
      </c>
      <c r="C679" s="30" t="s">
        <v>1350</v>
      </c>
      <c r="D679" s="352">
        <v>42</v>
      </c>
      <c r="E679" s="30"/>
      <c r="F679" s="352">
        <v>42</v>
      </c>
      <c r="G679" s="351" t="s">
        <v>3307</v>
      </c>
      <c r="H679" s="351"/>
      <c r="I679" s="351" t="s">
        <v>2596</v>
      </c>
      <c r="J679" s="560" t="s">
        <v>2328</v>
      </c>
      <c r="K679" s="311">
        <v>288414</v>
      </c>
      <c r="L679" s="311">
        <v>0</v>
      </c>
      <c r="M679" s="311">
        <v>147391.55000000002</v>
      </c>
      <c r="N679" s="311">
        <v>39503.5</v>
      </c>
      <c r="O679" s="311">
        <v>27652.450000000004</v>
      </c>
      <c r="P679" s="68">
        <f t="shared" ref="P679:P680" si="152">SUM(K679:O679)</f>
        <v>502961.50000000006</v>
      </c>
      <c r="Q679" s="68">
        <f>D679*P679</f>
        <v>21124383.000000004</v>
      </c>
      <c r="R679" s="127">
        <f>F679*P679</f>
        <v>21124383.000000004</v>
      </c>
      <c r="S679" s="36"/>
    </row>
    <row r="680" spans="1:19" s="84" customFormat="1">
      <c r="A680" s="28"/>
      <c r="B680" s="29" t="s">
        <v>2146</v>
      </c>
      <c r="C680" s="30" t="s">
        <v>1350</v>
      </c>
      <c r="D680" s="352">
        <v>444</v>
      </c>
      <c r="E680" s="30"/>
      <c r="F680" s="352">
        <v>444</v>
      </c>
      <c r="G680" s="351" t="s">
        <v>3307</v>
      </c>
      <c r="H680" s="351"/>
      <c r="I680" s="351" t="s">
        <v>2596</v>
      </c>
      <c r="J680" s="560" t="s">
        <v>2328</v>
      </c>
      <c r="K680" s="311">
        <v>380279.2</v>
      </c>
      <c r="L680" s="311">
        <v>0</v>
      </c>
      <c r="M680" s="311">
        <v>245652.58333333337</v>
      </c>
      <c r="N680" s="311">
        <v>56627.166666666679</v>
      </c>
      <c r="O680" s="311">
        <v>39639.016666666677</v>
      </c>
      <c r="P680" s="68">
        <f t="shared" si="152"/>
        <v>722197.96666666679</v>
      </c>
      <c r="Q680" s="68">
        <f>D680*P680</f>
        <v>320655897.20000005</v>
      </c>
      <c r="R680" s="127">
        <f>F680*P680</f>
        <v>320655897.20000005</v>
      </c>
      <c r="S680" s="15"/>
    </row>
    <row r="681" spans="1:19" s="84" customFormat="1" ht="57">
      <c r="A681" s="211">
        <v>1.1000000000000001</v>
      </c>
      <c r="B681" s="82" t="s">
        <v>2147</v>
      </c>
      <c r="C681" s="30"/>
      <c r="D681" s="352"/>
      <c r="E681" s="30"/>
      <c r="F681" s="352"/>
      <c r="G681" s="37"/>
      <c r="H681" s="37"/>
      <c r="I681" s="37"/>
      <c r="J681" s="583"/>
      <c r="K681" s="66"/>
      <c r="L681" s="66"/>
      <c r="M681" s="66"/>
      <c r="N681" s="66"/>
      <c r="O681" s="66"/>
      <c r="P681" s="66"/>
      <c r="Q681" s="66"/>
      <c r="R681" s="66"/>
      <c r="S681" s="37"/>
    </row>
    <row r="682" spans="1:19" s="84" customFormat="1" ht="30">
      <c r="A682" s="30"/>
      <c r="B682" s="29" t="s">
        <v>2148</v>
      </c>
      <c r="C682" s="30" t="s">
        <v>1350</v>
      </c>
      <c r="D682" s="352">
        <v>300</v>
      </c>
      <c r="E682" s="30"/>
      <c r="F682" s="352">
        <v>300</v>
      </c>
      <c r="G682" s="351" t="s">
        <v>3315</v>
      </c>
      <c r="H682" s="351"/>
      <c r="I682" s="351" t="s">
        <v>3340</v>
      </c>
      <c r="J682" s="560" t="s">
        <v>3166</v>
      </c>
      <c r="K682" s="311">
        <v>167646.93987999999</v>
      </c>
      <c r="L682" s="311">
        <v>0</v>
      </c>
      <c r="M682" s="311">
        <v>62432.500000000007</v>
      </c>
      <c r="N682" s="311">
        <v>20905.4532</v>
      </c>
      <c r="O682" s="311">
        <v>14633.81724</v>
      </c>
      <c r="P682" s="68">
        <f t="shared" ref="P682:P684" si="153">SUM(K682:O682)</f>
        <v>265618.71031999995</v>
      </c>
      <c r="Q682" s="68">
        <f>D682*P682</f>
        <v>79685613.095999986</v>
      </c>
      <c r="R682" s="127">
        <f>F682*P682</f>
        <v>79685613.095999986</v>
      </c>
      <c r="S682" s="37"/>
    </row>
    <row r="683" spans="1:19" s="84" customFormat="1" ht="30">
      <c r="A683" s="30"/>
      <c r="B683" s="29" t="s">
        <v>2149</v>
      </c>
      <c r="C683" s="30" t="s">
        <v>1350</v>
      </c>
      <c r="D683" s="352">
        <v>60</v>
      </c>
      <c r="E683" s="30"/>
      <c r="F683" s="352">
        <v>60</v>
      </c>
      <c r="G683" s="351" t="s">
        <v>3315</v>
      </c>
      <c r="H683" s="351"/>
      <c r="I683" s="351" t="s">
        <v>3340</v>
      </c>
      <c r="J683" s="560" t="s">
        <v>3166</v>
      </c>
      <c r="K683" s="311">
        <v>196649.2108</v>
      </c>
      <c r="L683" s="311">
        <v>0</v>
      </c>
      <c r="M683" s="311">
        <v>73450.000000000015</v>
      </c>
      <c r="N683" s="311">
        <v>24541.212</v>
      </c>
      <c r="O683" s="311">
        <v>17178.848400000003</v>
      </c>
      <c r="P683" s="68">
        <f t="shared" si="153"/>
        <v>311819.27120000002</v>
      </c>
      <c r="Q683" s="68">
        <f>D683*P683</f>
        <v>18709156.272</v>
      </c>
      <c r="R683" s="127">
        <f>F683*P683</f>
        <v>18709156.272</v>
      </c>
      <c r="S683" s="37"/>
    </row>
    <row r="684" spans="1:19">
      <c r="A684" s="73">
        <v>1.1100000000000001</v>
      </c>
      <c r="B684" s="72" t="s">
        <v>1408</v>
      </c>
      <c r="C684" s="26" t="s">
        <v>78</v>
      </c>
      <c r="D684" s="351">
        <v>1</v>
      </c>
      <c r="E684" s="24"/>
      <c r="F684" s="351">
        <v>1</v>
      </c>
      <c r="G684" s="26"/>
      <c r="H684" s="26"/>
      <c r="I684" s="26"/>
      <c r="J684" s="560" t="s">
        <v>2381</v>
      </c>
      <c r="K684" s="311">
        <v>312334563.16188854</v>
      </c>
      <c r="L684" s="311">
        <v>0</v>
      </c>
      <c r="M684" s="311">
        <v>89617675.994339004</v>
      </c>
      <c r="N684" s="311">
        <v>34063749.081036232</v>
      </c>
      <c r="O684" s="311">
        <v>23844624.356725361</v>
      </c>
      <c r="P684" s="68">
        <f t="shared" si="153"/>
        <v>459860612.59398907</v>
      </c>
      <c r="Q684" s="68">
        <f>D684*P684</f>
        <v>459860612.59398907</v>
      </c>
      <c r="R684" s="127">
        <f>F684*P684</f>
        <v>459860612.59398907</v>
      </c>
      <c r="S684" s="26"/>
    </row>
    <row r="685" spans="1:19">
      <c r="A685" s="215">
        <v>4</v>
      </c>
      <c r="B685" s="216" t="s">
        <v>2232</v>
      </c>
      <c r="C685" s="24"/>
      <c r="D685" s="351"/>
      <c r="E685" s="24"/>
      <c r="F685" s="351"/>
      <c r="G685" s="26"/>
      <c r="H685" s="26"/>
      <c r="I685" s="26"/>
      <c r="J685" s="559"/>
      <c r="K685" s="66"/>
      <c r="L685" s="66"/>
      <c r="M685" s="66"/>
      <c r="N685" s="66"/>
      <c r="O685" s="66"/>
      <c r="P685" s="66"/>
      <c r="Q685" s="66"/>
      <c r="R685" s="66"/>
      <c r="S685" s="26"/>
    </row>
    <row r="686" spans="1:19">
      <c r="A686" s="24">
        <v>1.1000000000000001</v>
      </c>
      <c r="B686" s="27" t="s">
        <v>1483</v>
      </c>
      <c r="C686" s="24"/>
      <c r="D686" s="351"/>
      <c r="E686" s="24"/>
      <c r="F686" s="351"/>
      <c r="G686" s="26"/>
      <c r="H686" s="26"/>
      <c r="I686" s="26"/>
      <c r="J686" s="559"/>
      <c r="K686" s="66"/>
      <c r="L686" s="66"/>
      <c r="M686" s="66"/>
      <c r="N686" s="66"/>
      <c r="O686" s="66"/>
      <c r="P686" s="66"/>
      <c r="Q686" s="66"/>
      <c r="R686" s="66"/>
      <c r="S686" s="26"/>
    </row>
    <row r="687" spans="1:19">
      <c r="A687" s="24"/>
      <c r="B687" s="25" t="s">
        <v>1611</v>
      </c>
      <c r="C687" s="26" t="s">
        <v>1336</v>
      </c>
      <c r="D687" s="351">
        <v>3.43</v>
      </c>
      <c r="E687" s="24"/>
      <c r="F687" s="351">
        <v>3.43</v>
      </c>
      <c r="G687" s="351" t="s">
        <v>3310</v>
      </c>
      <c r="H687" s="351"/>
      <c r="I687" s="351" t="s">
        <v>2596</v>
      </c>
      <c r="J687" s="560" t="s">
        <v>2328</v>
      </c>
      <c r="K687" s="311">
        <v>72501.222906000025</v>
      </c>
      <c r="L687" s="311">
        <v>0</v>
      </c>
      <c r="M687" s="311">
        <v>54616.666666666672</v>
      </c>
      <c r="N687" s="311">
        <v>11484.821673333337</v>
      </c>
      <c r="O687" s="311">
        <v>8039.3751713333359</v>
      </c>
      <c r="P687" s="68">
        <f t="shared" ref="P687:P722" si="154">SUM(K687:O687)</f>
        <v>146642.08641733337</v>
      </c>
      <c r="Q687" s="68">
        <f t="shared" ref="Q687:Q722" si="155">D687*P687</f>
        <v>502982.35641145345</v>
      </c>
      <c r="R687" s="127">
        <f t="shared" ref="R687:R722" si="156">F687*P687</f>
        <v>502982.35641145345</v>
      </c>
      <c r="S687" s="26"/>
    </row>
    <row r="688" spans="1:19">
      <c r="A688" s="24"/>
      <c r="B688" s="25" t="s">
        <v>1612</v>
      </c>
      <c r="C688" s="26" t="s">
        <v>1336</v>
      </c>
      <c r="D688" s="351">
        <v>4.54</v>
      </c>
      <c r="E688" s="24"/>
      <c r="F688" s="351">
        <v>4.54</v>
      </c>
      <c r="G688" s="351" t="s">
        <v>3310</v>
      </c>
      <c r="H688" s="351"/>
      <c r="I688" s="351" t="s">
        <v>2596</v>
      </c>
      <c r="J688" s="560" t="s">
        <v>2328</v>
      </c>
      <c r="K688" s="311">
        <v>90413.28974160002</v>
      </c>
      <c r="L688" s="311">
        <v>0</v>
      </c>
      <c r="M688" s="311">
        <v>68270.833333333343</v>
      </c>
      <c r="N688" s="311">
        <v>14336.46389066667</v>
      </c>
      <c r="O688" s="311">
        <v>10035.524723466669</v>
      </c>
      <c r="P688" s="68">
        <f t="shared" si="154"/>
        <v>183056.11168906669</v>
      </c>
      <c r="Q688" s="68">
        <f t="shared" si="155"/>
        <v>831074.74706836278</v>
      </c>
      <c r="R688" s="127">
        <f t="shared" si="156"/>
        <v>831074.74706836278</v>
      </c>
      <c r="S688" s="26"/>
    </row>
    <row r="689" spans="1:19">
      <c r="A689" s="24"/>
      <c r="B689" s="25" t="s">
        <v>1513</v>
      </c>
      <c r="C689" s="26" t="s">
        <v>1336</v>
      </c>
      <c r="D689" s="351">
        <v>120.25000000000001</v>
      </c>
      <c r="E689" s="24"/>
      <c r="F689" s="351">
        <v>120.25000000000001</v>
      </c>
      <c r="G689" s="351" t="s">
        <v>3310</v>
      </c>
      <c r="H689" s="351"/>
      <c r="I689" s="351" t="s">
        <v>2596</v>
      </c>
      <c r="J689" s="560" t="s">
        <v>2328</v>
      </c>
      <c r="K689" s="311">
        <v>97236.934250400023</v>
      </c>
      <c r="L689" s="311">
        <v>0</v>
      </c>
      <c r="M689" s="311">
        <v>81925.000000000015</v>
      </c>
      <c r="N689" s="311">
        <v>16170.819656000001</v>
      </c>
      <c r="O689" s="311">
        <v>11319.573759200002</v>
      </c>
      <c r="P689" s="68">
        <f t="shared" si="154"/>
        <v>206652.32766560005</v>
      </c>
      <c r="Q689" s="68">
        <f t="shared" si="155"/>
        <v>24849942.40178841</v>
      </c>
      <c r="R689" s="127">
        <f t="shared" si="156"/>
        <v>24849942.40178841</v>
      </c>
      <c r="S689" s="26"/>
    </row>
    <row r="690" spans="1:19">
      <c r="A690" s="24"/>
      <c r="B690" s="25" t="s">
        <v>1613</v>
      </c>
      <c r="C690" s="26" t="s">
        <v>1336</v>
      </c>
      <c r="D690" s="351">
        <v>31.85</v>
      </c>
      <c r="E690" s="24"/>
      <c r="F690" s="351">
        <v>31.85</v>
      </c>
      <c r="G690" s="351" t="s">
        <v>3310</v>
      </c>
      <c r="H690" s="351"/>
      <c r="I690" s="351" t="s">
        <v>2596</v>
      </c>
      <c r="J690" s="560" t="s">
        <v>2328</v>
      </c>
      <c r="K690" s="311">
        <v>109178.31214080003</v>
      </c>
      <c r="L690" s="311">
        <v>0</v>
      </c>
      <c r="M690" s="311">
        <v>81925.000000000015</v>
      </c>
      <c r="N690" s="311">
        <v>17266.358912000003</v>
      </c>
      <c r="O690" s="311">
        <v>12086.451238400003</v>
      </c>
      <c r="P690" s="68">
        <f t="shared" si="154"/>
        <v>220456.12229120007</v>
      </c>
      <c r="Q690" s="68">
        <f t="shared" si="155"/>
        <v>7021527.4949747222</v>
      </c>
      <c r="R690" s="127">
        <f t="shared" si="156"/>
        <v>7021527.4949747222</v>
      </c>
      <c r="S690" s="26"/>
    </row>
    <row r="691" spans="1:19">
      <c r="A691" s="24"/>
      <c r="B691" s="25" t="s">
        <v>1514</v>
      </c>
      <c r="C691" s="26" t="s">
        <v>1336</v>
      </c>
      <c r="D691" s="351">
        <v>117.18</v>
      </c>
      <c r="E691" s="24"/>
      <c r="F691" s="351">
        <v>117.18</v>
      </c>
      <c r="G691" s="351" t="s">
        <v>3310</v>
      </c>
      <c r="H691" s="351"/>
      <c r="I691" s="351" t="s">
        <v>2596</v>
      </c>
      <c r="J691" s="560" t="s">
        <v>2328</v>
      </c>
      <c r="K691" s="311">
        <v>113443.08995880003</v>
      </c>
      <c r="L691" s="311">
        <v>0</v>
      </c>
      <c r="M691" s="311">
        <v>95579.166666666686</v>
      </c>
      <c r="N691" s="311">
        <v>18865.956265333338</v>
      </c>
      <c r="O691" s="311">
        <v>13206.169385733336</v>
      </c>
      <c r="P691" s="68">
        <f t="shared" si="154"/>
        <v>241094.3822765334</v>
      </c>
      <c r="Q691" s="68">
        <f t="shared" si="155"/>
        <v>28251439.715164185</v>
      </c>
      <c r="R691" s="127">
        <f t="shared" si="156"/>
        <v>28251439.715164185</v>
      </c>
      <c r="S691" s="26"/>
    </row>
    <row r="692" spans="1:19">
      <c r="A692" s="24"/>
      <c r="B692" s="25" t="s">
        <v>1515</v>
      </c>
      <c r="C692" s="26" t="s">
        <v>1336</v>
      </c>
      <c r="D692" s="351">
        <v>86.96</v>
      </c>
      <c r="E692" s="24"/>
      <c r="F692" s="351">
        <v>86.96</v>
      </c>
      <c r="G692" s="351" t="s">
        <v>3310</v>
      </c>
      <c r="H692" s="351"/>
      <c r="I692" s="351" t="s">
        <v>2596</v>
      </c>
      <c r="J692" s="560" t="s">
        <v>2328</v>
      </c>
      <c r="K692" s="311">
        <v>129649.24566720004</v>
      </c>
      <c r="L692" s="311">
        <v>0</v>
      </c>
      <c r="M692" s="311">
        <v>109233.33333333334</v>
      </c>
      <c r="N692" s="311">
        <v>21561.092874666672</v>
      </c>
      <c r="O692" s="311">
        <v>15092.765012266671</v>
      </c>
      <c r="P692" s="68">
        <f t="shared" si="154"/>
        <v>275536.43688746676</v>
      </c>
      <c r="Q692" s="68">
        <f t="shared" si="155"/>
        <v>23960648.551734108</v>
      </c>
      <c r="R692" s="127">
        <f t="shared" si="156"/>
        <v>23960648.551734108</v>
      </c>
      <c r="S692" s="26"/>
    </row>
    <row r="693" spans="1:19">
      <c r="A693" s="24"/>
      <c r="B693" s="25" t="s">
        <v>1614</v>
      </c>
      <c r="C693" s="26" t="s">
        <v>1336</v>
      </c>
      <c r="D693" s="351">
        <v>2.94</v>
      </c>
      <c r="E693" s="24"/>
      <c r="F693" s="351">
        <v>2.94</v>
      </c>
      <c r="G693" s="351" t="s">
        <v>3310</v>
      </c>
      <c r="H693" s="351"/>
      <c r="I693" s="351" t="s">
        <v>2596</v>
      </c>
      <c r="J693" s="560" t="s">
        <v>2328</v>
      </c>
      <c r="K693" s="311">
        <v>129649.24566720004</v>
      </c>
      <c r="L693" s="311">
        <v>0</v>
      </c>
      <c r="M693" s="311">
        <v>109233.33333333334</v>
      </c>
      <c r="N693" s="311">
        <v>21561.092874666672</v>
      </c>
      <c r="O693" s="311">
        <v>15092.765012266671</v>
      </c>
      <c r="P693" s="68">
        <f t="shared" si="154"/>
        <v>275536.43688746676</v>
      </c>
      <c r="Q693" s="68">
        <f t="shared" si="155"/>
        <v>810077.12444915227</v>
      </c>
      <c r="R693" s="127">
        <f t="shared" si="156"/>
        <v>810077.12444915227</v>
      </c>
      <c r="S693" s="26"/>
    </row>
    <row r="694" spans="1:19">
      <c r="A694" s="24"/>
      <c r="B694" s="25" t="s">
        <v>1516</v>
      </c>
      <c r="C694" s="26" t="s">
        <v>1336</v>
      </c>
      <c r="D694" s="351">
        <v>150.75</v>
      </c>
      <c r="E694" s="24"/>
      <c r="F694" s="351">
        <v>150.75</v>
      </c>
      <c r="G694" s="351" t="s">
        <v>3310</v>
      </c>
      <c r="H694" s="351"/>
      <c r="I694" s="351" t="s">
        <v>2596</v>
      </c>
      <c r="J694" s="560" t="s">
        <v>2328</v>
      </c>
      <c r="K694" s="311">
        <v>145855.40137560002</v>
      </c>
      <c r="L694" s="311">
        <v>0</v>
      </c>
      <c r="M694" s="311">
        <v>122887.50000000001</v>
      </c>
      <c r="N694" s="311">
        <v>24256.229484000003</v>
      </c>
      <c r="O694" s="311">
        <v>16979.360638800004</v>
      </c>
      <c r="P694" s="68">
        <f t="shared" si="154"/>
        <v>309978.49149840005</v>
      </c>
      <c r="Q694" s="68">
        <f t="shared" si="155"/>
        <v>46729257.593383804</v>
      </c>
      <c r="R694" s="127">
        <f t="shared" si="156"/>
        <v>46729257.593383804</v>
      </c>
      <c r="S694" s="26"/>
    </row>
    <row r="695" spans="1:19">
      <c r="A695" s="24"/>
      <c r="B695" s="25" t="s">
        <v>1615</v>
      </c>
      <c r="C695" s="26" t="s">
        <v>1336</v>
      </c>
      <c r="D695" s="351">
        <v>28.46</v>
      </c>
      <c r="E695" s="24"/>
      <c r="F695" s="351">
        <v>28.46</v>
      </c>
      <c r="G695" s="351" t="s">
        <v>3310</v>
      </c>
      <c r="H695" s="351"/>
      <c r="I695" s="351" t="s">
        <v>2596</v>
      </c>
      <c r="J695" s="560" t="s">
        <v>2328</v>
      </c>
      <c r="K695" s="311">
        <v>162061.55708400003</v>
      </c>
      <c r="L695" s="311">
        <v>0</v>
      </c>
      <c r="M695" s="311">
        <v>136541.66666666669</v>
      </c>
      <c r="N695" s="311">
        <v>26951.366093333334</v>
      </c>
      <c r="O695" s="311">
        <v>18865.956265333334</v>
      </c>
      <c r="P695" s="68">
        <f t="shared" si="154"/>
        <v>344420.5461093334</v>
      </c>
      <c r="Q695" s="68">
        <f t="shared" si="155"/>
        <v>9802208.7422716282</v>
      </c>
      <c r="R695" s="127">
        <f t="shared" si="156"/>
        <v>9802208.7422716282</v>
      </c>
      <c r="S695" s="26"/>
    </row>
    <row r="696" spans="1:19">
      <c r="A696" s="24"/>
      <c r="B696" s="25" t="s">
        <v>1517</v>
      </c>
      <c r="C696" s="26" t="s">
        <v>1336</v>
      </c>
      <c r="D696" s="351">
        <v>100.77000000000001</v>
      </c>
      <c r="E696" s="24"/>
      <c r="F696" s="351">
        <v>100.77000000000001</v>
      </c>
      <c r="G696" s="351" t="s">
        <v>3310</v>
      </c>
      <c r="H696" s="351"/>
      <c r="I696" s="351" t="s">
        <v>2596</v>
      </c>
      <c r="J696" s="560" t="s">
        <v>2328</v>
      </c>
      <c r="K696" s="311">
        <v>162061.55708400003</v>
      </c>
      <c r="L696" s="311">
        <v>0</v>
      </c>
      <c r="M696" s="311">
        <v>136541.66666666669</v>
      </c>
      <c r="N696" s="311">
        <v>26951.366093333334</v>
      </c>
      <c r="O696" s="311">
        <v>18865.956265333334</v>
      </c>
      <c r="P696" s="68">
        <f t="shared" si="154"/>
        <v>344420.5461093334</v>
      </c>
      <c r="Q696" s="68">
        <f t="shared" si="155"/>
        <v>34707258.43143753</v>
      </c>
      <c r="R696" s="127">
        <f t="shared" si="156"/>
        <v>34707258.43143753</v>
      </c>
      <c r="S696" s="26"/>
    </row>
    <row r="697" spans="1:19">
      <c r="A697" s="24"/>
      <c r="B697" s="25" t="s">
        <v>1519</v>
      </c>
      <c r="C697" s="26" t="s">
        <v>1336</v>
      </c>
      <c r="D697" s="351">
        <v>40.61</v>
      </c>
      <c r="E697" s="24"/>
      <c r="F697" s="351">
        <v>40.61</v>
      </c>
      <c r="G697" s="351" t="s">
        <v>3310</v>
      </c>
      <c r="H697" s="351"/>
      <c r="I697" s="351" t="s">
        <v>2596</v>
      </c>
      <c r="J697" s="560" t="s">
        <v>2328</v>
      </c>
      <c r="K697" s="311">
        <v>178267.71279240004</v>
      </c>
      <c r="L697" s="311">
        <v>0</v>
      </c>
      <c r="M697" s="311">
        <v>150195.83333333337</v>
      </c>
      <c r="N697" s="311">
        <v>29646.502702666668</v>
      </c>
      <c r="O697" s="311">
        <v>20752.551891866671</v>
      </c>
      <c r="P697" s="68">
        <f t="shared" si="154"/>
        <v>378862.60072026675</v>
      </c>
      <c r="Q697" s="68">
        <f t="shared" si="155"/>
        <v>15385610.215250032</v>
      </c>
      <c r="R697" s="127">
        <f t="shared" si="156"/>
        <v>15385610.215250032</v>
      </c>
      <c r="S697" s="26"/>
    </row>
    <row r="698" spans="1:19">
      <c r="A698" s="24"/>
      <c r="B698" s="25" t="s">
        <v>1616</v>
      </c>
      <c r="C698" s="26" t="s">
        <v>1336</v>
      </c>
      <c r="D698" s="351">
        <v>30.9</v>
      </c>
      <c r="E698" s="24"/>
      <c r="F698" s="351">
        <v>30.9</v>
      </c>
      <c r="G698" s="351" t="s">
        <v>3310</v>
      </c>
      <c r="H698" s="351"/>
      <c r="I698" s="351" t="s">
        <v>2596</v>
      </c>
      <c r="J698" s="560" t="s">
        <v>2328</v>
      </c>
      <c r="K698" s="311">
        <v>194473.86850080005</v>
      </c>
      <c r="L698" s="311">
        <v>0</v>
      </c>
      <c r="M698" s="311">
        <v>163850.00000000003</v>
      </c>
      <c r="N698" s="311">
        <v>32341.639312000003</v>
      </c>
      <c r="O698" s="311">
        <v>22639.147518400005</v>
      </c>
      <c r="P698" s="68">
        <f t="shared" si="154"/>
        <v>413304.65533120011</v>
      </c>
      <c r="Q698" s="68">
        <f t="shared" si="155"/>
        <v>12771113.849734083</v>
      </c>
      <c r="R698" s="127">
        <f t="shared" si="156"/>
        <v>12771113.849734083</v>
      </c>
      <c r="S698" s="26"/>
    </row>
    <row r="699" spans="1:19">
      <c r="A699" s="24"/>
      <c r="B699" s="25" t="s">
        <v>1520</v>
      </c>
      <c r="C699" s="26" t="s">
        <v>1336</v>
      </c>
      <c r="D699" s="351">
        <v>5.9399999999999995</v>
      </c>
      <c r="E699" s="24"/>
      <c r="F699" s="351">
        <v>5.9399999999999995</v>
      </c>
      <c r="G699" s="351" t="s">
        <v>3310</v>
      </c>
      <c r="H699" s="351"/>
      <c r="I699" s="351" t="s">
        <v>2596</v>
      </c>
      <c r="J699" s="560" t="s">
        <v>2328</v>
      </c>
      <c r="K699" s="311">
        <v>194473.86850080005</v>
      </c>
      <c r="L699" s="311">
        <v>0</v>
      </c>
      <c r="M699" s="311">
        <v>163850.00000000003</v>
      </c>
      <c r="N699" s="311">
        <v>32341.639312000003</v>
      </c>
      <c r="O699" s="311">
        <v>22639.147518400005</v>
      </c>
      <c r="P699" s="68">
        <f t="shared" si="154"/>
        <v>413304.65533120011</v>
      </c>
      <c r="Q699" s="68">
        <f t="shared" si="155"/>
        <v>2455029.6526673282</v>
      </c>
      <c r="R699" s="127">
        <f t="shared" si="156"/>
        <v>2455029.6526673282</v>
      </c>
      <c r="S699" s="26"/>
    </row>
    <row r="700" spans="1:19">
      <c r="A700" s="24"/>
      <c r="B700" s="25" t="s">
        <v>1521</v>
      </c>
      <c r="C700" s="26" t="s">
        <v>1336</v>
      </c>
      <c r="D700" s="351">
        <v>83.899999999999991</v>
      </c>
      <c r="E700" s="24"/>
      <c r="F700" s="351">
        <v>83.899999999999991</v>
      </c>
      <c r="G700" s="351" t="s">
        <v>3310</v>
      </c>
      <c r="H700" s="351"/>
      <c r="I700" s="351" t="s">
        <v>2596</v>
      </c>
      <c r="J700" s="560" t="s">
        <v>2328</v>
      </c>
      <c r="K700" s="311">
        <v>210680.02420920006</v>
      </c>
      <c r="L700" s="311">
        <v>0</v>
      </c>
      <c r="M700" s="311">
        <v>177504.16666666669</v>
      </c>
      <c r="N700" s="311">
        <v>35036.775921333341</v>
      </c>
      <c r="O700" s="311">
        <v>24525.743144933338</v>
      </c>
      <c r="P700" s="68">
        <f t="shared" si="154"/>
        <v>447746.7099421334</v>
      </c>
      <c r="Q700" s="68">
        <f t="shared" si="155"/>
        <v>37565948.96414499</v>
      </c>
      <c r="R700" s="127">
        <f t="shared" si="156"/>
        <v>37565948.96414499</v>
      </c>
      <c r="S700" s="26"/>
    </row>
    <row r="701" spans="1:19">
      <c r="A701" s="24"/>
      <c r="B701" s="25" t="s">
        <v>1522</v>
      </c>
      <c r="C701" s="26" t="s">
        <v>1336</v>
      </c>
      <c r="D701" s="351">
        <v>5.05</v>
      </c>
      <c r="E701" s="24"/>
      <c r="F701" s="351">
        <v>5.05</v>
      </c>
      <c r="G701" s="351" t="s">
        <v>3310</v>
      </c>
      <c r="H701" s="351"/>
      <c r="I701" s="351" t="s">
        <v>2596</v>
      </c>
      <c r="J701" s="560" t="s">
        <v>2328</v>
      </c>
      <c r="K701" s="311">
        <v>226886.17991760006</v>
      </c>
      <c r="L701" s="311">
        <v>0</v>
      </c>
      <c r="M701" s="311">
        <v>191158.33333333337</v>
      </c>
      <c r="N701" s="311">
        <v>37731.912530666676</v>
      </c>
      <c r="O701" s="311">
        <v>26412.338771466671</v>
      </c>
      <c r="P701" s="68">
        <f t="shared" si="154"/>
        <v>482188.76455306681</v>
      </c>
      <c r="Q701" s="68">
        <f t="shared" si="155"/>
        <v>2435053.2609929871</v>
      </c>
      <c r="R701" s="127">
        <f t="shared" si="156"/>
        <v>2435053.2609929871</v>
      </c>
      <c r="S701" s="26"/>
    </row>
    <row r="702" spans="1:19">
      <c r="A702" s="24"/>
      <c r="B702" s="25" t="s">
        <v>1617</v>
      </c>
      <c r="C702" s="26" t="s">
        <v>1336</v>
      </c>
      <c r="D702" s="351">
        <v>43.120000000000005</v>
      </c>
      <c r="E702" s="24"/>
      <c r="F702" s="351">
        <v>43.120000000000005</v>
      </c>
      <c r="G702" s="351" t="s">
        <v>3310</v>
      </c>
      <c r="H702" s="351"/>
      <c r="I702" s="351" t="s">
        <v>2596</v>
      </c>
      <c r="J702" s="560" t="s">
        <v>2328</v>
      </c>
      <c r="K702" s="311">
        <v>210680.02420920006</v>
      </c>
      <c r="L702" s="311">
        <v>0</v>
      </c>
      <c r="M702" s="311">
        <v>177504.16666666669</v>
      </c>
      <c r="N702" s="311">
        <v>35036.775921333341</v>
      </c>
      <c r="O702" s="311">
        <v>24525.743144933338</v>
      </c>
      <c r="P702" s="68">
        <f t="shared" si="154"/>
        <v>447746.7099421334</v>
      </c>
      <c r="Q702" s="68">
        <f t="shared" si="155"/>
        <v>19306838.132704794</v>
      </c>
      <c r="R702" s="127">
        <f t="shared" si="156"/>
        <v>19306838.132704794</v>
      </c>
      <c r="S702" s="26"/>
    </row>
    <row r="703" spans="1:19">
      <c r="A703" s="24"/>
      <c r="B703" s="25" t="s">
        <v>1618</v>
      </c>
      <c r="C703" s="26" t="s">
        <v>1336</v>
      </c>
      <c r="D703" s="351">
        <v>21.72</v>
      </c>
      <c r="E703" s="24"/>
      <c r="F703" s="351">
        <v>21.72</v>
      </c>
      <c r="G703" s="351" t="s">
        <v>3310</v>
      </c>
      <c r="H703" s="351"/>
      <c r="I703" s="351" t="s">
        <v>2596</v>
      </c>
      <c r="J703" s="560" t="s">
        <v>2328</v>
      </c>
      <c r="K703" s="311">
        <v>226886.17991760006</v>
      </c>
      <c r="L703" s="311">
        <v>0</v>
      </c>
      <c r="M703" s="311">
        <v>191158.33333333337</v>
      </c>
      <c r="N703" s="311">
        <v>37731.912530666676</v>
      </c>
      <c r="O703" s="311">
        <v>26412.338771466671</v>
      </c>
      <c r="P703" s="68">
        <f t="shared" si="154"/>
        <v>482188.76455306681</v>
      </c>
      <c r="Q703" s="68">
        <f t="shared" si="155"/>
        <v>10473139.966092611</v>
      </c>
      <c r="R703" s="127">
        <f t="shared" si="156"/>
        <v>10473139.966092611</v>
      </c>
      <c r="S703" s="26"/>
    </row>
    <row r="704" spans="1:19">
      <c r="A704" s="24"/>
      <c r="B704" s="25" t="s">
        <v>1619</v>
      </c>
      <c r="C704" s="26" t="s">
        <v>1336</v>
      </c>
      <c r="D704" s="351">
        <v>12</v>
      </c>
      <c r="E704" s="24"/>
      <c r="F704" s="351">
        <v>12</v>
      </c>
      <c r="G704" s="351" t="s">
        <v>3310</v>
      </c>
      <c r="H704" s="351"/>
      <c r="I704" s="351" t="s">
        <v>2596</v>
      </c>
      <c r="J704" s="560" t="s">
        <v>2328</v>
      </c>
      <c r="K704" s="311">
        <v>243092.33562600007</v>
      </c>
      <c r="L704" s="311">
        <v>0</v>
      </c>
      <c r="M704" s="311">
        <v>204812.50000000003</v>
      </c>
      <c r="N704" s="311">
        <v>40427.04914000001</v>
      </c>
      <c r="O704" s="311">
        <v>28298.934398000005</v>
      </c>
      <c r="P704" s="68">
        <f t="shared" si="154"/>
        <v>516630.8191640001</v>
      </c>
      <c r="Q704" s="68">
        <f t="shared" si="155"/>
        <v>6199569.8299680017</v>
      </c>
      <c r="R704" s="127">
        <f t="shared" si="156"/>
        <v>6199569.8299680017</v>
      </c>
      <c r="S704" s="26"/>
    </row>
    <row r="705" spans="1:19">
      <c r="A705" s="24"/>
      <c r="B705" s="25" t="s">
        <v>1524</v>
      </c>
      <c r="C705" s="26" t="s">
        <v>1336</v>
      </c>
      <c r="D705" s="351">
        <v>59.680000000000007</v>
      </c>
      <c r="E705" s="24"/>
      <c r="F705" s="351">
        <v>59.680000000000007</v>
      </c>
      <c r="G705" s="351" t="s">
        <v>3310</v>
      </c>
      <c r="H705" s="351"/>
      <c r="I705" s="351" t="s">
        <v>2596</v>
      </c>
      <c r="J705" s="560" t="s">
        <v>2328</v>
      </c>
      <c r="K705" s="311">
        <v>243092.33562600007</v>
      </c>
      <c r="L705" s="311">
        <v>0</v>
      </c>
      <c r="M705" s="311">
        <v>204812.50000000003</v>
      </c>
      <c r="N705" s="311">
        <v>40427.04914000001</v>
      </c>
      <c r="O705" s="311">
        <v>28298.934398000005</v>
      </c>
      <c r="P705" s="68">
        <f t="shared" si="154"/>
        <v>516630.8191640001</v>
      </c>
      <c r="Q705" s="68">
        <f t="shared" si="155"/>
        <v>30832527.28770753</v>
      </c>
      <c r="R705" s="127">
        <f t="shared" si="156"/>
        <v>30832527.28770753</v>
      </c>
      <c r="S705" s="26"/>
    </row>
    <row r="706" spans="1:19">
      <c r="A706" s="24"/>
      <c r="B706" s="25" t="s">
        <v>1525</v>
      </c>
      <c r="C706" s="26" t="s">
        <v>1336</v>
      </c>
      <c r="D706" s="351">
        <v>47.629999999999995</v>
      </c>
      <c r="E706" s="24"/>
      <c r="F706" s="351">
        <v>47.629999999999995</v>
      </c>
      <c r="G706" s="351" t="s">
        <v>3310</v>
      </c>
      <c r="H706" s="351"/>
      <c r="I706" s="351" t="s">
        <v>2596</v>
      </c>
      <c r="J706" s="560" t="s">
        <v>2328</v>
      </c>
      <c r="K706" s="311">
        <v>259298.49133440008</v>
      </c>
      <c r="L706" s="311">
        <v>0</v>
      </c>
      <c r="M706" s="311">
        <v>218466.66666666669</v>
      </c>
      <c r="N706" s="311">
        <v>43122.185749333345</v>
      </c>
      <c r="O706" s="311">
        <v>30185.530024533342</v>
      </c>
      <c r="P706" s="68">
        <f t="shared" si="154"/>
        <v>551072.87377493351</v>
      </c>
      <c r="Q706" s="68">
        <f t="shared" si="155"/>
        <v>26247600.97790008</v>
      </c>
      <c r="R706" s="127">
        <f t="shared" si="156"/>
        <v>26247600.97790008</v>
      </c>
      <c r="S706" s="26"/>
    </row>
    <row r="707" spans="1:19">
      <c r="A707" s="24"/>
      <c r="B707" s="25" t="s">
        <v>1620</v>
      </c>
      <c r="C707" s="26" t="s">
        <v>1336</v>
      </c>
      <c r="D707" s="351">
        <v>16.36</v>
      </c>
      <c r="E707" s="24"/>
      <c r="F707" s="351">
        <v>16.36</v>
      </c>
      <c r="G707" s="351" t="s">
        <v>3310</v>
      </c>
      <c r="H707" s="351"/>
      <c r="I707" s="351" t="s">
        <v>2596</v>
      </c>
      <c r="J707" s="560" t="s">
        <v>2328</v>
      </c>
      <c r="K707" s="311">
        <v>275504.64704280003</v>
      </c>
      <c r="L707" s="311">
        <v>0</v>
      </c>
      <c r="M707" s="311">
        <v>232120.83333333337</v>
      </c>
      <c r="N707" s="311">
        <v>45817.322358666679</v>
      </c>
      <c r="O707" s="311">
        <v>32072.125651066675</v>
      </c>
      <c r="P707" s="68">
        <f t="shared" si="154"/>
        <v>585514.92838586669</v>
      </c>
      <c r="Q707" s="68">
        <f t="shared" si="155"/>
        <v>9579024.228392778</v>
      </c>
      <c r="R707" s="127">
        <f t="shared" si="156"/>
        <v>9579024.228392778</v>
      </c>
      <c r="S707" s="26"/>
    </row>
    <row r="708" spans="1:19">
      <c r="A708" s="24"/>
      <c r="B708" s="25" t="s">
        <v>1585</v>
      </c>
      <c r="C708" s="26" t="s">
        <v>1336</v>
      </c>
      <c r="D708" s="351">
        <v>5.31</v>
      </c>
      <c r="E708" s="24"/>
      <c r="F708" s="351">
        <v>5.31</v>
      </c>
      <c r="G708" s="351" t="s">
        <v>3311</v>
      </c>
      <c r="H708" s="351"/>
      <c r="I708" s="351" t="s">
        <v>2596</v>
      </c>
      <c r="J708" s="560" t="s">
        <v>2328</v>
      </c>
      <c r="K708" s="311">
        <v>333505.62536760006</v>
      </c>
      <c r="L708" s="311">
        <v>0</v>
      </c>
      <c r="M708" s="311">
        <v>240125.00000000003</v>
      </c>
      <c r="N708" s="311">
        <v>51846.846364000005</v>
      </c>
      <c r="O708" s="311">
        <v>36292.792454800008</v>
      </c>
      <c r="P708" s="68">
        <f t="shared" si="154"/>
        <v>661770.26418640011</v>
      </c>
      <c r="Q708" s="68">
        <f t="shared" si="155"/>
        <v>3514000.1028297842</v>
      </c>
      <c r="R708" s="127">
        <f t="shared" si="156"/>
        <v>3514000.1028297842</v>
      </c>
      <c r="S708" s="26"/>
    </row>
    <row r="709" spans="1:19">
      <c r="A709" s="24"/>
      <c r="B709" s="25" t="s">
        <v>1528</v>
      </c>
      <c r="C709" s="26" t="s">
        <v>1336</v>
      </c>
      <c r="D709" s="351">
        <v>72.44</v>
      </c>
      <c r="E709" s="24"/>
      <c r="F709" s="351">
        <v>72.44</v>
      </c>
      <c r="G709" s="351" t="s">
        <v>3311</v>
      </c>
      <c r="H709" s="351"/>
      <c r="I709" s="351" t="s">
        <v>2596</v>
      </c>
      <c r="J709" s="560" t="s">
        <v>2328</v>
      </c>
      <c r="K709" s="311">
        <v>353123.60333040013</v>
      </c>
      <c r="L709" s="311">
        <v>0</v>
      </c>
      <c r="M709" s="311">
        <v>254250.00000000003</v>
      </c>
      <c r="N709" s="311">
        <v>54896.66085600001</v>
      </c>
      <c r="O709" s="311">
        <v>38427.662599200012</v>
      </c>
      <c r="P709" s="68">
        <f t="shared" si="154"/>
        <v>700697.92678560026</v>
      </c>
      <c r="Q709" s="68">
        <f t="shared" si="155"/>
        <v>50758557.816348881</v>
      </c>
      <c r="R709" s="127">
        <f t="shared" si="156"/>
        <v>50758557.816348881</v>
      </c>
      <c r="S709" s="26"/>
    </row>
    <row r="710" spans="1:19">
      <c r="A710" s="24"/>
      <c r="B710" s="25" t="s">
        <v>1621</v>
      </c>
      <c r="C710" s="26" t="s">
        <v>1336</v>
      </c>
      <c r="D710" s="351">
        <v>24.439999999999998</v>
      </c>
      <c r="E710" s="24"/>
      <c r="F710" s="351">
        <v>24.439999999999998</v>
      </c>
      <c r="G710" s="351" t="s">
        <v>3311</v>
      </c>
      <c r="H710" s="351"/>
      <c r="I710" s="351" t="s">
        <v>2596</v>
      </c>
      <c r="J710" s="560" t="s">
        <v>2328</v>
      </c>
      <c r="K710" s="311">
        <v>372741.58129320003</v>
      </c>
      <c r="L710" s="311">
        <v>0</v>
      </c>
      <c r="M710" s="311">
        <v>268375</v>
      </c>
      <c r="N710" s="311">
        <v>57946.475348</v>
      </c>
      <c r="O710" s="311">
        <v>40562.532743600001</v>
      </c>
      <c r="P710" s="68">
        <f t="shared" si="154"/>
        <v>739625.58938479994</v>
      </c>
      <c r="Q710" s="68">
        <f t="shared" si="155"/>
        <v>18076449.404564507</v>
      </c>
      <c r="R710" s="127">
        <f t="shared" si="156"/>
        <v>18076449.404564507</v>
      </c>
      <c r="S710" s="26"/>
    </row>
    <row r="711" spans="1:19">
      <c r="A711" s="24"/>
      <c r="B711" s="25" t="s">
        <v>1531</v>
      </c>
      <c r="C711" s="26" t="s">
        <v>1336</v>
      </c>
      <c r="D711" s="351">
        <v>46.61</v>
      </c>
      <c r="E711" s="24"/>
      <c r="F711" s="351">
        <v>46.61</v>
      </c>
      <c r="G711" s="351" t="s">
        <v>3311</v>
      </c>
      <c r="H711" s="351"/>
      <c r="I711" s="351" t="s">
        <v>2596</v>
      </c>
      <c r="J711" s="560" t="s">
        <v>2328</v>
      </c>
      <c r="K711" s="311">
        <v>392359.5592560001</v>
      </c>
      <c r="L711" s="311">
        <v>0</v>
      </c>
      <c r="M711" s="311">
        <v>282500</v>
      </c>
      <c r="N711" s="311">
        <v>60996.289840000012</v>
      </c>
      <c r="O711" s="311">
        <v>42697.402888000011</v>
      </c>
      <c r="P711" s="68">
        <f t="shared" si="154"/>
        <v>778553.25198400009</v>
      </c>
      <c r="Q711" s="68">
        <f t="shared" si="155"/>
        <v>36288367.074974246</v>
      </c>
      <c r="R711" s="127">
        <f t="shared" si="156"/>
        <v>36288367.074974246</v>
      </c>
      <c r="S711" s="329"/>
    </row>
    <row r="712" spans="1:19">
      <c r="A712" s="24"/>
      <c r="B712" s="25" t="s">
        <v>1622</v>
      </c>
      <c r="C712" s="26" t="s">
        <v>1336</v>
      </c>
      <c r="D712" s="351">
        <v>10.61</v>
      </c>
      <c r="E712" s="24"/>
      <c r="F712" s="351">
        <v>10.61</v>
      </c>
      <c r="G712" s="351" t="s">
        <v>3311</v>
      </c>
      <c r="H712" s="351"/>
      <c r="I712" s="351" t="s">
        <v>2596</v>
      </c>
      <c r="J712" s="560" t="s">
        <v>2328</v>
      </c>
      <c r="K712" s="311">
        <v>411977.53721880016</v>
      </c>
      <c r="L712" s="311">
        <v>0</v>
      </c>
      <c r="M712" s="311">
        <v>296625.00000000006</v>
      </c>
      <c r="N712" s="311">
        <v>64046.104332000017</v>
      </c>
      <c r="O712" s="311">
        <v>44832.273032400015</v>
      </c>
      <c r="P712" s="68">
        <f t="shared" si="154"/>
        <v>817480.91458320036</v>
      </c>
      <c r="Q712" s="68">
        <f t="shared" si="155"/>
        <v>8673472.5037277546</v>
      </c>
      <c r="R712" s="127">
        <f t="shared" si="156"/>
        <v>8673472.5037277546</v>
      </c>
      <c r="S712" s="26"/>
    </row>
    <row r="713" spans="1:19">
      <c r="A713" s="24"/>
      <c r="B713" s="25" t="s">
        <v>1532</v>
      </c>
      <c r="C713" s="26" t="s">
        <v>1336</v>
      </c>
      <c r="D713" s="351">
        <v>10.46</v>
      </c>
      <c r="E713" s="24"/>
      <c r="F713" s="351">
        <v>10.46</v>
      </c>
      <c r="G713" s="351" t="s">
        <v>3311</v>
      </c>
      <c r="H713" s="351"/>
      <c r="I713" s="351" t="s">
        <v>2596</v>
      </c>
      <c r="J713" s="560" t="s">
        <v>2328</v>
      </c>
      <c r="K713" s="311">
        <v>431595.51518160006</v>
      </c>
      <c r="L713" s="311">
        <v>0</v>
      </c>
      <c r="M713" s="311">
        <v>310750.00000000006</v>
      </c>
      <c r="N713" s="311">
        <v>67095.918824000008</v>
      </c>
      <c r="O713" s="311">
        <v>46967.143176800011</v>
      </c>
      <c r="P713" s="68">
        <f t="shared" si="154"/>
        <v>856408.57718240016</v>
      </c>
      <c r="Q713" s="68">
        <f t="shared" si="155"/>
        <v>8958033.7173279058</v>
      </c>
      <c r="R713" s="127">
        <f t="shared" si="156"/>
        <v>8958033.7173279058</v>
      </c>
      <c r="S713" s="26"/>
    </row>
    <row r="714" spans="1:19">
      <c r="A714" s="24"/>
      <c r="B714" s="25" t="s">
        <v>1623</v>
      </c>
      <c r="C714" s="26" t="s">
        <v>1336</v>
      </c>
      <c r="D714" s="351">
        <v>21.259999999999998</v>
      </c>
      <c r="E714" s="24"/>
      <c r="F714" s="351">
        <v>21.259999999999998</v>
      </c>
      <c r="G714" s="351" t="s">
        <v>3304</v>
      </c>
      <c r="H714" s="351"/>
      <c r="I714" s="351" t="s">
        <v>2596</v>
      </c>
      <c r="J714" s="560" t="s">
        <v>2328</v>
      </c>
      <c r="K714" s="311">
        <v>516038.11597800016</v>
      </c>
      <c r="L714" s="311">
        <v>0</v>
      </c>
      <c r="M714" s="311">
        <v>321108.33333333337</v>
      </c>
      <c r="N714" s="311">
        <v>75759.613086666679</v>
      </c>
      <c r="O714" s="311">
        <v>53031.729160666677</v>
      </c>
      <c r="P714" s="68">
        <f t="shared" si="154"/>
        <v>965937.79155866685</v>
      </c>
      <c r="Q714" s="68">
        <f t="shared" si="155"/>
        <v>20535837.448537257</v>
      </c>
      <c r="R714" s="127">
        <f t="shared" si="156"/>
        <v>20535837.448537257</v>
      </c>
      <c r="S714" s="26"/>
    </row>
    <row r="715" spans="1:19">
      <c r="A715" s="24"/>
      <c r="B715" s="25" t="s">
        <v>1534</v>
      </c>
      <c r="C715" s="26" t="s">
        <v>1336</v>
      </c>
      <c r="D715" s="351">
        <v>6.26</v>
      </c>
      <c r="E715" s="24"/>
      <c r="F715" s="351">
        <v>6.26</v>
      </c>
      <c r="G715" s="351" t="s">
        <v>3304</v>
      </c>
      <c r="H715" s="351"/>
      <c r="I715" s="351" t="s">
        <v>2596</v>
      </c>
      <c r="J715" s="560" t="s">
        <v>2328</v>
      </c>
      <c r="K715" s="311">
        <v>609863.22797400015</v>
      </c>
      <c r="L715" s="311">
        <v>0</v>
      </c>
      <c r="M715" s="311">
        <v>379491.66666666674</v>
      </c>
      <c r="N715" s="311">
        <v>89534.088193333359</v>
      </c>
      <c r="O715" s="311">
        <v>62673.861735333347</v>
      </c>
      <c r="P715" s="68">
        <f t="shared" si="154"/>
        <v>1141562.8445693336</v>
      </c>
      <c r="Q715" s="68">
        <f t="shared" si="155"/>
        <v>7146183.4070040276</v>
      </c>
      <c r="R715" s="127">
        <f t="shared" si="156"/>
        <v>7146183.4070040276</v>
      </c>
      <c r="S715" s="26"/>
    </row>
    <row r="716" spans="1:19">
      <c r="A716" s="24"/>
      <c r="B716" s="25" t="s">
        <v>1624</v>
      </c>
      <c r="C716" s="26" t="s">
        <v>1336</v>
      </c>
      <c r="D716" s="351">
        <v>8.9</v>
      </c>
      <c r="E716" s="24"/>
      <c r="F716" s="351">
        <v>8.9</v>
      </c>
      <c r="G716" s="351" t="s">
        <v>3304</v>
      </c>
      <c r="H716" s="351"/>
      <c r="I716" s="351" t="s">
        <v>2596</v>
      </c>
      <c r="J716" s="560" t="s">
        <v>2328</v>
      </c>
      <c r="K716" s="311">
        <v>609863.22797400015</v>
      </c>
      <c r="L716" s="311">
        <v>0</v>
      </c>
      <c r="M716" s="311">
        <v>379491.66666666674</v>
      </c>
      <c r="N716" s="311">
        <v>89534.088193333359</v>
      </c>
      <c r="O716" s="311">
        <v>62673.861735333347</v>
      </c>
      <c r="P716" s="68">
        <f t="shared" si="154"/>
        <v>1141562.8445693336</v>
      </c>
      <c r="Q716" s="68">
        <f t="shared" si="155"/>
        <v>10159909.316667069</v>
      </c>
      <c r="R716" s="127">
        <f t="shared" si="156"/>
        <v>10159909.316667069</v>
      </c>
      <c r="S716" s="26"/>
    </row>
    <row r="717" spans="1:19">
      <c r="A717" s="24"/>
      <c r="B717" s="25" t="s">
        <v>1625</v>
      </c>
      <c r="C717" s="26" t="s">
        <v>1336</v>
      </c>
      <c r="D717" s="351">
        <v>5.04</v>
      </c>
      <c r="E717" s="24"/>
      <c r="F717" s="351">
        <v>5.04</v>
      </c>
      <c r="G717" s="351" t="s">
        <v>3304</v>
      </c>
      <c r="H717" s="351"/>
      <c r="I717" s="351" t="s">
        <v>2596</v>
      </c>
      <c r="J717" s="560" t="s">
        <v>2328</v>
      </c>
      <c r="K717" s="311">
        <v>767692.09596800013</v>
      </c>
      <c r="L717" s="311">
        <v>0</v>
      </c>
      <c r="M717" s="311">
        <v>467066.66666666674</v>
      </c>
      <c r="N717" s="311">
        <v>111763.80085333335</v>
      </c>
      <c r="O717" s="311">
        <v>78234.66059733335</v>
      </c>
      <c r="P717" s="68">
        <f t="shared" si="154"/>
        <v>1424757.2240853338</v>
      </c>
      <c r="Q717" s="68">
        <f t="shared" si="155"/>
        <v>7180776.4093900826</v>
      </c>
      <c r="R717" s="127">
        <f t="shared" si="156"/>
        <v>7180776.4093900826</v>
      </c>
      <c r="S717" s="26"/>
    </row>
    <row r="718" spans="1:19">
      <c r="A718" s="24"/>
      <c r="B718" s="25" t="s">
        <v>1626</v>
      </c>
      <c r="C718" s="26" t="s">
        <v>1336</v>
      </c>
      <c r="D718" s="351">
        <v>1.27</v>
      </c>
      <c r="E718" s="24"/>
      <c r="F718" s="351">
        <v>1.27</v>
      </c>
      <c r="G718" s="351" t="s">
        <v>3162</v>
      </c>
      <c r="H718" s="351"/>
      <c r="I718" s="351" t="s">
        <v>2596</v>
      </c>
      <c r="J718" s="560" t="s">
        <v>2328</v>
      </c>
      <c r="K718" s="311">
        <v>916975.36396200024</v>
      </c>
      <c r="L718" s="311">
        <v>0</v>
      </c>
      <c r="M718" s="311">
        <v>554641.66666666674</v>
      </c>
      <c r="N718" s="311">
        <v>133209.51351333337</v>
      </c>
      <c r="O718" s="311">
        <v>93246.659459333358</v>
      </c>
      <c r="P718" s="68">
        <f t="shared" si="154"/>
        <v>1698073.2036013338</v>
      </c>
      <c r="Q718" s="68">
        <f t="shared" si="155"/>
        <v>2156552.9685736941</v>
      </c>
      <c r="R718" s="127">
        <f t="shared" si="156"/>
        <v>2156552.9685736941</v>
      </c>
      <c r="S718" s="26"/>
    </row>
    <row r="719" spans="1:19" s="84" customFormat="1">
      <c r="A719" s="30"/>
      <c r="B719" s="29" t="s">
        <v>2150</v>
      </c>
      <c r="C719" s="30" t="s">
        <v>117</v>
      </c>
      <c r="D719" s="352">
        <v>36</v>
      </c>
      <c r="E719" s="30"/>
      <c r="F719" s="352">
        <v>36</v>
      </c>
      <c r="G719" s="351" t="s">
        <v>3310</v>
      </c>
      <c r="H719" s="351"/>
      <c r="I719" s="351" t="s">
        <v>2596</v>
      </c>
      <c r="J719" s="560" t="s">
        <v>2328</v>
      </c>
      <c r="K719" s="311">
        <v>172517.50460000001</v>
      </c>
      <c r="L719" s="311">
        <v>0</v>
      </c>
      <c r="M719" s="311">
        <v>150195.83333333337</v>
      </c>
      <c r="N719" s="311">
        <v>29118.96066666667</v>
      </c>
      <c r="O719" s="311">
        <v>20383.272466666669</v>
      </c>
      <c r="P719" s="68">
        <f t="shared" si="154"/>
        <v>372215.57106666669</v>
      </c>
      <c r="Q719" s="68">
        <f t="shared" si="155"/>
        <v>13399760.558400001</v>
      </c>
      <c r="R719" s="127">
        <f t="shared" si="156"/>
        <v>13399760.558400001</v>
      </c>
      <c r="S719" s="15"/>
    </row>
    <row r="720" spans="1:19" s="84" customFormat="1">
      <c r="A720" s="30"/>
      <c r="B720" s="29" t="s">
        <v>1518</v>
      </c>
      <c r="C720" s="30" t="s">
        <v>117</v>
      </c>
      <c r="D720" s="352">
        <v>23</v>
      </c>
      <c r="E720" s="30"/>
      <c r="F720" s="352">
        <v>23</v>
      </c>
      <c r="G720" s="351" t="s">
        <v>3310</v>
      </c>
      <c r="H720" s="351"/>
      <c r="I720" s="351" t="s">
        <v>2596</v>
      </c>
      <c r="J720" s="560" t="s">
        <v>2328</v>
      </c>
      <c r="K720" s="311">
        <v>188200.81700000001</v>
      </c>
      <c r="L720" s="311">
        <v>0</v>
      </c>
      <c r="M720" s="311">
        <v>163850.00000000003</v>
      </c>
      <c r="N720" s="311">
        <v>31766.13</v>
      </c>
      <c r="O720" s="311">
        <v>22236.291000000001</v>
      </c>
      <c r="P720" s="68">
        <f t="shared" si="154"/>
        <v>406053.23800000007</v>
      </c>
      <c r="Q720" s="68">
        <f t="shared" si="155"/>
        <v>9339224.4740000013</v>
      </c>
      <c r="R720" s="127">
        <f t="shared" si="156"/>
        <v>9339224.4740000013</v>
      </c>
      <c r="S720" s="15"/>
    </row>
    <row r="721" spans="1:19" s="84" customFormat="1">
      <c r="A721" s="30"/>
      <c r="B721" s="29" t="s">
        <v>2151</v>
      </c>
      <c r="C721" s="30" t="s">
        <v>117</v>
      </c>
      <c r="D721" s="352">
        <v>18</v>
      </c>
      <c r="E721" s="30"/>
      <c r="F721" s="352">
        <v>18</v>
      </c>
      <c r="G721" s="351" t="s">
        <v>3310</v>
      </c>
      <c r="H721" s="351"/>
      <c r="I721" s="351" t="s">
        <v>2596</v>
      </c>
      <c r="J721" s="560" t="s">
        <v>2328</v>
      </c>
      <c r="K721" s="311">
        <v>203884.12940000001</v>
      </c>
      <c r="L721" s="311">
        <v>0</v>
      </c>
      <c r="M721" s="311">
        <v>177504.16666666669</v>
      </c>
      <c r="N721" s="311">
        <v>34413.299333333336</v>
      </c>
      <c r="O721" s="311">
        <v>24089.309533333337</v>
      </c>
      <c r="P721" s="68">
        <f t="shared" si="154"/>
        <v>439890.9049333334</v>
      </c>
      <c r="Q721" s="68">
        <f t="shared" si="155"/>
        <v>7918036.2888000011</v>
      </c>
      <c r="R721" s="127">
        <f t="shared" si="156"/>
        <v>7918036.2888000011</v>
      </c>
      <c r="S721" s="15"/>
    </row>
    <row r="722" spans="1:19" s="84" customFormat="1">
      <c r="A722" s="30"/>
      <c r="B722" s="29" t="s">
        <v>2152</v>
      </c>
      <c r="C722" s="30" t="s">
        <v>117</v>
      </c>
      <c r="D722" s="352">
        <v>2</v>
      </c>
      <c r="E722" s="30"/>
      <c r="F722" s="352">
        <v>2</v>
      </c>
      <c r="G722" s="351" t="s">
        <v>3304</v>
      </c>
      <c r="H722" s="351"/>
      <c r="I722" s="351" t="s">
        <v>2596</v>
      </c>
      <c r="J722" s="560" t="s">
        <v>2328</v>
      </c>
      <c r="K722" s="311">
        <v>477105.12080000003</v>
      </c>
      <c r="L722" s="311">
        <v>0</v>
      </c>
      <c r="M722" s="311">
        <v>306512.50000000006</v>
      </c>
      <c r="N722" s="311">
        <v>70896.112000000008</v>
      </c>
      <c r="O722" s="311">
        <v>49627.278400000003</v>
      </c>
      <c r="P722" s="68">
        <f t="shared" si="154"/>
        <v>904141.01120000007</v>
      </c>
      <c r="Q722" s="68">
        <f t="shared" si="155"/>
        <v>1808282.0224000001</v>
      </c>
      <c r="R722" s="127">
        <f t="shared" si="156"/>
        <v>1808282.0224000001</v>
      </c>
      <c r="S722" s="15"/>
    </row>
    <row r="723" spans="1:19">
      <c r="A723" s="24">
        <v>1.2</v>
      </c>
      <c r="B723" s="27" t="s">
        <v>1494</v>
      </c>
      <c r="C723" s="24"/>
      <c r="D723" s="351"/>
      <c r="E723" s="24"/>
      <c r="F723" s="351"/>
      <c r="G723" s="26"/>
      <c r="H723" s="26"/>
      <c r="I723" s="26"/>
      <c r="J723" s="559"/>
      <c r="K723" s="66"/>
      <c r="L723" s="66"/>
      <c r="M723" s="66"/>
      <c r="N723" s="66"/>
      <c r="O723" s="66"/>
      <c r="P723" s="66"/>
      <c r="Q723" s="66"/>
      <c r="R723" s="66"/>
      <c r="S723" s="26"/>
    </row>
    <row r="724" spans="1:19">
      <c r="A724" s="24"/>
      <c r="B724" s="25" t="s">
        <v>1611</v>
      </c>
      <c r="C724" s="26" t="s">
        <v>1350</v>
      </c>
      <c r="D724" s="351">
        <v>1</v>
      </c>
      <c r="E724" s="24"/>
      <c r="F724" s="351">
        <v>1</v>
      </c>
      <c r="G724" s="351" t="s">
        <v>3310</v>
      </c>
      <c r="H724" s="351"/>
      <c r="I724" s="351" t="s">
        <v>2596</v>
      </c>
      <c r="J724" s="560" t="s">
        <v>2328</v>
      </c>
      <c r="K724" s="311">
        <v>74774</v>
      </c>
      <c r="L724" s="311">
        <v>0</v>
      </c>
      <c r="M724" s="311">
        <v>16385</v>
      </c>
      <c r="N724" s="311">
        <v>8310</v>
      </c>
      <c r="O724" s="311">
        <v>5817.0000000000009</v>
      </c>
      <c r="P724" s="68">
        <f t="shared" ref="P724:P744" si="157">SUM(K724:O724)</f>
        <v>105286</v>
      </c>
      <c r="Q724" s="68">
        <f t="shared" ref="Q724:Q744" si="158">D724*P724</f>
        <v>105286</v>
      </c>
      <c r="R724" s="127">
        <f t="shared" ref="R724:R744" si="159">F724*P724</f>
        <v>105286</v>
      </c>
      <c r="S724" s="26"/>
    </row>
    <row r="725" spans="1:19">
      <c r="A725" s="24"/>
      <c r="B725" s="25" t="s">
        <v>1613</v>
      </c>
      <c r="C725" s="26" t="s">
        <v>1350</v>
      </c>
      <c r="D725" s="351">
        <v>2</v>
      </c>
      <c r="E725" s="24"/>
      <c r="F725" s="351">
        <v>2</v>
      </c>
      <c r="G725" s="351" t="s">
        <v>3310</v>
      </c>
      <c r="H725" s="351"/>
      <c r="I725" s="351" t="s">
        <v>2596</v>
      </c>
      <c r="J725" s="560" t="s">
        <v>2328</v>
      </c>
      <c r="K725" s="311">
        <v>74774</v>
      </c>
      <c r="L725" s="311">
        <v>0</v>
      </c>
      <c r="M725" s="311">
        <v>25942.916666666672</v>
      </c>
      <c r="N725" s="311">
        <v>9155.8333333333339</v>
      </c>
      <c r="O725" s="311">
        <v>6409.0833333333348</v>
      </c>
      <c r="P725" s="68">
        <f t="shared" si="157"/>
        <v>116281.83333333333</v>
      </c>
      <c r="Q725" s="68">
        <f t="shared" si="158"/>
        <v>232563.66666666666</v>
      </c>
      <c r="R725" s="127">
        <f t="shared" si="159"/>
        <v>232563.66666666666</v>
      </c>
      <c r="S725" s="26"/>
    </row>
    <row r="726" spans="1:19">
      <c r="A726" s="24"/>
      <c r="B726" s="25" t="s">
        <v>1514</v>
      </c>
      <c r="C726" s="26" t="s">
        <v>1350</v>
      </c>
      <c r="D726" s="351">
        <v>11</v>
      </c>
      <c r="E726" s="24"/>
      <c r="F726" s="351">
        <v>11</v>
      </c>
      <c r="G726" s="351" t="s">
        <v>3310</v>
      </c>
      <c r="H726" s="351"/>
      <c r="I726" s="351" t="s">
        <v>2596</v>
      </c>
      <c r="J726" s="560" t="s">
        <v>2328</v>
      </c>
      <c r="K726" s="311">
        <v>74774</v>
      </c>
      <c r="L726" s="311">
        <v>0</v>
      </c>
      <c r="M726" s="311">
        <v>30039.166666666672</v>
      </c>
      <c r="N726" s="311">
        <v>9518.3333333333339</v>
      </c>
      <c r="O726" s="311">
        <v>6662.8333333333348</v>
      </c>
      <c r="P726" s="68">
        <f t="shared" si="157"/>
        <v>120994.33333333333</v>
      </c>
      <c r="Q726" s="68">
        <f t="shared" si="158"/>
        <v>1330937.6666666665</v>
      </c>
      <c r="R726" s="127">
        <f t="shared" si="159"/>
        <v>1330937.6666666665</v>
      </c>
      <c r="S726" s="26"/>
    </row>
    <row r="727" spans="1:19">
      <c r="A727" s="24"/>
      <c r="B727" s="25" t="s">
        <v>1515</v>
      </c>
      <c r="C727" s="26" t="s">
        <v>1350</v>
      </c>
      <c r="D727" s="351">
        <v>8</v>
      </c>
      <c r="E727" s="24"/>
      <c r="F727" s="351">
        <v>8</v>
      </c>
      <c r="G727" s="351" t="s">
        <v>3310</v>
      </c>
      <c r="H727" s="351"/>
      <c r="I727" s="351" t="s">
        <v>2596</v>
      </c>
      <c r="J727" s="560" t="s">
        <v>2328</v>
      </c>
      <c r="K727" s="311">
        <v>74774</v>
      </c>
      <c r="L727" s="311">
        <v>0</v>
      </c>
      <c r="M727" s="311">
        <v>34135.416666666672</v>
      </c>
      <c r="N727" s="311">
        <v>9880.8333333333358</v>
      </c>
      <c r="O727" s="311">
        <v>6916.5833333333348</v>
      </c>
      <c r="P727" s="68">
        <f t="shared" si="157"/>
        <v>125706.83333333333</v>
      </c>
      <c r="Q727" s="68">
        <f t="shared" si="158"/>
        <v>1005654.6666666666</v>
      </c>
      <c r="R727" s="127">
        <f t="shared" si="159"/>
        <v>1005654.6666666666</v>
      </c>
      <c r="S727" s="26"/>
    </row>
    <row r="728" spans="1:19">
      <c r="A728" s="24"/>
      <c r="B728" s="25" t="s">
        <v>1516</v>
      </c>
      <c r="C728" s="26" t="s">
        <v>1350</v>
      </c>
      <c r="D728" s="351">
        <v>11</v>
      </c>
      <c r="E728" s="24"/>
      <c r="F728" s="351">
        <v>11</v>
      </c>
      <c r="G728" s="351" t="s">
        <v>3310</v>
      </c>
      <c r="H728" s="351"/>
      <c r="I728" s="351" t="s">
        <v>2596</v>
      </c>
      <c r="J728" s="560" t="s">
        <v>2328</v>
      </c>
      <c r="K728" s="311">
        <v>74774</v>
      </c>
      <c r="L728" s="311">
        <v>0</v>
      </c>
      <c r="M728" s="311">
        <v>47789.583333333343</v>
      </c>
      <c r="N728" s="311">
        <v>11089.166666666668</v>
      </c>
      <c r="O728" s="311">
        <v>7762.4166666666679</v>
      </c>
      <c r="P728" s="68">
        <f t="shared" si="157"/>
        <v>141415.16666666666</v>
      </c>
      <c r="Q728" s="68">
        <f t="shared" si="158"/>
        <v>1555566.8333333333</v>
      </c>
      <c r="R728" s="127">
        <f t="shared" si="159"/>
        <v>1555566.8333333333</v>
      </c>
      <c r="S728" s="26"/>
    </row>
    <row r="729" spans="1:19">
      <c r="A729" s="24"/>
      <c r="B729" s="25" t="s">
        <v>1615</v>
      </c>
      <c r="C729" s="26" t="s">
        <v>1350</v>
      </c>
      <c r="D729" s="351">
        <v>6</v>
      </c>
      <c r="E729" s="24"/>
      <c r="F729" s="351">
        <v>6</v>
      </c>
      <c r="G729" s="351" t="s">
        <v>3310</v>
      </c>
      <c r="H729" s="351"/>
      <c r="I729" s="351" t="s">
        <v>2596</v>
      </c>
      <c r="J729" s="560" t="s">
        <v>2328</v>
      </c>
      <c r="K729" s="311">
        <v>79324.867414800028</v>
      </c>
      <c r="L729" s="311">
        <v>0</v>
      </c>
      <c r="M729" s="311">
        <v>53251.250000000007</v>
      </c>
      <c r="N729" s="311">
        <v>11990.010772000001</v>
      </c>
      <c r="O729" s="311">
        <v>8393.0075404000017</v>
      </c>
      <c r="P729" s="68">
        <f t="shared" si="157"/>
        <v>152959.13572720005</v>
      </c>
      <c r="Q729" s="68">
        <f t="shared" si="158"/>
        <v>917754.81436320022</v>
      </c>
      <c r="R729" s="127">
        <f t="shared" si="159"/>
        <v>917754.81436320022</v>
      </c>
      <c r="S729" s="26"/>
    </row>
    <row r="730" spans="1:19">
      <c r="A730" s="24"/>
      <c r="B730" s="25" t="s">
        <v>1517</v>
      </c>
      <c r="C730" s="26" t="s">
        <v>1350</v>
      </c>
      <c r="D730" s="351">
        <v>4</v>
      </c>
      <c r="E730" s="24"/>
      <c r="F730" s="351">
        <v>4</v>
      </c>
      <c r="G730" s="351" t="s">
        <v>3310</v>
      </c>
      <c r="H730" s="351"/>
      <c r="I730" s="351" t="s">
        <v>2596</v>
      </c>
      <c r="J730" s="560" t="s">
        <v>2328</v>
      </c>
      <c r="K730" s="311">
        <v>95531.023123200022</v>
      </c>
      <c r="L730" s="311">
        <v>0</v>
      </c>
      <c r="M730" s="311">
        <v>64174.583333333343</v>
      </c>
      <c r="N730" s="311">
        <v>14443.48071466667</v>
      </c>
      <c r="O730" s="311">
        <v>10110.436500266669</v>
      </c>
      <c r="P730" s="68">
        <f t="shared" si="157"/>
        <v>184259.52367146668</v>
      </c>
      <c r="Q730" s="68">
        <f t="shared" si="158"/>
        <v>737038.09468586673</v>
      </c>
      <c r="R730" s="127">
        <f t="shared" si="159"/>
        <v>737038.09468586673</v>
      </c>
      <c r="S730" s="26"/>
    </row>
    <row r="731" spans="1:19">
      <c r="A731" s="24"/>
      <c r="B731" s="25" t="s">
        <v>1519</v>
      </c>
      <c r="C731" s="26" t="s">
        <v>1350</v>
      </c>
      <c r="D731" s="351">
        <v>1</v>
      </c>
      <c r="E731" s="24"/>
      <c r="F731" s="351">
        <v>1</v>
      </c>
      <c r="G731" s="351" t="s">
        <v>3310</v>
      </c>
      <c r="H731" s="351"/>
      <c r="I731" s="351" t="s">
        <v>2596</v>
      </c>
      <c r="J731" s="560" t="s">
        <v>2328</v>
      </c>
      <c r="K731" s="311">
        <v>122825.60115840004</v>
      </c>
      <c r="L731" s="311">
        <v>0</v>
      </c>
      <c r="M731" s="311">
        <v>81925.000000000015</v>
      </c>
      <c r="N731" s="311">
        <v>18518.403776000003</v>
      </c>
      <c r="O731" s="311">
        <v>12962.882643200004</v>
      </c>
      <c r="P731" s="68">
        <f t="shared" si="157"/>
        <v>236231.88757760005</v>
      </c>
      <c r="Q731" s="68">
        <f t="shared" si="158"/>
        <v>236231.88757760005</v>
      </c>
      <c r="R731" s="127">
        <f t="shared" si="159"/>
        <v>236231.88757760005</v>
      </c>
      <c r="S731" s="26"/>
    </row>
    <row r="732" spans="1:19">
      <c r="A732" s="24"/>
      <c r="B732" s="25" t="s">
        <v>1522</v>
      </c>
      <c r="C732" s="26" t="s">
        <v>1350</v>
      </c>
      <c r="D732" s="351">
        <v>1</v>
      </c>
      <c r="E732" s="24"/>
      <c r="F732" s="351">
        <v>1</v>
      </c>
      <c r="G732" s="351" t="s">
        <v>3310</v>
      </c>
      <c r="H732" s="351"/>
      <c r="I732" s="351" t="s">
        <v>2596</v>
      </c>
      <c r="J732" s="560" t="s">
        <v>2328</v>
      </c>
      <c r="K732" s="311">
        <v>178267.71279240004</v>
      </c>
      <c r="L732" s="311">
        <v>0</v>
      </c>
      <c r="M732" s="311">
        <v>120156.66666666669</v>
      </c>
      <c r="N732" s="311">
        <v>26988.169369333336</v>
      </c>
      <c r="O732" s="311">
        <v>18891.718558533335</v>
      </c>
      <c r="P732" s="68">
        <f t="shared" si="157"/>
        <v>344304.26738693344</v>
      </c>
      <c r="Q732" s="68">
        <f t="shared" si="158"/>
        <v>344304.26738693344</v>
      </c>
      <c r="R732" s="127">
        <f t="shared" si="159"/>
        <v>344304.26738693344</v>
      </c>
      <c r="S732" s="26"/>
    </row>
    <row r="733" spans="1:19">
      <c r="A733" s="24"/>
      <c r="B733" s="25" t="s">
        <v>1617</v>
      </c>
      <c r="C733" s="26" t="s">
        <v>1350</v>
      </c>
      <c r="D733" s="351">
        <v>2</v>
      </c>
      <c r="E733" s="24"/>
      <c r="F733" s="351">
        <v>2</v>
      </c>
      <c r="G733" s="351" t="s">
        <v>3310</v>
      </c>
      <c r="H733" s="351"/>
      <c r="I733" s="351" t="s">
        <v>2596</v>
      </c>
      <c r="J733" s="560" t="s">
        <v>2328</v>
      </c>
      <c r="K733" s="311">
        <v>185944.31286480004</v>
      </c>
      <c r="L733" s="311">
        <v>0</v>
      </c>
      <c r="M733" s="311">
        <v>125618.33333333336</v>
      </c>
      <c r="N733" s="311">
        <v>28175.777938666673</v>
      </c>
      <c r="O733" s="311">
        <v>19723.044557066671</v>
      </c>
      <c r="P733" s="68">
        <f t="shared" si="157"/>
        <v>359461.4686938668</v>
      </c>
      <c r="Q733" s="68">
        <f t="shared" si="158"/>
        <v>718922.9373877336</v>
      </c>
      <c r="R733" s="127">
        <f t="shared" si="159"/>
        <v>718922.9373877336</v>
      </c>
      <c r="S733" s="26"/>
    </row>
    <row r="734" spans="1:19">
      <c r="A734" s="24"/>
      <c r="B734" s="25" t="s">
        <v>1524</v>
      </c>
      <c r="C734" s="26" t="s">
        <v>1350</v>
      </c>
      <c r="D734" s="351">
        <v>5</v>
      </c>
      <c r="E734" s="24"/>
      <c r="F734" s="351">
        <v>5</v>
      </c>
      <c r="G734" s="351" t="s">
        <v>3310</v>
      </c>
      <c r="H734" s="351"/>
      <c r="I734" s="351" t="s">
        <v>2596</v>
      </c>
      <c r="J734" s="560" t="s">
        <v>2328</v>
      </c>
      <c r="K734" s="311">
        <v>238827.55780800004</v>
      </c>
      <c r="L734" s="311">
        <v>0</v>
      </c>
      <c r="M734" s="311">
        <v>161119.16666666669</v>
      </c>
      <c r="N734" s="311">
        <v>36169.118453333343</v>
      </c>
      <c r="O734" s="311">
        <v>25318.38291733334</v>
      </c>
      <c r="P734" s="68">
        <f t="shared" si="157"/>
        <v>461434.22584533342</v>
      </c>
      <c r="Q734" s="68">
        <f t="shared" si="158"/>
        <v>2307171.1292266669</v>
      </c>
      <c r="R734" s="127">
        <f t="shared" si="159"/>
        <v>2307171.1292266669</v>
      </c>
      <c r="S734" s="26"/>
    </row>
    <row r="735" spans="1:19">
      <c r="A735" s="24"/>
      <c r="B735" s="25" t="s">
        <v>1525</v>
      </c>
      <c r="C735" s="26" t="s">
        <v>1350</v>
      </c>
      <c r="D735" s="351">
        <v>2</v>
      </c>
      <c r="E735" s="24"/>
      <c r="F735" s="351">
        <v>2</v>
      </c>
      <c r="G735" s="351" t="s">
        <v>3310</v>
      </c>
      <c r="H735" s="351"/>
      <c r="I735" s="351" t="s">
        <v>2596</v>
      </c>
      <c r="J735" s="560" t="s">
        <v>2328</v>
      </c>
      <c r="K735" s="311">
        <v>254180.75795280005</v>
      </c>
      <c r="L735" s="311">
        <v>0</v>
      </c>
      <c r="M735" s="311">
        <v>172042.50000000003</v>
      </c>
      <c r="N735" s="311">
        <v>38544.335592000003</v>
      </c>
      <c r="O735" s="311">
        <v>26981.034914400003</v>
      </c>
      <c r="P735" s="68">
        <f t="shared" si="157"/>
        <v>491748.62845920009</v>
      </c>
      <c r="Q735" s="68">
        <f t="shared" si="158"/>
        <v>983497.25691840018</v>
      </c>
      <c r="R735" s="127">
        <f t="shared" si="159"/>
        <v>983497.25691840018</v>
      </c>
      <c r="S735" s="26"/>
    </row>
    <row r="736" spans="1:19">
      <c r="A736" s="24"/>
      <c r="B736" s="25" t="s">
        <v>1620</v>
      </c>
      <c r="C736" s="26" t="s">
        <v>1350</v>
      </c>
      <c r="D736" s="351">
        <v>1</v>
      </c>
      <c r="E736" s="24"/>
      <c r="F736" s="351">
        <v>1</v>
      </c>
      <c r="G736" s="351" t="s">
        <v>3310</v>
      </c>
      <c r="H736" s="351"/>
      <c r="I736" s="351" t="s">
        <v>2596</v>
      </c>
      <c r="J736" s="560" t="s">
        <v>2328</v>
      </c>
      <c r="K736" s="311">
        <v>270386.91366120003</v>
      </c>
      <c r="L736" s="311">
        <v>0</v>
      </c>
      <c r="M736" s="311">
        <v>182965.83333333337</v>
      </c>
      <c r="N736" s="311">
        <v>40997.805534666673</v>
      </c>
      <c r="O736" s="311">
        <v>28698.463874266672</v>
      </c>
      <c r="P736" s="68">
        <f t="shared" si="157"/>
        <v>523049.01640346675</v>
      </c>
      <c r="Q736" s="68">
        <f t="shared" si="158"/>
        <v>523049.01640346675</v>
      </c>
      <c r="R736" s="127">
        <f t="shared" si="159"/>
        <v>523049.01640346675</v>
      </c>
      <c r="S736" s="329"/>
    </row>
    <row r="737" spans="1:19">
      <c r="A737" s="24"/>
      <c r="B737" s="25" t="s">
        <v>1528</v>
      </c>
      <c r="C737" s="26" t="s">
        <v>1350</v>
      </c>
      <c r="D737" s="351">
        <v>2</v>
      </c>
      <c r="E737" s="24"/>
      <c r="F737" s="351">
        <v>2</v>
      </c>
      <c r="G737" s="351" t="s">
        <v>3311</v>
      </c>
      <c r="H737" s="351"/>
      <c r="I737" s="351" t="s">
        <v>2596</v>
      </c>
      <c r="J737" s="560" t="s">
        <v>2328</v>
      </c>
      <c r="K737" s="311">
        <v>416242.31503680011</v>
      </c>
      <c r="L737" s="311">
        <v>0</v>
      </c>
      <c r="M737" s="311">
        <v>240125.00000000003</v>
      </c>
      <c r="N737" s="311">
        <v>59437.368352000012</v>
      </c>
      <c r="O737" s="311">
        <v>41606.157846400012</v>
      </c>
      <c r="P737" s="68">
        <f t="shared" si="157"/>
        <v>757410.84123520018</v>
      </c>
      <c r="Q737" s="68">
        <f t="shared" si="158"/>
        <v>1514821.6824704004</v>
      </c>
      <c r="R737" s="127">
        <f t="shared" si="159"/>
        <v>1514821.6824704004</v>
      </c>
      <c r="S737" s="26"/>
    </row>
    <row r="738" spans="1:19">
      <c r="A738" s="24"/>
      <c r="B738" s="25" t="s">
        <v>1622</v>
      </c>
      <c r="C738" s="26" t="s">
        <v>1350</v>
      </c>
      <c r="D738" s="351">
        <v>1</v>
      </c>
      <c r="E738" s="24"/>
      <c r="F738" s="351">
        <v>1</v>
      </c>
      <c r="G738" s="351" t="s">
        <v>3311</v>
      </c>
      <c r="H738" s="351"/>
      <c r="I738" s="351" t="s">
        <v>2596</v>
      </c>
      <c r="J738" s="560" t="s">
        <v>2328</v>
      </c>
      <c r="K738" s="311">
        <v>566362.49423040019</v>
      </c>
      <c r="L738" s="311">
        <v>0</v>
      </c>
      <c r="M738" s="311">
        <v>326287.50000000006</v>
      </c>
      <c r="N738" s="311">
        <v>80834.861856000018</v>
      </c>
      <c r="O738" s="311">
        <v>56584.403299200014</v>
      </c>
      <c r="P738" s="68">
        <f t="shared" si="157"/>
        <v>1030069.2593856003</v>
      </c>
      <c r="Q738" s="68">
        <f t="shared" si="158"/>
        <v>1030069.2593856003</v>
      </c>
      <c r="R738" s="127">
        <f t="shared" si="159"/>
        <v>1030069.2593856003</v>
      </c>
      <c r="S738" s="26"/>
    </row>
    <row r="739" spans="1:19" s="84" customFormat="1">
      <c r="A739" s="30"/>
      <c r="B739" s="29" t="s">
        <v>2153</v>
      </c>
      <c r="C739" s="30" t="s">
        <v>1350</v>
      </c>
      <c r="D739" s="352">
        <v>5</v>
      </c>
      <c r="E739" s="30"/>
      <c r="F739" s="352">
        <v>5</v>
      </c>
      <c r="G739" s="351" t="s">
        <v>3310</v>
      </c>
      <c r="H739" s="351"/>
      <c r="I739" s="351" t="s">
        <v>2596</v>
      </c>
      <c r="J739" s="560" t="s">
        <v>2328</v>
      </c>
      <c r="K739" s="311">
        <v>74774</v>
      </c>
      <c r="L739" s="311">
        <v>0</v>
      </c>
      <c r="M739" s="311">
        <v>19115.833333333339</v>
      </c>
      <c r="N739" s="311">
        <v>8551.6666666666679</v>
      </c>
      <c r="O739" s="311">
        <v>5986.1666666666679</v>
      </c>
      <c r="P739" s="68">
        <f t="shared" si="157"/>
        <v>108427.66666666669</v>
      </c>
      <c r="Q739" s="68">
        <f t="shared" si="158"/>
        <v>542138.33333333349</v>
      </c>
      <c r="R739" s="127">
        <f t="shared" si="159"/>
        <v>542138.33333333349</v>
      </c>
      <c r="S739" s="37"/>
    </row>
    <row r="740" spans="1:19" s="84" customFormat="1">
      <c r="A740" s="30"/>
      <c r="B740" s="29" t="s">
        <v>2151</v>
      </c>
      <c r="C740" s="30" t="s">
        <v>1350</v>
      </c>
      <c r="D740" s="352">
        <v>2</v>
      </c>
      <c r="E740" s="30"/>
      <c r="F740" s="352">
        <v>2</v>
      </c>
      <c r="G740" s="351" t="s">
        <v>3310</v>
      </c>
      <c r="H740" s="351"/>
      <c r="I740" s="351" t="s">
        <v>2596</v>
      </c>
      <c r="J740" s="560" t="s">
        <v>2328</v>
      </c>
      <c r="K740" s="311">
        <v>140325.1612</v>
      </c>
      <c r="L740" s="311">
        <v>0</v>
      </c>
      <c r="M740" s="311">
        <v>96944.583333333343</v>
      </c>
      <c r="N740" s="311">
        <v>21453.03466666667</v>
      </c>
      <c r="O740" s="311">
        <v>15017.124266666669</v>
      </c>
      <c r="P740" s="68">
        <f t="shared" si="157"/>
        <v>273739.9034666667</v>
      </c>
      <c r="Q740" s="68">
        <f t="shared" si="158"/>
        <v>547479.8069333334</v>
      </c>
      <c r="R740" s="127">
        <f t="shared" si="159"/>
        <v>547479.8069333334</v>
      </c>
      <c r="S740" s="37"/>
    </row>
    <row r="741" spans="1:19" s="84" customFormat="1">
      <c r="A741" s="30"/>
      <c r="B741" s="29" t="s">
        <v>1521</v>
      </c>
      <c r="C741" s="30" t="s">
        <v>1350</v>
      </c>
      <c r="D741" s="352">
        <v>7</v>
      </c>
      <c r="E741" s="30"/>
      <c r="F741" s="352">
        <v>7</v>
      </c>
      <c r="G741" s="351" t="s">
        <v>3310</v>
      </c>
      <c r="H741" s="351"/>
      <c r="I741" s="351" t="s">
        <v>2596</v>
      </c>
      <c r="J741" s="560" t="s">
        <v>2328</v>
      </c>
      <c r="K741" s="311">
        <v>160135.99840000001</v>
      </c>
      <c r="L741" s="311">
        <v>0</v>
      </c>
      <c r="M741" s="311">
        <v>111964.16666666669</v>
      </c>
      <c r="N741" s="311">
        <v>24599.709333333336</v>
      </c>
      <c r="O741" s="311">
        <v>17219.796533333338</v>
      </c>
      <c r="P741" s="68">
        <f t="shared" si="157"/>
        <v>313919.67093333334</v>
      </c>
      <c r="Q741" s="68">
        <f t="shared" si="158"/>
        <v>2197437.6965333335</v>
      </c>
      <c r="R741" s="127">
        <f t="shared" si="159"/>
        <v>2197437.6965333335</v>
      </c>
      <c r="S741" s="37"/>
    </row>
    <row r="742" spans="1:19" s="84" customFormat="1">
      <c r="A742" s="30"/>
      <c r="B742" s="29" t="s">
        <v>1531</v>
      </c>
      <c r="C742" s="30" t="s">
        <v>1350</v>
      </c>
      <c r="D742" s="352">
        <v>2</v>
      </c>
      <c r="E742" s="30"/>
      <c r="F742" s="352">
        <v>2</v>
      </c>
      <c r="G742" s="351" t="s">
        <v>3311</v>
      </c>
      <c r="H742" s="351"/>
      <c r="I742" s="351" t="s">
        <v>2596</v>
      </c>
      <c r="J742" s="560" t="s">
        <v>2328</v>
      </c>
      <c r="K742" s="311">
        <v>521678.97040000005</v>
      </c>
      <c r="L742" s="311">
        <v>0</v>
      </c>
      <c r="M742" s="311">
        <v>310750.00000000006</v>
      </c>
      <c r="N742" s="311">
        <v>75360.456000000006</v>
      </c>
      <c r="O742" s="311">
        <v>52752.319200000005</v>
      </c>
      <c r="P742" s="68">
        <f t="shared" si="157"/>
        <v>960541.74560000014</v>
      </c>
      <c r="Q742" s="68">
        <f t="shared" si="158"/>
        <v>1921083.4912000003</v>
      </c>
      <c r="R742" s="127">
        <f t="shared" si="159"/>
        <v>1921083.4912000003</v>
      </c>
      <c r="S742" s="37"/>
    </row>
    <row r="743" spans="1:19" s="84" customFormat="1">
      <c r="A743" s="30"/>
      <c r="B743" s="29" t="s">
        <v>2154</v>
      </c>
      <c r="C743" s="30" t="s">
        <v>1350</v>
      </c>
      <c r="D743" s="352">
        <v>2</v>
      </c>
      <c r="E743" s="30"/>
      <c r="F743" s="352">
        <v>2</v>
      </c>
      <c r="G743" s="351" t="s">
        <v>3304</v>
      </c>
      <c r="H743" s="351"/>
      <c r="I743" s="351" t="s">
        <v>2596</v>
      </c>
      <c r="J743" s="560" t="s">
        <v>2328</v>
      </c>
      <c r="K743" s="311">
        <v>784168.82460000005</v>
      </c>
      <c r="L743" s="311">
        <v>0</v>
      </c>
      <c r="M743" s="311">
        <v>402845</v>
      </c>
      <c r="N743" s="311">
        <v>107592.094</v>
      </c>
      <c r="O743" s="311">
        <v>75314.465800000005</v>
      </c>
      <c r="P743" s="68">
        <f t="shared" si="157"/>
        <v>1369920.3843999999</v>
      </c>
      <c r="Q743" s="68">
        <f t="shared" si="158"/>
        <v>2739840.7687999997</v>
      </c>
      <c r="R743" s="127">
        <f t="shared" si="159"/>
        <v>2739840.7687999997</v>
      </c>
      <c r="S743" s="37"/>
    </row>
    <row r="744" spans="1:19" s="84" customFormat="1">
      <c r="A744" s="30"/>
      <c r="B744" s="29" t="s">
        <v>1534</v>
      </c>
      <c r="C744" s="30" t="s">
        <v>1350</v>
      </c>
      <c r="D744" s="352">
        <v>1</v>
      </c>
      <c r="E744" s="30"/>
      <c r="F744" s="352">
        <v>1</v>
      </c>
      <c r="G744" s="351" t="s">
        <v>3304</v>
      </c>
      <c r="H744" s="37"/>
      <c r="I744" s="351" t="s">
        <v>2596</v>
      </c>
      <c r="J744" s="560" t="s">
        <v>2328</v>
      </c>
      <c r="K744" s="311">
        <v>1043356.8726000001</v>
      </c>
      <c r="L744" s="311">
        <v>0</v>
      </c>
      <c r="M744" s="311">
        <v>537126.66666666674</v>
      </c>
      <c r="N744" s="311">
        <v>143254.14733333336</v>
      </c>
      <c r="O744" s="311">
        <v>100277.90313333334</v>
      </c>
      <c r="P744" s="68">
        <f t="shared" si="157"/>
        <v>1824015.5897333336</v>
      </c>
      <c r="Q744" s="68">
        <f t="shared" si="158"/>
        <v>1824015.5897333336</v>
      </c>
      <c r="R744" s="127">
        <f t="shared" si="159"/>
        <v>1824015.5897333336</v>
      </c>
      <c r="S744" s="37"/>
    </row>
    <row r="745" spans="1:19">
      <c r="A745" s="24">
        <v>1.3</v>
      </c>
      <c r="B745" s="27" t="s">
        <v>1495</v>
      </c>
      <c r="C745" s="24"/>
      <c r="D745" s="351"/>
      <c r="E745" s="24"/>
      <c r="F745" s="351"/>
      <c r="G745" s="26"/>
      <c r="H745" s="26"/>
      <c r="I745" s="26"/>
      <c r="J745" s="559"/>
      <c r="K745" s="66"/>
      <c r="L745" s="66"/>
      <c r="M745" s="66"/>
      <c r="N745" s="66"/>
      <c r="O745" s="66"/>
      <c r="P745" s="66"/>
      <c r="Q745" s="66"/>
      <c r="R745" s="66"/>
      <c r="S745" s="26"/>
    </row>
    <row r="746" spans="1:19">
      <c r="A746" s="24"/>
      <c r="B746" s="25" t="s">
        <v>1627</v>
      </c>
      <c r="C746" s="26" t="s">
        <v>1350</v>
      </c>
      <c r="D746" s="351">
        <v>1</v>
      </c>
      <c r="E746" s="24"/>
      <c r="F746" s="351">
        <v>1</v>
      </c>
      <c r="G746" s="351" t="s">
        <v>3310</v>
      </c>
      <c r="H746" s="351"/>
      <c r="I746" s="351" t="s">
        <v>2596</v>
      </c>
      <c r="J746" s="560" t="s">
        <v>2328</v>
      </c>
      <c r="K746" s="311">
        <v>38455.200000000004</v>
      </c>
      <c r="L746" s="311">
        <v>0</v>
      </c>
      <c r="M746" s="311">
        <v>24577.500000000004</v>
      </c>
      <c r="N746" s="311">
        <v>5703</v>
      </c>
      <c r="O746" s="311">
        <v>3992.1000000000004</v>
      </c>
      <c r="P746" s="68">
        <f t="shared" ref="P746:P781" si="160">SUM(K746:O746)</f>
        <v>72727.800000000017</v>
      </c>
      <c r="Q746" s="68">
        <f t="shared" ref="Q746:Q781" si="161">D746*P746</f>
        <v>72727.800000000017</v>
      </c>
      <c r="R746" s="127">
        <f t="shared" ref="R746:R781" si="162">F746*P746</f>
        <v>72727.800000000017</v>
      </c>
      <c r="S746" s="26"/>
    </row>
    <row r="747" spans="1:19">
      <c r="A747" s="24"/>
      <c r="B747" s="25" t="s">
        <v>1539</v>
      </c>
      <c r="C747" s="26" t="s">
        <v>1350</v>
      </c>
      <c r="D747" s="351">
        <v>2</v>
      </c>
      <c r="E747" s="24"/>
      <c r="F747" s="351">
        <v>2</v>
      </c>
      <c r="G747" s="351" t="s">
        <v>3310</v>
      </c>
      <c r="H747" s="351"/>
      <c r="I747" s="351" t="s">
        <v>2596</v>
      </c>
      <c r="J747" s="560" t="s">
        <v>2328</v>
      </c>
      <c r="K747" s="311">
        <v>55442.111634000008</v>
      </c>
      <c r="L747" s="311">
        <v>0</v>
      </c>
      <c r="M747" s="311">
        <v>36866.250000000007</v>
      </c>
      <c r="N747" s="311">
        <v>8348.9322600000014</v>
      </c>
      <c r="O747" s="311">
        <v>5844.2525820000019</v>
      </c>
      <c r="P747" s="68">
        <f t="shared" si="160"/>
        <v>106501.54647600002</v>
      </c>
      <c r="Q747" s="68">
        <f t="shared" si="161"/>
        <v>213003.09295200004</v>
      </c>
      <c r="R747" s="127">
        <f t="shared" si="162"/>
        <v>213003.09295200004</v>
      </c>
      <c r="S747" s="26"/>
    </row>
    <row r="748" spans="1:19">
      <c r="A748" s="24"/>
      <c r="B748" s="25" t="s">
        <v>1628</v>
      </c>
      <c r="C748" s="26" t="s">
        <v>1350</v>
      </c>
      <c r="D748" s="351">
        <v>2</v>
      </c>
      <c r="E748" s="24"/>
      <c r="F748" s="351">
        <v>2</v>
      </c>
      <c r="G748" s="351" t="s">
        <v>3310</v>
      </c>
      <c r="H748" s="351"/>
      <c r="I748" s="351" t="s">
        <v>2596</v>
      </c>
      <c r="J748" s="560" t="s">
        <v>2328</v>
      </c>
      <c r="K748" s="311">
        <v>58000.978324800009</v>
      </c>
      <c r="L748" s="311">
        <v>0</v>
      </c>
      <c r="M748" s="311">
        <v>39597.083333333343</v>
      </c>
      <c r="N748" s="311">
        <v>8825.3573386666685</v>
      </c>
      <c r="O748" s="311">
        <v>6177.7501370666687</v>
      </c>
      <c r="P748" s="68">
        <f t="shared" si="160"/>
        <v>112601.16913386669</v>
      </c>
      <c r="Q748" s="68">
        <f t="shared" si="161"/>
        <v>225202.33826773337</v>
      </c>
      <c r="R748" s="127">
        <f t="shared" si="162"/>
        <v>225202.33826773337</v>
      </c>
      <c r="S748" s="26"/>
    </row>
    <row r="749" spans="1:19">
      <c r="A749" s="24"/>
      <c r="B749" s="25" t="s">
        <v>1629</v>
      </c>
      <c r="C749" s="26" t="s">
        <v>1350</v>
      </c>
      <c r="D749" s="351">
        <v>2</v>
      </c>
      <c r="E749" s="24"/>
      <c r="F749" s="351">
        <v>2</v>
      </c>
      <c r="G749" s="351" t="s">
        <v>3310</v>
      </c>
      <c r="H749" s="351"/>
      <c r="I749" s="351" t="s">
        <v>2596</v>
      </c>
      <c r="J749" s="560" t="s">
        <v>2328</v>
      </c>
      <c r="K749" s="311">
        <v>58853.93388840001</v>
      </c>
      <c r="L749" s="311">
        <v>0</v>
      </c>
      <c r="M749" s="311">
        <v>39597.083333333343</v>
      </c>
      <c r="N749" s="311">
        <v>8903.6101426666683</v>
      </c>
      <c r="O749" s="311">
        <v>6232.5270998666674</v>
      </c>
      <c r="P749" s="68">
        <f t="shared" si="160"/>
        <v>113587.15446426668</v>
      </c>
      <c r="Q749" s="68">
        <f t="shared" si="161"/>
        <v>227174.30892853337</v>
      </c>
      <c r="R749" s="127">
        <f t="shared" si="162"/>
        <v>227174.30892853337</v>
      </c>
      <c r="S749" s="26"/>
    </row>
    <row r="750" spans="1:19">
      <c r="A750" s="24"/>
      <c r="B750" s="25" t="s">
        <v>1630</v>
      </c>
      <c r="C750" s="26" t="s">
        <v>1350</v>
      </c>
      <c r="D750" s="351">
        <v>1</v>
      </c>
      <c r="E750" s="24"/>
      <c r="F750" s="351">
        <v>1</v>
      </c>
      <c r="G750" s="351" t="s">
        <v>3310</v>
      </c>
      <c r="H750" s="351"/>
      <c r="I750" s="351" t="s">
        <v>2596</v>
      </c>
      <c r="J750" s="560" t="s">
        <v>2328</v>
      </c>
      <c r="K750" s="311">
        <v>64824.62283360002</v>
      </c>
      <c r="L750" s="311">
        <v>0</v>
      </c>
      <c r="M750" s="311">
        <v>39597.083333333343</v>
      </c>
      <c r="N750" s="311">
        <v>9451.3797706666701</v>
      </c>
      <c r="O750" s="311">
        <v>6615.9658394666694</v>
      </c>
      <c r="P750" s="68">
        <f t="shared" si="160"/>
        <v>120489.05177706669</v>
      </c>
      <c r="Q750" s="68">
        <f t="shared" si="161"/>
        <v>120489.05177706669</v>
      </c>
      <c r="R750" s="127">
        <f t="shared" si="162"/>
        <v>120489.05177706669</v>
      </c>
      <c r="S750" s="26"/>
    </row>
    <row r="751" spans="1:19">
      <c r="A751" s="24"/>
      <c r="B751" s="25" t="s">
        <v>1631</v>
      </c>
      <c r="C751" s="26" t="s">
        <v>1350</v>
      </c>
      <c r="D751" s="351">
        <v>2</v>
      </c>
      <c r="E751" s="24"/>
      <c r="F751" s="351">
        <v>2</v>
      </c>
      <c r="G751" s="351" t="s">
        <v>3310</v>
      </c>
      <c r="H751" s="351"/>
      <c r="I751" s="351" t="s">
        <v>2596</v>
      </c>
      <c r="J751" s="560" t="s">
        <v>2328</v>
      </c>
      <c r="K751" s="311">
        <v>62265.756142800019</v>
      </c>
      <c r="L751" s="311">
        <v>0</v>
      </c>
      <c r="M751" s="311">
        <v>42327.916666666672</v>
      </c>
      <c r="N751" s="311">
        <v>9458.2880253333351</v>
      </c>
      <c r="O751" s="311">
        <v>6620.8016177333348</v>
      </c>
      <c r="P751" s="68">
        <f t="shared" si="160"/>
        <v>120672.76245253337</v>
      </c>
      <c r="Q751" s="68">
        <f t="shared" si="161"/>
        <v>241345.52490506673</v>
      </c>
      <c r="R751" s="127">
        <f t="shared" si="162"/>
        <v>241345.52490506673</v>
      </c>
      <c r="S751" s="26"/>
    </row>
    <row r="752" spans="1:19">
      <c r="A752" s="24"/>
      <c r="B752" s="25" t="s">
        <v>1632</v>
      </c>
      <c r="C752" s="26" t="s">
        <v>1350</v>
      </c>
      <c r="D752" s="351">
        <v>4</v>
      </c>
      <c r="E752" s="24"/>
      <c r="F752" s="351">
        <v>4</v>
      </c>
      <c r="G752" s="351" t="s">
        <v>3310</v>
      </c>
      <c r="H752" s="351"/>
      <c r="I752" s="351" t="s">
        <v>2596</v>
      </c>
      <c r="J752" s="560" t="s">
        <v>2328</v>
      </c>
      <c r="K752" s="311">
        <v>68236.445088000022</v>
      </c>
      <c r="L752" s="311">
        <v>0</v>
      </c>
      <c r="M752" s="311">
        <v>46424.166666666672</v>
      </c>
      <c r="N752" s="311">
        <v>10368.557653333335</v>
      </c>
      <c r="O752" s="311">
        <v>7257.9903573333349</v>
      </c>
      <c r="P752" s="68">
        <f t="shared" si="160"/>
        <v>132287.15976533337</v>
      </c>
      <c r="Q752" s="68">
        <f t="shared" si="161"/>
        <v>529148.6390613335</v>
      </c>
      <c r="R752" s="127">
        <f t="shared" si="162"/>
        <v>529148.6390613335</v>
      </c>
      <c r="S752" s="26"/>
    </row>
    <row r="753" spans="1:19">
      <c r="A753" s="24"/>
      <c r="B753" s="25" t="s">
        <v>1633</v>
      </c>
      <c r="C753" s="26" t="s">
        <v>1350</v>
      </c>
      <c r="D753" s="351">
        <v>4</v>
      </c>
      <c r="E753" s="24"/>
      <c r="F753" s="351">
        <v>4</v>
      </c>
      <c r="G753" s="351" t="s">
        <v>3310</v>
      </c>
      <c r="H753" s="351"/>
      <c r="I753" s="351" t="s">
        <v>2596</v>
      </c>
      <c r="J753" s="560" t="s">
        <v>2328</v>
      </c>
      <c r="K753" s="311">
        <v>70795.311778800024</v>
      </c>
      <c r="L753" s="311">
        <v>0</v>
      </c>
      <c r="M753" s="311">
        <v>47789.583333333343</v>
      </c>
      <c r="N753" s="311">
        <v>10724.14939866667</v>
      </c>
      <c r="O753" s="311">
        <v>7506.9045790666696</v>
      </c>
      <c r="P753" s="68">
        <f t="shared" si="160"/>
        <v>136815.94908986671</v>
      </c>
      <c r="Q753" s="68">
        <f t="shared" si="161"/>
        <v>547263.79635946685</v>
      </c>
      <c r="R753" s="127">
        <f t="shared" si="162"/>
        <v>547263.79635946685</v>
      </c>
      <c r="S753" s="26"/>
    </row>
    <row r="754" spans="1:19">
      <c r="A754" s="24"/>
      <c r="B754" s="25" t="s">
        <v>1634</v>
      </c>
      <c r="C754" s="26" t="s">
        <v>1350</v>
      </c>
      <c r="D754" s="351">
        <v>1</v>
      </c>
      <c r="E754" s="24"/>
      <c r="F754" s="351">
        <v>1</v>
      </c>
      <c r="G754" s="351" t="s">
        <v>3310</v>
      </c>
      <c r="H754" s="351"/>
      <c r="I754" s="351" t="s">
        <v>2596</v>
      </c>
      <c r="J754" s="560" t="s">
        <v>2328</v>
      </c>
      <c r="K754" s="311">
        <v>73354.17846960001</v>
      </c>
      <c r="L754" s="311">
        <v>0</v>
      </c>
      <c r="M754" s="311">
        <v>49155.000000000007</v>
      </c>
      <c r="N754" s="311">
        <v>11079.741144000001</v>
      </c>
      <c r="O754" s="311">
        <v>7755.8188008000016</v>
      </c>
      <c r="P754" s="68">
        <f t="shared" si="160"/>
        <v>141344.73841440002</v>
      </c>
      <c r="Q754" s="68">
        <f t="shared" si="161"/>
        <v>141344.73841440002</v>
      </c>
      <c r="R754" s="127">
        <f t="shared" si="162"/>
        <v>141344.73841440002</v>
      </c>
      <c r="S754" s="26"/>
    </row>
    <row r="755" spans="1:19">
      <c r="A755" s="24"/>
      <c r="B755" s="25" t="s">
        <v>1635</v>
      </c>
      <c r="C755" s="26" t="s">
        <v>1350</v>
      </c>
      <c r="D755" s="351">
        <v>2</v>
      </c>
      <c r="E755" s="24"/>
      <c r="F755" s="351">
        <v>2</v>
      </c>
      <c r="G755" s="351" t="s">
        <v>3310</v>
      </c>
      <c r="H755" s="351"/>
      <c r="I755" s="351" t="s">
        <v>2596</v>
      </c>
      <c r="J755" s="560" t="s">
        <v>2328</v>
      </c>
      <c r="K755" s="311">
        <v>70795.311778800024</v>
      </c>
      <c r="L755" s="311">
        <v>0</v>
      </c>
      <c r="M755" s="311">
        <v>47789.583333333343</v>
      </c>
      <c r="N755" s="311">
        <v>10724.14939866667</v>
      </c>
      <c r="O755" s="311">
        <v>7506.9045790666696</v>
      </c>
      <c r="P755" s="68">
        <f t="shared" si="160"/>
        <v>136815.94908986671</v>
      </c>
      <c r="Q755" s="68">
        <f t="shared" si="161"/>
        <v>273631.89817973343</v>
      </c>
      <c r="R755" s="127">
        <f t="shared" si="162"/>
        <v>273631.89817973343</v>
      </c>
      <c r="S755" s="26"/>
    </row>
    <row r="756" spans="1:19">
      <c r="A756" s="24"/>
      <c r="B756" s="25" t="s">
        <v>1637</v>
      </c>
      <c r="C756" s="26" t="s">
        <v>1350</v>
      </c>
      <c r="D756" s="351">
        <v>1</v>
      </c>
      <c r="E756" s="24"/>
      <c r="F756" s="351">
        <v>1</v>
      </c>
      <c r="G756" s="351" t="s">
        <v>3310</v>
      </c>
      <c r="H756" s="351"/>
      <c r="I756" s="351" t="s">
        <v>2596</v>
      </c>
      <c r="J756" s="560" t="s">
        <v>2328</v>
      </c>
      <c r="K756" s="311">
        <v>81030.778542000015</v>
      </c>
      <c r="L756" s="311">
        <v>0</v>
      </c>
      <c r="M756" s="311">
        <v>54616.666666666672</v>
      </c>
      <c r="N756" s="311">
        <v>12267.349713333337</v>
      </c>
      <c r="O756" s="311">
        <v>8587.144799333335</v>
      </c>
      <c r="P756" s="68">
        <f t="shared" si="160"/>
        <v>156501.93972133333</v>
      </c>
      <c r="Q756" s="68">
        <f t="shared" si="161"/>
        <v>156501.93972133333</v>
      </c>
      <c r="R756" s="127">
        <f t="shared" si="162"/>
        <v>156501.93972133333</v>
      </c>
      <c r="S756" s="26"/>
    </row>
    <row r="757" spans="1:19">
      <c r="A757" s="24"/>
      <c r="B757" s="25" t="s">
        <v>1638</v>
      </c>
      <c r="C757" s="26" t="s">
        <v>1350</v>
      </c>
      <c r="D757" s="351">
        <v>1</v>
      </c>
      <c r="E757" s="24"/>
      <c r="F757" s="351">
        <v>1</v>
      </c>
      <c r="G757" s="351" t="s">
        <v>3310</v>
      </c>
      <c r="H757" s="351"/>
      <c r="I757" s="351" t="s">
        <v>2596</v>
      </c>
      <c r="J757" s="560" t="s">
        <v>2328</v>
      </c>
      <c r="K757" s="311">
        <v>82736.689669200015</v>
      </c>
      <c r="L757" s="311">
        <v>0</v>
      </c>
      <c r="M757" s="311">
        <v>55982.083333333343</v>
      </c>
      <c r="N757" s="311">
        <v>12544.688654666668</v>
      </c>
      <c r="O757" s="311">
        <v>8781.2820582666682</v>
      </c>
      <c r="P757" s="68">
        <f t="shared" si="160"/>
        <v>160044.7437154667</v>
      </c>
      <c r="Q757" s="68">
        <f t="shared" si="161"/>
        <v>160044.7437154667</v>
      </c>
      <c r="R757" s="127">
        <f t="shared" si="162"/>
        <v>160044.7437154667</v>
      </c>
      <c r="S757" s="26"/>
    </row>
    <row r="758" spans="1:19">
      <c r="A758" s="24"/>
      <c r="B758" s="25" t="s">
        <v>1639</v>
      </c>
      <c r="C758" s="26" t="s">
        <v>1350</v>
      </c>
      <c r="D758" s="351">
        <v>2</v>
      </c>
      <c r="E758" s="24"/>
      <c r="F758" s="351">
        <v>2</v>
      </c>
      <c r="G758" s="351" t="s">
        <v>3310</v>
      </c>
      <c r="H758" s="351"/>
      <c r="I758" s="351" t="s">
        <v>2596</v>
      </c>
      <c r="J758" s="560" t="s">
        <v>2328</v>
      </c>
      <c r="K758" s="311">
        <v>85295.556360000031</v>
      </c>
      <c r="L758" s="311">
        <v>0</v>
      </c>
      <c r="M758" s="311">
        <v>57347.500000000007</v>
      </c>
      <c r="N758" s="311">
        <v>12900.280400000003</v>
      </c>
      <c r="O758" s="311">
        <v>9030.1962800000019</v>
      </c>
      <c r="P758" s="68">
        <f t="shared" si="160"/>
        <v>164573.53304000004</v>
      </c>
      <c r="Q758" s="68">
        <f t="shared" si="161"/>
        <v>329147.06608000008</v>
      </c>
      <c r="R758" s="127">
        <f t="shared" si="162"/>
        <v>329147.06608000008</v>
      </c>
      <c r="S758" s="26"/>
    </row>
    <row r="759" spans="1:19">
      <c r="A759" s="24"/>
      <c r="B759" s="25" t="s">
        <v>1640</v>
      </c>
      <c r="C759" s="26" t="s">
        <v>1350</v>
      </c>
      <c r="D759" s="351">
        <v>2</v>
      </c>
      <c r="E759" s="24"/>
      <c r="F759" s="351">
        <v>2</v>
      </c>
      <c r="G759" s="351" t="s">
        <v>3310</v>
      </c>
      <c r="H759" s="351"/>
      <c r="I759" s="351" t="s">
        <v>2596</v>
      </c>
      <c r="J759" s="560" t="s">
        <v>2328</v>
      </c>
      <c r="K759" s="311">
        <v>81030.778542000015</v>
      </c>
      <c r="L759" s="311">
        <v>0</v>
      </c>
      <c r="M759" s="311">
        <v>54616.666666666672</v>
      </c>
      <c r="N759" s="311">
        <v>12267.349713333337</v>
      </c>
      <c r="O759" s="311">
        <v>8587.144799333335</v>
      </c>
      <c r="P759" s="68">
        <f t="shared" si="160"/>
        <v>156501.93972133333</v>
      </c>
      <c r="Q759" s="68">
        <f t="shared" si="161"/>
        <v>313003.87944266666</v>
      </c>
      <c r="R759" s="127">
        <f t="shared" si="162"/>
        <v>313003.87944266666</v>
      </c>
      <c r="S759" s="26"/>
    </row>
    <row r="760" spans="1:19">
      <c r="A760" s="24"/>
      <c r="B760" s="25" t="s">
        <v>1641</v>
      </c>
      <c r="C760" s="26" t="s">
        <v>1350</v>
      </c>
      <c r="D760" s="351">
        <v>1</v>
      </c>
      <c r="E760" s="24"/>
      <c r="F760" s="351">
        <v>1</v>
      </c>
      <c r="G760" s="351" t="s">
        <v>3310</v>
      </c>
      <c r="H760" s="351"/>
      <c r="I760" s="351" t="s">
        <v>2596</v>
      </c>
      <c r="J760" s="560" t="s">
        <v>2328</v>
      </c>
      <c r="K760" s="311">
        <v>91266.245305200035</v>
      </c>
      <c r="L760" s="311">
        <v>0</v>
      </c>
      <c r="M760" s="311">
        <v>61443.750000000007</v>
      </c>
      <c r="N760" s="311">
        <v>13810.550028000005</v>
      </c>
      <c r="O760" s="311">
        <v>9667.3850196000039</v>
      </c>
      <c r="P760" s="68">
        <f t="shared" si="160"/>
        <v>176187.93035280006</v>
      </c>
      <c r="Q760" s="68">
        <f t="shared" si="161"/>
        <v>176187.93035280006</v>
      </c>
      <c r="R760" s="127">
        <f t="shared" si="162"/>
        <v>176187.93035280006</v>
      </c>
      <c r="S760" s="26"/>
    </row>
    <row r="761" spans="1:19">
      <c r="A761" s="24"/>
      <c r="B761" s="25" t="s">
        <v>1642</v>
      </c>
      <c r="C761" s="26" t="s">
        <v>1350</v>
      </c>
      <c r="D761" s="351">
        <v>1</v>
      </c>
      <c r="E761" s="24"/>
      <c r="F761" s="351">
        <v>1</v>
      </c>
      <c r="G761" s="351" t="s">
        <v>3310</v>
      </c>
      <c r="H761" s="351"/>
      <c r="I761" s="351" t="s">
        <v>2596</v>
      </c>
      <c r="J761" s="560" t="s">
        <v>2328</v>
      </c>
      <c r="K761" s="311">
        <v>83589.64523280003</v>
      </c>
      <c r="L761" s="311">
        <v>0</v>
      </c>
      <c r="M761" s="311">
        <v>55982.083333333343</v>
      </c>
      <c r="N761" s="311">
        <v>12622.94145866667</v>
      </c>
      <c r="O761" s="311">
        <v>8836.0590210666687</v>
      </c>
      <c r="P761" s="68">
        <f t="shared" si="160"/>
        <v>161030.7290458667</v>
      </c>
      <c r="Q761" s="68">
        <f t="shared" si="161"/>
        <v>161030.7290458667</v>
      </c>
      <c r="R761" s="127">
        <f t="shared" si="162"/>
        <v>161030.7290458667</v>
      </c>
      <c r="S761" s="26"/>
    </row>
    <row r="762" spans="1:19">
      <c r="A762" s="24"/>
      <c r="B762" s="25" t="s">
        <v>1643</v>
      </c>
      <c r="C762" s="26" t="s">
        <v>1350</v>
      </c>
      <c r="D762" s="351">
        <v>1</v>
      </c>
      <c r="E762" s="24"/>
      <c r="F762" s="351">
        <v>1</v>
      </c>
      <c r="G762" s="351" t="s">
        <v>3311</v>
      </c>
      <c r="H762" s="351"/>
      <c r="I762" s="351" t="s">
        <v>2596</v>
      </c>
      <c r="J762" s="560" t="s">
        <v>2328</v>
      </c>
      <c r="K762" s="311">
        <v>118560.82334040003</v>
      </c>
      <c r="L762" s="311">
        <v>0</v>
      </c>
      <c r="M762" s="311">
        <v>67800</v>
      </c>
      <c r="N762" s="311">
        <v>16877.139756</v>
      </c>
      <c r="O762" s="311">
        <v>11813.997829200001</v>
      </c>
      <c r="P762" s="68">
        <f t="shared" si="160"/>
        <v>215051.96092560003</v>
      </c>
      <c r="Q762" s="68">
        <f t="shared" si="161"/>
        <v>215051.96092560003</v>
      </c>
      <c r="R762" s="127">
        <f t="shared" si="162"/>
        <v>215051.96092560003</v>
      </c>
      <c r="S762" s="26"/>
    </row>
    <row r="763" spans="1:19">
      <c r="A763" s="24"/>
      <c r="B763" s="25" t="s">
        <v>1644</v>
      </c>
      <c r="C763" s="26" t="s">
        <v>1350</v>
      </c>
      <c r="D763" s="351">
        <v>1</v>
      </c>
      <c r="E763" s="24"/>
      <c r="F763" s="351">
        <v>1</v>
      </c>
      <c r="G763" s="351" t="s">
        <v>3311</v>
      </c>
      <c r="H763" s="351"/>
      <c r="I763" s="351" t="s">
        <v>2596</v>
      </c>
      <c r="J763" s="560" t="s">
        <v>2328</v>
      </c>
      <c r="K763" s="311">
        <v>116854.91221320003</v>
      </c>
      <c r="L763" s="311">
        <v>0</v>
      </c>
      <c r="M763" s="311">
        <v>67800</v>
      </c>
      <c r="N763" s="311">
        <v>16720.634148000001</v>
      </c>
      <c r="O763" s="311">
        <v>11704.443903600002</v>
      </c>
      <c r="P763" s="68">
        <f t="shared" si="160"/>
        <v>213079.99026480006</v>
      </c>
      <c r="Q763" s="68">
        <f t="shared" si="161"/>
        <v>213079.99026480006</v>
      </c>
      <c r="R763" s="127">
        <f t="shared" si="162"/>
        <v>213079.99026480006</v>
      </c>
      <c r="S763" s="26"/>
    </row>
    <row r="764" spans="1:19">
      <c r="A764" s="24"/>
      <c r="B764" s="25" t="s">
        <v>1542</v>
      </c>
      <c r="C764" s="26" t="s">
        <v>1350</v>
      </c>
      <c r="D764" s="351">
        <v>1</v>
      </c>
      <c r="E764" s="24"/>
      <c r="F764" s="351">
        <v>1</v>
      </c>
      <c r="G764" s="351" t="s">
        <v>3311</v>
      </c>
      <c r="H764" s="351"/>
      <c r="I764" s="351" t="s">
        <v>2596</v>
      </c>
      <c r="J764" s="560" t="s">
        <v>2328</v>
      </c>
      <c r="K764" s="311">
        <v>120266.73446760004</v>
      </c>
      <c r="L764" s="311">
        <v>0</v>
      </c>
      <c r="M764" s="311">
        <v>69212.5</v>
      </c>
      <c r="N764" s="311">
        <v>17158.645364000004</v>
      </c>
      <c r="O764" s="311">
        <v>12011.051754800003</v>
      </c>
      <c r="P764" s="68">
        <f t="shared" si="160"/>
        <v>218648.93158640002</v>
      </c>
      <c r="Q764" s="68">
        <f t="shared" si="161"/>
        <v>218648.93158640002</v>
      </c>
      <c r="R764" s="127">
        <f t="shared" si="162"/>
        <v>218648.93158640002</v>
      </c>
      <c r="S764" s="329"/>
    </row>
    <row r="765" spans="1:19">
      <c r="A765" s="24"/>
      <c r="B765" s="25" t="s">
        <v>1645</v>
      </c>
      <c r="C765" s="26" t="s">
        <v>1350</v>
      </c>
      <c r="D765" s="351">
        <v>1</v>
      </c>
      <c r="E765" s="24"/>
      <c r="F765" s="351">
        <v>1</v>
      </c>
      <c r="G765" s="351" t="s">
        <v>3311</v>
      </c>
      <c r="H765" s="351"/>
      <c r="I765" s="351" t="s">
        <v>2596</v>
      </c>
      <c r="J765" s="560" t="s">
        <v>2328</v>
      </c>
      <c r="K765" s="311">
        <v>142443.57912120005</v>
      </c>
      <c r="L765" s="311">
        <v>0</v>
      </c>
      <c r="M765" s="311">
        <v>81925.000000000015</v>
      </c>
      <c r="N765" s="311">
        <v>20318.218268000004</v>
      </c>
      <c r="O765" s="311">
        <v>14222.752787600004</v>
      </c>
      <c r="P765" s="68">
        <f t="shared" si="160"/>
        <v>258909.55017680008</v>
      </c>
      <c r="Q765" s="68">
        <f t="shared" si="161"/>
        <v>258909.55017680008</v>
      </c>
      <c r="R765" s="127">
        <f t="shared" si="162"/>
        <v>258909.55017680008</v>
      </c>
      <c r="S765" s="26"/>
    </row>
    <row r="766" spans="1:19">
      <c r="A766" s="24"/>
      <c r="B766" s="25" t="s">
        <v>1646</v>
      </c>
      <c r="C766" s="26" t="s">
        <v>1350</v>
      </c>
      <c r="D766" s="351">
        <v>1</v>
      </c>
      <c r="E766" s="24"/>
      <c r="F766" s="351">
        <v>1</v>
      </c>
      <c r="G766" s="351" t="s">
        <v>3311</v>
      </c>
      <c r="H766" s="351"/>
      <c r="I766" s="351" t="s">
        <v>2596</v>
      </c>
      <c r="J766" s="560" t="s">
        <v>2328</v>
      </c>
      <c r="K766" s="311">
        <v>185091.35730120004</v>
      </c>
      <c r="L766" s="311">
        <v>0</v>
      </c>
      <c r="M766" s="311">
        <v>91953.750000000015</v>
      </c>
      <c r="N766" s="311">
        <v>25118.358468000006</v>
      </c>
      <c r="O766" s="311">
        <v>17582.850927600004</v>
      </c>
      <c r="P766" s="68">
        <f t="shared" si="160"/>
        <v>319746.31669680006</v>
      </c>
      <c r="Q766" s="68">
        <f t="shared" si="161"/>
        <v>319746.31669680006</v>
      </c>
      <c r="R766" s="127">
        <f t="shared" si="162"/>
        <v>319746.31669680006</v>
      </c>
      <c r="S766" s="26"/>
    </row>
    <row r="767" spans="1:19" s="84" customFormat="1">
      <c r="A767" s="30"/>
      <c r="B767" s="29" t="s">
        <v>2155</v>
      </c>
      <c r="C767" s="30" t="s">
        <v>1350</v>
      </c>
      <c r="D767" s="352">
        <v>1</v>
      </c>
      <c r="E767" s="30"/>
      <c r="F767" s="352">
        <v>1</v>
      </c>
      <c r="G767" s="351" t="s">
        <v>3310</v>
      </c>
      <c r="H767" s="351"/>
      <c r="I767" s="351" t="s">
        <v>2596</v>
      </c>
      <c r="J767" s="560" t="s">
        <v>2328</v>
      </c>
      <c r="K767" s="311">
        <v>52827.831000000006</v>
      </c>
      <c r="L767" s="311">
        <v>0</v>
      </c>
      <c r="M767" s="311">
        <v>35500.833333333336</v>
      </c>
      <c r="N767" s="311">
        <v>7988.2566666666671</v>
      </c>
      <c r="O767" s="311">
        <v>5591.7796666666673</v>
      </c>
      <c r="P767" s="68">
        <f t="shared" si="160"/>
        <v>101908.70066666669</v>
      </c>
      <c r="Q767" s="68">
        <f t="shared" si="161"/>
        <v>101908.70066666669</v>
      </c>
      <c r="R767" s="127">
        <f t="shared" si="162"/>
        <v>101908.70066666669</v>
      </c>
      <c r="S767" s="37"/>
    </row>
    <row r="768" spans="1:19" s="84" customFormat="1">
      <c r="A768" s="30"/>
      <c r="B768" s="29" t="s">
        <v>2156</v>
      </c>
      <c r="C768" s="30" t="s">
        <v>1350</v>
      </c>
      <c r="D768" s="352">
        <v>1</v>
      </c>
      <c r="E768" s="30"/>
      <c r="F768" s="352">
        <v>1</v>
      </c>
      <c r="G768" s="351" t="s">
        <v>3311</v>
      </c>
      <c r="H768" s="351"/>
      <c r="I768" s="351" t="s">
        <v>2596</v>
      </c>
      <c r="J768" s="560" t="s">
        <v>2328</v>
      </c>
      <c r="K768" s="311">
        <v>122165.76120000001</v>
      </c>
      <c r="L768" s="311">
        <v>0</v>
      </c>
      <c r="M768" s="311">
        <v>73450.000000000015</v>
      </c>
      <c r="N768" s="311">
        <v>17707.867999999999</v>
      </c>
      <c r="O768" s="311">
        <v>12395.507600000001</v>
      </c>
      <c r="P768" s="68">
        <f t="shared" si="160"/>
        <v>225719.13680000001</v>
      </c>
      <c r="Q768" s="68">
        <f t="shared" si="161"/>
        <v>225719.13680000001</v>
      </c>
      <c r="R768" s="127">
        <f t="shared" si="162"/>
        <v>225719.13680000001</v>
      </c>
      <c r="S768" s="37"/>
    </row>
    <row r="769" spans="1:19" s="84" customFormat="1">
      <c r="A769" s="30"/>
      <c r="B769" s="29" t="s">
        <v>1538</v>
      </c>
      <c r="C769" s="30" t="s">
        <v>1350</v>
      </c>
      <c r="D769" s="352">
        <v>2</v>
      </c>
      <c r="E769" s="30"/>
      <c r="F769" s="352">
        <v>2</v>
      </c>
      <c r="G769" s="351" t="s">
        <v>3310</v>
      </c>
      <c r="H769" s="351"/>
      <c r="I769" s="351" t="s">
        <v>2596</v>
      </c>
      <c r="J769" s="560" t="s">
        <v>2328</v>
      </c>
      <c r="K769" s="311">
        <v>50351.743400000007</v>
      </c>
      <c r="L769" s="311">
        <v>0</v>
      </c>
      <c r="M769" s="311">
        <v>35500.833333333336</v>
      </c>
      <c r="N769" s="311">
        <v>7761.0926666666674</v>
      </c>
      <c r="O769" s="311">
        <v>5432.7648666666673</v>
      </c>
      <c r="P769" s="68">
        <f t="shared" si="160"/>
        <v>99046.434266666678</v>
      </c>
      <c r="Q769" s="68">
        <f t="shared" si="161"/>
        <v>198092.86853333336</v>
      </c>
      <c r="R769" s="127">
        <f t="shared" si="162"/>
        <v>198092.86853333336</v>
      </c>
      <c r="S769" s="37"/>
    </row>
    <row r="770" spans="1:19" s="84" customFormat="1">
      <c r="A770" s="30"/>
      <c r="B770" s="29" t="s">
        <v>2157</v>
      </c>
      <c r="C770" s="30" t="s">
        <v>1350</v>
      </c>
      <c r="D770" s="352">
        <v>1</v>
      </c>
      <c r="E770" s="30"/>
      <c r="F770" s="352">
        <v>1</v>
      </c>
      <c r="G770" s="351" t="s">
        <v>3310</v>
      </c>
      <c r="H770" s="351"/>
      <c r="I770" s="351" t="s">
        <v>2596</v>
      </c>
      <c r="J770" s="560" t="s">
        <v>2328</v>
      </c>
      <c r="K770" s="311">
        <v>51177.462</v>
      </c>
      <c r="L770" s="311">
        <v>0</v>
      </c>
      <c r="M770" s="311">
        <v>35500.833333333336</v>
      </c>
      <c r="N770" s="311">
        <v>7836.8466666666664</v>
      </c>
      <c r="O770" s="311">
        <v>5485.7926666666663</v>
      </c>
      <c r="P770" s="68">
        <f t="shared" si="160"/>
        <v>100000.93466666667</v>
      </c>
      <c r="Q770" s="68">
        <f t="shared" si="161"/>
        <v>100000.93466666667</v>
      </c>
      <c r="R770" s="127">
        <f t="shared" si="162"/>
        <v>100000.93466666667</v>
      </c>
      <c r="S770" s="37"/>
    </row>
    <row r="771" spans="1:19" s="84" customFormat="1">
      <c r="A771" s="30"/>
      <c r="B771" s="29" t="s">
        <v>2158</v>
      </c>
      <c r="C771" s="30" t="s">
        <v>1350</v>
      </c>
      <c r="D771" s="352">
        <v>1</v>
      </c>
      <c r="E771" s="30"/>
      <c r="F771" s="352">
        <v>1</v>
      </c>
      <c r="G771" s="351" t="s">
        <v>3310</v>
      </c>
      <c r="H771" s="351"/>
      <c r="I771" s="351" t="s">
        <v>2596</v>
      </c>
      <c r="J771" s="560" t="s">
        <v>2328</v>
      </c>
      <c r="K771" s="311">
        <v>59431.443400000004</v>
      </c>
      <c r="L771" s="311">
        <v>0</v>
      </c>
      <c r="M771" s="311">
        <v>40962.500000000007</v>
      </c>
      <c r="N771" s="311">
        <v>9077.4260000000013</v>
      </c>
      <c r="O771" s="311">
        <v>6354.1982000000016</v>
      </c>
      <c r="P771" s="68">
        <f t="shared" si="160"/>
        <v>115825.56760000002</v>
      </c>
      <c r="Q771" s="68">
        <f t="shared" si="161"/>
        <v>115825.56760000002</v>
      </c>
      <c r="R771" s="127">
        <f t="shared" si="162"/>
        <v>115825.56760000002</v>
      </c>
      <c r="S771" s="37"/>
    </row>
    <row r="772" spans="1:19" s="84" customFormat="1">
      <c r="A772" s="30"/>
      <c r="B772" s="29" t="s">
        <v>2159</v>
      </c>
      <c r="C772" s="30" t="s">
        <v>1350</v>
      </c>
      <c r="D772" s="352">
        <v>1</v>
      </c>
      <c r="E772" s="30"/>
      <c r="F772" s="352">
        <v>1</v>
      </c>
      <c r="G772" s="351" t="s">
        <v>3310</v>
      </c>
      <c r="H772" s="351"/>
      <c r="I772" s="351" t="s">
        <v>2596</v>
      </c>
      <c r="J772" s="560" t="s">
        <v>2328</v>
      </c>
      <c r="K772" s="311">
        <v>58606.792999999998</v>
      </c>
      <c r="L772" s="311">
        <v>0</v>
      </c>
      <c r="M772" s="311">
        <v>40962.500000000007</v>
      </c>
      <c r="N772" s="311">
        <v>9001.77</v>
      </c>
      <c r="O772" s="311">
        <v>6301.2390000000005</v>
      </c>
      <c r="P772" s="68">
        <f t="shared" si="160"/>
        <v>114872.30200000001</v>
      </c>
      <c r="Q772" s="68">
        <f t="shared" si="161"/>
        <v>114872.30200000001</v>
      </c>
      <c r="R772" s="127">
        <f t="shared" si="162"/>
        <v>114872.30200000001</v>
      </c>
      <c r="S772" s="37"/>
    </row>
    <row r="773" spans="1:19" s="84" customFormat="1">
      <c r="A773" s="30"/>
      <c r="B773" s="29" t="s">
        <v>2160</v>
      </c>
      <c r="C773" s="30" t="s">
        <v>1350</v>
      </c>
      <c r="D773" s="352">
        <v>1</v>
      </c>
      <c r="E773" s="30"/>
      <c r="F773" s="352">
        <v>1</v>
      </c>
      <c r="G773" s="351" t="s">
        <v>3310</v>
      </c>
      <c r="H773" s="351"/>
      <c r="I773" s="351" t="s">
        <v>2596</v>
      </c>
      <c r="J773" s="560" t="s">
        <v>2328</v>
      </c>
      <c r="K773" s="311">
        <v>74290.1054</v>
      </c>
      <c r="L773" s="311">
        <v>0</v>
      </c>
      <c r="M773" s="311">
        <v>50520.416666666672</v>
      </c>
      <c r="N773" s="311">
        <v>11286.439333333336</v>
      </c>
      <c r="O773" s="311">
        <v>7900.5075333333343</v>
      </c>
      <c r="P773" s="68">
        <f t="shared" si="160"/>
        <v>143997.46893333332</v>
      </c>
      <c r="Q773" s="68">
        <f t="shared" si="161"/>
        <v>143997.46893333332</v>
      </c>
      <c r="R773" s="127">
        <f t="shared" si="162"/>
        <v>143997.46893333332</v>
      </c>
      <c r="S773" s="37"/>
    </row>
    <row r="774" spans="1:19" s="84" customFormat="1">
      <c r="A774" s="30"/>
      <c r="B774" s="29" t="s">
        <v>2161</v>
      </c>
      <c r="C774" s="30" t="s">
        <v>1350</v>
      </c>
      <c r="D774" s="352">
        <v>1</v>
      </c>
      <c r="E774" s="30"/>
      <c r="F774" s="352">
        <v>1</v>
      </c>
      <c r="G774" s="351" t="s">
        <v>3310</v>
      </c>
      <c r="H774" s="351"/>
      <c r="I774" s="351" t="s">
        <v>2596</v>
      </c>
      <c r="J774" s="560" t="s">
        <v>2328</v>
      </c>
      <c r="K774" s="311">
        <v>68511.143400000001</v>
      </c>
      <c r="L774" s="311">
        <v>0</v>
      </c>
      <c r="M774" s="311">
        <v>47789.583333333343</v>
      </c>
      <c r="N774" s="311">
        <v>10514.592666666667</v>
      </c>
      <c r="O774" s="311">
        <v>7360.2148666666671</v>
      </c>
      <c r="P774" s="68">
        <f t="shared" si="160"/>
        <v>134175.53426666668</v>
      </c>
      <c r="Q774" s="68">
        <f t="shared" si="161"/>
        <v>134175.53426666668</v>
      </c>
      <c r="R774" s="127">
        <f t="shared" si="162"/>
        <v>134175.53426666668</v>
      </c>
      <c r="S774" s="37"/>
    </row>
    <row r="775" spans="1:19" s="84" customFormat="1">
      <c r="A775" s="30"/>
      <c r="B775" s="29" t="s">
        <v>2162</v>
      </c>
      <c r="C775" s="30" t="s">
        <v>1350</v>
      </c>
      <c r="D775" s="352">
        <v>1</v>
      </c>
      <c r="E775" s="30"/>
      <c r="F775" s="352">
        <v>1</v>
      </c>
      <c r="G775" s="351" t="s">
        <v>3310</v>
      </c>
      <c r="H775" s="351"/>
      <c r="I775" s="351" t="s">
        <v>2596</v>
      </c>
      <c r="J775" s="560" t="s">
        <v>2328</v>
      </c>
      <c r="K775" s="311">
        <v>74290.1054</v>
      </c>
      <c r="L775" s="311">
        <v>0</v>
      </c>
      <c r="M775" s="311">
        <v>51885.833333333343</v>
      </c>
      <c r="N775" s="311">
        <v>11407.272666666668</v>
      </c>
      <c r="O775" s="311">
        <v>7985.0908666666674</v>
      </c>
      <c r="P775" s="68">
        <f t="shared" si="160"/>
        <v>145568.30226666667</v>
      </c>
      <c r="Q775" s="68">
        <f t="shared" si="161"/>
        <v>145568.30226666667</v>
      </c>
      <c r="R775" s="127">
        <f t="shared" si="162"/>
        <v>145568.30226666667</v>
      </c>
      <c r="S775" s="37"/>
    </row>
    <row r="776" spans="1:19" s="84" customFormat="1">
      <c r="A776" s="30"/>
      <c r="B776" s="29" t="s">
        <v>2163</v>
      </c>
      <c r="C776" s="30" t="s">
        <v>1350</v>
      </c>
      <c r="D776" s="352">
        <v>1</v>
      </c>
      <c r="E776" s="30"/>
      <c r="F776" s="352">
        <v>1</v>
      </c>
      <c r="G776" s="351" t="s">
        <v>3310</v>
      </c>
      <c r="H776" s="351"/>
      <c r="I776" s="351" t="s">
        <v>2596</v>
      </c>
      <c r="J776" s="560" t="s">
        <v>2328</v>
      </c>
      <c r="K776" s="311">
        <v>76766.192999999999</v>
      </c>
      <c r="L776" s="311">
        <v>0</v>
      </c>
      <c r="M776" s="311">
        <v>53251.250000000007</v>
      </c>
      <c r="N776" s="311">
        <v>11755.27</v>
      </c>
      <c r="O776" s="311">
        <v>8228.6890000000003</v>
      </c>
      <c r="P776" s="68">
        <f t="shared" si="160"/>
        <v>150001.402</v>
      </c>
      <c r="Q776" s="68">
        <f t="shared" si="161"/>
        <v>150001.402</v>
      </c>
      <c r="R776" s="127">
        <f t="shared" si="162"/>
        <v>150001.402</v>
      </c>
      <c r="S776" s="37"/>
    </row>
    <row r="777" spans="1:19" s="84" customFormat="1">
      <c r="A777" s="30"/>
      <c r="B777" s="29" t="s">
        <v>2164</v>
      </c>
      <c r="C777" s="30" t="s">
        <v>1350</v>
      </c>
      <c r="D777" s="352">
        <v>1</v>
      </c>
      <c r="E777" s="30"/>
      <c r="F777" s="352">
        <v>1</v>
      </c>
      <c r="G777" s="351" t="s">
        <v>3310</v>
      </c>
      <c r="H777" s="351"/>
      <c r="I777" s="351" t="s">
        <v>2596</v>
      </c>
      <c r="J777" s="560" t="s">
        <v>2328</v>
      </c>
      <c r="K777" s="311">
        <v>67686.493000000002</v>
      </c>
      <c r="L777" s="311">
        <v>0</v>
      </c>
      <c r="M777" s="311">
        <v>47789.583333333343</v>
      </c>
      <c r="N777" s="311">
        <v>10438.936666666668</v>
      </c>
      <c r="O777" s="311">
        <v>7307.2556666666678</v>
      </c>
      <c r="P777" s="68">
        <f t="shared" si="160"/>
        <v>133222.26866666667</v>
      </c>
      <c r="Q777" s="68">
        <f t="shared" si="161"/>
        <v>133222.26866666667</v>
      </c>
      <c r="R777" s="127">
        <f t="shared" si="162"/>
        <v>133222.26866666667</v>
      </c>
      <c r="S777" s="37"/>
    </row>
    <row r="778" spans="1:19" s="84" customFormat="1">
      <c r="A778" s="30"/>
      <c r="B778" s="29" t="s">
        <v>2165</v>
      </c>
      <c r="C778" s="30" t="s">
        <v>1350</v>
      </c>
      <c r="D778" s="352">
        <v>2</v>
      </c>
      <c r="E778" s="30"/>
      <c r="F778" s="352">
        <v>2</v>
      </c>
      <c r="G778" s="351" t="s">
        <v>3311</v>
      </c>
      <c r="H778" s="351"/>
      <c r="I778" s="351" t="s">
        <v>2596</v>
      </c>
      <c r="J778" s="560" t="s">
        <v>2328</v>
      </c>
      <c r="K778" s="311">
        <v>108132.8178</v>
      </c>
      <c r="L778" s="311">
        <v>0</v>
      </c>
      <c r="M778" s="311">
        <v>64975.000000000007</v>
      </c>
      <c r="N778" s="311">
        <v>15670.441999999999</v>
      </c>
      <c r="O778" s="311">
        <v>10969.3094</v>
      </c>
      <c r="P778" s="68">
        <f t="shared" si="160"/>
        <v>199747.56920000003</v>
      </c>
      <c r="Q778" s="68">
        <f t="shared" si="161"/>
        <v>399495.13840000005</v>
      </c>
      <c r="R778" s="127">
        <f t="shared" si="162"/>
        <v>399495.13840000005</v>
      </c>
      <c r="S778" s="37"/>
    </row>
    <row r="779" spans="1:19" s="84" customFormat="1">
      <c r="A779" s="30"/>
      <c r="B779" s="29" t="s">
        <v>2166</v>
      </c>
      <c r="C779" s="30" t="s">
        <v>1350</v>
      </c>
      <c r="D779" s="352">
        <v>1</v>
      </c>
      <c r="E779" s="30"/>
      <c r="F779" s="352">
        <v>1</v>
      </c>
      <c r="G779" s="351" t="s">
        <v>3311</v>
      </c>
      <c r="H779" s="351"/>
      <c r="I779" s="351" t="s">
        <v>2596</v>
      </c>
      <c r="J779" s="560" t="s">
        <v>2328</v>
      </c>
      <c r="K779" s="311">
        <v>122165.76120000001</v>
      </c>
      <c r="L779" s="311">
        <v>0</v>
      </c>
      <c r="M779" s="311">
        <v>73450.000000000015</v>
      </c>
      <c r="N779" s="311">
        <v>17707.867999999999</v>
      </c>
      <c r="O779" s="311">
        <v>12395.507600000001</v>
      </c>
      <c r="P779" s="68">
        <f t="shared" si="160"/>
        <v>225719.13680000001</v>
      </c>
      <c r="Q779" s="68">
        <f t="shared" si="161"/>
        <v>225719.13680000001</v>
      </c>
      <c r="R779" s="127">
        <f t="shared" si="162"/>
        <v>225719.13680000001</v>
      </c>
      <c r="S779" s="37"/>
    </row>
    <row r="780" spans="1:19" s="84" customFormat="1">
      <c r="A780" s="30"/>
      <c r="B780" s="29" t="s">
        <v>2167</v>
      </c>
      <c r="C780" s="30" t="s">
        <v>1350</v>
      </c>
      <c r="D780" s="352">
        <v>1</v>
      </c>
      <c r="E780" s="30"/>
      <c r="F780" s="352">
        <v>1</v>
      </c>
      <c r="G780" s="351" t="s">
        <v>3311</v>
      </c>
      <c r="H780" s="351"/>
      <c r="I780" s="351" t="s">
        <v>2596</v>
      </c>
      <c r="J780" s="560" t="s">
        <v>2328</v>
      </c>
      <c r="K780" s="311">
        <v>136197.63639999999</v>
      </c>
      <c r="L780" s="311">
        <v>0</v>
      </c>
      <c r="M780" s="311">
        <v>80512.499999999985</v>
      </c>
      <c r="N780" s="311">
        <v>19620.195999999996</v>
      </c>
      <c r="O780" s="311">
        <v>13734.137199999999</v>
      </c>
      <c r="P780" s="68">
        <f t="shared" si="160"/>
        <v>250064.46959999995</v>
      </c>
      <c r="Q780" s="68">
        <f t="shared" si="161"/>
        <v>250064.46959999995</v>
      </c>
      <c r="R780" s="127">
        <f t="shared" si="162"/>
        <v>250064.46959999995</v>
      </c>
      <c r="S780" s="37"/>
    </row>
    <row r="781" spans="1:19" s="84" customFormat="1">
      <c r="A781" s="30"/>
      <c r="B781" s="29" t="s">
        <v>2168</v>
      </c>
      <c r="C781" s="30" t="s">
        <v>1350</v>
      </c>
      <c r="D781" s="352">
        <v>1</v>
      </c>
      <c r="E781" s="30"/>
      <c r="F781" s="352">
        <v>1</v>
      </c>
      <c r="G781" s="351" t="s">
        <v>3304</v>
      </c>
      <c r="H781" s="351"/>
      <c r="I781" s="351" t="s">
        <v>2596</v>
      </c>
      <c r="J781" s="560" t="s">
        <v>2328</v>
      </c>
      <c r="K781" s="311">
        <v>163437.8046</v>
      </c>
      <c r="L781" s="311">
        <v>0</v>
      </c>
      <c r="M781" s="311">
        <v>84655.833333333343</v>
      </c>
      <c r="N781" s="311">
        <v>22485.96066666667</v>
      </c>
      <c r="O781" s="311">
        <v>15740.172466666671</v>
      </c>
      <c r="P781" s="68">
        <f t="shared" si="160"/>
        <v>286319.7710666667</v>
      </c>
      <c r="Q781" s="68">
        <f t="shared" si="161"/>
        <v>286319.7710666667</v>
      </c>
      <c r="R781" s="127">
        <f t="shared" si="162"/>
        <v>286319.7710666667</v>
      </c>
      <c r="S781" s="37"/>
    </row>
    <row r="782" spans="1:19">
      <c r="A782" s="24">
        <v>1.4</v>
      </c>
      <c r="B782" s="27" t="s">
        <v>1548</v>
      </c>
      <c r="C782" s="24"/>
      <c r="D782" s="351"/>
      <c r="E782" s="24"/>
      <c r="F782" s="351"/>
      <c r="G782" s="26"/>
      <c r="H782" s="26"/>
      <c r="I782" s="26"/>
      <c r="J782" s="559"/>
      <c r="K782" s="66"/>
      <c r="L782" s="66"/>
      <c r="M782" s="66"/>
      <c r="N782" s="66"/>
      <c r="O782" s="66"/>
      <c r="P782" s="66"/>
      <c r="Q782" s="66"/>
      <c r="R782" s="66"/>
      <c r="S782" s="26"/>
    </row>
    <row r="783" spans="1:19">
      <c r="A783" s="24"/>
      <c r="B783" s="25" t="s">
        <v>1647</v>
      </c>
      <c r="C783" s="26" t="s">
        <v>1350</v>
      </c>
      <c r="D783" s="351">
        <v>1</v>
      </c>
      <c r="E783" s="24"/>
      <c r="F783" s="351">
        <v>1</v>
      </c>
      <c r="G783" s="351" t="s">
        <v>3310</v>
      </c>
      <c r="H783" s="351"/>
      <c r="I783" s="351" t="s">
        <v>2596</v>
      </c>
      <c r="J783" s="560" t="s">
        <v>2328</v>
      </c>
      <c r="K783" s="311">
        <v>103207.62319560003</v>
      </c>
      <c r="L783" s="311">
        <v>0</v>
      </c>
      <c r="M783" s="311">
        <v>61443.750000000007</v>
      </c>
      <c r="N783" s="311">
        <v>14906.089284000001</v>
      </c>
      <c r="O783" s="311">
        <v>10434.262498800003</v>
      </c>
      <c r="P783" s="68">
        <f t="shared" ref="P783:P800" si="163">SUM(K783:O783)</f>
        <v>189991.72497840005</v>
      </c>
      <c r="Q783" s="68">
        <f t="shared" ref="Q783:Q800" si="164">D783*P783</f>
        <v>189991.72497840005</v>
      </c>
      <c r="R783" s="127">
        <f t="shared" ref="R783:R800" si="165">F783*P783</f>
        <v>189991.72497840005</v>
      </c>
      <c r="S783" s="26"/>
    </row>
    <row r="784" spans="1:19">
      <c r="A784" s="24"/>
      <c r="B784" s="25" t="s">
        <v>1648</v>
      </c>
      <c r="C784" s="26" t="s">
        <v>1350</v>
      </c>
      <c r="D784" s="351">
        <v>1</v>
      </c>
      <c r="E784" s="24"/>
      <c r="F784" s="351">
        <v>1</v>
      </c>
      <c r="G784" s="351" t="s">
        <v>3310</v>
      </c>
      <c r="H784" s="351"/>
      <c r="I784" s="351" t="s">
        <v>2596</v>
      </c>
      <c r="J784" s="560" t="s">
        <v>2328</v>
      </c>
      <c r="K784" s="311">
        <v>134766.97904880001</v>
      </c>
      <c r="L784" s="311">
        <v>0</v>
      </c>
      <c r="M784" s="311">
        <v>76463.333333333358</v>
      </c>
      <c r="N784" s="311">
        <v>19130.609698666671</v>
      </c>
      <c r="O784" s="311">
        <v>13391.426789066671</v>
      </c>
      <c r="P784" s="68">
        <f t="shared" si="163"/>
        <v>243752.34886986672</v>
      </c>
      <c r="Q784" s="68">
        <f t="shared" si="164"/>
        <v>243752.34886986672</v>
      </c>
      <c r="R784" s="127">
        <f t="shared" si="165"/>
        <v>243752.34886986672</v>
      </c>
      <c r="S784" s="26"/>
    </row>
    <row r="785" spans="1:19">
      <c r="A785" s="24"/>
      <c r="B785" s="25" t="s">
        <v>1649</v>
      </c>
      <c r="C785" s="26" t="s">
        <v>1350</v>
      </c>
      <c r="D785" s="351">
        <v>2</v>
      </c>
      <c r="E785" s="24"/>
      <c r="F785" s="351">
        <v>2</v>
      </c>
      <c r="G785" s="351" t="s">
        <v>3310</v>
      </c>
      <c r="H785" s="351"/>
      <c r="I785" s="351" t="s">
        <v>2596</v>
      </c>
      <c r="J785" s="560" t="s">
        <v>2328</v>
      </c>
      <c r="K785" s="311">
        <v>170591.11272000006</v>
      </c>
      <c r="L785" s="311">
        <v>0</v>
      </c>
      <c r="M785" s="311">
        <v>80559.583333333343</v>
      </c>
      <c r="N785" s="311">
        <v>22779.727466666671</v>
      </c>
      <c r="O785" s="311">
        <v>15945.80922666667</v>
      </c>
      <c r="P785" s="68">
        <f t="shared" si="163"/>
        <v>289876.23274666676</v>
      </c>
      <c r="Q785" s="68">
        <f t="shared" si="164"/>
        <v>579752.46549333353</v>
      </c>
      <c r="R785" s="127">
        <f t="shared" si="165"/>
        <v>579752.46549333353</v>
      </c>
      <c r="S785" s="26"/>
    </row>
    <row r="786" spans="1:19">
      <c r="A786" s="24"/>
      <c r="B786" s="25" t="s">
        <v>1650</v>
      </c>
      <c r="C786" s="26" t="s">
        <v>1350</v>
      </c>
      <c r="D786" s="351">
        <v>1</v>
      </c>
      <c r="E786" s="24"/>
      <c r="F786" s="351">
        <v>1</v>
      </c>
      <c r="G786" s="351" t="s">
        <v>3310</v>
      </c>
      <c r="H786" s="351"/>
      <c r="I786" s="351" t="s">
        <v>2596</v>
      </c>
      <c r="J786" s="560" t="s">
        <v>2328</v>
      </c>
      <c r="K786" s="311">
        <v>241386.42449880004</v>
      </c>
      <c r="L786" s="311">
        <v>0</v>
      </c>
      <c r="M786" s="311">
        <v>122887.50000000001</v>
      </c>
      <c r="N786" s="311">
        <v>33020.543532000003</v>
      </c>
      <c r="O786" s="311">
        <v>23114.380472400004</v>
      </c>
      <c r="P786" s="68">
        <f t="shared" si="163"/>
        <v>420408.84850320005</v>
      </c>
      <c r="Q786" s="68">
        <f t="shared" si="164"/>
        <v>420408.84850320005</v>
      </c>
      <c r="R786" s="127">
        <f t="shared" si="165"/>
        <v>420408.84850320005</v>
      </c>
      <c r="S786" s="26"/>
    </row>
    <row r="787" spans="1:19">
      <c r="A787" s="24"/>
      <c r="B787" s="25" t="s">
        <v>1651</v>
      </c>
      <c r="C787" s="26" t="s">
        <v>1350</v>
      </c>
      <c r="D787" s="351">
        <v>1</v>
      </c>
      <c r="E787" s="24"/>
      <c r="F787" s="351">
        <v>1</v>
      </c>
      <c r="G787" s="351" t="s">
        <v>3310</v>
      </c>
      <c r="H787" s="351"/>
      <c r="I787" s="351" t="s">
        <v>2596</v>
      </c>
      <c r="J787" s="560" t="s">
        <v>2328</v>
      </c>
      <c r="K787" s="311">
        <v>310475.82515040005</v>
      </c>
      <c r="L787" s="311">
        <v>0</v>
      </c>
      <c r="M787" s="311">
        <v>167946.25000000003</v>
      </c>
      <c r="N787" s="311">
        <v>43346.520656000008</v>
      </c>
      <c r="O787" s="311">
        <v>30342.564459200003</v>
      </c>
      <c r="P787" s="68">
        <f t="shared" si="163"/>
        <v>552111.16026560008</v>
      </c>
      <c r="Q787" s="68">
        <f t="shared" si="164"/>
        <v>552111.16026560008</v>
      </c>
      <c r="R787" s="127">
        <f t="shared" si="165"/>
        <v>552111.16026560008</v>
      </c>
      <c r="S787" s="26"/>
    </row>
    <row r="788" spans="1:19">
      <c r="A788" s="24"/>
      <c r="B788" s="25" t="s">
        <v>1652</v>
      </c>
      <c r="C788" s="26" t="s">
        <v>1350</v>
      </c>
      <c r="D788" s="351">
        <v>1</v>
      </c>
      <c r="E788" s="24"/>
      <c r="F788" s="351">
        <v>1</v>
      </c>
      <c r="G788" s="351" t="s">
        <v>3310</v>
      </c>
      <c r="H788" s="351"/>
      <c r="I788" s="351" t="s">
        <v>2596</v>
      </c>
      <c r="J788" s="560" t="s">
        <v>2328</v>
      </c>
      <c r="K788" s="311">
        <v>276357.60260640003</v>
      </c>
      <c r="L788" s="311">
        <v>0</v>
      </c>
      <c r="M788" s="311">
        <v>170677.08333333337</v>
      </c>
      <c r="N788" s="311">
        <v>40458.075162666675</v>
      </c>
      <c r="O788" s="311">
        <v>28320.652613866674</v>
      </c>
      <c r="P788" s="68">
        <f t="shared" si="163"/>
        <v>515813.41371626675</v>
      </c>
      <c r="Q788" s="68">
        <f t="shared" si="164"/>
        <v>515813.41371626675</v>
      </c>
      <c r="R788" s="127">
        <f t="shared" si="165"/>
        <v>515813.41371626675</v>
      </c>
      <c r="S788" s="26"/>
    </row>
    <row r="789" spans="1:19">
      <c r="A789" s="24"/>
      <c r="B789" s="25" t="s">
        <v>1653</v>
      </c>
      <c r="C789" s="26" t="s">
        <v>1350</v>
      </c>
      <c r="D789" s="351">
        <v>1</v>
      </c>
      <c r="E789" s="24"/>
      <c r="F789" s="351">
        <v>1</v>
      </c>
      <c r="G789" s="351" t="s">
        <v>3310</v>
      </c>
      <c r="H789" s="351"/>
      <c r="I789" s="351" t="s">
        <v>2596</v>
      </c>
      <c r="J789" s="560" t="s">
        <v>2328</v>
      </c>
      <c r="K789" s="311">
        <v>277210.55817000009</v>
      </c>
      <c r="L789" s="311">
        <v>0</v>
      </c>
      <c r="M789" s="311">
        <v>169311.66666666669</v>
      </c>
      <c r="N789" s="311">
        <v>40415.494633333343</v>
      </c>
      <c r="O789" s="311">
        <v>28290.846243333341</v>
      </c>
      <c r="P789" s="68">
        <f t="shared" si="163"/>
        <v>515228.56571333349</v>
      </c>
      <c r="Q789" s="68">
        <f t="shared" si="164"/>
        <v>515228.56571333349</v>
      </c>
      <c r="R789" s="127">
        <f t="shared" si="165"/>
        <v>515228.56571333349</v>
      </c>
      <c r="S789" s="24"/>
    </row>
    <row r="790" spans="1:19">
      <c r="A790" s="24"/>
      <c r="B790" s="25" t="s">
        <v>1654</v>
      </c>
      <c r="C790" s="26" t="s">
        <v>1350</v>
      </c>
      <c r="D790" s="351">
        <v>1</v>
      </c>
      <c r="E790" s="24"/>
      <c r="F790" s="351">
        <v>1</v>
      </c>
      <c r="G790" s="351" t="s">
        <v>3310</v>
      </c>
      <c r="H790" s="351"/>
      <c r="I790" s="351" t="s">
        <v>2596</v>
      </c>
      <c r="J790" s="560" t="s">
        <v>2328</v>
      </c>
      <c r="K790" s="311">
        <v>340329.26987640013</v>
      </c>
      <c r="L790" s="311">
        <v>0</v>
      </c>
      <c r="M790" s="311">
        <v>173407.91666666669</v>
      </c>
      <c r="N790" s="311">
        <v>46568.702129333338</v>
      </c>
      <c r="O790" s="311">
        <v>32598.091490533341</v>
      </c>
      <c r="P790" s="68">
        <f t="shared" si="163"/>
        <v>592903.98016293347</v>
      </c>
      <c r="Q790" s="68">
        <f t="shared" si="164"/>
        <v>592903.98016293347</v>
      </c>
      <c r="R790" s="127">
        <f t="shared" si="165"/>
        <v>592903.98016293347</v>
      </c>
      <c r="S790" s="24"/>
    </row>
    <row r="791" spans="1:19">
      <c r="A791" s="24"/>
      <c r="B791" s="25" t="s">
        <v>1655</v>
      </c>
      <c r="C791" s="26" t="s">
        <v>1350</v>
      </c>
      <c r="D791" s="351">
        <v>1</v>
      </c>
      <c r="E791" s="24"/>
      <c r="F791" s="351">
        <v>1</v>
      </c>
      <c r="G791" s="351" t="s">
        <v>3311</v>
      </c>
      <c r="H791" s="351"/>
      <c r="I791" s="351" t="s">
        <v>2596</v>
      </c>
      <c r="J791" s="560" t="s">
        <v>2328</v>
      </c>
      <c r="K791" s="311">
        <v>528832.44943200005</v>
      </c>
      <c r="L791" s="311">
        <v>0</v>
      </c>
      <c r="M791" s="311">
        <v>233062.50000000003</v>
      </c>
      <c r="N791" s="311">
        <v>69141.738480000015</v>
      </c>
      <c r="O791" s="311">
        <v>48399.216936000012</v>
      </c>
      <c r="P791" s="68">
        <f t="shared" si="163"/>
        <v>879435.90484800015</v>
      </c>
      <c r="Q791" s="68">
        <f t="shared" si="164"/>
        <v>879435.90484800015</v>
      </c>
      <c r="R791" s="127">
        <f t="shared" si="165"/>
        <v>879435.90484800015</v>
      </c>
      <c r="S791" s="26"/>
    </row>
    <row r="792" spans="1:19">
      <c r="A792" s="24"/>
      <c r="B792" s="25" t="s">
        <v>1656</v>
      </c>
      <c r="C792" s="26" t="s">
        <v>1350</v>
      </c>
      <c r="D792" s="351">
        <v>2</v>
      </c>
      <c r="E792" s="24"/>
      <c r="F792" s="351">
        <v>2</v>
      </c>
      <c r="G792" s="351" t="s">
        <v>3311</v>
      </c>
      <c r="H792" s="351"/>
      <c r="I792" s="351" t="s">
        <v>2596</v>
      </c>
      <c r="J792" s="560" t="s">
        <v>2328</v>
      </c>
      <c r="K792" s="311">
        <v>492155.36019720015</v>
      </c>
      <c r="L792" s="311">
        <v>0</v>
      </c>
      <c r="M792" s="311">
        <v>230237.5</v>
      </c>
      <c r="N792" s="311">
        <v>65526.867908000007</v>
      </c>
      <c r="O792" s="311">
        <v>45868.807535600004</v>
      </c>
      <c r="P792" s="68">
        <f t="shared" si="163"/>
        <v>833788.53564080026</v>
      </c>
      <c r="Q792" s="68">
        <f t="shared" si="164"/>
        <v>1667577.0712816005</v>
      </c>
      <c r="R792" s="127">
        <f t="shared" si="165"/>
        <v>1667577.0712816005</v>
      </c>
      <c r="S792" s="26"/>
    </row>
    <row r="793" spans="1:19">
      <c r="A793" s="24"/>
      <c r="B793" s="25" t="s">
        <v>1657</v>
      </c>
      <c r="C793" s="26" t="s">
        <v>1350</v>
      </c>
      <c r="D793" s="351">
        <v>1</v>
      </c>
      <c r="E793" s="24"/>
      <c r="F793" s="351">
        <v>1</v>
      </c>
      <c r="G793" s="351" t="s">
        <v>3311</v>
      </c>
      <c r="H793" s="351"/>
      <c r="I793" s="351" t="s">
        <v>2596</v>
      </c>
      <c r="J793" s="560" t="s">
        <v>2328</v>
      </c>
      <c r="K793" s="311">
        <v>494714.22688800009</v>
      </c>
      <c r="L793" s="311">
        <v>0</v>
      </c>
      <c r="M793" s="311">
        <v>252837.50000000003</v>
      </c>
      <c r="N793" s="311">
        <v>67761.62632000001</v>
      </c>
      <c r="O793" s="311">
        <v>47433.138424000004</v>
      </c>
      <c r="P793" s="68">
        <f t="shared" si="163"/>
        <v>862746.49163200019</v>
      </c>
      <c r="Q793" s="68">
        <f t="shared" si="164"/>
        <v>862746.49163200019</v>
      </c>
      <c r="R793" s="127">
        <f t="shared" si="165"/>
        <v>862746.49163200019</v>
      </c>
      <c r="S793" s="26"/>
    </row>
    <row r="794" spans="1:19">
      <c r="A794" s="24"/>
      <c r="B794" s="25" t="s">
        <v>1658</v>
      </c>
      <c r="C794" s="26" t="s">
        <v>1350</v>
      </c>
      <c r="D794" s="351">
        <v>1</v>
      </c>
      <c r="E794" s="24"/>
      <c r="F794" s="351">
        <v>1</v>
      </c>
      <c r="G794" s="351" t="s">
        <v>3311</v>
      </c>
      <c r="H794" s="351"/>
      <c r="I794" s="351" t="s">
        <v>2596</v>
      </c>
      <c r="J794" s="560" t="s">
        <v>2328</v>
      </c>
      <c r="K794" s="311">
        <v>636304.85044560023</v>
      </c>
      <c r="L794" s="311">
        <v>0</v>
      </c>
      <c r="M794" s="311">
        <v>283912.5</v>
      </c>
      <c r="N794" s="311">
        <v>83501.591784000018</v>
      </c>
      <c r="O794" s="311">
        <v>58451.114248800011</v>
      </c>
      <c r="P794" s="68">
        <f t="shared" si="163"/>
        <v>1062170.0564784002</v>
      </c>
      <c r="Q794" s="68">
        <f t="shared" si="164"/>
        <v>1062170.0564784002</v>
      </c>
      <c r="R794" s="127">
        <f t="shared" si="165"/>
        <v>1062170.0564784002</v>
      </c>
      <c r="S794" s="26"/>
    </row>
    <row r="795" spans="1:19">
      <c r="A795" s="24"/>
      <c r="B795" s="25" t="s">
        <v>1659</v>
      </c>
      <c r="C795" s="26" t="s">
        <v>1350</v>
      </c>
      <c r="D795" s="351">
        <v>1</v>
      </c>
      <c r="E795" s="24"/>
      <c r="F795" s="351">
        <v>1</v>
      </c>
      <c r="G795" s="351" t="s">
        <v>3304</v>
      </c>
      <c r="H795" s="351"/>
      <c r="I795" s="351" t="s">
        <v>2596</v>
      </c>
      <c r="J795" s="560" t="s">
        <v>2328</v>
      </c>
      <c r="K795" s="311">
        <v>1168549.1221320003</v>
      </c>
      <c r="L795" s="311">
        <v>0</v>
      </c>
      <c r="M795" s="311">
        <v>430577.08333333337</v>
      </c>
      <c r="N795" s="311">
        <v>145310.50814666669</v>
      </c>
      <c r="O795" s="311">
        <v>101717.3557026667</v>
      </c>
      <c r="P795" s="68">
        <f t="shared" si="163"/>
        <v>1846154.069314667</v>
      </c>
      <c r="Q795" s="68">
        <f t="shared" si="164"/>
        <v>1846154.069314667</v>
      </c>
      <c r="R795" s="127">
        <f t="shared" si="165"/>
        <v>1846154.069314667</v>
      </c>
      <c r="S795" s="26"/>
    </row>
    <row r="796" spans="1:19">
      <c r="A796" s="24"/>
      <c r="B796" s="25" t="s">
        <v>1660</v>
      </c>
      <c r="C796" s="26" t="s">
        <v>1350</v>
      </c>
      <c r="D796" s="351">
        <v>1</v>
      </c>
      <c r="E796" s="24"/>
      <c r="F796" s="351">
        <v>1</v>
      </c>
      <c r="G796" s="351" t="s">
        <v>3304</v>
      </c>
      <c r="H796" s="351"/>
      <c r="I796" s="351" t="s">
        <v>2596</v>
      </c>
      <c r="J796" s="560" t="s">
        <v>2328</v>
      </c>
      <c r="K796" s="311">
        <v>1257256.5007464003</v>
      </c>
      <c r="L796" s="311">
        <v>0</v>
      </c>
      <c r="M796" s="311">
        <v>490420.00000000006</v>
      </c>
      <c r="N796" s="311">
        <v>158744.63309600003</v>
      </c>
      <c r="O796" s="311">
        <v>111121.24316720002</v>
      </c>
      <c r="P796" s="68">
        <f t="shared" si="163"/>
        <v>2017542.3770096004</v>
      </c>
      <c r="Q796" s="68">
        <f t="shared" si="164"/>
        <v>2017542.3770096004</v>
      </c>
      <c r="R796" s="127">
        <f t="shared" si="165"/>
        <v>2017542.3770096004</v>
      </c>
      <c r="S796" s="26"/>
    </row>
    <row r="797" spans="1:19">
      <c r="A797" s="24"/>
      <c r="B797" s="25" t="s">
        <v>1661</v>
      </c>
      <c r="C797" s="26" t="s">
        <v>1350</v>
      </c>
      <c r="D797" s="351">
        <v>1</v>
      </c>
      <c r="E797" s="24"/>
      <c r="F797" s="351">
        <v>1</v>
      </c>
      <c r="G797" s="351" t="s">
        <v>3304</v>
      </c>
      <c r="H797" s="351"/>
      <c r="I797" s="351" t="s">
        <v>2596</v>
      </c>
      <c r="J797" s="560" t="s">
        <v>2328</v>
      </c>
      <c r="K797" s="311">
        <v>1811709.7058144005</v>
      </c>
      <c r="L797" s="311">
        <v>0</v>
      </c>
      <c r="M797" s="311">
        <v>662650.83333333349</v>
      </c>
      <c r="N797" s="311">
        <v>224853.56628266672</v>
      </c>
      <c r="O797" s="311">
        <v>157397.49639786672</v>
      </c>
      <c r="P797" s="68">
        <f t="shared" si="163"/>
        <v>2856611.6018282673</v>
      </c>
      <c r="Q797" s="68">
        <f t="shared" si="164"/>
        <v>2856611.6018282673</v>
      </c>
      <c r="R797" s="127">
        <f t="shared" si="165"/>
        <v>2856611.6018282673</v>
      </c>
      <c r="S797" s="26"/>
    </row>
    <row r="798" spans="1:19" s="84" customFormat="1">
      <c r="A798" s="30"/>
      <c r="B798" s="29" t="s">
        <v>2169</v>
      </c>
      <c r="C798" s="30" t="s">
        <v>1350</v>
      </c>
      <c r="D798" s="352">
        <v>1</v>
      </c>
      <c r="E798" s="30"/>
      <c r="F798" s="352">
        <v>1</v>
      </c>
      <c r="G798" s="351" t="s">
        <v>3310</v>
      </c>
      <c r="H798" s="351"/>
      <c r="I798" s="351" t="s">
        <v>2596</v>
      </c>
      <c r="J798" s="560" t="s">
        <v>2328</v>
      </c>
      <c r="K798" s="311">
        <v>93275.224000000002</v>
      </c>
      <c r="L798" s="311">
        <v>0</v>
      </c>
      <c r="M798" s="311">
        <v>61443.750000000007</v>
      </c>
      <c r="N798" s="311">
        <v>13994.859999999999</v>
      </c>
      <c r="O798" s="311">
        <v>9796.402</v>
      </c>
      <c r="P798" s="68">
        <f t="shared" si="163"/>
        <v>178510.236</v>
      </c>
      <c r="Q798" s="68">
        <f t="shared" si="164"/>
        <v>178510.236</v>
      </c>
      <c r="R798" s="127">
        <f t="shared" si="165"/>
        <v>178510.236</v>
      </c>
      <c r="S798" s="37"/>
    </row>
    <row r="799" spans="1:19" s="84" customFormat="1">
      <c r="A799" s="30"/>
      <c r="B799" s="29" t="s">
        <v>2170</v>
      </c>
      <c r="C799" s="30" t="s">
        <v>1350</v>
      </c>
      <c r="D799" s="352">
        <v>3</v>
      </c>
      <c r="E799" s="30"/>
      <c r="F799" s="352">
        <v>3</v>
      </c>
      <c r="G799" s="351" t="s">
        <v>3310</v>
      </c>
      <c r="H799" s="351"/>
      <c r="I799" s="351" t="s">
        <v>2596</v>
      </c>
      <c r="J799" s="560" t="s">
        <v>2328</v>
      </c>
      <c r="K799" s="311">
        <v>203884.12940000001</v>
      </c>
      <c r="L799" s="311">
        <v>0</v>
      </c>
      <c r="M799" s="311">
        <v>113329.58333333336</v>
      </c>
      <c r="N799" s="311">
        <v>28734.132666666668</v>
      </c>
      <c r="O799" s="311">
        <v>20113.892866666669</v>
      </c>
      <c r="P799" s="68">
        <f t="shared" si="163"/>
        <v>366061.73826666665</v>
      </c>
      <c r="Q799" s="68">
        <f t="shared" si="164"/>
        <v>1098185.2148</v>
      </c>
      <c r="R799" s="127">
        <f t="shared" si="165"/>
        <v>1098185.2148</v>
      </c>
      <c r="S799" s="37"/>
    </row>
    <row r="800" spans="1:19" s="84" customFormat="1">
      <c r="A800" s="30"/>
      <c r="B800" s="29" t="s">
        <v>1655</v>
      </c>
      <c r="C800" s="30" t="s">
        <v>1350</v>
      </c>
      <c r="D800" s="352">
        <v>1</v>
      </c>
      <c r="E800" s="30"/>
      <c r="F800" s="352">
        <v>1</v>
      </c>
      <c r="G800" s="351" t="s">
        <v>3311</v>
      </c>
      <c r="H800" s="351"/>
      <c r="I800" s="351" t="s">
        <v>2596</v>
      </c>
      <c r="J800" s="560" t="s">
        <v>2328</v>
      </c>
      <c r="K800" s="311">
        <v>511773.55180000007</v>
      </c>
      <c r="L800" s="311">
        <v>0</v>
      </c>
      <c r="M800" s="311">
        <v>233062.50000000003</v>
      </c>
      <c r="N800" s="311">
        <v>67576.702000000005</v>
      </c>
      <c r="O800" s="311">
        <v>47303.691400000003</v>
      </c>
      <c r="P800" s="68">
        <f t="shared" si="163"/>
        <v>859716.44520000019</v>
      </c>
      <c r="Q800" s="68">
        <f t="shared" si="164"/>
        <v>859716.44520000019</v>
      </c>
      <c r="R800" s="127">
        <f t="shared" si="165"/>
        <v>859716.44520000019</v>
      </c>
      <c r="S800" s="37"/>
    </row>
    <row r="801" spans="1:19">
      <c r="A801" s="24">
        <v>1.5</v>
      </c>
      <c r="B801" s="27" t="s">
        <v>1556</v>
      </c>
      <c r="C801" s="24"/>
      <c r="D801" s="351"/>
      <c r="E801" s="24"/>
      <c r="F801" s="351"/>
      <c r="G801" s="26"/>
      <c r="H801" s="26"/>
      <c r="I801" s="26"/>
      <c r="J801" s="559"/>
      <c r="K801" s="66"/>
      <c r="L801" s="66"/>
      <c r="M801" s="66"/>
      <c r="N801" s="66"/>
      <c r="O801" s="66"/>
      <c r="P801" s="66"/>
      <c r="Q801" s="66"/>
      <c r="R801" s="66"/>
      <c r="S801" s="26"/>
    </row>
    <row r="802" spans="1:19">
      <c r="A802" s="26"/>
      <c r="B802" s="25" t="s">
        <v>1558</v>
      </c>
      <c r="C802" s="26" t="s">
        <v>117</v>
      </c>
      <c r="D802" s="351">
        <v>3.3277999999999994</v>
      </c>
      <c r="E802" s="26"/>
      <c r="F802" s="351">
        <v>3.3277999999999994</v>
      </c>
      <c r="G802" s="351" t="s">
        <v>3204</v>
      </c>
      <c r="H802" s="351"/>
      <c r="I802" s="351" t="s">
        <v>3179</v>
      </c>
      <c r="J802" s="560" t="s">
        <v>2328</v>
      </c>
      <c r="K802" s="311">
        <v>6215.0000000000009</v>
      </c>
      <c r="L802" s="311">
        <v>0</v>
      </c>
      <c r="M802" s="311">
        <v>19455.652173913048</v>
      </c>
      <c r="N802" s="311">
        <v>2271.739130434783</v>
      </c>
      <c r="O802" s="311">
        <v>1590.2173913043482</v>
      </c>
      <c r="P802" s="68">
        <f t="shared" ref="P802:P806" si="166">SUM(K802:O802)</f>
        <v>29532.608695652179</v>
      </c>
      <c r="Q802" s="68">
        <f>D802*P802</f>
        <v>98278.6152173913</v>
      </c>
      <c r="R802" s="127">
        <f>F802*P802</f>
        <v>98278.6152173913</v>
      </c>
      <c r="S802" s="331"/>
    </row>
    <row r="803" spans="1:19">
      <c r="A803" s="26"/>
      <c r="B803" s="25" t="s">
        <v>1557</v>
      </c>
      <c r="C803" s="26" t="s">
        <v>117</v>
      </c>
      <c r="D803" s="351">
        <v>60.723599999999998</v>
      </c>
      <c r="E803" s="26"/>
      <c r="F803" s="351">
        <v>60.723599999999998</v>
      </c>
      <c r="G803" s="351" t="s">
        <v>3205</v>
      </c>
      <c r="H803" s="351"/>
      <c r="I803" s="351" t="s">
        <v>3179</v>
      </c>
      <c r="J803" s="560" t="s">
        <v>2328</v>
      </c>
      <c r="K803" s="311">
        <v>8249</v>
      </c>
      <c r="L803" s="311">
        <v>0</v>
      </c>
      <c r="M803" s="311">
        <v>20340.000000000004</v>
      </c>
      <c r="N803" s="311">
        <v>2530</v>
      </c>
      <c r="O803" s="311">
        <v>1771.0000000000002</v>
      </c>
      <c r="P803" s="68">
        <f t="shared" si="166"/>
        <v>32890.000000000007</v>
      </c>
      <c r="Q803" s="68">
        <f>D803*P803</f>
        <v>1997199.2040000004</v>
      </c>
      <c r="R803" s="127">
        <f>F803*P803</f>
        <v>1997199.2040000004</v>
      </c>
      <c r="S803" s="26"/>
    </row>
    <row r="804" spans="1:19">
      <c r="A804" s="26"/>
      <c r="B804" s="25" t="s">
        <v>1662</v>
      </c>
      <c r="C804" s="26" t="s">
        <v>117</v>
      </c>
      <c r="D804" s="351">
        <v>152.30879999999996</v>
      </c>
      <c r="E804" s="26"/>
      <c r="F804" s="351">
        <v>152.30879999999996</v>
      </c>
      <c r="G804" s="351" t="s">
        <v>3324</v>
      </c>
      <c r="H804" s="351"/>
      <c r="I804" s="351" t="s">
        <v>3179</v>
      </c>
      <c r="J804" s="560" t="s">
        <v>2328</v>
      </c>
      <c r="K804" s="311">
        <v>9944.0000000000018</v>
      </c>
      <c r="L804" s="311">
        <v>0</v>
      </c>
      <c r="M804" s="311">
        <v>21449.454545454544</v>
      </c>
      <c r="N804" s="311">
        <v>2778.181818181818</v>
      </c>
      <c r="O804" s="311">
        <v>1944.7272727272727</v>
      </c>
      <c r="P804" s="68">
        <f t="shared" si="166"/>
        <v>36116.363636363632</v>
      </c>
      <c r="Q804" s="68">
        <f>D804*P804</f>
        <v>5500840.0058181798</v>
      </c>
      <c r="R804" s="127">
        <f>F804*P804</f>
        <v>5500840.0058181798</v>
      </c>
      <c r="S804" s="26"/>
    </row>
    <row r="805" spans="1:19">
      <c r="A805" s="26"/>
      <c r="B805" s="25" t="s">
        <v>1605</v>
      </c>
      <c r="C805" s="26" t="s">
        <v>117</v>
      </c>
      <c r="D805" s="351">
        <v>165.00399999999999</v>
      </c>
      <c r="E805" s="26"/>
      <c r="F805" s="351">
        <v>165.00399999999999</v>
      </c>
      <c r="G805" s="351" t="s">
        <v>3325</v>
      </c>
      <c r="H805" s="351"/>
      <c r="I805" s="351" t="s">
        <v>3179</v>
      </c>
      <c r="J805" s="560" t="s">
        <v>2328</v>
      </c>
      <c r="K805" s="311">
        <v>12769.000000000002</v>
      </c>
      <c r="L805" s="311">
        <v>0</v>
      </c>
      <c r="M805" s="311">
        <v>22558.909090909088</v>
      </c>
      <c r="N805" s="311">
        <v>3126.363636363636</v>
      </c>
      <c r="O805" s="311">
        <v>2188.4545454545455</v>
      </c>
      <c r="P805" s="68">
        <f t="shared" si="166"/>
        <v>40642.727272727265</v>
      </c>
      <c r="Q805" s="68">
        <f>D805*P805</f>
        <v>6706212.5709090894</v>
      </c>
      <c r="R805" s="127">
        <f>F805*P805</f>
        <v>6706212.5709090894</v>
      </c>
      <c r="S805" s="26"/>
    </row>
    <row r="806" spans="1:19">
      <c r="A806" s="26"/>
      <c r="B806" s="25" t="s">
        <v>1606</v>
      </c>
      <c r="C806" s="26" t="s">
        <v>117</v>
      </c>
      <c r="D806" s="351">
        <v>4.3315999999999999</v>
      </c>
      <c r="E806" s="26"/>
      <c r="F806" s="351">
        <v>4.3315999999999999</v>
      </c>
      <c r="G806" s="351" t="s">
        <v>3326</v>
      </c>
      <c r="H806" s="351"/>
      <c r="I806" s="351" t="s">
        <v>3179</v>
      </c>
      <c r="J806" s="560" t="s">
        <v>2328</v>
      </c>
      <c r="K806" s="311">
        <v>17628</v>
      </c>
      <c r="L806" s="311">
        <v>0</v>
      </c>
      <c r="M806" s="311">
        <v>23545.090909090912</v>
      </c>
      <c r="N806" s="311">
        <v>3643.6363636363635</v>
      </c>
      <c r="O806" s="311">
        <v>2550.5454545454545</v>
      </c>
      <c r="P806" s="68">
        <f t="shared" si="166"/>
        <v>47367.272727272728</v>
      </c>
      <c r="Q806" s="68">
        <f>D806*P806</f>
        <v>205176.07854545454</v>
      </c>
      <c r="R806" s="127">
        <f>F806*P806</f>
        <v>205176.07854545454</v>
      </c>
      <c r="S806" s="26"/>
    </row>
    <row r="807" spans="1:19">
      <c r="A807" s="24">
        <v>1.6</v>
      </c>
      <c r="B807" s="72" t="s">
        <v>1376</v>
      </c>
      <c r="C807" s="24"/>
      <c r="D807" s="351"/>
      <c r="E807" s="24"/>
      <c r="F807" s="351"/>
      <c r="G807" s="26"/>
      <c r="H807" s="26"/>
      <c r="I807" s="26"/>
      <c r="J807" s="559"/>
      <c r="K807" s="66"/>
      <c r="L807" s="66"/>
      <c r="M807" s="66"/>
      <c r="N807" s="66"/>
      <c r="O807" s="66"/>
      <c r="P807" s="66"/>
      <c r="Q807" s="66"/>
      <c r="R807" s="66"/>
      <c r="S807" s="26"/>
    </row>
    <row r="808" spans="1:19">
      <c r="A808" s="26"/>
      <c r="B808" s="25" t="s">
        <v>1558</v>
      </c>
      <c r="C808" s="26" t="s">
        <v>1350</v>
      </c>
      <c r="D808" s="351">
        <v>2</v>
      </c>
      <c r="E808" s="26"/>
      <c r="F808" s="351">
        <v>2</v>
      </c>
      <c r="G808" s="351" t="s">
        <v>3162</v>
      </c>
      <c r="H808" s="351"/>
      <c r="I808" s="351" t="s">
        <v>2596</v>
      </c>
      <c r="J808" s="560" t="s">
        <v>2328</v>
      </c>
      <c r="K808" s="311">
        <v>109700.27044549999</v>
      </c>
      <c r="L808" s="311">
        <v>0</v>
      </c>
      <c r="M808" s="311">
        <v>28024.000000000004</v>
      </c>
      <c r="N808" s="311">
        <v>12544.244994999999</v>
      </c>
      <c r="O808" s="311">
        <v>8780.9714965000003</v>
      </c>
      <c r="P808" s="68">
        <f t="shared" ref="P808:P814" si="167">SUM(K808:O808)</f>
        <v>159049.48693699998</v>
      </c>
      <c r="Q808" s="68">
        <f t="shared" ref="Q808:Q814" si="168">D808*P808</f>
        <v>318098.97387399996</v>
      </c>
      <c r="R808" s="127">
        <f t="shared" ref="R808:R814" si="169">F808*P808</f>
        <v>318098.97387399996</v>
      </c>
      <c r="S808" s="26"/>
    </row>
    <row r="809" spans="1:19">
      <c r="A809" s="26"/>
      <c r="B809" s="25" t="s">
        <v>1557</v>
      </c>
      <c r="C809" s="26" t="s">
        <v>1350</v>
      </c>
      <c r="D809" s="351">
        <v>42</v>
      </c>
      <c r="E809" s="26"/>
      <c r="F809" s="351">
        <v>42</v>
      </c>
      <c r="G809" s="351" t="s">
        <v>3162</v>
      </c>
      <c r="H809" s="351"/>
      <c r="I809" s="351" t="s">
        <v>2596</v>
      </c>
      <c r="J809" s="560" t="s">
        <v>2328</v>
      </c>
      <c r="K809" s="311">
        <v>152415.41999950001</v>
      </c>
      <c r="L809" s="311">
        <v>0</v>
      </c>
      <c r="M809" s="311">
        <v>28024.000000000004</v>
      </c>
      <c r="N809" s="311">
        <v>16463.066054999999</v>
      </c>
      <c r="O809" s="311">
        <v>11524.146238500001</v>
      </c>
      <c r="P809" s="68">
        <f t="shared" si="167"/>
        <v>208426.632293</v>
      </c>
      <c r="Q809" s="68">
        <f t="shared" si="168"/>
        <v>8753918.5563060008</v>
      </c>
      <c r="R809" s="127">
        <f t="shared" si="169"/>
        <v>8753918.5563060008</v>
      </c>
      <c r="S809" s="26"/>
    </row>
    <row r="810" spans="1:19">
      <c r="A810" s="26"/>
      <c r="B810" s="25" t="s">
        <v>1662</v>
      </c>
      <c r="C810" s="26" t="s">
        <v>1350</v>
      </c>
      <c r="D810" s="351">
        <v>104</v>
      </c>
      <c r="E810" s="26"/>
      <c r="F810" s="351">
        <v>104</v>
      </c>
      <c r="G810" s="351" t="s">
        <v>3162</v>
      </c>
      <c r="H810" s="351"/>
      <c r="I810" s="351" t="s">
        <v>2596</v>
      </c>
      <c r="J810" s="560" t="s">
        <v>2328</v>
      </c>
      <c r="K810" s="311">
        <v>208721.75350250001</v>
      </c>
      <c r="L810" s="311">
        <v>0</v>
      </c>
      <c r="M810" s="311">
        <v>28024.000000000004</v>
      </c>
      <c r="N810" s="311">
        <v>21628.784725000001</v>
      </c>
      <c r="O810" s="311">
        <v>15140.149307500002</v>
      </c>
      <c r="P810" s="68">
        <f t="shared" si="167"/>
        <v>273514.68753500003</v>
      </c>
      <c r="Q810" s="68">
        <f t="shared" si="168"/>
        <v>28445527.503640004</v>
      </c>
      <c r="R810" s="127">
        <f t="shared" si="169"/>
        <v>28445527.503640004</v>
      </c>
      <c r="S810" s="26"/>
    </row>
    <row r="811" spans="1:19">
      <c r="A811" s="26"/>
      <c r="B811" s="25" t="s">
        <v>1605</v>
      </c>
      <c r="C811" s="26" t="s">
        <v>1350</v>
      </c>
      <c r="D811" s="351">
        <v>76</v>
      </c>
      <c r="E811" s="26"/>
      <c r="F811" s="351">
        <v>76</v>
      </c>
      <c r="G811" s="351" t="s">
        <v>3162</v>
      </c>
      <c r="H811" s="351"/>
      <c r="I811" s="351" t="s">
        <v>2596</v>
      </c>
      <c r="J811" s="560" t="s">
        <v>2328</v>
      </c>
      <c r="K811" s="311">
        <v>280560.86866150005</v>
      </c>
      <c r="L811" s="311">
        <v>0</v>
      </c>
      <c r="M811" s="311">
        <v>28024.000000000004</v>
      </c>
      <c r="N811" s="311">
        <v>28219.529235000002</v>
      </c>
      <c r="O811" s="311">
        <v>19753.670464500003</v>
      </c>
      <c r="P811" s="68">
        <f t="shared" si="167"/>
        <v>356558.0683610001</v>
      </c>
      <c r="Q811" s="68">
        <f t="shared" si="168"/>
        <v>27098413.195436008</v>
      </c>
      <c r="R811" s="127">
        <f t="shared" si="169"/>
        <v>27098413.195436008</v>
      </c>
      <c r="S811" s="26"/>
    </row>
    <row r="812" spans="1:19">
      <c r="A812" s="26"/>
      <c r="B812" s="25" t="s">
        <v>1576</v>
      </c>
      <c r="C812" s="26" t="s">
        <v>1350</v>
      </c>
      <c r="D812" s="351">
        <v>34</v>
      </c>
      <c r="E812" s="26"/>
      <c r="F812" s="351">
        <v>34</v>
      </c>
      <c r="G812" s="351" t="s">
        <v>3162</v>
      </c>
      <c r="H812" s="351"/>
      <c r="I812" s="351" t="s">
        <v>2596</v>
      </c>
      <c r="J812" s="560" t="s">
        <v>2328</v>
      </c>
      <c r="K812" s="311">
        <v>215517.345477</v>
      </c>
      <c r="L812" s="311">
        <v>0</v>
      </c>
      <c r="M812" s="311">
        <v>42375.000000000007</v>
      </c>
      <c r="N812" s="311">
        <v>23522.233529999998</v>
      </c>
      <c r="O812" s="311">
        <v>16465.563471000001</v>
      </c>
      <c r="P812" s="68">
        <f t="shared" si="167"/>
        <v>297880.14247799997</v>
      </c>
      <c r="Q812" s="68">
        <f t="shared" si="168"/>
        <v>10127924.844252</v>
      </c>
      <c r="R812" s="127">
        <f t="shared" si="169"/>
        <v>10127924.844252</v>
      </c>
      <c r="S812" s="26"/>
    </row>
    <row r="813" spans="1:19" s="84" customFormat="1">
      <c r="A813" s="30"/>
      <c r="B813" s="29" t="s">
        <v>1577</v>
      </c>
      <c r="C813" s="30" t="s">
        <v>1350</v>
      </c>
      <c r="D813" s="352">
        <v>1</v>
      </c>
      <c r="E813" s="30"/>
      <c r="F813" s="352">
        <v>1</v>
      </c>
      <c r="G813" s="351" t="s">
        <v>3162</v>
      </c>
      <c r="H813" s="351"/>
      <c r="I813" s="351" t="s">
        <v>2596</v>
      </c>
      <c r="J813" s="560" t="s">
        <v>2328</v>
      </c>
      <c r="K813" s="311">
        <v>236874.41820000001</v>
      </c>
      <c r="L813" s="311">
        <v>0</v>
      </c>
      <c r="M813" s="311">
        <v>42375.000000000007</v>
      </c>
      <c r="N813" s="311">
        <v>25481.598000000002</v>
      </c>
      <c r="O813" s="311">
        <v>17837.118600000002</v>
      </c>
      <c r="P813" s="68">
        <f t="shared" si="167"/>
        <v>322568.1348</v>
      </c>
      <c r="Q813" s="68">
        <f t="shared" si="168"/>
        <v>322568.1348</v>
      </c>
      <c r="R813" s="127">
        <f t="shared" si="169"/>
        <v>322568.1348</v>
      </c>
      <c r="S813" s="37"/>
    </row>
    <row r="814" spans="1:19" s="84" customFormat="1">
      <c r="A814" s="30"/>
      <c r="B814" s="29" t="s">
        <v>1606</v>
      </c>
      <c r="C814" s="30" t="s">
        <v>1350</v>
      </c>
      <c r="D814" s="352">
        <v>2</v>
      </c>
      <c r="E814" s="30"/>
      <c r="F814" s="352">
        <v>2</v>
      </c>
      <c r="G814" s="351" t="s">
        <v>3162</v>
      </c>
      <c r="H814" s="351"/>
      <c r="I814" s="351" t="s">
        <v>2596</v>
      </c>
      <c r="J814" s="560" t="s">
        <v>2328</v>
      </c>
      <c r="K814" s="311">
        <v>365990.95680000004</v>
      </c>
      <c r="L814" s="311">
        <v>0</v>
      </c>
      <c r="M814" s="311">
        <v>42375.000000000007</v>
      </c>
      <c r="N814" s="311">
        <v>37327.152000000002</v>
      </c>
      <c r="O814" s="311">
        <v>26129.006400000002</v>
      </c>
      <c r="P814" s="68">
        <f t="shared" si="167"/>
        <v>471822.11520000006</v>
      </c>
      <c r="Q814" s="68">
        <f t="shared" si="168"/>
        <v>943644.23040000012</v>
      </c>
      <c r="R814" s="127">
        <f t="shared" si="169"/>
        <v>943644.23040000012</v>
      </c>
      <c r="S814" s="38"/>
    </row>
    <row r="815" spans="1:19" ht="28.5">
      <c r="A815" s="24">
        <v>1.7</v>
      </c>
      <c r="B815" s="72" t="s">
        <v>1479</v>
      </c>
      <c r="C815" s="24"/>
      <c r="D815" s="351"/>
      <c r="E815" s="24"/>
      <c r="F815" s="351"/>
      <c r="G815" s="26"/>
      <c r="H815" s="26"/>
      <c r="I815" s="26"/>
      <c r="J815" s="559"/>
      <c r="K815" s="66"/>
      <c r="L815" s="66"/>
      <c r="M815" s="66"/>
      <c r="N815" s="66"/>
      <c r="O815" s="66"/>
      <c r="P815" s="66"/>
      <c r="Q815" s="66"/>
      <c r="R815" s="66"/>
      <c r="S815" s="26"/>
    </row>
    <row r="816" spans="1:19">
      <c r="A816" s="24"/>
      <c r="B816" s="25" t="s">
        <v>1569</v>
      </c>
      <c r="C816" s="26" t="s">
        <v>1350</v>
      </c>
      <c r="D816" s="351">
        <v>4</v>
      </c>
      <c r="E816" s="24"/>
      <c r="F816" s="351">
        <v>4</v>
      </c>
      <c r="G816" s="351" t="s">
        <v>3163</v>
      </c>
      <c r="H816" s="351"/>
      <c r="I816" s="351" t="s">
        <v>2596</v>
      </c>
      <c r="J816" s="560" t="s">
        <v>2328</v>
      </c>
      <c r="K816" s="311">
        <v>242372.40000000002</v>
      </c>
      <c r="L816" s="311">
        <v>0</v>
      </c>
      <c r="M816" s="311">
        <v>72207.000000000015</v>
      </c>
      <c r="N816" s="311">
        <v>28626</v>
      </c>
      <c r="O816" s="311">
        <v>20038.2</v>
      </c>
      <c r="P816" s="68">
        <f t="shared" ref="P816:P818" si="170">SUM(K816:O816)</f>
        <v>363243.60000000003</v>
      </c>
      <c r="Q816" s="68">
        <f>D816*P816</f>
        <v>1452974.4000000001</v>
      </c>
      <c r="R816" s="127">
        <f>F816*P816</f>
        <v>1452974.4000000001</v>
      </c>
      <c r="S816" s="331"/>
    </row>
    <row r="817" spans="1:19">
      <c r="A817" s="24"/>
      <c r="B817" s="25" t="s">
        <v>1663</v>
      </c>
      <c r="C817" s="26" t="s">
        <v>1350</v>
      </c>
      <c r="D817" s="351">
        <v>3</v>
      </c>
      <c r="E817" s="24"/>
      <c r="F817" s="351">
        <v>3</v>
      </c>
      <c r="G817" s="351" t="s">
        <v>3163</v>
      </c>
      <c r="H817" s="351"/>
      <c r="I817" s="351" t="s">
        <v>2596</v>
      </c>
      <c r="J817" s="560" t="s">
        <v>2328</v>
      </c>
      <c r="K817" s="311">
        <v>375788.4</v>
      </c>
      <c r="L817" s="311">
        <v>0</v>
      </c>
      <c r="M817" s="311">
        <v>95824.000000000015</v>
      </c>
      <c r="N817" s="311">
        <v>42956</v>
      </c>
      <c r="O817" s="311">
        <v>30069.200000000004</v>
      </c>
      <c r="P817" s="68">
        <f t="shared" si="170"/>
        <v>544637.6</v>
      </c>
      <c r="Q817" s="68">
        <f>D817*P817</f>
        <v>1633912.7999999998</v>
      </c>
      <c r="R817" s="127">
        <f>F817*P817</f>
        <v>1633912.7999999998</v>
      </c>
      <c r="S817" s="26"/>
    </row>
    <row r="818" spans="1:19">
      <c r="A818" s="24"/>
      <c r="B818" s="25" t="s">
        <v>1664</v>
      </c>
      <c r="C818" s="26" t="s">
        <v>1350</v>
      </c>
      <c r="D818" s="351">
        <v>1</v>
      </c>
      <c r="E818" s="24"/>
      <c r="F818" s="351">
        <v>1</v>
      </c>
      <c r="G818" s="351" t="s">
        <v>3163</v>
      </c>
      <c r="H818" s="351"/>
      <c r="I818" s="351" t="s">
        <v>2596</v>
      </c>
      <c r="J818" s="560" t="s">
        <v>2328</v>
      </c>
      <c r="K818" s="311">
        <v>600372</v>
      </c>
      <c r="L818" s="311">
        <v>0</v>
      </c>
      <c r="M818" s="311">
        <v>111870.00000000001</v>
      </c>
      <c r="N818" s="311">
        <v>64980</v>
      </c>
      <c r="O818" s="311">
        <v>45486.000000000007</v>
      </c>
      <c r="P818" s="68">
        <f t="shared" si="170"/>
        <v>822708</v>
      </c>
      <c r="Q818" s="68">
        <f>D818*P818</f>
        <v>822708</v>
      </c>
      <c r="R818" s="127">
        <f>F818*P818</f>
        <v>822708</v>
      </c>
      <c r="S818" s="26"/>
    </row>
    <row r="819" spans="1:19">
      <c r="A819" s="24"/>
      <c r="B819" s="25" t="s">
        <v>1665</v>
      </c>
      <c r="C819" s="26" t="s">
        <v>1350</v>
      </c>
      <c r="D819" s="351">
        <v>0</v>
      </c>
      <c r="E819" s="24"/>
      <c r="F819" s="351">
        <v>0</v>
      </c>
      <c r="G819" s="351"/>
      <c r="H819" s="351"/>
      <c r="I819" s="351"/>
      <c r="J819" s="560"/>
      <c r="K819" s="66"/>
      <c r="L819" s="66"/>
      <c r="M819" s="66"/>
      <c r="N819" s="66"/>
      <c r="O819" s="66"/>
      <c r="P819" s="66"/>
      <c r="Q819" s="66"/>
      <c r="R819" s="66"/>
      <c r="S819" s="26"/>
    </row>
    <row r="820" spans="1:19">
      <c r="A820" s="24"/>
      <c r="B820" s="25" t="s">
        <v>1666</v>
      </c>
      <c r="C820" s="26" t="s">
        <v>1350</v>
      </c>
      <c r="D820" s="351">
        <v>1</v>
      </c>
      <c r="E820" s="24"/>
      <c r="F820" s="351">
        <v>1</v>
      </c>
      <c r="G820" s="351" t="s">
        <v>3163</v>
      </c>
      <c r="H820" s="351"/>
      <c r="I820" s="351" t="s">
        <v>2596</v>
      </c>
      <c r="J820" s="560" t="s">
        <v>2328</v>
      </c>
      <c r="K820" s="311">
        <v>750465</v>
      </c>
      <c r="L820" s="311">
        <v>0</v>
      </c>
      <c r="M820" s="311">
        <v>127577.00000000001</v>
      </c>
      <c r="N820" s="311">
        <v>80140</v>
      </c>
      <c r="O820" s="311">
        <v>56098.000000000007</v>
      </c>
      <c r="P820" s="68">
        <f t="shared" ref="P820:P834" si="171">SUM(K820:O820)</f>
        <v>1014280</v>
      </c>
      <c r="Q820" s="68">
        <f t="shared" ref="Q820:Q834" si="172">D820*P820</f>
        <v>1014280</v>
      </c>
      <c r="R820" s="127">
        <f t="shared" ref="R820:R834" si="173">F820*P820</f>
        <v>1014280</v>
      </c>
      <c r="S820" s="26"/>
    </row>
    <row r="821" spans="1:19">
      <c r="A821" s="24"/>
      <c r="B821" s="25" t="s">
        <v>1667</v>
      </c>
      <c r="C821" s="26" t="s">
        <v>1350</v>
      </c>
      <c r="D821" s="351">
        <v>1</v>
      </c>
      <c r="E821" s="24"/>
      <c r="F821" s="351">
        <v>1</v>
      </c>
      <c r="G821" s="351" t="s">
        <v>3163</v>
      </c>
      <c r="H821" s="351"/>
      <c r="I821" s="351" t="s">
        <v>2596</v>
      </c>
      <c r="J821" s="560" t="s">
        <v>2328</v>
      </c>
      <c r="K821" s="311">
        <v>630390.60000000009</v>
      </c>
      <c r="L821" s="311">
        <v>0</v>
      </c>
      <c r="M821" s="311">
        <v>127577.00000000001</v>
      </c>
      <c r="N821" s="311">
        <v>69124</v>
      </c>
      <c r="O821" s="311">
        <v>48386.8</v>
      </c>
      <c r="P821" s="68">
        <f t="shared" si="171"/>
        <v>875478.40000000014</v>
      </c>
      <c r="Q821" s="68">
        <f t="shared" si="172"/>
        <v>875478.40000000014</v>
      </c>
      <c r="R821" s="127">
        <f t="shared" si="173"/>
        <v>875478.40000000014</v>
      </c>
      <c r="S821" s="26"/>
    </row>
    <row r="822" spans="1:19">
      <c r="A822" s="24"/>
      <c r="B822" s="25" t="s">
        <v>1668</v>
      </c>
      <c r="C822" s="26" t="s">
        <v>1350</v>
      </c>
      <c r="D822" s="351">
        <v>4</v>
      </c>
      <c r="E822" s="24"/>
      <c r="F822" s="351">
        <v>4</v>
      </c>
      <c r="G822" s="351" t="s">
        <v>3163</v>
      </c>
      <c r="H822" s="351"/>
      <c r="I822" s="351" t="s">
        <v>2596</v>
      </c>
      <c r="J822" s="560" t="s">
        <v>2328</v>
      </c>
      <c r="K822" s="311">
        <v>720446.4</v>
      </c>
      <c r="L822" s="311">
        <v>0</v>
      </c>
      <c r="M822" s="311">
        <v>143736.00000000003</v>
      </c>
      <c r="N822" s="311">
        <v>78816</v>
      </c>
      <c r="O822" s="311">
        <v>55171.200000000004</v>
      </c>
      <c r="P822" s="68">
        <f t="shared" si="171"/>
        <v>998169.59999999998</v>
      </c>
      <c r="Q822" s="68">
        <f t="shared" si="172"/>
        <v>3992678.3999999999</v>
      </c>
      <c r="R822" s="127">
        <f t="shared" si="173"/>
        <v>3992678.3999999999</v>
      </c>
      <c r="S822" s="26"/>
    </row>
    <row r="823" spans="1:19">
      <c r="A823" s="24"/>
      <c r="B823" s="25" t="s">
        <v>1669</v>
      </c>
      <c r="C823" s="26" t="s">
        <v>1350</v>
      </c>
      <c r="D823" s="351">
        <v>2</v>
      </c>
      <c r="E823" s="24"/>
      <c r="F823" s="351">
        <v>2</v>
      </c>
      <c r="G823" s="351" t="s">
        <v>3163</v>
      </c>
      <c r="H823" s="351"/>
      <c r="I823" s="351" t="s">
        <v>2596</v>
      </c>
      <c r="J823" s="560" t="s">
        <v>2328</v>
      </c>
      <c r="K823" s="311">
        <v>1126253.4000000001</v>
      </c>
      <c r="L823" s="311">
        <v>0</v>
      </c>
      <c r="M823" s="311">
        <v>175715.00000000003</v>
      </c>
      <c r="N823" s="311">
        <v>118876</v>
      </c>
      <c r="O823" s="311">
        <v>83213.200000000012</v>
      </c>
      <c r="P823" s="68">
        <f t="shared" si="171"/>
        <v>1504057.6</v>
      </c>
      <c r="Q823" s="68">
        <f t="shared" si="172"/>
        <v>3008115.2</v>
      </c>
      <c r="R823" s="127">
        <f t="shared" si="173"/>
        <v>3008115.2</v>
      </c>
      <c r="S823" s="26"/>
    </row>
    <row r="824" spans="1:19">
      <c r="A824" s="24"/>
      <c r="B824" s="25" t="s">
        <v>1670</v>
      </c>
      <c r="C824" s="26" t="s">
        <v>1350</v>
      </c>
      <c r="D824" s="351">
        <v>1</v>
      </c>
      <c r="E824" s="24"/>
      <c r="F824" s="351">
        <v>1</v>
      </c>
      <c r="G824" s="351" t="s">
        <v>3163</v>
      </c>
      <c r="H824" s="351"/>
      <c r="I824" s="351" t="s">
        <v>2596</v>
      </c>
      <c r="J824" s="560" t="s">
        <v>2328</v>
      </c>
      <c r="K824" s="311">
        <v>1891171.8</v>
      </c>
      <c r="L824" s="311">
        <v>0</v>
      </c>
      <c r="M824" s="311">
        <v>319112.00000000006</v>
      </c>
      <c r="N824" s="311">
        <v>201742</v>
      </c>
      <c r="O824" s="311">
        <v>141219.40000000002</v>
      </c>
      <c r="P824" s="68">
        <f t="shared" si="171"/>
        <v>2553245.2000000002</v>
      </c>
      <c r="Q824" s="68">
        <f t="shared" si="172"/>
        <v>2553245.2000000002</v>
      </c>
      <c r="R824" s="127">
        <f t="shared" si="173"/>
        <v>2553245.2000000002</v>
      </c>
      <c r="S824" s="26"/>
    </row>
    <row r="825" spans="1:19">
      <c r="A825" s="24"/>
      <c r="B825" s="25" t="s">
        <v>1671</v>
      </c>
      <c r="C825" s="26" t="s">
        <v>1350</v>
      </c>
      <c r="D825" s="351">
        <v>1</v>
      </c>
      <c r="E825" s="24"/>
      <c r="F825" s="351">
        <v>1</v>
      </c>
      <c r="G825" s="351" t="s">
        <v>3163</v>
      </c>
      <c r="H825" s="351"/>
      <c r="I825" s="351" t="s">
        <v>2596</v>
      </c>
      <c r="J825" s="560" t="s">
        <v>2328</v>
      </c>
      <c r="K825" s="311">
        <v>946141.8</v>
      </c>
      <c r="L825" s="311">
        <v>0</v>
      </c>
      <c r="M825" s="311">
        <v>175715.00000000003</v>
      </c>
      <c r="N825" s="311">
        <v>102352</v>
      </c>
      <c r="O825" s="311">
        <v>71646.400000000009</v>
      </c>
      <c r="P825" s="68">
        <f t="shared" si="171"/>
        <v>1295855.2</v>
      </c>
      <c r="Q825" s="68">
        <f t="shared" si="172"/>
        <v>1295855.2</v>
      </c>
      <c r="R825" s="127">
        <f t="shared" si="173"/>
        <v>1295855.2</v>
      </c>
      <c r="S825" s="331"/>
    </row>
    <row r="826" spans="1:19">
      <c r="A826" s="24"/>
      <c r="B826" s="25" t="s">
        <v>1672</v>
      </c>
      <c r="C826" s="26" t="s">
        <v>1350</v>
      </c>
      <c r="D826" s="351">
        <v>4</v>
      </c>
      <c r="E826" s="24"/>
      <c r="F826" s="351">
        <v>4</v>
      </c>
      <c r="G826" s="351" t="s">
        <v>3163</v>
      </c>
      <c r="H826" s="351"/>
      <c r="I826" s="351" t="s">
        <v>2596</v>
      </c>
      <c r="J826" s="560" t="s">
        <v>2328</v>
      </c>
      <c r="K826" s="311">
        <v>1050651</v>
      </c>
      <c r="L826" s="311">
        <v>0</v>
      </c>
      <c r="M826" s="311">
        <v>223966.00000000003</v>
      </c>
      <c r="N826" s="311">
        <v>116210</v>
      </c>
      <c r="O826" s="311">
        <v>81347.000000000015</v>
      </c>
      <c r="P826" s="68">
        <f t="shared" si="171"/>
        <v>1472174</v>
      </c>
      <c r="Q826" s="68">
        <f t="shared" si="172"/>
        <v>5888696</v>
      </c>
      <c r="R826" s="127">
        <f t="shared" si="173"/>
        <v>5888696</v>
      </c>
      <c r="S826" s="26"/>
    </row>
    <row r="827" spans="1:19">
      <c r="A827" s="24"/>
      <c r="B827" s="25" t="s">
        <v>1673</v>
      </c>
      <c r="C827" s="26" t="s">
        <v>1350</v>
      </c>
      <c r="D827" s="351">
        <v>2</v>
      </c>
      <c r="E827" s="24"/>
      <c r="F827" s="351">
        <v>2</v>
      </c>
      <c r="G827" s="351" t="s">
        <v>3163</v>
      </c>
      <c r="H827" s="351"/>
      <c r="I827" s="351" t="s">
        <v>2596</v>
      </c>
      <c r="J827" s="560" t="s">
        <v>2328</v>
      </c>
      <c r="K827" s="311">
        <v>1500930</v>
      </c>
      <c r="L827" s="311">
        <v>0</v>
      </c>
      <c r="M827" s="311">
        <v>223966.00000000003</v>
      </c>
      <c r="N827" s="311">
        <v>157520</v>
      </c>
      <c r="O827" s="311">
        <v>110264.00000000001</v>
      </c>
      <c r="P827" s="68">
        <f t="shared" si="171"/>
        <v>1992680</v>
      </c>
      <c r="Q827" s="68">
        <f t="shared" si="172"/>
        <v>3985360</v>
      </c>
      <c r="R827" s="127">
        <f t="shared" si="173"/>
        <v>3985360</v>
      </c>
      <c r="S827" s="26"/>
    </row>
    <row r="828" spans="1:19">
      <c r="A828" s="24"/>
      <c r="B828" s="25" t="s">
        <v>1674</v>
      </c>
      <c r="C828" s="26" t="s">
        <v>1350</v>
      </c>
      <c r="D828" s="351">
        <v>1</v>
      </c>
      <c r="E828" s="24"/>
      <c r="F828" s="351">
        <v>1</v>
      </c>
      <c r="G828" s="351" t="s">
        <v>3163</v>
      </c>
      <c r="H828" s="351"/>
      <c r="I828" s="351" t="s">
        <v>2596</v>
      </c>
      <c r="J828" s="560" t="s">
        <v>2328</v>
      </c>
      <c r="K828" s="311">
        <v>1576532.4000000001</v>
      </c>
      <c r="L828" s="311">
        <v>0</v>
      </c>
      <c r="M828" s="311">
        <v>311767.00000000006</v>
      </c>
      <c r="N828" s="311">
        <v>172226</v>
      </c>
      <c r="O828" s="311">
        <v>120558.20000000001</v>
      </c>
      <c r="P828" s="68">
        <f t="shared" si="171"/>
        <v>2181083.6</v>
      </c>
      <c r="Q828" s="68">
        <f t="shared" si="172"/>
        <v>2181083.6</v>
      </c>
      <c r="R828" s="127">
        <f t="shared" si="173"/>
        <v>2181083.6</v>
      </c>
      <c r="S828" s="26"/>
    </row>
    <row r="829" spans="1:19">
      <c r="A829" s="26"/>
      <c r="B829" s="25" t="s">
        <v>1675</v>
      </c>
      <c r="C829" s="26" t="s">
        <v>1350</v>
      </c>
      <c r="D829" s="351">
        <v>1</v>
      </c>
      <c r="E829" s="26"/>
      <c r="F829" s="351">
        <v>1</v>
      </c>
      <c r="G829" s="351" t="s">
        <v>3163</v>
      </c>
      <c r="H829" s="351"/>
      <c r="I829" s="351" t="s">
        <v>2596</v>
      </c>
      <c r="J829" s="560" t="s">
        <v>2328</v>
      </c>
      <c r="K829" s="311">
        <v>1733296.2000000002</v>
      </c>
      <c r="L829" s="311">
        <v>0</v>
      </c>
      <c r="M829" s="311">
        <v>319112.00000000006</v>
      </c>
      <c r="N829" s="311">
        <v>187258</v>
      </c>
      <c r="O829" s="311">
        <v>131080.6</v>
      </c>
      <c r="P829" s="68">
        <f t="shared" si="171"/>
        <v>2370746.8000000003</v>
      </c>
      <c r="Q829" s="68">
        <f t="shared" si="172"/>
        <v>2370746.8000000003</v>
      </c>
      <c r="R829" s="127">
        <f t="shared" si="173"/>
        <v>2370746.8000000003</v>
      </c>
      <c r="S829" s="26"/>
    </row>
    <row r="830" spans="1:19">
      <c r="A830" s="24"/>
      <c r="B830" s="25" t="s">
        <v>1670</v>
      </c>
      <c r="C830" s="26" t="s">
        <v>1350</v>
      </c>
      <c r="D830" s="351">
        <v>1</v>
      </c>
      <c r="E830" s="24"/>
      <c r="F830" s="351">
        <v>1</v>
      </c>
      <c r="G830" s="351" t="s">
        <v>3163</v>
      </c>
      <c r="H830" s="351"/>
      <c r="I830" s="351" t="s">
        <v>2596</v>
      </c>
      <c r="J830" s="560" t="s">
        <v>2328</v>
      </c>
      <c r="K830" s="311">
        <v>1891171.8</v>
      </c>
      <c r="L830" s="311">
        <v>0</v>
      </c>
      <c r="M830" s="311">
        <v>319112.00000000006</v>
      </c>
      <c r="N830" s="311">
        <v>201742</v>
      </c>
      <c r="O830" s="311">
        <v>141219.40000000002</v>
      </c>
      <c r="P830" s="68">
        <f t="shared" si="171"/>
        <v>2553245.2000000002</v>
      </c>
      <c r="Q830" s="68">
        <f t="shared" si="172"/>
        <v>2553245.2000000002</v>
      </c>
      <c r="R830" s="127">
        <f t="shared" si="173"/>
        <v>2553245.2000000002</v>
      </c>
      <c r="S830" s="26"/>
    </row>
    <row r="831" spans="1:19">
      <c r="A831" s="24"/>
      <c r="B831" s="25" t="s">
        <v>1676</v>
      </c>
      <c r="C831" s="26" t="s">
        <v>1350</v>
      </c>
      <c r="D831" s="351">
        <v>2</v>
      </c>
      <c r="E831" s="24"/>
      <c r="F831" s="351">
        <v>2</v>
      </c>
      <c r="G831" s="351" t="s">
        <v>3163</v>
      </c>
      <c r="H831" s="351"/>
      <c r="I831" s="351" t="s">
        <v>2596</v>
      </c>
      <c r="J831" s="560" t="s">
        <v>2328</v>
      </c>
      <c r="K831" s="311">
        <v>3782343.6</v>
      </c>
      <c r="L831" s="311">
        <v>0</v>
      </c>
      <c r="M831" s="311">
        <v>873451.39166666684</v>
      </c>
      <c r="N831" s="311">
        <v>424300.58333333331</v>
      </c>
      <c r="O831" s="311">
        <v>297010.40833333333</v>
      </c>
      <c r="P831" s="68">
        <f t="shared" si="171"/>
        <v>5377105.9833333334</v>
      </c>
      <c r="Q831" s="68">
        <f t="shared" si="172"/>
        <v>10754211.966666667</v>
      </c>
      <c r="R831" s="127">
        <f t="shared" si="173"/>
        <v>10754211.966666667</v>
      </c>
      <c r="S831" s="26"/>
    </row>
    <row r="832" spans="1:19">
      <c r="A832" s="24"/>
      <c r="B832" s="25" t="s">
        <v>1677</v>
      </c>
      <c r="C832" s="26" t="s">
        <v>1350</v>
      </c>
      <c r="D832" s="351">
        <v>1</v>
      </c>
      <c r="E832" s="24"/>
      <c r="F832" s="351">
        <v>1</v>
      </c>
      <c r="G832" s="351" t="s">
        <v>3163</v>
      </c>
      <c r="H832" s="351"/>
      <c r="I832" s="351" t="s">
        <v>2596</v>
      </c>
      <c r="J832" s="560" t="s">
        <v>2328</v>
      </c>
      <c r="K832" s="311">
        <v>3001860</v>
      </c>
      <c r="L832" s="311">
        <v>0</v>
      </c>
      <c r="M832" s="311">
        <v>527904.92500000005</v>
      </c>
      <c r="N832" s="311">
        <v>322117.25</v>
      </c>
      <c r="O832" s="311">
        <v>225482.07500000001</v>
      </c>
      <c r="P832" s="68">
        <f t="shared" si="171"/>
        <v>4077364.25</v>
      </c>
      <c r="Q832" s="68">
        <f t="shared" si="172"/>
        <v>4077364.25</v>
      </c>
      <c r="R832" s="127">
        <f t="shared" si="173"/>
        <v>4077364.25</v>
      </c>
      <c r="S832" s="26"/>
    </row>
    <row r="833" spans="1:19">
      <c r="A833" s="24"/>
      <c r="B833" s="25" t="s">
        <v>1678</v>
      </c>
      <c r="C833" s="26" t="s">
        <v>1350</v>
      </c>
      <c r="D833" s="351">
        <v>1</v>
      </c>
      <c r="E833" s="24"/>
      <c r="F833" s="351">
        <v>1</v>
      </c>
      <c r="G833" s="351" t="s">
        <v>3163</v>
      </c>
      <c r="H833" s="351"/>
      <c r="I833" s="351" t="s">
        <v>2596</v>
      </c>
      <c r="J833" s="560" t="s">
        <v>2328</v>
      </c>
      <c r="K833" s="311">
        <v>4728485.4000000004</v>
      </c>
      <c r="L833" s="311">
        <v>0</v>
      </c>
      <c r="M833" s="311">
        <v>697483.08333333349</v>
      </c>
      <c r="N833" s="311">
        <v>495530.16666666674</v>
      </c>
      <c r="O833" s="311">
        <v>346871.1166666667</v>
      </c>
      <c r="P833" s="68">
        <f t="shared" si="171"/>
        <v>6268369.7666666675</v>
      </c>
      <c r="Q833" s="68">
        <f t="shared" si="172"/>
        <v>6268369.7666666675</v>
      </c>
      <c r="R833" s="127">
        <f t="shared" si="173"/>
        <v>6268369.7666666675</v>
      </c>
      <c r="S833" s="26"/>
    </row>
    <row r="834" spans="1:19" s="84" customFormat="1">
      <c r="A834" s="30"/>
      <c r="B834" s="29" t="s">
        <v>1830</v>
      </c>
      <c r="C834" s="30" t="s">
        <v>1350</v>
      </c>
      <c r="D834" s="352">
        <v>1</v>
      </c>
      <c r="E834" s="30"/>
      <c r="F834" s="352">
        <v>1</v>
      </c>
      <c r="G834" s="351" t="s">
        <v>3163</v>
      </c>
      <c r="H834" s="351"/>
      <c r="I834" s="351" t="s">
        <v>2596</v>
      </c>
      <c r="J834" s="560" t="s">
        <v>2328</v>
      </c>
      <c r="K834" s="311">
        <v>225695.40000000002</v>
      </c>
      <c r="L834" s="311">
        <v>0</v>
      </c>
      <c r="M834" s="311">
        <v>65879</v>
      </c>
      <c r="N834" s="311">
        <v>26536</v>
      </c>
      <c r="O834" s="311">
        <v>18575.2</v>
      </c>
      <c r="P834" s="68">
        <f t="shared" si="171"/>
        <v>336685.60000000003</v>
      </c>
      <c r="Q834" s="68">
        <f t="shared" si="172"/>
        <v>336685.60000000003</v>
      </c>
      <c r="R834" s="127">
        <f t="shared" si="173"/>
        <v>336685.60000000003</v>
      </c>
      <c r="S834" s="15"/>
    </row>
    <row r="835" spans="1:19" s="84" customFormat="1">
      <c r="A835" s="28">
        <v>1.8</v>
      </c>
      <c r="B835" s="82" t="s">
        <v>2171</v>
      </c>
      <c r="C835" s="30"/>
      <c r="D835" s="352"/>
      <c r="E835" s="30"/>
      <c r="F835" s="352"/>
      <c r="G835" s="200"/>
      <c r="H835" s="200"/>
      <c r="I835" s="200"/>
      <c r="J835" s="563"/>
      <c r="K835" s="80"/>
      <c r="L835" s="80"/>
      <c r="M835" s="80"/>
      <c r="N835" s="80"/>
      <c r="O835" s="80"/>
      <c r="P835" s="80"/>
      <c r="Q835" s="80"/>
      <c r="R835" s="80"/>
      <c r="S835" s="200"/>
    </row>
    <row r="836" spans="1:19" s="84" customFormat="1">
      <c r="A836" s="30"/>
      <c r="B836" s="29" t="s">
        <v>1524</v>
      </c>
      <c r="C836" s="30" t="s">
        <v>1350</v>
      </c>
      <c r="D836" s="352">
        <v>1</v>
      </c>
      <c r="E836" s="30"/>
      <c r="F836" s="352">
        <v>1</v>
      </c>
      <c r="G836" s="351" t="s">
        <v>3310</v>
      </c>
      <c r="H836" s="351"/>
      <c r="I836" s="351" t="s">
        <v>2596</v>
      </c>
      <c r="J836" s="560" t="s">
        <v>2328</v>
      </c>
      <c r="K836" s="311">
        <v>129252.20000000001</v>
      </c>
      <c r="L836" s="311">
        <v>0</v>
      </c>
      <c r="M836" s="311">
        <v>68270.833333333343</v>
      </c>
      <c r="N836" s="311">
        <v>17899.666666666668</v>
      </c>
      <c r="O836" s="311">
        <v>12529.76666666667</v>
      </c>
      <c r="P836" s="68">
        <f t="shared" ref="P836:P852" si="174">SUM(K836:O836)</f>
        <v>227952.46666666667</v>
      </c>
      <c r="Q836" s="68">
        <f t="shared" ref="Q836:Q852" si="175">D836*P836</f>
        <v>227952.46666666667</v>
      </c>
      <c r="R836" s="127">
        <f t="shared" ref="R836:R852" si="176">F836*P836</f>
        <v>227952.46666666667</v>
      </c>
      <c r="S836" s="15"/>
    </row>
    <row r="837" spans="1:19" s="84" customFormat="1">
      <c r="A837" s="30"/>
      <c r="B837" s="29" t="s">
        <v>1525</v>
      </c>
      <c r="C837" s="30" t="s">
        <v>1350</v>
      </c>
      <c r="D837" s="352">
        <v>3</v>
      </c>
      <c r="E837" s="30"/>
      <c r="F837" s="352">
        <v>3</v>
      </c>
      <c r="G837" s="351" t="s">
        <v>3310</v>
      </c>
      <c r="H837" s="351"/>
      <c r="I837" s="351" t="s">
        <v>2596</v>
      </c>
      <c r="J837" s="560" t="s">
        <v>2328</v>
      </c>
      <c r="K837" s="311">
        <v>141002.40000000002</v>
      </c>
      <c r="L837" s="311">
        <v>0</v>
      </c>
      <c r="M837" s="311">
        <v>75097.916666666686</v>
      </c>
      <c r="N837" s="311">
        <v>19581.833333333336</v>
      </c>
      <c r="O837" s="311">
        <v>13707.283333333335</v>
      </c>
      <c r="P837" s="68">
        <f t="shared" si="174"/>
        <v>249389.43333333338</v>
      </c>
      <c r="Q837" s="68">
        <f t="shared" si="175"/>
        <v>748168.30000000016</v>
      </c>
      <c r="R837" s="127">
        <f t="shared" si="176"/>
        <v>748168.30000000016</v>
      </c>
      <c r="S837" s="15"/>
    </row>
    <row r="838" spans="1:19" s="84" customFormat="1">
      <c r="A838" s="30"/>
      <c r="B838" s="29" t="s">
        <v>1529</v>
      </c>
      <c r="C838" s="30" t="s">
        <v>1350</v>
      </c>
      <c r="D838" s="352">
        <v>2</v>
      </c>
      <c r="E838" s="30"/>
      <c r="F838" s="352">
        <v>2</v>
      </c>
      <c r="G838" s="351" t="s">
        <v>3311</v>
      </c>
      <c r="H838" s="351"/>
      <c r="I838" s="351" t="s">
        <v>2596</v>
      </c>
      <c r="J838" s="560" t="s">
        <v>2328</v>
      </c>
      <c r="K838" s="311">
        <v>217912.80000000002</v>
      </c>
      <c r="L838" s="311">
        <v>0</v>
      </c>
      <c r="M838" s="311">
        <v>104525.00000000001</v>
      </c>
      <c r="N838" s="311">
        <v>29242</v>
      </c>
      <c r="O838" s="311">
        <v>20469.400000000001</v>
      </c>
      <c r="P838" s="68">
        <f t="shared" si="174"/>
        <v>372149.20000000007</v>
      </c>
      <c r="Q838" s="68">
        <f t="shared" si="175"/>
        <v>744298.40000000014</v>
      </c>
      <c r="R838" s="127">
        <f t="shared" si="176"/>
        <v>744298.40000000014</v>
      </c>
      <c r="S838" s="15"/>
    </row>
    <row r="839" spans="1:19" s="84" customFormat="1">
      <c r="A839" s="30"/>
      <c r="B839" s="29" t="s">
        <v>2172</v>
      </c>
      <c r="C839" s="30" t="s">
        <v>1350</v>
      </c>
      <c r="D839" s="352">
        <v>1</v>
      </c>
      <c r="E839" s="30"/>
      <c r="F839" s="352">
        <v>1</v>
      </c>
      <c r="G839" s="351" t="s">
        <v>3304</v>
      </c>
      <c r="H839" s="351"/>
      <c r="I839" s="351" t="s">
        <v>2596</v>
      </c>
      <c r="J839" s="560" t="s">
        <v>2328</v>
      </c>
      <c r="K839" s="311">
        <v>358915.2</v>
      </c>
      <c r="L839" s="311">
        <v>0</v>
      </c>
      <c r="M839" s="311">
        <v>153256.25000000003</v>
      </c>
      <c r="N839" s="311">
        <v>46490.5</v>
      </c>
      <c r="O839" s="311">
        <v>32543.350000000002</v>
      </c>
      <c r="P839" s="68">
        <f t="shared" si="174"/>
        <v>591205.30000000005</v>
      </c>
      <c r="Q839" s="68">
        <f t="shared" si="175"/>
        <v>591205.30000000005</v>
      </c>
      <c r="R839" s="127">
        <f t="shared" si="176"/>
        <v>591205.30000000005</v>
      </c>
      <c r="S839" s="26"/>
    </row>
    <row r="840" spans="1:19" s="84" customFormat="1">
      <c r="A840" s="30"/>
      <c r="B840" s="29" t="s">
        <v>2173</v>
      </c>
      <c r="C840" s="30" t="s">
        <v>1350</v>
      </c>
      <c r="D840" s="352">
        <v>1</v>
      </c>
      <c r="E840" s="30"/>
      <c r="F840" s="352">
        <v>1</v>
      </c>
      <c r="G840" s="351" t="s">
        <v>3304</v>
      </c>
      <c r="H840" s="351"/>
      <c r="I840" s="351" t="s">
        <v>2596</v>
      </c>
      <c r="J840" s="560" t="s">
        <v>2328</v>
      </c>
      <c r="K840" s="311">
        <v>425143.60000000003</v>
      </c>
      <c r="L840" s="311">
        <v>0</v>
      </c>
      <c r="M840" s="311">
        <v>182447.91666666669</v>
      </c>
      <c r="N840" s="311">
        <v>55149.833333333343</v>
      </c>
      <c r="O840" s="311">
        <v>38604.883333333339</v>
      </c>
      <c r="P840" s="68">
        <f t="shared" si="174"/>
        <v>701346.2333333334</v>
      </c>
      <c r="Q840" s="68">
        <f t="shared" si="175"/>
        <v>701346.2333333334</v>
      </c>
      <c r="R840" s="127">
        <f t="shared" si="176"/>
        <v>701346.2333333334</v>
      </c>
      <c r="S840" s="40"/>
    </row>
    <row r="841" spans="1:19" s="84" customFormat="1">
      <c r="A841" s="30"/>
      <c r="B841" s="29" t="s">
        <v>2174</v>
      </c>
      <c r="C841" s="30" t="s">
        <v>1350</v>
      </c>
      <c r="D841" s="352">
        <v>1</v>
      </c>
      <c r="E841" s="30"/>
      <c r="F841" s="352">
        <v>1</v>
      </c>
      <c r="G841" s="351" t="s">
        <v>3304</v>
      </c>
      <c r="H841" s="351"/>
      <c r="I841" s="351" t="s">
        <v>2596</v>
      </c>
      <c r="J841" s="560" t="s">
        <v>2328</v>
      </c>
      <c r="K841" s="311">
        <v>403779.60000000003</v>
      </c>
      <c r="L841" s="311">
        <v>0</v>
      </c>
      <c r="M841" s="311">
        <v>174420.20833333337</v>
      </c>
      <c r="N841" s="311">
        <v>52479.416666666679</v>
      </c>
      <c r="O841" s="311">
        <v>36735.591666666674</v>
      </c>
      <c r="P841" s="68">
        <f t="shared" si="174"/>
        <v>667414.81666666665</v>
      </c>
      <c r="Q841" s="68">
        <f t="shared" si="175"/>
        <v>667414.81666666665</v>
      </c>
      <c r="R841" s="127">
        <f t="shared" si="176"/>
        <v>667414.81666666665</v>
      </c>
      <c r="S841" s="40"/>
    </row>
    <row r="842" spans="1:19" s="84" customFormat="1">
      <c r="A842" s="30"/>
      <c r="B842" s="29" t="s">
        <v>1625</v>
      </c>
      <c r="C842" s="30" t="s">
        <v>1350</v>
      </c>
      <c r="D842" s="352">
        <v>1</v>
      </c>
      <c r="E842" s="30"/>
      <c r="F842" s="352">
        <v>1</v>
      </c>
      <c r="G842" s="351" t="s">
        <v>3304</v>
      </c>
      <c r="H842" s="351"/>
      <c r="I842" s="351" t="s">
        <v>2596</v>
      </c>
      <c r="J842" s="560" t="s">
        <v>2328</v>
      </c>
      <c r="K842" s="311">
        <v>432621.00000000006</v>
      </c>
      <c r="L842" s="311">
        <v>0</v>
      </c>
      <c r="M842" s="311">
        <v>186826.66666666669</v>
      </c>
      <c r="N842" s="311">
        <v>56223.333333333343</v>
      </c>
      <c r="O842" s="311">
        <v>39356.333333333343</v>
      </c>
      <c r="P842" s="68">
        <f t="shared" si="174"/>
        <v>715027.33333333349</v>
      </c>
      <c r="Q842" s="68">
        <f t="shared" si="175"/>
        <v>715027.33333333349</v>
      </c>
      <c r="R842" s="127">
        <f t="shared" si="176"/>
        <v>715027.33333333349</v>
      </c>
      <c r="S842" s="15"/>
    </row>
    <row r="843" spans="1:19" s="84" customFormat="1">
      <c r="A843" s="30"/>
      <c r="B843" s="29" t="s">
        <v>2175</v>
      </c>
      <c r="C843" s="30" t="s">
        <v>1350</v>
      </c>
      <c r="D843" s="352">
        <v>1</v>
      </c>
      <c r="E843" s="30"/>
      <c r="F843" s="352">
        <v>1</v>
      </c>
      <c r="G843" s="351" t="s">
        <v>3162</v>
      </c>
      <c r="H843" s="351"/>
      <c r="I843" s="351" t="s">
        <v>2596</v>
      </c>
      <c r="J843" s="560" t="s">
        <v>2328</v>
      </c>
      <c r="K843" s="311">
        <v>694330</v>
      </c>
      <c r="L843" s="311">
        <v>0</v>
      </c>
      <c r="M843" s="311">
        <v>263666.66666666669</v>
      </c>
      <c r="N843" s="311">
        <v>87033.333333333343</v>
      </c>
      <c r="O843" s="311">
        <v>60923.333333333343</v>
      </c>
      <c r="P843" s="68">
        <f t="shared" si="174"/>
        <v>1105953.3333333335</v>
      </c>
      <c r="Q843" s="68">
        <f t="shared" si="175"/>
        <v>1105953.3333333335</v>
      </c>
      <c r="R843" s="127">
        <f t="shared" si="176"/>
        <v>1105953.3333333335</v>
      </c>
      <c r="S843" s="37"/>
    </row>
    <row r="844" spans="1:19" s="84" customFormat="1">
      <c r="A844" s="30"/>
      <c r="B844" s="29" t="s">
        <v>1490</v>
      </c>
      <c r="C844" s="30" t="s">
        <v>1350</v>
      </c>
      <c r="D844" s="352">
        <v>1</v>
      </c>
      <c r="E844" s="30"/>
      <c r="F844" s="352">
        <v>1</v>
      </c>
      <c r="G844" s="351" t="s">
        <v>3162</v>
      </c>
      <c r="H844" s="351"/>
      <c r="I844" s="351" t="s">
        <v>2596</v>
      </c>
      <c r="J844" s="560" t="s">
        <v>2328</v>
      </c>
      <c r="K844" s="311">
        <v>667625</v>
      </c>
      <c r="L844" s="311">
        <v>0</v>
      </c>
      <c r="M844" s="311">
        <v>256886.66666666672</v>
      </c>
      <c r="N844" s="311">
        <v>83983.333333333343</v>
      </c>
      <c r="O844" s="311">
        <v>58788.333333333343</v>
      </c>
      <c r="P844" s="68">
        <f t="shared" si="174"/>
        <v>1067283.3333333335</v>
      </c>
      <c r="Q844" s="68">
        <f t="shared" si="175"/>
        <v>1067283.3333333335</v>
      </c>
      <c r="R844" s="127">
        <f t="shared" si="176"/>
        <v>1067283.3333333335</v>
      </c>
      <c r="S844" s="37"/>
    </row>
    <row r="845" spans="1:19" s="84" customFormat="1">
      <c r="A845" s="30"/>
      <c r="B845" s="29" t="s">
        <v>2176</v>
      </c>
      <c r="C845" s="30" t="s">
        <v>1350</v>
      </c>
      <c r="D845" s="352">
        <v>4</v>
      </c>
      <c r="E845" s="30"/>
      <c r="F845" s="352">
        <v>4</v>
      </c>
      <c r="G845" s="351" t="s">
        <v>3162</v>
      </c>
      <c r="H845" s="351"/>
      <c r="I845" s="351" t="s">
        <v>2596</v>
      </c>
      <c r="J845" s="560" t="s">
        <v>2328</v>
      </c>
      <c r="K845" s="311">
        <v>732785.20000000007</v>
      </c>
      <c r="L845" s="311">
        <v>0</v>
      </c>
      <c r="M845" s="311">
        <v>282500</v>
      </c>
      <c r="N845" s="311">
        <v>92228</v>
      </c>
      <c r="O845" s="311">
        <v>64559.600000000006</v>
      </c>
      <c r="P845" s="68">
        <f t="shared" si="174"/>
        <v>1172072.8000000003</v>
      </c>
      <c r="Q845" s="68">
        <f t="shared" si="175"/>
        <v>4688291.2000000011</v>
      </c>
      <c r="R845" s="127">
        <f t="shared" si="176"/>
        <v>4688291.2000000011</v>
      </c>
      <c r="S845" s="37"/>
    </row>
    <row r="846" spans="1:19" s="84" customFormat="1">
      <c r="A846" s="30"/>
      <c r="B846" s="29" t="s">
        <v>2177</v>
      </c>
      <c r="C846" s="30" t="s">
        <v>1350</v>
      </c>
      <c r="D846" s="352">
        <v>2</v>
      </c>
      <c r="E846" s="30"/>
      <c r="F846" s="352">
        <v>2</v>
      </c>
      <c r="G846" s="351" t="s">
        <v>3162</v>
      </c>
      <c r="H846" s="351"/>
      <c r="I846" s="351" t="s">
        <v>2596</v>
      </c>
      <c r="J846" s="560" t="s">
        <v>2328</v>
      </c>
      <c r="K846" s="311">
        <v>889810.60000000009</v>
      </c>
      <c r="L846" s="311">
        <v>0</v>
      </c>
      <c r="M846" s="311">
        <v>339000.00000000006</v>
      </c>
      <c r="N846" s="311">
        <v>111634</v>
      </c>
      <c r="O846" s="311">
        <v>78143.8</v>
      </c>
      <c r="P846" s="68">
        <f t="shared" si="174"/>
        <v>1418588.4000000001</v>
      </c>
      <c r="Q846" s="68">
        <f t="shared" si="175"/>
        <v>2837176.8000000003</v>
      </c>
      <c r="R846" s="127">
        <f t="shared" si="176"/>
        <v>2837176.8000000003</v>
      </c>
      <c r="S846" s="37"/>
    </row>
    <row r="847" spans="1:19" s="84" customFormat="1">
      <c r="A847" s="30"/>
      <c r="B847" s="29" t="s">
        <v>2178</v>
      </c>
      <c r="C847" s="30" t="s">
        <v>1350</v>
      </c>
      <c r="D847" s="352">
        <v>1</v>
      </c>
      <c r="E847" s="30"/>
      <c r="F847" s="352">
        <v>1</v>
      </c>
      <c r="G847" s="351" t="s">
        <v>3162</v>
      </c>
      <c r="H847" s="351"/>
      <c r="I847" s="351" t="s">
        <v>2596</v>
      </c>
      <c r="J847" s="560" t="s">
        <v>2328</v>
      </c>
      <c r="K847" s="311">
        <v>1058586.2000000002</v>
      </c>
      <c r="L847" s="311">
        <v>0</v>
      </c>
      <c r="M847" s="311">
        <v>410566.66666666669</v>
      </c>
      <c r="N847" s="311">
        <v>133451.33333333334</v>
      </c>
      <c r="O847" s="311">
        <v>93415.933333333334</v>
      </c>
      <c r="P847" s="68">
        <f t="shared" si="174"/>
        <v>1696020.1333333335</v>
      </c>
      <c r="Q847" s="68">
        <f t="shared" si="175"/>
        <v>1696020.1333333335</v>
      </c>
      <c r="R847" s="127">
        <f t="shared" si="176"/>
        <v>1696020.1333333335</v>
      </c>
      <c r="S847" s="37"/>
    </row>
    <row r="848" spans="1:19" s="84" customFormat="1">
      <c r="A848" s="30"/>
      <c r="B848" s="29" t="s">
        <v>2179</v>
      </c>
      <c r="C848" s="30" t="s">
        <v>1350</v>
      </c>
      <c r="D848" s="352">
        <v>1</v>
      </c>
      <c r="E848" s="30"/>
      <c r="F848" s="352">
        <v>1</v>
      </c>
      <c r="G848" s="351" t="s">
        <v>3162</v>
      </c>
      <c r="H848" s="351"/>
      <c r="I848" s="351" t="s">
        <v>2596</v>
      </c>
      <c r="J848" s="560" t="s">
        <v>2328</v>
      </c>
      <c r="K848" s="311">
        <v>1155792.4000000001</v>
      </c>
      <c r="L848" s="311">
        <v>0</v>
      </c>
      <c r="M848" s="311">
        <v>448986.66666666669</v>
      </c>
      <c r="N848" s="311">
        <v>145769.33333333334</v>
      </c>
      <c r="O848" s="311">
        <v>102038.53333333334</v>
      </c>
      <c r="P848" s="68">
        <f t="shared" si="174"/>
        <v>1852586.9333333336</v>
      </c>
      <c r="Q848" s="68">
        <f t="shared" si="175"/>
        <v>1852586.9333333336</v>
      </c>
      <c r="R848" s="127">
        <f t="shared" si="176"/>
        <v>1852586.9333333336</v>
      </c>
      <c r="S848" s="37"/>
    </row>
    <row r="849" spans="1:19" s="84" customFormat="1">
      <c r="A849" s="30"/>
      <c r="B849" s="29" t="s">
        <v>2180</v>
      </c>
      <c r="C849" s="30" t="s">
        <v>1350</v>
      </c>
      <c r="D849" s="352">
        <v>1</v>
      </c>
      <c r="E849" s="30"/>
      <c r="F849" s="352">
        <v>1</v>
      </c>
      <c r="G849" s="351" t="s">
        <v>3162</v>
      </c>
      <c r="H849" s="351"/>
      <c r="I849" s="351" t="s">
        <v>2596</v>
      </c>
      <c r="J849" s="560" t="s">
        <v>2328</v>
      </c>
      <c r="K849" s="311">
        <v>1254066.8</v>
      </c>
      <c r="L849" s="311">
        <v>0</v>
      </c>
      <c r="M849" s="311">
        <v>487406.66666666674</v>
      </c>
      <c r="N849" s="311">
        <v>158185.33333333337</v>
      </c>
      <c r="O849" s="311">
        <v>110729.73333333335</v>
      </c>
      <c r="P849" s="68">
        <f t="shared" si="174"/>
        <v>2010388.5333333337</v>
      </c>
      <c r="Q849" s="68">
        <f t="shared" si="175"/>
        <v>2010388.5333333337</v>
      </c>
      <c r="R849" s="127">
        <f t="shared" si="176"/>
        <v>2010388.5333333337</v>
      </c>
      <c r="S849" s="37"/>
    </row>
    <row r="850" spans="1:19" s="84" customFormat="1">
      <c r="A850" s="30"/>
      <c r="B850" s="29" t="s">
        <v>2181</v>
      </c>
      <c r="C850" s="30" t="s">
        <v>1350</v>
      </c>
      <c r="D850" s="352">
        <v>1</v>
      </c>
      <c r="E850" s="30"/>
      <c r="F850" s="352">
        <v>1</v>
      </c>
      <c r="G850" s="351" t="s">
        <v>3162</v>
      </c>
      <c r="H850" s="351"/>
      <c r="I850" s="351" t="s">
        <v>2596</v>
      </c>
      <c r="J850" s="560" t="s">
        <v>2328</v>
      </c>
      <c r="K850" s="311">
        <v>1670664.8</v>
      </c>
      <c r="L850" s="311">
        <v>0</v>
      </c>
      <c r="M850" s="311">
        <v>640333.33333333349</v>
      </c>
      <c r="N850" s="311">
        <v>209938.66666666672</v>
      </c>
      <c r="O850" s="311">
        <v>146957.06666666671</v>
      </c>
      <c r="P850" s="68">
        <f t="shared" si="174"/>
        <v>2667893.8666666672</v>
      </c>
      <c r="Q850" s="68">
        <f t="shared" si="175"/>
        <v>2667893.8666666672</v>
      </c>
      <c r="R850" s="127">
        <f t="shared" si="176"/>
        <v>2667893.8666666672</v>
      </c>
      <c r="S850" s="37"/>
    </row>
    <row r="851" spans="1:19" s="84" customFormat="1">
      <c r="A851" s="30"/>
      <c r="B851" s="29" t="s">
        <v>2182</v>
      </c>
      <c r="C851" s="30" t="s">
        <v>1350</v>
      </c>
      <c r="D851" s="352">
        <v>1</v>
      </c>
      <c r="E851" s="30"/>
      <c r="F851" s="352">
        <v>1</v>
      </c>
      <c r="G851" s="351" t="s">
        <v>3162</v>
      </c>
      <c r="H851" s="351"/>
      <c r="I851" s="351" t="s">
        <v>2596</v>
      </c>
      <c r="J851" s="560" t="s">
        <v>2328</v>
      </c>
      <c r="K851" s="311">
        <v>2291289</v>
      </c>
      <c r="L851" s="311">
        <v>0</v>
      </c>
      <c r="M851" s="311">
        <v>866333.33333333349</v>
      </c>
      <c r="N851" s="311">
        <v>286876.66666666669</v>
      </c>
      <c r="O851" s="311">
        <v>200813.66666666672</v>
      </c>
      <c r="P851" s="68">
        <f t="shared" si="174"/>
        <v>3645312.6666666665</v>
      </c>
      <c r="Q851" s="68">
        <f t="shared" si="175"/>
        <v>3645312.6666666665</v>
      </c>
      <c r="R851" s="127">
        <f t="shared" si="176"/>
        <v>3645312.6666666665</v>
      </c>
      <c r="S851" s="37"/>
    </row>
    <row r="852" spans="1:19" s="84" customFormat="1">
      <c r="A852" s="30"/>
      <c r="B852" s="29" t="s">
        <v>2183</v>
      </c>
      <c r="C852" s="30" t="s">
        <v>1350</v>
      </c>
      <c r="D852" s="352">
        <v>2</v>
      </c>
      <c r="E852" s="30"/>
      <c r="F852" s="352">
        <v>2</v>
      </c>
      <c r="G852" s="351" t="s">
        <v>3162</v>
      </c>
      <c r="H852" s="351"/>
      <c r="I852" s="351" t="s">
        <v>2596</v>
      </c>
      <c r="J852" s="560" t="s">
        <v>2328</v>
      </c>
      <c r="K852" s="311">
        <v>2425882.2000000002</v>
      </c>
      <c r="L852" s="311">
        <v>0</v>
      </c>
      <c r="M852" s="311">
        <v>948446.66666666686</v>
      </c>
      <c r="N852" s="311">
        <v>306491.33333333337</v>
      </c>
      <c r="O852" s="311">
        <v>214543.93333333338</v>
      </c>
      <c r="P852" s="68">
        <f t="shared" si="174"/>
        <v>3895364.1333333342</v>
      </c>
      <c r="Q852" s="68">
        <f t="shared" si="175"/>
        <v>7790728.2666666685</v>
      </c>
      <c r="R852" s="127">
        <f t="shared" si="176"/>
        <v>7790728.2666666685</v>
      </c>
      <c r="S852" s="37"/>
    </row>
    <row r="853" spans="1:19" s="83" customFormat="1">
      <c r="A853" s="28">
        <v>1.9</v>
      </c>
      <c r="B853" s="82" t="s">
        <v>2184</v>
      </c>
      <c r="C853" s="28"/>
      <c r="D853" s="352"/>
      <c r="E853" s="28"/>
      <c r="F853" s="352"/>
      <c r="G853" s="213"/>
      <c r="H853" s="213"/>
      <c r="I853" s="213"/>
      <c r="J853" s="591"/>
      <c r="K853" s="80"/>
      <c r="L853" s="80"/>
      <c r="M853" s="80"/>
      <c r="N853" s="80"/>
      <c r="O853" s="80"/>
      <c r="P853" s="80"/>
      <c r="Q853" s="80"/>
      <c r="R853" s="80"/>
      <c r="S853" s="213"/>
    </row>
    <row r="854" spans="1:19" s="84" customFormat="1">
      <c r="A854" s="30"/>
      <c r="B854" s="29" t="s">
        <v>2185</v>
      </c>
      <c r="C854" s="30" t="s">
        <v>1350</v>
      </c>
      <c r="D854" s="352">
        <v>39</v>
      </c>
      <c r="E854" s="30"/>
      <c r="F854" s="352">
        <v>39</v>
      </c>
      <c r="G854" s="351" t="s">
        <v>3310</v>
      </c>
      <c r="H854" s="351"/>
      <c r="I854" s="351" t="s">
        <v>2596</v>
      </c>
      <c r="J854" s="560" t="s">
        <v>2328</v>
      </c>
      <c r="K854" s="311">
        <v>38455.200000000004</v>
      </c>
      <c r="L854" s="311">
        <v>0</v>
      </c>
      <c r="M854" s="311">
        <v>32770</v>
      </c>
      <c r="N854" s="311">
        <v>6428</v>
      </c>
      <c r="O854" s="311">
        <v>4499.6000000000004</v>
      </c>
      <c r="P854" s="68">
        <f t="shared" ref="P854:P864" si="177">SUM(K854:O854)</f>
        <v>82152.800000000017</v>
      </c>
      <c r="Q854" s="68">
        <f t="shared" ref="Q854:Q864" si="178">D854*P854</f>
        <v>3203959.2000000007</v>
      </c>
      <c r="R854" s="127">
        <f t="shared" ref="R854:R864" si="179">F854*P854</f>
        <v>3203959.2000000007</v>
      </c>
      <c r="S854" s="36"/>
    </row>
    <row r="855" spans="1:19" s="84" customFormat="1">
      <c r="A855" s="30"/>
      <c r="B855" s="29" t="s">
        <v>2186</v>
      </c>
      <c r="C855" s="30" t="s">
        <v>1350</v>
      </c>
      <c r="D855" s="352">
        <v>11</v>
      </c>
      <c r="E855" s="30"/>
      <c r="F855" s="352">
        <v>11</v>
      </c>
      <c r="G855" s="351" t="s">
        <v>3310</v>
      </c>
      <c r="H855" s="351"/>
      <c r="I855" s="351" t="s">
        <v>2596</v>
      </c>
      <c r="J855" s="560" t="s">
        <v>2328</v>
      </c>
      <c r="K855" s="311">
        <v>38455.200000000004</v>
      </c>
      <c r="L855" s="311">
        <v>0</v>
      </c>
      <c r="M855" s="311">
        <v>32770</v>
      </c>
      <c r="N855" s="311">
        <v>6428</v>
      </c>
      <c r="O855" s="311">
        <v>4499.6000000000004</v>
      </c>
      <c r="P855" s="68">
        <f t="shared" si="177"/>
        <v>82152.800000000017</v>
      </c>
      <c r="Q855" s="68">
        <f t="shared" si="178"/>
        <v>903680.80000000016</v>
      </c>
      <c r="R855" s="127">
        <f t="shared" si="179"/>
        <v>903680.80000000016</v>
      </c>
      <c r="S855" s="15"/>
    </row>
    <row r="856" spans="1:19" s="84" customFormat="1">
      <c r="A856" s="30"/>
      <c r="B856" s="29" t="s">
        <v>2187</v>
      </c>
      <c r="C856" s="30" t="s">
        <v>1350</v>
      </c>
      <c r="D856" s="352">
        <v>28</v>
      </c>
      <c r="E856" s="30"/>
      <c r="F856" s="352">
        <v>28</v>
      </c>
      <c r="G856" s="351" t="s">
        <v>3310</v>
      </c>
      <c r="H856" s="351"/>
      <c r="I856" s="351" t="s">
        <v>2596</v>
      </c>
      <c r="J856" s="560" t="s">
        <v>2328</v>
      </c>
      <c r="K856" s="311">
        <v>38455.200000000004</v>
      </c>
      <c r="L856" s="311">
        <v>0</v>
      </c>
      <c r="M856" s="311">
        <v>36866.250000000007</v>
      </c>
      <c r="N856" s="311">
        <v>6790.5</v>
      </c>
      <c r="O856" s="311">
        <v>4753.3500000000004</v>
      </c>
      <c r="P856" s="68">
        <f t="shared" si="177"/>
        <v>86865.300000000017</v>
      </c>
      <c r="Q856" s="68">
        <f t="shared" si="178"/>
        <v>2432228.4000000004</v>
      </c>
      <c r="R856" s="127">
        <f t="shared" si="179"/>
        <v>2432228.4000000004</v>
      </c>
      <c r="S856" s="18"/>
    </row>
    <row r="857" spans="1:19" s="84" customFormat="1">
      <c r="A857" s="30"/>
      <c r="B857" s="29" t="s">
        <v>1540</v>
      </c>
      <c r="C857" s="30" t="s">
        <v>1350</v>
      </c>
      <c r="D857" s="352">
        <v>15</v>
      </c>
      <c r="E857" s="30"/>
      <c r="F857" s="352">
        <v>15</v>
      </c>
      <c r="G857" s="351" t="s">
        <v>3310</v>
      </c>
      <c r="H857" s="351"/>
      <c r="I857" s="351" t="s">
        <v>2596</v>
      </c>
      <c r="J857" s="560" t="s">
        <v>2328</v>
      </c>
      <c r="K857" s="311">
        <v>41272.043400000002</v>
      </c>
      <c r="L857" s="311">
        <v>0</v>
      </c>
      <c r="M857" s="311">
        <v>42327.916666666672</v>
      </c>
      <c r="N857" s="311">
        <v>7532.2593333333343</v>
      </c>
      <c r="O857" s="311">
        <v>5272.5815333333339</v>
      </c>
      <c r="P857" s="68">
        <f t="shared" si="177"/>
        <v>96404.800933333347</v>
      </c>
      <c r="Q857" s="68">
        <f t="shared" si="178"/>
        <v>1446072.0140000002</v>
      </c>
      <c r="R857" s="127">
        <f t="shared" si="179"/>
        <v>1446072.0140000002</v>
      </c>
      <c r="S857" s="15"/>
    </row>
    <row r="858" spans="1:19" s="84" customFormat="1">
      <c r="A858" s="30"/>
      <c r="B858" s="29" t="s">
        <v>2188</v>
      </c>
      <c r="C858" s="30" t="s">
        <v>1350</v>
      </c>
      <c r="D858" s="352">
        <v>21</v>
      </c>
      <c r="E858" s="30"/>
      <c r="F858" s="352">
        <v>21</v>
      </c>
      <c r="G858" s="351" t="s">
        <v>3310</v>
      </c>
      <c r="H858" s="351"/>
      <c r="I858" s="351" t="s">
        <v>2596</v>
      </c>
      <c r="J858" s="560" t="s">
        <v>2328</v>
      </c>
      <c r="K858" s="311">
        <v>56129.637200000005</v>
      </c>
      <c r="L858" s="311">
        <v>0</v>
      </c>
      <c r="M858" s="311">
        <v>43693.333333333343</v>
      </c>
      <c r="N858" s="311">
        <v>9016.1746666666677</v>
      </c>
      <c r="O858" s="311">
        <v>6311.3222666666679</v>
      </c>
      <c r="P858" s="68">
        <f t="shared" si="177"/>
        <v>115150.46746666668</v>
      </c>
      <c r="Q858" s="68">
        <f t="shared" si="178"/>
        <v>2418159.8168000001</v>
      </c>
      <c r="R858" s="127">
        <f t="shared" si="179"/>
        <v>2418159.8168000001</v>
      </c>
      <c r="S858" s="15"/>
    </row>
    <row r="859" spans="1:19" s="84" customFormat="1">
      <c r="A859" s="30"/>
      <c r="B859" s="29" t="s">
        <v>2189</v>
      </c>
      <c r="C859" s="30" t="s">
        <v>1350</v>
      </c>
      <c r="D859" s="352">
        <v>21</v>
      </c>
      <c r="E859" s="30"/>
      <c r="F859" s="352">
        <v>21</v>
      </c>
      <c r="G859" s="351" t="s">
        <v>3310</v>
      </c>
      <c r="H859" s="351"/>
      <c r="I859" s="351" t="s">
        <v>2596</v>
      </c>
      <c r="J859" s="560" t="s">
        <v>2328</v>
      </c>
      <c r="K859" s="311">
        <v>44573.849600000009</v>
      </c>
      <c r="L859" s="311">
        <v>0</v>
      </c>
      <c r="M859" s="311">
        <v>46424.166666666672</v>
      </c>
      <c r="N859" s="311">
        <v>8197.6773333333349</v>
      </c>
      <c r="O859" s="311">
        <v>5738.3741333333346</v>
      </c>
      <c r="P859" s="68">
        <f t="shared" si="177"/>
        <v>104934.06773333334</v>
      </c>
      <c r="Q859" s="68">
        <f t="shared" si="178"/>
        <v>2203615.4224</v>
      </c>
      <c r="R859" s="127">
        <f t="shared" si="179"/>
        <v>2203615.4224</v>
      </c>
      <c r="S859" s="15"/>
    </row>
    <row r="860" spans="1:19" s="84" customFormat="1">
      <c r="A860" s="30"/>
      <c r="B860" s="29" t="s">
        <v>2190</v>
      </c>
      <c r="C860" s="30" t="s">
        <v>1350</v>
      </c>
      <c r="D860" s="352">
        <v>13</v>
      </c>
      <c r="E860" s="30"/>
      <c r="F860" s="352">
        <v>13</v>
      </c>
      <c r="G860" s="351" t="s">
        <v>3310</v>
      </c>
      <c r="H860" s="351"/>
      <c r="I860" s="351" t="s">
        <v>2596</v>
      </c>
      <c r="J860" s="560" t="s">
        <v>2328</v>
      </c>
      <c r="K860" s="311">
        <v>49526.024800000007</v>
      </c>
      <c r="L860" s="311">
        <v>0</v>
      </c>
      <c r="M860" s="311">
        <v>50520.416666666672</v>
      </c>
      <c r="N860" s="311">
        <v>9014.5053333333344</v>
      </c>
      <c r="O860" s="311">
        <v>6310.1537333333345</v>
      </c>
      <c r="P860" s="68">
        <f t="shared" si="177"/>
        <v>115371.10053333335</v>
      </c>
      <c r="Q860" s="68">
        <f t="shared" si="178"/>
        <v>1499824.3069333334</v>
      </c>
      <c r="R860" s="127">
        <f t="shared" si="179"/>
        <v>1499824.3069333334</v>
      </c>
      <c r="S860" s="15"/>
    </row>
    <row r="861" spans="1:19" s="84" customFormat="1">
      <c r="A861" s="30"/>
      <c r="B861" s="29" t="s">
        <v>1636</v>
      </c>
      <c r="C861" s="30" t="s">
        <v>1350</v>
      </c>
      <c r="D861" s="352">
        <v>7</v>
      </c>
      <c r="E861" s="30"/>
      <c r="F861" s="352">
        <v>7</v>
      </c>
      <c r="G861" s="351" t="s">
        <v>3310</v>
      </c>
      <c r="H861" s="351"/>
      <c r="I861" s="351" t="s">
        <v>2596</v>
      </c>
      <c r="J861" s="560" t="s">
        <v>2328</v>
      </c>
      <c r="K861" s="311">
        <v>48701.374400000001</v>
      </c>
      <c r="L861" s="311">
        <v>0</v>
      </c>
      <c r="M861" s="311">
        <v>50520.416666666672</v>
      </c>
      <c r="N861" s="311">
        <v>8938.8493333333336</v>
      </c>
      <c r="O861" s="311">
        <v>6257.1945333333342</v>
      </c>
      <c r="P861" s="68">
        <f t="shared" si="177"/>
        <v>114417.83493333333</v>
      </c>
      <c r="Q861" s="68">
        <f t="shared" si="178"/>
        <v>800924.84453333332</v>
      </c>
      <c r="R861" s="127">
        <f t="shared" si="179"/>
        <v>800924.84453333332</v>
      </c>
      <c r="S861" s="37"/>
    </row>
    <row r="862" spans="1:19" s="84" customFormat="1">
      <c r="A862" s="30"/>
      <c r="B862" s="29" t="s">
        <v>2191</v>
      </c>
      <c r="C862" s="30" t="s">
        <v>1350</v>
      </c>
      <c r="D862" s="352">
        <v>2</v>
      </c>
      <c r="E862" s="30"/>
      <c r="F862" s="352">
        <v>2</v>
      </c>
      <c r="G862" s="351" t="s">
        <v>3311</v>
      </c>
      <c r="H862" s="351"/>
      <c r="I862" s="351" t="s">
        <v>2596</v>
      </c>
      <c r="J862" s="560" t="s">
        <v>2328</v>
      </c>
      <c r="K862" s="311">
        <v>63558.968200000003</v>
      </c>
      <c r="L862" s="311">
        <v>0</v>
      </c>
      <c r="M862" s="311">
        <v>54616.666666666672</v>
      </c>
      <c r="N862" s="311">
        <v>10664.431333333334</v>
      </c>
      <c r="O862" s="311">
        <v>7465.1019333333334</v>
      </c>
      <c r="P862" s="68">
        <f t="shared" si="177"/>
        <v>136305.16813333333</v>
      </c>
      <c r="Q862" s="68">
        <f t="shared" si="178"/>
        <v>272610.33626666665</v>
      </c>
      <c r="R862" s="127">
        <f t="shared" si="179"/>
        <v>272610.33626666665</v>
      </c>
      <c r="S862" s="39"/>
    </row>
    <row r="863" spans="1:19" s="84" customFormat="1">
      <c r="A863" s="30"/>
      <c r="B863" s="29" t="s">
        <v>2192</v>
      </c>
      <c r="C863" s="30" t="s">
        <v>1350</v>
      </c>
      <c r="D863" s="352">
        <v>1</v>
      </c>
      <c r="E863" s="30"/>
      <c r="F863" s="352">
        <v>1</v>
      </c>
      <c r="G863" s="351" t="s">
        <v>3311</v>
      </c>
      <c r="H863" s="351"/>
      <c r="I863" s="351" t="s">
        <v>2596</v>
      </c>
      <c r="J863" s="560" t="s">
        <v>2328</v>
      </c>
      <c r="K863" s="311">
        <v>74290.1054</v>
      </c>
      <c r="L863" s="311">
        <v>0</v>
      </c>
      <c r="M863" s="311">
        <v>60643.333333333343</v>
      </c>
      <c r="N863" s="311">
        <v>12182.272666666668</v>
      </c>
      <c r="O863" s="311">
        <v>8527.5908666666674</v>
      </c>
      <c r="P863" s="68">
        <f t="shared" si="177"/>
        <v>155643.30226666667</v>
      </c>
      <c r="Q863" s="68">
        <f t="shared" si="178"/>
        <v>155643.30226666667</v>
      </c>
      <c r="R863" s="127">
        <f t="shared" si="179"/>
        <v>155643.30226666667</v>
      </c>
      <c r="S863" s="36"/>
    </row>
    <row r="864" spans="1:19" s="84" customFormat="1">
      <c r="A864" s="30"/>
      <c r="B864" s="29" t="s">
        <v>2193</v>
      </c>
      <c r="C864" s="30" t="s">
        <v>1350</v>
      </c>
      <c r="D864" s="352">
        <v>2</v>
      </c>
      <c r="E864" s="30"/>
      <c r="F864" s="352">
        <v>2</v>
      </c>
      <c r="G864" s="351" t="s">
        <v>3311</v>
      </c>
      <c r="H864" s="351"/>
      <c r="I864" s="351" t="s">
        <v>2596</v>
      </c>
      <c r="J864" s="560" t="s">
        <v>2328</v>
      </c>
      <c r="K864" s="311">
        <v>89147.699200000017</v>
      </c>
      <c r="L864" s="311">
        <v>0</v>
      </c>
      <c r="M864" s="311">
        <v>75097.916666666686</v>
      </c>
      <c r="N864" s="311">
        <v>14824.521333333336</v>
      </c>
      <c r="O864" s="311">
        <v>10377.164933333335</v>
      </c>
      <c r="P864" s="68">
        <f t="shared" si="177"/>
        <v>189447.3021333334</v>
      </c>
      <c r="Q864" s="68">
        <f t="shared" si="178"/>
        <v>378894.60426666681</v>
      </c>
      <c r="R864" s="127">
        <f t="shared" si="179"/>
        <v>378894.60426666681</v>
      </c>
      <c r="S864" s="15"/>
    </row>
    <row r="865" spans="1:19" ht="57">
      <c r="A865" s="73">
        <v>1.1000000000000001</v>
      </c>
      <c r="B865" s="72" t="s">
        <v>1377</v>
      </c>
      <c r="C865" s="24"/>
      <c r="D865" s="351"/>
      <c r="E865" s="24"/>
      <c r="F865" s="351"/>
      <c r="G865" s="26"/>
      <c r="H865" s="26"/>
      <c r="I865" s="26"/>
      <c r="J865" s="559"/>
      <c r="K865" s="66"/>
      <c r="L865" s="66"/>
      <c r="M865" s="66"/>
      <c r="N865" s="66"/>
      <c r="O865" s="66"/>
      <c r="P865" s="66"/>
      <c r="Q865" s="66"/>
      <c r="R865" s="66"/>
      <c r="S865" s="26"/>
    </row>
    <row r="866" spans="1:19" ht="45">
      <c r="A866" s="24"/>
      <c r="B866" s="25" t="s">
        <v>1679</v>
      </c>
      <c r="C866" s="26" t="s">
        <v>1350</v>
      </c>
      <c r="D866" s="351">
        <v>3</v>
      </c>
      <c r="E866" s="24"/>
      <c r="F866" s="351">
        <v>3</v>
      </c>
      <c r="G866" s="351" t="s">
        <v>3327</v>
      </c>
      <c r="H866" s="351"/>
      <c r="I866" s="351" t="s">
        <v>2596</v>
      </c>
      <c r="J866" s="560" t="s">
        <v>2328</v>
      </c>
      <c r="K866" s="311">
        <v>1259407.8</v>
      </c>
      <c r="L866" s="311">
        <v>0</v>
      </c>
      <c r="M866" s="311">
        <v>315175.83333333337</v>
      </c>
      <c r="N866" s="311">
        <v>143433.66666666669</v>
      </c>
      <c r="O866" s="311">
        <v>100403.56666666668</v>
      </c>
      <c r="P866" s="68">
        <f>SUM(K866:O866)</f>
        <v>1818420.8666666667</v>
      </c>
      <c r="Q866" s="68">
        <f>D866*P866</f>
        <v>5455262.5999999996</v>
      </c>
      <c r="R866" s="127">
        <f>F866*P866</f>
        <v>5455262.5999999996</v>
      </c>
      <c r="S866" s="26"/>
    </row>
    <row r="867" spans="1:19">
      <c r="A867" s="24"/>
      <c r="B867" s="25" t="s">
        <v>1680</v>
      </c>
      <c r="C867" s="26" t="s">
        <v>1350</v>
      </c>
      <c r="D867" s="351">
        <v>0</v>
      </c>
      <c r="E867" s="24"/>
      <c r="F867" s="351">
        <v>0</v>
      </c>
      <c r="G867" s="351"/>
      <c r="H867" s="351"/>
      <c r="I867" s="351"/>
      <c r="J867" s="560"/>
      <c r="K867" s="127"/>
      <c r="L867" s="127"/>
      <c r="M867" s="127"/>
      <c r="N867" s="127"/>
      <c r="O867" s="127"/>
      <c r="P867" s="127"/>
      <c r="Q867" s="127"/>
      <c r="R867" s="127"/>
      <c r="S867" s="331"/>
    </row>
    <row r="868" spans="1:19" ht="45">
      <c r="A868" s="24"/>
      <c r="B868" s="25" t="s">
        <v>1681</v>
      </c>
      <c r="C868" s="26" t="s">
        <v>1350</v>
      </c>
      <c r="D868" s="351">
        <v>8</v>
      </c>
      <c r="E868" s="24"/>
      <c r="F868" s="351">
        <v>8</v>
      </c>
      <c r="G868" s="351" t="s">
        <v>3328</v>
      </c>
      <c r="H868" s="351"/>
      <c r="I868" s="351" t="s">
        <v>2596</v>
      </c>
      <c r="J868" s="560" t="s">
        <v>2328</v>
      </c>
      <c r="K868" s="311">
        <v>1379046.2000000002</v>
      </c>
      <c r="L868" s="311">
        <v>0</v>
      </c>
      <c r="M868" s="311">
        <v>351430.00000000006</v>
      </c>
      <c r="N868" s="311">
        <v>157618</v>
      </c>
      <c r="O868" s="311">
        <v>110332.6</v>
      </c>
      <c r="P868" s="68">
        <f t="shared" ref="P868:P875" si="180">SUM(K868:O868)</f>
        <v>1998426.8000000003</v>
      </c>
      <c r="Q868" s="68">
        <f t="shared" ref="Q868:Q875" si="181">D868*P868</f>
        <v>15987414.400000002</v>
      </c>
      <c r="R868" s="127">
        <f t="shared" ref="R868:R875" si="182">F868*P868</f>
        <v>15987414.400000002</v>
      </c>
      <c r="S868" s="26"/>
    </row>
    <row r="869" spans="1:19" ht="45">
      <c r="A869" s="24"/>
      <c r="B869" s="25" t="s">
        <v>1682</v>
      </c>
      <c r="C869" s="26" t="s">
        <v>1350</v>
      </c>
      <c r="D869" s="351">
        <v>2</v>
      </c>
      <c r="E869" s="24"/>
      <c r="F869" s="351">
        <v>2</v>
      </c>
      <c r="G869" s="351" t="s">
        <v>3329</v>
      </c>
      <c r="H869" s="351"/>
      <c r="I869" s="351" t="s">
        <v>2596</v>
      </c>
      <c r="J869" s="560" t="s">
        <v>2328</v>
      </c>
      <c r="K869" s="311">
        <v>1499752.8</v>
      </c>
      <c r="L869" s="311">
        <v>0</v>
      </c>
      <c r="M869" s="311">
        <v>407365.00000000006</v>
      </c>
      <c r="N869" s="311">
        <v>173642</v>
      </c>
      <c r="O869" s="311">
        <v>121549.40000000001</v>
      </c>
      <c r="P869" s="68">
        <f t="shared" si="180"/>
        <v>2202309.2000000002</v>
      </c>
      <c r="Q869" s="68">
        <f t="shared" si="181"/>
        <v>4404618.4000000004</v>
      </c>
      <c r="R869" s="127">
        <f t="shared" si="182"/>
        <v>4404618.4000000004</v>
      </c>
      <c r="S869" s="26"/>
    </row>
    <row r="870" spans="1:19" ht="45">
      <c r="A870" s="24"/>
      <c r="B870" s="25" t="s">
        <v>1683</v>
      </c>
      <c r="C870" s="26" t="s">
        <v>1350</v>
      </c>
      <c r="D870" s="351">
        <v>8</v>
      </c>
      <c r="E870" s="24"/>
      <c r="F870" s="351">
        <v>8</v>
      </c>
      <c r="G870" s="351" t="s">
        <v>3330</v>
      </c>
      <c r="H870" s="351"/>
      <c r="I870" s="351" t="s">
        <v>2596</v>
      </c>
      <c r="J870" s="560" t="s">
        <v>2328</v>
      </c>
      <c r="K870" s="311">
        <v>2359653.8000000003</v>
      </c>
      <c r="L870" s="311">
        <v>0</v>
      </c>
      <c r="M870" s="311">
        <v>524772</v>
      </c>
      <c r="N870" s="311">
        <v>262922</v>
      </c>
      <c r="O870" s="311">
        <v>184045.40000000002</v>
      </c>
      <c r="P870" s="68">
        <f t="shared" si="180"/>
        <v>3331393.2</v>
      </c>
      <c r="Q870" s="68">
        <f t="shared" si="181"/>
        <v>26651145.600000001</v>
      </c>
      <c r="R870" s="127">
        <f t="shared" si="182"/>
        <v>26651145.600000001</v>
      </c>
      <c r="S870" s="26"/>
    </row>
    <row r="871" spans="1:19" ht="45">
      <c r="A871" s="24"/>
      <c r="B871" s="25" t="s">
        <v>1684</v>
      </c>
      <c r="C871" s="26" t="s">
        <v>1350</v>
      </c>
      <c r="D871" s="351">
        <v>1</v>
      </c>
      <c r="E871" s="24"/>
      <c r="F871" s="351">
        <v>1</v>
      </c>
      <c r="G871" s="351" t="s">
        <v>3331</v>
      </c>
      <c r="H871" s="351"/>
      <c r="I871" s="351" t="s">
        <v>2596</v>
      </c>
      <c r="J871" s="560" t="s">
        <v>2328</v>
      </c>
      <c r="K871" s="311">
        <v>2175923.4000000004</v>
      </c>
      <c r="L871" s="311">
        <v>0</v>
      </c>
      <c r="M871" s="311">
        <v>452904.00000000006</v>
      </c>
      <c r="N871" s="311">
        <v>239706</v>
      </c>
      <c r="O871" s="311">
        <v>167794.2</v>
      </c>
      <c r="P871" s="68">
        <f t="shared" si="180"/>
        <v>3036327.6000000006</v>
      </c>
      <c r="Q871" s="68">
        <f t="shared" si="181"/>
        <v>3036327.6000000006</v>
      </c>
      <c r="R871" s="127">
        <f t="shared" si="182"/>
        <v>3036327.6000000006</v>
      </c>
      <c r="S871" s="26"/>
    </row>
    <row r="872" spans="1:19" ht="45">
      <c r="A872" s="24"/>
      <c r="B872" s="25" t="s">
        <v>1685</v>
      </c>
      <c r="C872" s="26" t="s">
        <v>1350</v>
      </c>
      <c r="D872" s="351">
        <v>2</v>
      </c>
      <c r="E872" s="24"/>
      <c r="F872" s="351">
        <v>2</v>
      </c>
      <c r="G872" s="351" t="s">
        <v>3332</v>
      </c>
      <c r="H872" s="351"/>
      <c r="I872" s="351" t="s">
        <v>2596</v>
      </c>
      <c r="J872" s="560" t="s">
        <v>2328</v>
      </c>
      <c r="K872" s="311">
        <v>3286851.4000000004</v>
      </c>
      <c r="L872" s="311">
        <v>0</v>
      </c>
      <c r="M872" s="311">
        <v>766987.50000000012</v>
      </c>
      <c r="N872" s="311">
        <v>369421</v>
      </c>
      <c r="O872" s="311">
        <v>258594.7</v>
      </c>
      <c r="P872" s="68">
        <f t="shared" si="180"/>
        <v>4681854.6000000006</v>
      </c>
      <c r="Q872" s="68">
        <f t="shared" si="181"/>
        <v>9363709.2000000011</v>
      </c>
      <c r="R872" s="127">
        <f t="shared" si="182"/>
        <v>9363709.2000000011</v>
      </c>
      <c r="S872" s="26"/>
    </row>
    <row r="873" spans="1:19" ht="45">
      <c r="A873" s="24"/>
      <c r="B873" s="25" t="s">
        <v>1686</v>
      </c>
      <c r="C873" s="26" t="s">
        <v>1350</v>
      </c>
      <c r="D873" s="351">
        <v>8</v>
      </c>
      <c r="E873" s="24"/>
      <c r="F873" s="351">
        <v>8</v>
      </c>
      <c r="G873" s="351" t="s">
        <v>3333</v>
      </c>
      <c r="H873" s="351"/>
      <c r="I873" s="351" t="s">
        <v>2596</v>
      </c>
      <c r="J873" s="560" t="s">
        <v>2328</v>
      </c>
      <c r="K873" s="311">
        <v>1678142.2000000002</v>
      </c>
      <c r="L873" s="311">
        <v>0</v>
      </c>
      <c r="M873" s="311">
        <v>508500.00000000006</v>
      </c>
      <c r="N873" s="311">
        <v>198958</v>
      </c>
      <c r="O873" s="311">
        <v>139270.6</v>
      </c>
      <c r="P873" s="68">
        <f t="shared" si="180"/>
        <v>2524870.8000000003</v>
      </c>
      <c r="Q873" s="68">
        <f t="shared" si="181"/>
        <v>20198966.400000002</v>
      </c>
      <c r="R873" s="127">
        <f t="shared" si="182"/>
        <v>20198966.400000002</v>
      </c>
      <c r="S873" s="26"/>
    </row>
    <row r="874" spans="1:19" ht="45">
      <c r="A874" s="24"/>
      <c r="B874" s="25" t="s">
        <v>1687</v>
      </c>
      <c r="C874" s="26" t="s">
        <v>1350</v>
      </c>
      <c r="D874" s="351">
        <v>6</v>
      </c>
      <c r="E874" s="24"/>
      <c r="F874" s="351">
        <v>6</v>
      </c>
      <c r="G874" s="351" t="s">
        <v>3334</v>
      </c>
      <c r="H874" s="351"/>
      <c r="I874" s="351" t="s">
        <v>2596</v>
      </c>
      <c r="J874" s="560" t="s">
        <v>2328</v>
      </c>
      <c r="K874" s="311">
        <v>1798848.8</v>
      </c>
      <c r="L874" s="311">
        <v>0</v>
      </c>
      <c r="M874" s="311">
        <v>537691.66666666674</v>
      </c>
      <c r="N874" s="311">
        <v>212615.33333333337</v>
      </c>
      <c r="O874" s="311">
        <v>148830.73333333337</v>
      </c>
      <c r="P874" s="68">
        <f t="shared" si="180"/>
        <v>2697986.5333333337</v>
      </c>
      <c r="Q874" s="68">
        <f t="shared" si="181"/>
        <v>16187919.200000003</v>
      </c>
      <c r="R874" s="127">
        <f t="shared" si="182"/>
        <v>16187919.200000003</v>
      </c>
      <c r="S874" s="26"/>
    </row>
    <row r="875" spans="1:19" ht="45">
      <c r="A875" s="24"/>
      <c r="B875" s="25" t="s">
        <v>1688</v>
      </c>
      <c r="C875" s="26" t="s">
        <v>1350</v>
      </c>
      <c r="D875" s="351">
        <v>1</v>
      </c>
      <c r="E875" s="24"/>
      <c r="F875" s="351">
        <v>1</v>
      </c>
      <c r="G875" s="351" t="s">
        <v>3335</v>
      </c>
      <c r="H875" s="351"/>
      <c r="I875" s="351" t="s">
        <v>2596</v>
      </c>
      <c r="J875" s="560" t="s">
        <v>2328</v>
      </c>
      <c r="K875" s="311">
        <v>3843383.6</v>
      </c>
      <c r="L875" s="311">
        <v>0</v>
      </c>
      <c r="M875" s="311">
        <v>989032.50000000012</v>
      </c>
      <c r="N875" s="311">
        <v>440129</v>
      </c>
      <c r="O875" s="311">
        <v>308090.30000000005</v>
      </c>
      <c r="P875" s="68">
        <f t="shared" si="180"/>
        <v>5580635.4000000004</v>
      </c>
      <c r="Q875" s="68">
        <f t="shared" si="181"/>
        <v>5580635.4000000004</v>
      </c>
      <c r="R875" s="127">
        <f t="shared" si="182"/>
        <v>5580635.4000000004</v>
      </c>
      <c r="S875" s="26"/>
    </row>
    <row r="876" spans="1:19">
      <c r="A876" s="73">
        <v>1.1100000000000001</v>
      </c>
      <c r="B876" s="72" t="s">
        <v>1371</v>
      </c>
      <c r="C876" s="24"/>
      <c r="D876" s="351"/>
      <c r="E876" s="24"/>
      <c r="F876" s="351"/>
      <c r="G876" s="26"/>
      <c r="H876" s="26"/>
      <c r="I876" s="26"/>
      <c r="J876" s="559"/>
      <c r="K876" s="66"/>
      <c r="L876" s="66"/>
      <c r="M876" s="66"/>
      <c r="N876" s="66"/>
      <c r="O876" s="66"/>
      <c r="P876" s="66"/>
      <c r="Q876" s="66"/>
      <c r="R876" s="66"/>
      <c r="S876" s="26"/>
    </row>
    <row r="877" spans="1:19">
      <c r="A877" s="24"/>
      <c r="B877" s="25" t="s">
        <v>1689</v>
      </c>
      <c r="C877" s="26" t="s">
        <v>1350</v>
      </c>
      <c r="D877" s="351">
        <v>3</v>
      </c>
      <c r="E877" s="24"/>
      <c r="F877" s="351">
        <v>3</v>
      </c>
      <c r="G877" s="351" t="s">
        <v>3162</v>
      </c>
      <c r="H877" s="351"/>
      <c r="I877" s="351" t="s">
        <v>2596</v>
      </c>
      <c r="J877" s="560" t="s">
        <v>2328</v>
      </c>
      <c r="K877" s="311">
        <v>341721.19643200003</v>
      </c>
      <c r="L877" s="311">
        <v>0</v>
      </c>
      <c r="M877" s="311">
        <v>60116.000000000007</v>
      </c>
      <c r="N877" s="311">
        <v>36670.568480000002</v>
      </c>
      <c r="O877" s="311">
        <v>25669.397936000001</v>
      </c>
      <c r="P877" s="68">
        <f t="shared" ref="P877:P887" si="183">SUM(K877:O877)</f>
        <v>464177.16284800007</v>
      </c>
      <c r="Q877" s="68">
        <f t="shared" ref="Q877:Q887" si="184">D877*P877</f>
        <v>1392531.4885440003</v>
      </c>
      <c r="R877" s="127">
        <f t="shared" ref="R877:R887" si="185">F877*P877</f>
        <v>1392531.4885440003</v>
      </c>
      <c r="S877" s="26"/>
    </row>
    <row r="878" spans="1:19">
      <c r="A878" s="24"/>
      <c r="B878" s="25" t="s">
        <v>1575</v>
      </c>
      <c r="C878" s="26" t="s">
        <v>1350</v>
      </c>
      <c r="D878" s="351">
        <v>2</v>
      </c>
      <c r="E878" s="24"/>
      <c r="F878" s="351">
        <v>2</v>
      </c>
      <c r="G878" s="351" t="s">
        <v>3162</v>
      </c>
      <c r="H878" s="351"/>
      <c r="I878" s="351" t="s">
        <v>2596</v>
      </c>
      <c r="J878" s="560" t="s">
        <v>2328</v>
      </c>
      <c r="K878" s="311">
        <v>365020.36891600001</v>
      </c>
      <c r="L878" s="311">
        <v>0</v>
      </c>
      <c r="M878" s="311">
        <v>87349.000000000015</v>
      </c>
      <c r="N878" s="311">
        <v>41218.107240000005</v>
      </c>
      <c r="O878" s="311">
        <v>28852.675068000004</v>
      </c>
      <c r="P878" s="68">
        <f t="shared" si="183"/>
        <v>522440.15122399997</v>
      </c>
      <c r="Q878" s="68">
        <f t="shared" si="184"/>
        <v>1044880.3024479999</v>
      </c>
      <c r="R878" s="127">
        <f t="shared" si="185"/>
        <v>1044880.3024479999</v>
      </c>
      <c r="S878" s="26"/>
    </row>
    <row r="879" spans="1:19">
      <c r="A879" s="24"/>
      <c r="B879" s="25" t="s">
        <v>1335</v>
      </c>
      <c r="C879" s="26" t="s">
        <v>1350</v>
      </c>
      <c r="D879" s="351">
        <v>3</v>
      </c>
      <c r="E879" s="24"/>
      <c r="F879" s="351">
        <v>3</v>
      </c>
      <c r="G879" s="351" t="s">
        <v>3162</v>
      </c>
      <c r="H879" s="351"/>
      <c r="I879" s="351" t="s">
        <v>2596</v>
      </c>
      <c r="J879" s="560" t="s">
        <v>2328</v>
      </c>
      <c r="K879" s="311">
        <v>413560.31159100001</v>
      </c>
      <c r="L879" s="311">
        <v>0</v>
      </c>
      <c r="M879" s="311">
        <v>87349.000000000015</v>
      </c>
      <c r="N879" s="311">
        <v>45671.312990000006</v>
      </c>
      <c r="O879" s="311">
        <v>31969.919093000004</v>
      </c>
      <c r="P879" s="68">
        <f t="shared" si="183"/>
        <v>578550.54367400007</v>
      </c>
      <c r="Q879" s="68">
        <f t="shared" si="184"/>
        <v>1735651.6310220002</v>
      </c>
      <c r="R879" s="127">
        <f t="shared" si="185"/>
        <v>1735651.6310220002</v>
      </c>
      <c r="S879" s="26"/>
    </row>
    <row r="880" spans="1:19">
      <c r="A880" s="24"/>
      <c r="B880" s="25" t="s">
        <v>1690</v>
      </c>
      <c r="C880" s="26" t="s">
        <v>1350</v>
      </c>
      <c r="D880" s="351">
        <v>1</v>
      </c>
      <c r="E880" s="24"/>
      <c r="F880" s="351">
        <v>1</v>
      </c>
      <c r="G880" s="351" t="s">
        <v>3162</v>
      </c>
      <c r="H880" s="351"/>
      <c r="I880" s="351" t="s">
        <v>2596</v>
      </c>
      <c r="J880" s="560" t="s">
        <v>2328</v>
      </c>
      <c r="K880" s="311">
        <v>437830.28292849998</v>
      </c>
      <c r="L880" s="311">
        <v>0</v>
      </c>
      <c r="M880" s="311">
        <v>87349.000000000015</v>
      </c>
      <c r="N880" s="311">
        <v>47897.915864999995</v>
      </c>
      <c r="O880" s="311">
        <v>33528.5411055</v>
      </c>
      <c r="P880" s="68">
        <f t="shared" si="183"/>
        <v>606605.73989899992</v>
      </c>
      <c r="Q880" s="68">
        <f t="shared" si="184"/>
        <v>606605.73989899992</v>
      </c>
      <c r="R880" s="127">
        <f t="shared" si="185"/>
        <v>606605.73989899992</v>
      </c>
      <c r="S880" s="26"/>
    </row>
    <row r="881" spans="1:19">
      <c r="A881" s="24"/>
      <c r="B881" s="25" t="s">
        <v>1447</v>
      </c>
      <c r="C881" s="26" t="s">
        <v>1350</v>
      </c>
      <c r="D881" s="351">
        <v>2</v>
      </c>
      <c r="E881" s="24"/>
      <c r="F881" s="351">
        <v>2</v>
      </c>
      <c r="G881" s="351" t="s">
        <v>3162</v>
      </c>
      <c r="H881" s="351"/>
      <c r="I881" s="351" t="s">
        <v>2596</v>
      </c>
      <c r="J881" s="560" t="s">
        <v>2328</v>
      </c>
      <c r="K881" s="311">
        <v>547530.55337400001</v>
      </c>
      <c r="L881" s="311">
        <v>0</v>
      </c>
      <c r="M881" s="311">
        <v>135035</v>
      </c>
      <c r="N881" s="311">
        <v>62182.160859999996</v>
      </c>
      <c r="O881" s="311">
        <v>43527.512601999995</v>
      </c>
      <c r="P881" s="68">
        <f t="shared" si="183"/>
        <v>788275.22683599999</v>
      </c>
      <c r="Q881" s="68">
        <f t="shared" si="184"/>
        <v>1576550.453672</v>
      </c>
      <c r="R881" s="127">
        <f t="shared" si="185"/>
        <v>1576550.453672</v>
      </c>
      <c r="S881" s="26"/>
    </row>
    <row r="882" spans="1:19" s="84" customFormat="1">
      <c r="A882" s="30"/>
      <c r="B882" s="29" t="s">
        <v>2194</v>
      </c>
      <c r="C882" s="30" t="s">
        <v>1350</v>
      </c>
      <c r="D882" s="352">
        <v>1</v>
      </c>
      <c r="E882" s="30"/>
      <c r="F882" s="352">
        <v>1</v>
      </c>
      <c r="G882" s="351" t="s">
        <v>3162</v>
      </c>
      <c r="H882" s="351"/>
      <c r="I882" s="351" t="s">
        <v>2596</v>
      </c>
      <c r="J882" s="560" t="s">
        <v>2328</v>
      </c>
      <c r="K882" s="311">
        <v>295123.36420000001</v>
      </c>
      <c r="L882" s="311">
        <v>0</v>
      </c>
      <c r="M882" s="311">
        <v>60116.000000000007</v>
      </c>
      <c r="N882" s="311">
        <v>32395.538</v>
      </c>
      <c r="O882" s="311">
        <v>22676.876600000003</v>
      </c>
      <c r="P882" s="68">
        <f t="shared" si="183"/>
        <v>410311.77880000003</v>
      </c>
      <c r="Q882" s="68">
        <f t="shared" si="184"/>
        <v>410311.77880000003</v>
      </c>
      <c r="R882" s="127">
        <f t="shared" si="185"/>
        <v>410311.77880000003</v>
      </c>
      <c r="S882" s="15"/>
    </row>
    <row r="883" spans="1:19" s="84" customFormat="1">
      <c r="A883" s="30"/>
      <c r="B883" s="29" t="s">
        <v>1436</v>
      </c>
      <c r="C883" s="30" t="s">
        <v>1350</v>
      </c>
      <c r="D883" s="352">
        <v>1</v>
      </c>
      <c r="E883" s="30"/>
      <c r="F883" s="352">
        <v>1</v>
      </c>
      <c r="G883" s="351" t="s">
        <v>3162</v>
      </c>
      <c r="H883" s="351"/>
      <c r="I883" s="351" t="s">
        <v>2596</v>
      </c>
      <c r="J883" s="560" t="s">
        <v>2328</v>
      </c>
      <c r="K883" s="311">
        <v>478603.80540000001</v>
      </c>
      <c r="L883" s="311">
        <v>0</v>
      </c>
      <c r="M883" s="311">
        <v>135035</v>
      </c>
      <c r="N883" s="311">
        <v>55858.606000000007</v>
      </c>
      <c r="O883" s="311">
        <v>39101.024200000007</v>
      </c>
      <c r="P883" s="68">
        <f t="shared" si="183"/>
        <v>708598.43559999997</v>
      </c>
      <c r="Q883" s="68">
        <f t="shared" si="184"/>
        <v>708598.43559999997</v>
      </c>
      <c r="R883" s="127">
        <f t="shared" si="185"/>
        <v>708598.43559999997</v>
      </c>
      <c r="S883" s="15"/>
    </row>
    <row r="884" spans="1:19" s="84" customFormat="1">
      <c r="A884" s="30"/>
      <c r="B884" s="29" t="s">
        <v>2195</v>
      </c>
      <c r="C884" s="30" t="s">
        <v>1350</v>
      </c>
      <c r="D884" s="352">
        <v>1</v>
      </c>
      <c r="E884" s="30"/>
      <c r="F884" s="352">
        <v>1</v>
      </c>
      <c r="G884" s="351" t="s">
        <v>3162</v>
      </c>
      <c r="H884" s="351"/>
      <c r="I884" s="351" t="s">
        <v>2596</v>
      </c>
      <c r="J884" s="560" t="s">
        <v>2328</v>
      </c>
      <c r="K884" s="311">
        <v>514523.09860000003</v>
      </c>
      <c r="L884" s="311">
        <v>0</v>
      </c>
      <c r="M884" s="311">
        <v>135035</v>
      </c>
      <c r="N884" s="311">
        <v>59153.954000000005</v>
      </c>
      <c r="O884" s="311">
        <v>41407.767800000009</v>
      </c>
      <c r="P884" s="68">
        <f t="shared" si="183"/>
        <v>750119.82040000008</v>
      </c>
      <c r="Q884" s="68">
        <f t="shared" si="184"/>
        <v>750119.82040000008</v>
      </c>
      <c r="R884" s="127">
        <f t="shared" si="185"/>
        <v>750119.82040000008</v>
      </c>
      <c r="S884" s="37"/>
    </row>
    <row r="885" spans="1:19" s="84" customFormat="1">
      <c r="A885" s="30"/>
      <c r="B885" s="29" t="s">
        <v>1384</v>
      </c>
      <c r="C885" s="30" t="s">
        <v>1350</v>
      </c>
      <c r="D885" s="352">
        <v>1</v>
      </c>
      <c r="E885" s="30"/>
      <c r="F885" s="352">
        <v>1</v>
      </c>
      <c r="G885" s="351" t="s">
        <v>3162</v>
      </c>
      <c r="H885" s="351"/>
      <c r="I885" s="351" t="s">
        <v>2596</v>
      </c>
      <c r="J885" s="560" t="s">
        <v>2328</v>
      </c>
      <c r="K885" s="311">
        <v>542676.57779999997</v>
      </c>
      <c r="L885" s="311">
        <v>0</v>
      </c>
      <c r="M885" s="311">
        <v>135035</v>
      </c>
      <c r="N885" s="311">
        <v>61736.841999999997</v>
      </c>
      <c r="O885" s="311">
        <v>43215.789400000001</v>
      </c>
      <c r="P885" s="68">
        <f t="shared" si="183"/>
        <v>782664.20919999992</v>
      </c>
      <c r="Q885" s="68">
        <f t="shared" si="184"/>
        <v>782664.20919999992</v>
      </c>
      <c r="R885" s="127">
        <f t="shared" si="185"/>
        <v>782664.20919999992</v>
      </c>
      <c r="S885" s="37"/>
    </row>
    <row r="886" spans="1:19">
      <c r="A886" s="73">
        <v>1.1200000000000001</v>
      </c>
      <c r="B886" s="72" t="s">
        <v>1482</v>
      </c>
      <c r="C886" s="26" t="s">
        <v>1350</v>
      </c>
      <c r="D886" s="351">
        <v>54</v>
      </c>
      <c r="E886" s="24"/>
      <c r="F886" s="351">
        <v>54</v>
      </c>
      <c r="G886" s="351" t="s">
        <v>3307</v>
      </c>
      <c r="H886" s="351"/>
      <c r="I886" s="351" t="s">
        <v>2596</v>
      </c>
      <c r="J886" s="560" t="s">
        <v>2328</v>
      </c>
      <c r="K886" s="311">
        <v>645936.67044549994</v>
      </c>
      <c r="L886" s="311">
        <v>0</v>
      </c>
      <c r="M886" s="311">
        <v>147391.55000000002</v>
      </c>
      <c r="N886" s="311">
        <v>72303.744995000001</v>
      </c>
      <c r="O886" s="311">
        <v>50612.621496499996</v>
      </c>
      <c r="P886" s="68">
        <f t="shared" si="183"/>
        <v>916244.58693699993</v>
      </c>
      <c r="Q886" s="68">
        <f t="shared" si="184"/>
        <v>49477207.694597997</v>
      </c>
      <c r="R886" s="127">
        <f t="shared" si="185"/>
        <v>49477207.694597997</v>
      </c>
      <c r="S886" s="331"/>
    </row>
    <row r="887" spans="1:19">
      <c r="A887" s="73">
        <v>1.1299999999999999</v>
      </c>
      <c r="B887" s="72" t="s">
        <v>1408</v>
      </c>
      <c r="C887" s="26" t="s">
        <v>78</v>
      </c>
      <c r="D887" s="351">
        <v>1</v>
      </c>
      <c r="E887" s="24"/>
      <c r="F887" s="351">
        <v>1</v>
      </c>
      <c r="G887" s="351"/>
      <c r="H887" s="351"/>
      <c r="I887" s="351"/>
      <c r="J887" s="560" t="s">
        <v>2381</v>
      </c>
      <c r="K887" s="311">
        <v>65274698.928644583</v>
      </c>
      <c r="L887" s="311">
        <v>0</v>
      </c>
      <c r="M887" s="311">
        <v>42310096.094812885</v>
      </c>
      <c r="N887" s="311">
        <v>9117355.5104624964</v>
      </c>
      <c r="O887" s="311">
        <v>6382148.8573237471</v>
      </c>
      <c r="P887" s="68">
        <f t="shared" si="183"/>
        <v>123084299.39124371</v>
      </c>
      <c r="Q887" s="68">
        <f t="shared" si="184"/>
        <v>123084299.39124371</v>
      </c>
      <c r="R887" s="127">
        <f t="shared" si="185"/>
        <v>123084299.39124371</v>
      </c>
      <c r="S887" s="26"/>
    </row>
    <row r="888" spans="1:19">
      <c r="A888" s="215">
        <v>5</v>
      </c>
      <c r="B888" s="216" t="s">
        <v>2233</v>
      </c>
      <c r="C888" s="24"/>
      <c r="D888" s="351"/>
      <c r="E888" s="24"/>
      <c r="F888" s="351"/>
      <c r="G888" s="26"/>
      <c r="H888" s="26"/>
      <c r="I888" s="26"/>
      <c r="J888" s="559"/>
      <c r="K888" s="66"/>
      <c r="L888" s="66"/>
      <c r="M888" s="66"/>
      <c r="N888" s="66"/>
      <c r="O888" s="66"/>
      <c r="P888" s="66"/>
      <c r="Q888" s="66"/>
      <c r="R888" s="66"/>
      <c r="S888" s="26"/>
    </row>
    <row r="889" spans="1:19">
      <c r="A889" s="24">
        <v>1.1000000000000001</v>
      </c>
      <c r="B889" s="27" t="s">
        <v>1691</v>
      </c>
      <c r="C889" s="24"/>
      <c r="D889" s="351"/>
      <c r="E889" s="24"/>
      <c r="F889" s="351"/>
      <c r="G889" s="26"/>
      <c r="H889" s="26"/>
      <c r="I889" s="26"/>
      <c r="J889" s="559"/>
      <c r="K889" s="66"/>
      <c r="L889" s="66"/>
      <c r="M889" s="66"/>
      <c r="N889" s="66"/>
      <c r="O889" s="66"/>
      <c r="P889" s="66"/>
      <c r="Q889" s="66"/>
      <c r="R889" s="66"/>
      <c r="S889" s="26"/>
    </row>
    <row r="890" spans="1:19">
      <c r="A890" s="24"/>
      <c r="B890" s="25" t="s">
        <v>1692</v>
      </c>
      <c r="C890" s="26" t="s">
        <v>1336</v>
      </c>
      <c r="D890" s="351">
        <v>147</v>
      </c>
      <c r="E890" s="24"/>
      <c r="F890" s="351">
        <v>147</v>
      </c>
      <c r="G890" s="351" t="s">
        <v>3308</v>
      </c>
      <c r="H890" s="351"/>
      <c r="I890" s="351" t="s">
        <v>2596</v>
      </c>
      <c r="J890" s="560" t="s">
        <v>2328</v>
      </c>
      <c r="K890" s="311">
        <v>3678880.8000000003</v>
      </c>
      <c r="L890" s="311">
        <v>0</v>
      </c>
      <c r="M890" s="311">
        <v>849383.33333333337</v>
      </c>
      <c r="N890" s="311">
        <v>412678.66666666669</v>
      </c>
      <c r="O890" s="311">
        <v>288875.06666666671</v>
      </c>
      <c r="P890" s="68">
        <f t="shared" ref="P890:P891" si="186">SUM(K890:O890)</f>
        <v>5229817.8666666672</v>
      </c>
      <c r="Q890" s="68">
        <f>D890*P890</f>
        <v>768783226.4000001</v>
      </c>
      <c r="R890" s="127">
        <f>F890*P890</f>
        <v>768783226.4000001</v>
      </c>
      <c r="S890" s="26"/>
    </row>
    <row r="891" spans="1:19">
      <c r="A891" s="24"/>
      <c r="B891" s="25" t="s">
        <v>1693</v>
      </c>
      <c r="C891" s="26" t="s">
        <v>1336</v>
      </c>
      <c r="D891" s="351">
        <v>16</v>
      </c>
      <c r="E891" s="24"/>
      <c r="F891" s="351">
        <v>16</v>
      </c>
      <c r="G891" s="351" t="s">
        <v>3308</v>
      </c>
      <c r="H891" s="351"/>
      <c r="I891" s="351" t="s">
        <v>2596</v>
      </c>
      <c r="J891" s="560" t="s">
        <v>2328</v>
      </c>
      <c r="K891" s="311">
        <v>3417171.8000000003</v>
      </c>
      <c r="L891" s="311">
        <v>0</v>
      </c>
      <c r="M891" s="311">
        <v>787233.33333333349</v>
      </c>
      <c r="N891" s="311">
        <v>383168.66666666674</v>
      </c>
      <c r="O891" s="311">
        <v>268218.06666666671</v>
      </c>
      <c r="P891" s="68">
        <f t="shared" si="186"/>
        <v>4855791.8666666672</v>
      </c>
      <c r="Q891" s="68">
        <f>D891*P891</f>
        <v>77692669.866666675</v>
      </c>
      <c r="R891" s="127">
        <f>F891*P891</f>
        <v>77692669.866666675</v>
      </c>
      <c r="S891" s="26"/>
    </row>
    <row r="892" spans="1:19">
      <c r="A892" s="24">
        <v>1.2</v>
      </c>
      <c r="B892" s="27" t="s">
        <v>1694</v>
      </c>
      <c r="C892" s="24"/>
      <c r="D892" s="351"/>
      <c r="E892" s="24"/>
      <c r="F892" s="351"/>
      <c r="G892" s="351"/>
      <c r="H892" s="351"/>
      <c r="I892" s="351"/>
      <c r="J892" s="560"/>
      <c r="K892" s="66"/>
      <c r="L892" s="66"/>
      <c r="M892" s="66"/>
      <c r="N892" s="66"/>
      <c r="O892" s="66"/>
      <c r="P892" s="66"/>
      <c r="Q892" s="66"/>
      <c r="R892" s="66"/>
      <c r="S892" s="26"/>
    </row>
    <row r="893" spans="1:19">
      <c r="A893" s="24"/>
      <c r="B893" s="25" t="s">
        <v>1693</v>
      </c>
      <c r="C893" s="26" t="s">
        <v>1350</v>
      </c>
      <c r="D893" s="351">
        <v>1</v>
      </c>
      <c r="E893" s="24"/>
      <c r="F893" s="351">
        <v>1</v>
      </c>
      <c r="G893" s="351" t="s">
        <v>3308</v>
      </c>
      <c r="H893" s="351"/>
      <c r="I893" s="351" t="s">
        <v>2596</v>
      </c>
      <c r="J893" s="560" t="s">
        <v>2328</v>
      </c>
      <c r="K893" s="311">
        <v>8010431.8000000007</v>
      </c>
      <c r="L893" s="311">
        <v>0</v>
      </c>
      <c r="M893" s="311">
        <v>1483313.3333333335</v>
      </c>
      <c r="N893" s="311">
        <v>866168.66666666663</v>
      </c>
      <c r="O893" s="311">
        <v>606318.06666666665</v>
      </c>
      <c r="P893" s="68">
        <f t="shared" ref="P893:P894" si="187">SUM(K893:O893)</f>
        <v>10966231.866666667</v>
      </c>
      <c r="Q893" s="68">
        <f>D893*P893</f>
        <v>10966231.866666667</v>
      </c>
      <c r="R893" s="127">
        <f>F893*P893</f>
        <v>10966231.866666667</v>
      </c>
      <c r="S893" s="26"/>
    </row>
    <row r="894" spans="1:19">
      <c r="A894" s="24"/>
      <c r="B894" s="25" t="s">
        <v>1692</v>
      </c>
      <c r="C894" s="26" t="s">
        <v>1350</v>
      </c>
      <c r="D894" s="351">
        <v>5</v>
      </c>
      <c r="E894" s="24"/>
      <c r="F894" s="351">
        <v>5</v>
      </c>
      <c r="G894" s="351" t="s">
        <v>3308</v>
      </c>
      <c r="H894" s="351"/>
      <c r="I894" s="351" t="s">
        <v>2596</v>
      </c>
      <c r="J894" s="560" t="s">
        <v>2328</v>
      </c>
      <c r="K894" s="311">
        <v>10786683.600000001</v>
      </c>
      <c r="L894" s="311">
        <v>0</v>
      </c>
      <c r="M894" s="311">
        <v>2001230.0000000002</v>
      </c>
      <c r="N894" s="311">
        <v>1166704</v>
      </c>
      <c r="O894" s="311">
        <v>816692.8</v>
      </c>
      <c r="P894" s="68">
        <f t="shared" si="187"/>
        <v>14771310.400000002</v>
      </c>
      <c r="Q894" s="68">
        <f>D894*P894</f>
        <v>73856552.000000015</v>
      </c>
      <c r="R894" s="127">
        <f>F894*P894</f>
        <v>73856552.000000015</v>
      </c>
      <c r="S894" s="26"/>
    </row>
    <row r="895" spans="1:19">
      <c r="A895" s="24">
        <v>1.4</v>
      </c>
      <c r="B895" s="27" t="s">
        <v>1695</v>
      </c>
      <c r="C895" s="24"/>
      <c r="D895" s="351"/>
      <c r="E895" s="24"/>
      <c r="F895" s="351"/>
      <c r="G895" s="351"/>
      <c r="H895" s="351"/>
      <c r="I895" s="351"/>
      <c r="J895" s="560"/>
      <c r="K895" s="66"/>
      <c r="L895" s="66"/>
      <c r="M895" s="66"/>
      <c r="N895" s="66"/>
      <c r="O895" s="66"/>
      <c r="P895" s="66"/>
      <c r="Q895" s="66"/>
      <c r="R895" s="66"/>
      <c r="S895" s="26"/>
    </row>
    <row r="896" spans="1:19">
      <c r="A896" s="24"/>
      <c r="B896" s="25" t="s">
        <v>1696</v>
      </c>
      <c r="C896" s="26" t="s">
        <v>1350</v>
      </c>
      <c r="D896" s="351">
        <v>1</v>
      </c>
      <c r="E896" s="24"/>
      <c r="F896" s="351">
        <v>1</v>
      </c>
      <c r="G896" s="351" t="s">
        <v>3308</v>
      </c>
      <c r="H896" s="351"/>
      <c r="I896" s="351" t="s">
        <v>2596</v>
      </c>
      <c r="J896" s="560" t="s">
        <v>2328</v>
      </c>
      <c r="K896" s="311">
        <v>13456115.4</v>
      </c>
      <c r="L896" s="311">
        <v>0</v>
      </c>
      <c r="M896" s="311">
        <v>1189136.666666667</v>
      </c>
      <c r="N896" s="311">
        <v>1339739.3333333335</v>
      </c>
      <c r="O896" s="311">
        <v>937817.53333333344</v>
      </c>
      <c r="P896" s="68">
        <f>SUM(K896:O896)</f>
        <v>16922808.933333334</v>
      </c>
      <c r="Q896" s="68">
        <f>D896*P896</f>
        <v>16922808.933333334</v>
      </c>
      <c r="R896" s="127">
        <f>F896*P896</f>
        <v>16922808.933333334</v>
      </c>
      <c r="S896" s="26"/>
    </row>
    <row r="897" spans="1:19">
      <c r="A897" s="24">
        <v>1.9</v>
      </c>
      <c r="B897" s="72" t="s">
        <v>1371</v>
      </c>
      <c r="C897" s="24"/>
      <c r="D897" s="351"/>
      <c r="E897" s="24"/>
      <c r="F897" s="351"/>
      <c r="G897" s="351"/>
      <c r="H897" s="351"/>
      <c r="I897" s="351"/>
      <c r="J897" s="560"/>
      <c r="K897" s="66"/>
      <c r="L897" s="66"/>
      <c r="M897" s="66"/>
      <c r="N897" s="66"/>
      <c r="O897" s="66"/>
      <c r="P897" s="66"/>
      <c r="Q897" s="66"/>
      <c r="R897" s="66"/>
      <c r="S897" s="26"/>
    </row>
    <row r="898" spans="1:19">
      <c r="A898" s="24"/>
      <c r="B898" s="25" t="s">
        <v>1693</v>
      </c>
      <c r="C898" s="26" t="s">
        <v>1350</v>
      </c>
      <c r="D898" s="351">
        <v>2</v>
      </c>
      <c r="E898" s="24"/>
      <c r="F898" s="351">
        <v>2</v>
      </c>
      <c r="G898" s="351" t="s">
        <v>3308</v>
      </c>
      <c r="H898" s="351"/>
      <c r="I898" s="351" t="s">
        <v>2596</v>
      </c>
      <c r="J898" s="560" t="s">
        <v>2328</v>
      </c>
      <c r="K898" s="311">
        <v>3025009.2275059996</v>
      </c>
      <c r="L898" s="311">
        <v>0</v>
      </c>
      <c r="M898" s="311">
        <v>224418.00000000003</v>
      </c>
      <c r="N898" s="311">
        <v>297383.78233999998</v>
      </c>
      <c r="O898" s="311">
        <v>208168.64763799999</v>
      </c>
      <c r="P898" s="68">
        <f t="shared" ref="P898:P900" si="188">SUM(K898:O898)</f>
        <v>3754979.6574839996</v>
      </c>
      <c r="Q898" s="68">
        <f>D898*P898</f>
        <v>7509959.3149679992</v>
      </c>
      <c r="R898" s="127">
        <f>F898*P898</f>
        <v>7509959.3149679992</v>
      </c>
      <c r="S898" s="26"/>
    </row>
    <row r="899" spans="1:19">
      <c r="A899" s="73">
        <v>1.1000000000000001</v>
      </c>
      <c r="B899" s="72" t="s">
        <v>1482</v>
      </c>
      <c r="C899" s="26" t="s">
        <v>1350</v>
      </c>
      <c r="D899" s="351">
        <v>4</v>
      </c>
      <c r="E899" s="24"/>
      <c r="F899" s="351">
        <v>4</v>
      </c>
      <c r="G899" s="351" t="s">
        <v>3307</v>
      </c>
      <c r="H899" s="351"/>
      <c r="I899" s="351" t="s">
        <v>2596</v>
      </c>
      <c r="J899" s="560" t="s">
        <v>2328</v>
      </c>
      <c r="K899" s="311">
        <v>645936.67044549994</v>
      </c>
      <c r="L899" s="311">
        <v>0</v>
      </c>
      <c r="M899" s="311">
        <v>147391.55000000002</v>
      </c>
      <c r="N899" s="311">
        <v>72303.744995000001</v>
      </c>
      <c r="O899" s="311">
        <v>50612.621496499996</v>
      </c>
      <c r="P899" s="68">
        <f t="shared" si="188"/>
        <v>916244.58693699993</v>
      </c>
      <c r="Q899" s="68">
        <f>D899*P899</f>
        <v>3664978.3477479997</v>
      </c>
      <c r="R899" s="127">
        <f>F899*P899</f>
        <v>3664978.3477479997</v>
      </c>
      <c r="S899" s="329"/>
    </row>
    <row r="900" spans="1:19">
      <c r="A900" s="24">
        <v>1.1100000000000001</v>
      </c>
      <c r="B900" s="72" t="s">
        <v>1408</v>
      </c>
      <c r="C900" s="26" t="s">
        <v>78</v>
      </c>
      <c r="D900" s="351">
        <v>1</v>
      </c>
      <c r="E900" s="24"/>
      <c r="F900" s="351">
        <v>1</v>
      </c>
      <c r="G900" s="351"/>
      <c r="H900" s="351"/>
      <c r="I900" s="351"/>
      <c r="J900" s="560" t="s">
        <v>2381</v>
      </c>
      <c r="K900" s="311">
        <v>110328424.32948002</v>
      </c>
      <c r="L900" s="311">
        <v>0</v>
      </c>
      <c r="M900" s="311">
        <v>23795325.400000006</v>
      </c>
      <c r="N900" s="311">
        <v>11366419.468600001</v>
      </c>
      <c r="O900" s="311">
        <v>7956493.6280200006</v>
      </c>
      <c r="P900" s="68">
        <f t="shared" si="188"/>
        <v>153446662.82610002</v>
      </c>
      <c r="Q900" s="68">
        <f>D900*P900</f>
        <v>153446662.82610002</v>
      </c>
      <c r="R900" s="127">
        <f>F900*P900</f>
        <v>153446662.82610002</v>
      </c>
      <c r="S900" s="26"/>
    </row>
    <row r="901" spans="1:19">
      <c r="A901" s="24">
        <v>1.1200000000000001</v>
      </c>
      <c r="B901" s="27" t="s">
        <v>1429</v>
      </c>
      <c r="C901" s="24"/>
      <c r="D901" s="351"/>
      <c r="E901" s="26"/>
      <c r="F901" s="351"/>
      <c r="G901" s="351"/>
      <c r="H901" s="351"/>
      <c r="I901" s="351"/>
      <c r="J901" s="560"/>
      <c r="K901" s="66"/>
      <c r="L901" s="66"/>
      <c r="M901" s="66"/>
      <c r="N901" s="66"/>
      <c r="O901" s="66"/>
      <c r="P901" s="66"/>
      <c r="Q901" s="66"/>
      <c r="R901" s="66"/>
      <c r="S901" s="26"/>
    </row>
    <row r="902" spans="1:19">
      <c r="A902" s="24"/>
      <c r="B902" s="25" t="s">
        <v>1693</v>
      </c>
      <c r="C902" s="26" t="s">
        <v>1350</v>
      </c>
      <c r="D902" s="351">
        <v>2</v>
      </c>
      <c r="E902" s="26"/>
      <c r="F902" s="351">
        <v>2</v>
      </c>
      <c r="G902" s="351" t="s">
        <v>3336</v>
      </c>
      <c r="H902" s="351"/>
      <c r="I902" s="351" t="s">
        <v>2596</v>
      </c>
      <c r="J902" s="560" t="s">
        <v>2328</v>
      </c>
      <c r="K902" s="311">
        <v>4276719.2258000001</v>
      </c>
      <c r="L902" s="311">
        <v>0</v>
      </c>
      <c r="M902" s="311">
        <v>889988.00000000012</v>
      </c>
      <c r="N902" s="311">
        <v>471119.56200000003</v>
      </c>
      <c r="O902" s="311">
        <v>329783.69340000005</v>
      </c>
      <c r="P902" s="68">
        <f>SUM(K902:O902)</f>
        <v>5967610.4812000003</v>
      </c>
      <c r="Q902" s="68">
        <f>D902*P902</f>
        <v>11935220.962400001</v>
      </c>
      <c r="R902" s="127">
        <f>F902*P902</f>
        <v>11935220.962400001</v>
      </c>
      <c r="S902" s="26"/>
    </row>
    <row r="903" spans="1:19">
      <c r="A903" s="288" t="s">
        <v>2235</v>
      </c>
      <c r="B903" s="385" t="s">
        <v>2234</v>
      </c>
      <c r="C903" s="288"/>
      <c r="D903" s="379"/>
      <c r="E903" s="288"/>
      <c r="F903" s="379"/>
      <c r="G903" s="378"/>
      <c r="H903" s="378"/>
      <c r="I903" s="378"/>
      <c r="J903" s="592"/>
      <c r="K903" s="218"/>
      <c r="L903" s="218"/>
      <c r="M903" s="218"/>
      <c r="N903" s="218"/>
      <c r="O903" s="218"/>
      <c r="P903" s="218"/>
      <c r="Q903" s="218"/>
      <c r="R903" s="218"/>
      <c r="S903" s="378"/>
    </row>
    <row r="904" spans="1:19" ht="28.5">
      <c r="A904" s="215" t="s">
        <v>113</v>
      </c>
      <c r="B904" s="216" t="s">
        <v>1860</v>
      </c>
      <c r="C904" s="24"/>
      <c r="D904" s="351"/>
      <c r="E904" s="24"/>
      <c r="F904" s="351"/>
      <c r="G904" s="26"/>
      <c r="H904" s="26"/>
      <c r="I904" s="26"/>
      <c r="J904" s="559"/>
      <c r="K904" s="66"/>
      <c r="L904" s="66"/>
      <c r="M904" s="66"/>
      <c r="N904" s="66"/>
      <c r="O904" s="66"/>
      <c r="P904" s="66"/>
      <c r="Q904" s="66"/>
      <c r="R904" s="66"/>
      <c r="S904" s="26"/>
    </row>
    <row r="905" spans="1:19">
      <c r="A905" s="24">
        <v>1</v>
      </c>
      <c r="B905" s="72" t="s">
        <v>1697</v>
      </c>
      <c r="C905" s="24"/>
      <c r="D905" s="351"/>
      <c r="E905" s="26"/>
      <c r="F905" s="351"/>
      <c r="G905" s="26"/>
      <c r="H905" s="26"/>
      <c r="I905" s="26"/>
      <c r="J905" s="559"/>
      <c r="K905" s="66"/>
      <c r="L905" s="66"/>
      <c r="M905" s="66"/>
      <c r="N905" s="66"/>
      <c r="O905" s="66"/>
      <c r="P905" s="66"/>
      <c r="Q905" s="66"/>
      <c r="R905" s="66"/>
      <c r="S905" s="26"/>
    </row>
    <row r="906" spans="1:19" ht="30">
      <c r="A906" s="74" t="s">
        <v>1698</v>
      </c>
      <c r="B906" s="75" t="s">
        <v>1699</v>
      </c>
      <c r="C906" s="76" t="s">
        <v>17</v>
      </c>
      <c r="D906" s="351">
        <v>221</v>
      </c>
      <c r="E906" s="724" t="s">
        <v>1700</v>
      </c>
      <c r="F906" s="351">
        <v>221</v>
      </c>
      <c r="G906" s="26"/>
      <c r="H906" s="26"/>
      <c r="I906" s="26"/>
      <c r="J906" s="572" t="s">
        <v>3196</v>
      </c>
      <c r="K906" s="311">
        <v>0</v>
      </c>
      <c r="L906" s="311">
        <v>0</v>
      </c>
      <c r="M906" s="311">
        <v>72416.521739130447</v>
      </c>
      <c r="N906" s="311">
        <v>65174.869565217406</v>
      </c>
      <c r="O906" s="311">
        <v>43449.913043478264</v>
      </c>
      <c r="P906" s="68">
        <f t="shared" ref="P906" si="189">SUM(K906:O906)</f>
        <v>181041.30434782611</v>
      </c>
      <c r="Q906" s="68">
        <f t="shared" ref="Q906:Q922" si="190">D906*P906</f>
        <v>40010128.26086957</v>
      </c>
      <c r="R906" s="127">
        <f t="shared" ref="R906:R922" si="191">F906*P906</f>
        <v>40010128.26086957</v>
      </c>
      <c r="S906" s="26"/>
    </row>
    <row r="907" spans="1:19" ht="30">
      <c r="A907" s="74" t="s">
        <v>1348</v>
      </c>
      <c r="B907" s="75" t="s">
        <v>1701</v>
      </c>
      <c r="C907" s="76" t="s">
        <v>17</v>
      </c>
      <c r="D907" s="351">
        <v>34</v>
      </c>
      <c r="E907" s="724"/>
      <c r="F907" s="351">
        <v>34</v>
      </c>
      <c r="G907" s="26"/>
      <c r="H907" s="26"/>
      <c r="I907" s="26"/>
      <c r="J907" s="572" t="s">
        <v>3196</v>
      </c>
      <c r="K907" s="311">
        <v>0</v>
      </c>
      <c r="L907" s="311">
        <v>0</v>
      </c>
      <c r="M907" s="311">
        <v>96555.652173913055</v>
      </c>
      <c r="N907" s="311">
        <v>86900.086956521758</v>
      </c>
      <c r="O907" s="311">
        <v>57933.391304347831</v>
      </c>
      <c r="P907" s="68">
        <f t="shared" ref="P907:P922" si="192">SUM(K907:O907)</f>
        <v>241389.13043478265</v>
      </c>
      <c r="Q907" s="68">
        <f t="shared" si="190"/>
        <v>8207230.4347826103</v>
      </c>
      <c r="R907" s="127">
        <f t="shared" si="191"/>
        <v>8207230.4347826103</v>
      </c>
      <c r="S907" s="26"/>
    </row>
    <row r="908" spans="1:19" ht="30">
      <c r="A908" s="74" t="s">
        <v>1351</v>
      </c>
      <c r="B908" s="75" t="s">
        <v>1702</v>
      </c>
      <c r="C908" s="76" t="s">
        <v>117</v>
      </c>
      <c r="D908" s="351">
        <v>84.180999999999997</v>
      </c>
      <c r="E908" s="724" t="s">
        <v>1703</v>
      </c>
      <c r="F908" s="351">
        <v>84.180999999999997</v>
      </c>
      <c r="G908" s="351" t="s">
        <v>3164</v>
      </c>
      <c r="H908" s="351"/>
      <c r="I908" s="351" t="s">
        <v>3165</v>
      </c>
      <c r="J908" s="560" t="s">
        <v>3166</v>
      </c>
      <c r="K908" s="311">
        <v>49839.000000000007</v>
      </c>
      <c r="L908" s="311">
        <v>0</v>
      </c>
      <c r="M908" s="311">
        <v>71592.091666666674</v>
      </c>
      <c r="N908" s="311">
        <v>10825.583333333336</v>
      </c>
      <c r="O908" s="311">
        <v>7577.9083333333347</v>
      </c>
      <c r="P908" s="68">
        <f t="shared" si="192"/>
        <v>139834.58333333334</v>
      </c>
      <c r="Q908" s="68">
        <f t="shared" si="190"/>
        <v>11771415.059583334</v>
      </c>
      <c r="R908" s="127">
        <f t="shared" si="191"/>
        <v>11771415.059583334</v>
      </c>
      <c r="S908" s="26"/>
    </row>
    <row r="909" spans="1:19" ht="30">
      <c r="A909" s="74" t="s">
        <v>1590</v>
      </c>
      <c r="B909" s="75" t="s">
        <v>1704</v>
      </c>
      <c r="C909" s="76" t="s">
        <v>117</v>
      </c>
      <c r="D909" s="351">
        <v>132.077</v>
      </c>
      <c r="E909" s="724"/>
      <c r="F909" s="351">
        <v>132.077</v>
      </c>
      <c r="G909" s="351" t="s">
        <v>3167</v>
      </c>
      <c r="H909" s="351"/>
      <c r="I909" s="351" t="s">
        <v>3165</v>
      </c>
      <c r="J909" s="560" t="s">
        <v>3166</v>
      </c>
      <c r="K909" s="311">
        <v>73482</v>
      </c>
      <c r="L909" s="311">
        <v>0</v>
      </c>
      <c r="M909" s="311">
        <v>79878.758333333346</v>
      </c>
      <c r="N909" s="311">
        <v>13688.91666666667</v>
      </c>
      <c r="O909" s="311">
        <v>9582.2416666666686</v>
      </c>
      <c r="P909" s="68">
        <f t="shared" si="192"/>
        <v>176631.91666666669</v>
      </c>
      <c r="Q909" s="68">
        <f t="shared" si="190"/>
        <v>23329013.657583337</v>
      </c>
      <c r="R909" s="127">
        <f t="shared" si="191"/>
        <v>23329013.657583337</v>
      </c>
      <c r="S909" s="26"/>
    </row>
    <row r="910" spans="1:19" ht="30">
      <c r="A910" s="74" t="s">
        <v>1590</v>
      </c>
      <c r="B910" s="75" t="s">
        <v>1705</v>
      </c>
      <c r="C910" s="76" t="s">
        <v>117</v>
      </c>
      <c r="D910" s="351">
        <v>83.67</v>
      </c>
      <c r="E910" s="724"/>
      <c r="F910" s="351">
        <v>83.67</v>
      </c>
      <c r="G910" s="351" t="s">
        <v>3168</v>
      </c>
      <c r="H910" s="351"/>
      <c r="I910" s="351" t="s">
        <v>3165</v>
      </c>
      <c r="J910" s="560" t="s">
        <v>3166</v>
      </c>
      <c r="K910" s="311">
        <v>116994.00000000001</v>
      </c>
      <c r="L910" s="311">
        <v>0</v>
      </c>
      <c r="M910" s="311">
        <v>84705.741666666683</v>
      </c>
      <c r="N910" s="311">
        <v>18036.083333333336</v>
      </c>
      <c r="O910" s="311">
        <v>12625.258333333335</v>
      </c>
      <c r="P910" s="68">
        <f t="shared" si="192"/>
        <v>232361.08333333337</v>
      </c>
      <c r="Q910" s="68">
        <f t="shared" si="190"/>
        <v>19441651.842500005</v>
      </c>
      <c r="R910" s="127">
        <f t="shared" si="191"/>
        <v>19441651.842500005</v>
      </c>
      <c r="S910" s="26"/>
    </row>
    <row r="911" spans="1:19" ht="30">
      <c r="A911" s="74" t="s">
        <v>1706</v>
      </c>
      <c r="B911" s="75" t="s">
        <v>1707</v>
      </c>
      <c r="C911" s="76" t="s">
        <v>117</v>
      </c>
      <c r="D911" s="351">
        <v>132.20099999999999</v>
      </c>
      <c r="E911" s="724"/>
      <c r="F911" s="351">
        <v>132.20099999999999</v>
      </c>
      <c r="G911" s="351" t="s">
        <v>3169</v>
      </c>
      <c r="H911" s="351"/>
      <c r="I911" s="351" t="s">
        <v>3165</v>
      </c>
      <c r="J911" s="560" t="s">
        <v>3166</v>
      </c>
      <c r="K911" s="311">
        <v>144966</v>
      </c>
      <c r="L911" s="311">
        <v>0</v>
      </c>
      <c r="M911" s="311">
        <v>91155.216666666689</v>
      </c>
      <c r="N911" s="311">
        <v>21126.833333333336</v>
      </c>
      <c r="O911" s="311">
        <v>14788.783333333335</v>
      </c>
      <c r="P911" s="68">
        <f t="shared" si="192"/>
        <v>272036.83333333337</v>
      </c>
      <c r="Q911" s="68">
        <f t="shared" si="190"/>
        <v>35963541.403500006</v>
      </c>
      <c r="R911" s="127">
        <f t="shared" si="191"/>
        <v>35963541.403500006</v>
      </c>
      <c r="S911" s="26"/>
    </row>
    <row r="912" spans="1:19" ht="30">
      <c r="A912" s="74" t="s">
        <v>1708</v>
      </c>
      <c r="B912" s="75" t="s">
        <v>1709</v>
      </c>
      <c r="C912" s="76" t="s">
        <v>117</v>
      </c>
      <c r="D912" s="351">
        <v>205.232</v>
      </c>
      <c r="E912" s="724" t="s">
        <v>1700</v>
      </c>
      <c r="F912" s="351">
        <v>205.232</v>
      </c>
      <c r="G912" s="351" t="s">
        <v>3170</v>
      </c>
      <c r="H912" s="351"/>
      <c r="I912" s="351" t="s">
        <v>3165</v>
      </c>
      <c r="J912" s="560" t="s">
        <v>3166</v>
      </c>
      <c r="K912" s="311">
        <v>54612.000000000007</v>
      </c>
      <c r="L912" s="311">
        <v>0</v>
      </c>
      <c r="M912" s="311">
        <v>36717.466666666674</v>
      </c>
      <c r="N912" s="311">
        <v>8169.3333333333348</v>
      </c>
      <c r="O912" s="311">
        <v>5718.5333333333347</v>
      </c>
      <c r="P912" s="68">
        <f t="shared" si="192"/>
        <v>105217.33333333334</v>
      </c>
      <c r="Q912" s="68">
        <f t="shared" si="190"/>
        <v>21593963.754666667</v>
      </c>
      <c r="R912" s="127">
        <f t="shared" si="191"/>
        <v>21593963.754666667</v>
      </c>
      <c r="S912" s="26"/>
    </row>
    <row r="913" spans="1:19" ht="30">
      <c r="A913" s="74" t="s">
        <v>1710</v>
      </c>
      <c r="B913" s="75" t="s">
        <v>1711</v>
      </c>
      <c r="C913" s="76" t="s">
        <v>117</v>
      </c>
      <c r="D913" s="351">
        <v>1834.13</v>
      </c>
      <c r="E913" s="724"/>
      <c r="F913" s="351">
        <v>1834.13</v>
      </c>
      <c r="G913" s="351" t="s">
        <v>3171</v>
      </c>
      <c r="H913" s="351"/>
      <c r="I913" s="351" t="s">
        <v>3165</v>
      </c>
      <c r="J913" s="560" t="s">
        <v>3166</v>
      </c>
      <c r="K913" s="311">
        <v>81585</v>
      </c>
      <c r="L913" s="311">
        <v>0</v>
      </c>
      <c r="M913" s="311">
        <v>41232.758333333346</v>
      </c>
      <c r="N913" s="311">
        <v>10998.916666666668</v>
      </c>
      <c r="O913" s="311">
        <v>7699.2416666666677</v>
      </c>
      <c r="P913" s="68">
        <f t="shared" si="192"/>
        <v>141515.91666666669</v>
      </c>
      <c r="Q913" s="68">
        <f t="shared" si="190"/>
        <v>259558588.23583338</v>
      </c>
      <c r="R913" s="127">
        <f t="shared" si="191"/>
        <v>259558588.23583338</v>
      </c>
      <c r="S913" s="26"/>
    </row>
    <row r="914" spans="1:19" ht="30">
      <c r="A914" s="74" t="s">
        <v>1712</v>
      </c>
      <c r="B914" s="75" t="s">
        <v>1705</v>
      </c>
      <c r="C914" s="76" t="s">
        <v>117</v>
      </c>
      <c r="D914" s="351">
        <v>273.93899999999996</v>
      </c>
      <c r="E914" s="724"/>
      <c r="F914" s="351">
        <v>273.93899999999996</v>
      </c>
      <c r="G914" s="351" t="s">
        <v>3168</v>
      </c>
      <c r="H914" s="351"/>
      <c r="I914" s="351" t="s">
        <v>3165</v>
      </c>
      <c r="J914" s="560" t="s">
        <v>3166</v>
      </c>
      <c r="K914" s="311">
        <v>116994.00000000001</v>
      </c>
      <c r="L914" s="311">
        <v>0</v>
      </c>
      <c r="M914" s="311">
        <v>43404.241666666676</v>
      </c>
      <c r="N914" s="311">
        <v>14381.083333333336</v>
      </c>
      <c r="O914" s="311">
        <v>10066.758333333335</v>
      </c>
      <c r="P914" s="68">
        <f t="shared" si="192"/>
        <v>184846.08333333337</v>
      </c>
      <c r="Q914" s="68">
        <f t="shared" si="190"/>
        <v>50636551.222250007</v>
      </c>
      <c r="R914" s="127">
        <f t="shared" si="191"/>
        <v>50636551.222250007</v>
      </c>
      <c r="S914" s="26"/>
    </row>
    <row r="915" spans="1:19" ht="30">
      <c r="A915" s="74" t="s">
        <v>1713</v>
      </c>
      <c r="B915" s="75" t="s">
        <v>1714</v>
      </c>
      <c r="C915" s="76" t="s">
        <v>117</v>
      </c>
      <c r="D915" s="351">
        <v>1658.5649999999998</v>
      </c>
      <c r="E915" s="724"/>
      <c r="F915" s="351">
        <v>1658.5649999999998</v>
      </c>
      <c r="G915" s="351" t="s">
        <v>3172</v>
      </c>
      <c r="H915" s="351"/>
      <c r="I915" s="351" t="s">
        <v>3165</v>
      </c>
      <c r="J915" s="560" t="s">
        <v>3166</v>
      </c>
      <c r="K915" s="311">
        <v>171717.00000000003</v>
      </c>
      <c r="L915" s="311">
        <v>0</v>
      </c>
      <c r="M915" s="311">
        <v>47085.216666666674</v>
      </c>
      <c r="N915" s="311">
        <v>19636.833333333336</v>
      </c>
      <c r="O915" s="311">
        <v>13745.783333333335</v>
      </c>
      <c r="P915" s="68">
        <f t="shared" si="192"/>
        <v>252184.83333333337</v>
      </c>
      <c r="Q915" s="68">
        <f t="shared" si="190"/>
        <v>418264938.09750003</v>
      </c>
      <c r="R915" s="127">
        <f t="shared" si="191"/>
        <v>418264938.09750003</v>
      </c>
      <c r="S915" s="26"/>
    </row>
    <row r="916" spans="1:19" ht="30">
      <c r="A916" s="74" t="s">
        <v>1715</v>
      </c>
      <c r="B916" s="75" t="s">
        <v>1716</v>
      </c>
      <c r="C916" s="76" t="s">
        <v>117</v>
      </c>
      <c r="D916" s="351">
        <v>1531.1690000000001</v>
      </c>
      <c r="E916" s="724"/>
      <c r="F916" s="351">
        <v>1531.1690000000001</v>
      </c>
      <c r="G916" s="351" t="s">
        <v>3173</v>
      </c>
      <c r="H916" s="351"/>
      <c r="I916" s="351" t="s">
        <v>3165</v>
      </c>
      <c r="J916" s="560" t="s">
        <v>3166</v>
      </c>
      <c r="K916" s="311">
        <v>206238.00000000003</v>
      </c>
      <c r="L916" s="311">
        <v>0</v>
      </c>
      <c r="M916" s="311">
        <v>53727.733333333344</v>
      </c>
      <c r="N916" s="311">
        <v>23334.666666666672</v>
      </c>
      <c r="O916" s="311">
        <v>16334.26666666667</v>
      </c>
      <c r="P916" s="68">
        <f t="shared" si="192"/>
        <v>299634.66666666669</v>
      </c>
      <c r="Q916" s="68">
        <f t="shared" si="190"/>
        <v>458791312.92533338</v>
      </c>
      <c r="R916" s="127">
        <f t="shared" si="191"/>
        <v>458791312.92533338</v>
      </c>
      <c r="S916" s="26"/>
    </row>
    <row r="917" spans="1:19" ht="30">
      <c r="A917" s="74" t="s">
        <v>1717</v>
      </c>
      <c r="B917" s="75" t="s">
        <v>1718</v>
      </c>
      <c r="C917" s="76" t="s">
        <v>117</v>
      </c>
      <c r="D917" s="351">
        <v>213.732</v>
      </c>
      <c r="E917" s="724"/>
      <c r="F917" s="351">
        <v>213.732</v>
      </c>
      <c r="G917" s="351" t="s">
        <v>3174</v>
      </c>
      <c r="H917" s="351"/>
      <c r="I917" s="351" t="s">
        <v>3165</v>
      </c>
      <c r="J917" s="560" t="s">
        <v>3166</v>
      </c>
      <c r="K917" s="311">
        <v>262404</v>
      </c>
      <c r="L917" s="311">
        <v>0</v>
      </c>
      <c r="M917" s="311">
        <v>63369.458333333343</v>
      </c>
      <c r="N917" s="311">
        <v>29247.916666666672</v>
      </c>
      <c r="O917" s="311">
        <v>20473.541666666672</v>
      </c>
      <c r="P917" s="68">
        <f t="shared" si="192"/>
        <v>375494.91666666674</v>
      </c>
      <c r="Q917" s="68">
        <f t="shared" si="190"/>
        <v>80255279.529000014</v>
      </c>
      <c r="R917" s="127">
        <f t="shared" si="191"/>
        <v>80255279.529000014</v>
      </c>
      <c r="S917" s="26"/>
    </row>
    <row r="918" spans="1:19" ht="30">
      <c r="A918" s="74" t="s">
        <v>1719</v>
      </c>
      <c r="B918" s="75" t="s">
        <v>1720</v>
      </c>
      <c r="C918" s="76" t="s">
        <v>117</v>
      </c>
      <c r="D918" s="351">
        <v>352.46400000000006</v>
      </c>
      <c r="E918" s="724"/>
      <c r="F918" s="351">
        <v>352.46400000000006</v>
      </c>
      <c r="G918" s="351" t="s">
        <v>3175</v>
      </c>
      <c r="H918" s="351"/>
      <c r="I918" s="351" t="s">
        <v>3165</v>
      </c>
      <c r="J918" s="560" t="s">
        <v>3166</v>
      </c>
      <c r="K918" s="311">
        <v>387279.00000000006</v>
      </c>
      <c r="L918" s="311">
        <v>0</v>
      </c>
      <c r="M918" s="311">
        <v>66750.041666666672</v>
      </c>
      <c r="N918" s="311">
        <v>40797.083333333336</v>
      </c>
      <c r="O918" s="311">
        <v>28557.958333333336</v>
      </c>
      <c r="P918" s="68">
        <f t="shared" si="192"/>
        <v>523384.08333333337</v>
      </c>
      <c r="Q918" s="68">
        <f t="shared" si="190"/>
        <v>184474047.54800004</v>
      </c>
      <c r="R918" s="127">
        <f t="shared" si="191"/>
        <v>184474047.54800004</v>
      </c>
      <c r="S918" s="26"/>
    </row>
    <row r="919" spans="1:19" ht="30">
      <c r="A919" s="74" t="s">
        <v>1721</v>
      </c>
      <c r="B919" s="75" t="s">
        <v>1722</v>
      </c>
      <c r="C919" s="76" t="s">
        <v>117</v>
      </c>
      <c r="D919" s="351">
        <v>219.74200000000002</v>
      </c>
      <c r="E919" s="724"/>
      <c r="F919" s="351">
        <v>219.74200000000002</v>
      </c>
      <c r="G919" s="351" t="s">
        <v>3176</v>
      </c>
      <c r="H919" s="351"/>
      <c r="I919" s="351" t="s">
        <v>3165</v>
      </c>
      <c r="J919" s="560" t="s">
        <v>3166</v>
      </c>
      <c r="K919" s="311">
        <v>471195.00000000006</v>
      </c>
      <c r="L919" s="311">
        <v>0</v>
      </c>
      <c r="M919" s="311">
        <v>71049.69166666668</v>
      </c>
      <c r="N919" s="311">
        <v>48737.583333333336</v>
      </c>
      <c r="O919" s="311">
        <v>34116.308333333334</v>
      </c>
      <c r="P919" s="68">
        <f t="shared" si="192"/>
        <v>625098.58333333349</v>
      </c>
      <c r="Q919" s="68">
        <f t="shared" si="190"/>
        <v>137360412.89883336</v>
      </c>
      <c r="R919" s="127">
        <f t="shared" si="191"/>
        <v>137360412.89883336</v>
      </c>
      <c r="S919" s="26"/>
    </row>
    <row r="920" spans="1:19" ht="30">
      <c r="A920" s="74" t="s">
        <v>1723</v>
      </c>
      <c r="B920" s="75" t="s">
        <v>1724</v>
      </c>
      <c r="C920" s="76" t="s">
        <v>117</v>
      </c>
      <c r="D920" s="351">
        <v>1064.037</v>
      </c>
      <c r="E920" s="724"/>
      <c r="F920" s="351">
        <v>1064.037</v>
      </c>
      <c r="G920" s="351" t="s">
        <v>3177</v>
      </c>
      <c r="H920" s="351"/>
      <c r="I920" s="351" t="s">
        <v>3165</v>
      </c>
      <c r="J920" s="560" t="s">
        <v>3166</v>
      </c>
      <c r="K920" s="311">
        <v>644799</v>
      </c>
      <c r="L920" s="311">
        <v>0</v>
      </c>
      <c r="M920" s="311">
        <v>74131.766666666692</v>
      </c>
      <c r="N920" s="311">
        <v>64650.333333333343</v>
      </c>
      <c r="O920" s="311">
        <v>45255.233333333337</v>
      </c>
      <c r="P920" s="68">
        <f t="shared" si="192"/>
        <v>828836.33333333349</v>
      </c>
      <c r="Q920" s="68">
        <f t="shared" si="190"/>
        <v>881912525.61100018</v>
      </c>
      <c r="R920" s="127">
        <f t="shared" si="191"/>
        <v>881912525.61100018</v>
      </c>
      <c r="S920" s="30"/>
    </row>
    <row r="921" spans="1:19">
      <c r="A921" s="74" t="s">
        <v>1725</v>
      </c>
      <c r="B921" s="75" t="s">
        <v>1726</v>
      </c>
      <c r="C921" s="76" t="s">
        <v>1727</v>
      </c>
      <c r="D921" s="351">
        <v>490</v>
      </c>
      <c r="E921" s="724"/>
      <c r="F921" s="351">
        <v>490</v>
      </c>
      <c r="G921" s="351" t="s">
        <v>3178</v>
      </c>
      <c r="H921" s="351"/>
      <c r="I921" s="351" t="s">
        <v>3179</v>
      </c>
      <c r="J921" s="560" t="s">
        <v>2671</v>
      </c>
      <c r="K921" s="311">
        <v>211536.00000000003</v>
      </c>
      <c r="L921" s="311">
        <v>0</v>
      </c>
      <c r="M921" s="311">
        <v>58956.808333333342</v>
      </c>
      <c r="N921" s="311">
        <v>23937.416666666672</v>
      </c>
      <c r="O921" s="311">
        <v>16756.191666666669</v>
      </c>
      <c r="P921" s="68">
        <f t="shared" si="192"/>
        <v>311186.41666666669</v>
      </c>
      <c r="Q921" s="68">
        <f t="shared" si="190"/>
        <v>152481344.16666669</v>
      </c>
      <c r="R921" s="127">
        <f t="shared" si="191"/>
        <v>152481344.16666669</v>
      </c>
      <c r="S921" s="329"/>
    </row>
    <row r="922" spans="1:19">
      <c r="A922" s="74" t="s">
        <v>1728</v>
      </c>
      <c r="B922" s="75" t="s">
        <v>1729</v>
      </c>
      <c r="C922" s="76" t="s">
        <v>78</v>
      </c>
      <c r="D922" s="351">
        <v>1</v>
      </c>
      <c r="E922" s="26"/>
      <c r="F922" s="351">
        <v>1</v>
      </c>
      <c r="G922" s="351"/>
      <c r="H922" s="351"/>
      <c r="I922" s="351"/>
      <c r="J922" s="560" t="s">
        <v>2381</v>
      </c>
      <c r="K922" s="311">
        <v>289985887.11810005</v>
      </c>
      <c r="L922" s="311">
        <v>0</v>
      </c>
      <c r="M922" s="311">
        <v>66208914.065292507</v>
      </c>
      <c r="N922" s="311">
        <v>30186000.100287504</v>
      </c>
      <c r="O922" s="311">
        <v>21130200.070201255</v>
      </c>
      <c r="P922" s="68">
        <f t="shared" si="192"/>
        <v>407511001.3538813</v>
      </c>
      <c r="Q922" s="68">
        <f t="shared" si="190"/>
        <v>407511001.3538813</v>
      </c>
      <c r="R922" s="127">
        <f t="shared" si="191"/>
        <v>407511001.3538813</v>
      </c>
      <c r="S922" s="36"/>
    </row>
    <row r="923" spans="1:19">
      <c r="A923" s="24">
        <v>2</v>
      </c>
      <c r="B923" s="72" t="s">
        <v>1730</v>
      </c>
      <c r="C923" s="24"/>
      <c r="D923" s="351"/>
      <c r="E923" s="26"/>
      <c r="F923" s="351"/>
      <c r="G923" s="15"/>
      <c r="H923" s="15"/>
      <c r="I923" s="15"/>
      <c r="J923" s="572"/>
      <c r="K923" s="66"/>
      <c r="L923" s="66"/>
      <c r="M923" s="66"/>
      <c r="N923" s="66"/>
      <c r="O923" s="66"/>
      <c r="P923" s="66"/>
      <c r="Q923" s="66"/>
      <c r="R923" s="66"/>
      <c r="S923" s="15"/>
    </row>
    <row r="924" spans="1:19" ht="30">
      <c r="A924" s="74">
        <v>2.1</v>
      </c>
      <c r="B924" s="75" t="s">
        <v>1731</v>
      </c>
      <c r="C924" s="76" t="s">
        <v>117</v>
      </c>
      <c r="D924" s="351">
        <v>37.673999999999999</v>
      </c>
      <c r="E924" s="26"/>
      <c r="F924" s="351">
        <v>37.673999999999999</v>
      </c>
      <c r="G924" s="351" t="s">
        <v>3180</v>
      </c>
      <c r="H924" s="351"/>
      <c r="I924" s="351" t="s">
        <v>3181</v>
      </c>
      <c r="J924" s="560" t="s">
        <v>3166</v>
      </c>
      <c r="K924" s="311">
        <v>21466.61</v>
      </c>
      <c r="L924" s="311">
        <v>0</v>
      </c>
      <c r="M924" s="311">
        <v>66191.633333333346</v>
      </c>
      <c r="N924" s="311">
        <v>7757.3666666666677</v>
      </c>
      <c r="O924" s="311">
        <v>5430.1566666666677</v>
      </c>
      <c r="P924" s="68">
        <f t="shared" ref="P924:P934" si="193">SUM(K924:O924)</f>
        <v>100845.76666666668</v>
      </c>
      <c r="Q924" s="68">
        <f t="shared" ref="Q924:Q934" si="194">D924*P924</f>
        <v>3799263.4134000004</v>
      </c>
      <c r="R924" s="127">
        <f t="shared" ref="R924:R934" si="195">F924*P924</f>
        <v>3799263.4134000004</v>
      </c>
      <c r="S924" s="18"/>
    </row>
    <row r="925" spans="1:19" ht="30">
      <c r="A925" s="74">
        <v>2.2000000000000002</v>
      </c>
      <c r="B925" s="75" t="s">
        <v>1732</v>
      </c>
      <c r="C925" s="76" t="s">
        <v>117</v>
      </c>
      <c r="D925" s="351">
        <v>1128.607</v>
      </c>
      <c r="E925" s="26"/>
      <c r="F925" s="351">
        <v>1128.607</v>
      </c>
      <c r="G925" s="351" t="s">
        <v>3182</v>
      </c>
      <c r="H925" s="351"/>
      <c r="I925" s="351" t="s">
        <v>3181</v>
      </c>
      <c r="J925" s="560" t="s">
        <v>3166</v>
      </c>
      <c r="K925" s="311">
        <v>25626.140000000003</v>
      </c>
      <c r="L925" s="311">
        <v>0</v>
      </c>
      <c r="M925" s="311">
        <v>31356.558333333338</v>
      </c>
      <c r="N925" s="311">
        <v>5042.7166666666672</v>
      </c>
      <c r="O925" s="311">
        <v>3529.9016666666676</v>
      </c>
      <c r="P925" s="68">
        <f t="shared" si="193"/>
        <v>65555.31666666668</v>
      </c>
      <c r="Q925" s="68">
        <f t="shared" si="194"/>
        <v>73986189.277216673</v>
      </c>
      <c r="R925" s="127">
        <f t="shared" si="195"/>
        <v>73986189.277216673</v>
      </c>
      <c r="S925" s="15"/>
    </row>
    <row r="926" spans="1:19" ht="30">
      <c r="A926" s="74">
        <v>2.2999999999999998</v>
      </c>
      <c r="B926" s="75" t="s">
        <v>1733</v>
      </c>
      <c r="C926" s="76" t="s">
        <v>117</v>
      </c>
      <c r="D926" s="351">
        <v>470.8</v>
      </c>
      <c r="E926" s="26"/>
      <c r="F926" s="351">
        <v>470.8</v>
      </c>
      <c r="G926" s="351" t="s">
        <v>3183</v>
      </c>
      <c r="H926" s="351"/>
      <c r="I926" s="351" t="s">
        <v>3181</v>
      </c>
      <c r="J926" s="560" t="s">
        <v>3166</v>
      </c>
      <c r="K926" s="311">
        <v>32707.850000000002</v>
      </c>
      <c r="L926" s="311">
        <v>0</v>
      </c>
      <c r="M926" s="311">
        <v>34937.716666666674</v>
      </c>
      <c r="N926" s="311">
        <v>5986.3333333333339</v>
      </c>
      <c r="O926" s="311">
        <v>4190.4333333333343</v>
      </c>
      <c r="P926" s="68">
        <f t="shared" si="193"/>
        <v>77822.333333333343</v>
      </c>
      <c r="Q926" s="68">
        <f t="shared" si="194"/>
        <v>36638754.533333339</v>
      </c>
      <c r="R926" s="127">
        <f t="shared" si="195"/>
        <v>36638754.533333339</v>
      </c>
      <c r="S926" s="15"/>
    </row>
    <row r="927" spans="1:19" ht="30">
      <c r="A927" s="74">
        <v>2.4</v>
      </c>
      <c r="B927" s="75" t="s">
        <v>1734</v>
      </c>
      <c r="C927" s="76" t="s">
        <v>117</v>
      </c>
      <c r="D927" s="351">
        <v>327.42000000000007</v>
      </c>
      <c r="E927" s="26"/>
      <c r="F927" s="351">
        <v>327.42000000000007</v>
      </c>
      <c r="G927" s="351" t="s">
        <v>3184</v>
      </c>
      <c r="H927" s="351"/>
      <c r="I927" s="351" t="s">
        <v>3181</v>
      </c>
      <c r="J927" s="560" t="s">
        <v>3166</v>
      </c>
      <c r="K927" s="311">
        <v>44732.180000000008</v>
      </c>
      <c r="L927" s="311">
        <v>0</v>
      </c>
      <c r="M927" s="311">
        <v>39371.083333333343</v>
      </c>
      <c r="N927" s="311">
        <v>7442.7666666666673</v>
      </c>
      <c r="O927" s="311">
        <v>5209.9366666666674</v>
      </c>
      <c r="P927" s="68">
        <f t="shared" si="193"/>
        <v>96755.966666666674</v>
      </c>
      <c r="Q927" s="68">
        <f t="shared" si="194"/>
        <v>31679838.60600001</v>
      </c>
      <c r="R927" s="127">
        <f t="shared" si="195"/>
        <v>31679838.60600001</v>
      </c>
      <c r="S927" s="18"/>
    </row>
    <row r="928" spans="1:19" ht="30">
      <c r="A928" s="74">
        <v>2.5</v>
      </c>
      <c r="B928" s="75" t="s">
        <v>1735</v>
      </c>
      <c r="C928" s="76" t="s">
        <v>117</v>
      </c>
      <c r="D928" s="351">
        <v>1019.047</v>
      </c>
      <c r="E928" s="26"/>
      <c r="F928" s="351">
        <v>1019.047</v>
      </c>
      <c r="G928" s="351" t="s">
        <v>3185</v>
      </c>
      <c r="H928" s="351"/>
      <c r="I928" s="351" t="s">
        <v>3181</v>
      </c>
      <c r="J928" s="560" t="s">
        <v>3166</v>
      </c>
      <c r="K928" s="311">
        <v>46134.51</v>
      </c>
      <c r="L928" s="311">
        <v>0</v>
      </c>
      <c r="M928" s="311">
        <v>45568.191666666673</v>
      </c>
      <c r="N928" s="311">
        <v>8115.2833333333347</v>
      </c>
      <c r="O928" s="311">
        <v>5680.6983333333346</v>
      </c>
      <c r="P928" s="68">
        <f t="shared" si="193"/>
        <v>105498.68333333335</v>
      </c>
      <c r="Q928" s="68">
        <f t="shared" si="194"/>
        <v>107508116.75478335</v>
      </c>
      <c r="R928" s="127">
        <f t="shared" si="195"/>
        <v>107508116.75478335</v>
      </c>
      <c r="S928" s="15"/>
    </row>
    <row r="929" spans="1:19" ht="30">
      <c r="A929" s="74">
        <v>2.6</v>
      </c>
      <c r="B929" s="75" t="s">
        <v>1736</v>
      </c>
      <c r="C929" s="76" t="s">
        <v>117</v>
      </c>
      <c r="D929" s="351">
        <v>94.882999999999996</v>
      </c>
      <c r="E929" s="26"/>
      <c r="F929" s="351">
        <v>94.882999999999996</v>
      </c>
      <c r="G929" s="351" t="s">
        <v>3186</v>
      </c>
      <c r="H929" s="351"/>
      <c r="I929" s="351" t="s">
        <v>3181</v>
      </c>
      <c r="J929" s="560" t="s">
        <v>3166</v>
      </c>
      <c r="K929" s="311">
        <v>59816.55</v>
      </c>
      <c r="L929" s="311">
        <v>0</v>
      </c>
      <c r="M929" s="311">
        <v>47456.233333333344</v>
      </c>
      <c r="N929" s="311">
        <v>9493.1666666666679</v>
      </c>
      <c r="O929" s="311">
        <v>6645.2166666666681</v>
      </c>
      <c r="P929" s="68">
        <f t="shared" si="193"/>
        <v>123411.1666666667</v>
      </c>
      <c r="Q929" s="68">
        <f t="shared" si="194"/>
        <v>11709621.726833336</v>
      </c>
      <c r="R929" s="127">
        <f t="shared" si="195"/>
        <v>11709621.726833336</v>
      </c>
      <c r="S929" s="37"/>
    </row>
    <row r="930" spans="1:19" ht="30">
      <c r="A930" s="74">
        <v>2.7</v>
      </c>
      <c r="B930" s="75" t="s">
        <v>1737</v>
      </c>
      <c r="C930" s="76" t="s">
        <v>117</v>
      </c>
      <c r="D930" s="351">
        <v>36.076000000000001</v>
      </c>
      <c r="E930" s="26"/>
      <c r="F930" s="351">
        <v>36.076000000000001</v>
      </c>
      <c r="G930" s="351" t="s">
        <v>3187</v>
      </c>
      <c r="H930" s="351"/>
      <c r="I930" s="351" t="s">
        <v>3181</v>
      </c>
      <c r="J930" s="560" t="s">
        <v>3166</v>
      </c>
      <c r="K930" s="311">
        <v>89367.180000000008</v>
      </c>
      <c r="L930" s="311">
        <v>0</v>
      </c>
      <c r="M930" s="311">
        <v>53626.033333333347</v>
      </c>
      <c r="N930" s="311">
        <v>12654.266666666668</v>
      </c>
      <c r="O930" s="311">
        <v>8857.9866666666676</v>
      </c>
      <c r="P930" s="68">
        <f t="shared" si="193"/>
        <v>164505.46666666667</v>
      </c>
      <c r="Q930" s="68">
        <f t="shared" si="194"/>
        <v>5934699.215466667</v>
      </c>
      <c r="R930" s="127">
        <f t="shared" si="195"/>
        <v>5934699.215466667</v>
      </c>
      <c r="S930" s="37"/>
    </row>
    <row r="931" spans="1:19" ht="30">
      <c r="A931" s="74">
        <v>2.7</v>
      </c>
      <c r="B931" s="75" t="s">
        <v>1738</v>
      </c>
      <c r="C931" s="76" t="s">
        <v>117</v>
      </c>
      <c r="D931" s="351">
        <v>179.13</v>
      </c>
      <c r="E931" s="26"/>
      <c r="F931" s="351">
        <v>179.13</v>
      </c>
      <c r="G931" s="351" t="s">
        <v>3188</v>
      </c>
      <c r="H931" s="351"/>
      <c r="I931" s="351" t="s">
        <v>3181</v>
      </c>
      <c r="J931" s="560" t="s">
        <v>3166</v>
      </c>
      <c r="K931" s="311">
        <v>113890.44000000002</v>
      </c>
      <c r="L931" s="311">
        <v>0</v>
      </c>
      <c r="M931" s="311">
        <v>63477.750000000007</v>
      </c>
      <c r="N931" s="311">
        <v>15696.300000000001</v>
      </c>
      <c r="O931" s="311">
        <v>10987.410000000002</v>
      </c>
      <c r="P931" s="68">
        <f t="shared" si="193"/>
        <v>204051.90000000002</v>
      </c>
      <c r="Q931" s="68">
        <f t="shared" si="194"/>
        <v>36551816.847000003</v>
      </c>
      <c r="R931" s="127">
        <f t="shared" si="195"/>
        <v>36551816.847000003</v>
      </c>
      <c r="S931" s="37"/>
    </row>
    <row r="932" spans="1:19" ht="30">
      <c r="A932" s="74">
        <v>2.8</v>
      </c>
      <c r="B932" s="75" t="s">
        <v>1739</v>
      </c>
      <c r="C932" s="76" t="s">
        <v>117</v>
      </c>
      <c r="D932" s="351">
        <v>97.569000000000003</v>
      </c>
      <c r="E932" s="26"/>
      <c r="F932" s="351">
        <v>97.569000000000003</v>
      </c>
      <c r="G932" s="351" t="s">
        <v>3189</v>
      </c>
      <c r="H932" s="351"/>
      <c r="I932" s="351" t="s">
        <v>3181</v>
      </c>
      <c r="J932" s="560" t="s">
        <v>3166</v>
      </c>
      <c r="K932" s="311">
        <v>149556.63</v>
      </c>
      <c r="L932" s="311">
        <v>0</v>
      </c>
      <c r="M932" s="311">
        <v>72307.758333333346</v>
      </c>
      <c r="N932" s="311">
        <v>19634.01666666667</v>
      </c>
      <c r="O932" s="311">
        <v>13743.81166666667</v>
      </c>
      <c r="P932" s="68">
        <f t="shared" si="193"/>
        <v>255242.2166666667</v>
      </c>
      <c r="Q932" s="68">
        <f t="shared" si="194"/>
        <v>24903727.837950006</v>
      </c>
      <c r="R932" s="127">
        <f t="shared" si="195"/>
        <v>24903727.837950006</v>
      </c>
      <c r="S932" s="37"/>
    </row>
    <row r="933" spans="1:19" ht="30">
      <c r="A933" s="74">
        <v>2.9</v>
      </c>
      <c r="B933" s="75" t="s">
        <v>1740</v>
      </c>
      <c r="C933" s="76" t="s">
        <v>117</v>
      </c>
      <c r="D933" s="351">
        <v>20.388000000000002</v>
      </c>
      <c r="E933" s="26"/>
      <c r="F933" s="351">
        <v>20.388000000000002</v>
      </c>
      <c r="G933" s="351" t="s">
        <v>3190</v>
      </c>
      <c r="H933" s="351"/>
      <c r="I933" s="351" t="s">
        <v>3181</v>
      </c>
      <c r="J933" s="560" t="s">
        <v>3166</v>
      </c>
      <c r="K933" s="311">
        <v>172101.26</v>
      </c>
      <c r="L933" s="311">
        <v>0</v>
      </c>
      <c r="M933" s="311">
        <v>83855.416666666686</v>
      </c>
      <c r="N933" s="311">
        <v>22651.033333333336</v>
      </c>
      <c r="O933" s="311">
        <v>15855.723333333335</v>
      </c>
      <c r="P933" s="68">
        <f t="shared" si="193"/>
        <v>294463.43333333335</v>
      </c>
      <c r="Q933" s="68">
        <f t="shared" si="194"/>
        <v>6003520.4788000006</v>
      </c>
      <c r="R933" s="127">
        <f t="shared" si="195"/>
        <v>6003520.4788000006</v>
      </c>
      <c r="S933" s="37"/>
    </row>
    <row r="934" spans="1:19" ht="30">
      <c r="A934" s="74">
        <v>2.9</v>
      </c>
      <c r="B934" s="75" t="s">
        <v>1741</v>
      </c>
      <c r="C934" s="76" t="s">
        <v>117</v>
      </c>
      <c r="D934" s="351">
        <v>70.242999999999995</v>
      </c>
      <c r="E934" s="26"/>
      <c r="F934" s="351">
        <v>70.242999999999995</v>
      </c>
      <c r="G934" s="351" t="s">
        <v>3191</v>
      </c>
      <c r="H934" s="351"/>
      <c r="I934" s="351" t="s">
        <v>3181</v>
      </c>
      <c r="J934" s="560" t="s">
        <v>3166</v>
      </c>
      <c r="K934" s="311">
        <v>203305.08000000002</v>
      </c>
      <c r="L934" s="311">
        <v>0</v>
      </c>
      <c r="M934" s="311">
        <v>83855.416666666686</v>
      </c>
      <c r="N934" s="311">
        <v>25412.433333333334</v>
      </c>
      <c r="O934" s="311">
        <v>17788.703333333335</v>
      </c>
      <c r="P934" s="68">
        <f t="shared" si="193"/>
        <v>330361.63333333336</v>
      </c>
      <c r="Q934" s="68">
        <f t="shared" si="194"/>
        <v>23205592.210233334</v>
      </c>
      <c r="R934" s="127">
        <f t="shared" si="195"/>
        <v>23205592.210233334</v>
      </c>
      <c r="S934" s="37"/>
    </row>
    <row r="935" spans="1:19">
      <c r="A935" s="74">
        <v>2.9</v>
      </c>
      <c r="B935" s="75" t="s">
        <v>1742</v>
      </c>
      <c r="C935" s="76" t="s">
        <v>117</v>
      </c>
      <c r="D935" s="351">
        <v>0</v>
      </c>
      <c r="E935" s="26"/>
      <c r="F935" s="351">
        <v>0</v>
      </c>
      <c r="G935" s="351"/>
      <c r="H935" s="351"/>
      <c r="I935" s="351"/>
      <c r="J935" s="560"/>
      <c r="K935" s="311"/>
      <c r="L935" s="311"/>
      <c r="M935" s="311"/>
      <c r="N935" s="311"/>
      <c r="O935" s="311"/>
      <c r="P935" s="68"/>
      <c r="Q935" s="68"/>
      <c r="R935" s="127"/>
      <c r="S935" s="36"/>
    </row>
    <row r="936" spans="1:19">
      <c r="A936" s="74" t="s">
        <v>1743</v>
      </c>
      <c r="B936" s="75" t="s">
        <v>1744</v>
      </c>
      <c r="C936" s="76" t="s">
        <v>78</v>
      </c>
      <c r="D936" s="351">
        <v>1</v>
      </c>
      <c r="E936" s="26"/>
      <c r="F936" s="351">
        <v>1</v>
      </c>
      <c r="G936" s="351"/>
      <c r="H936" s="351"/>
      <c r="I936" s="351"/>
      <c r="J936" s="560" t="s">
        <v>2381</v>
      </c>
      <c r="K936" s="311">
        <v>70370314.128344029</v>
      </c>
      <c r="L936" s="311">
        <v>0</v>
      </c>
      <c r="M936" s="311">
        <v>45776175.079865001</v>
      </c>
      <c r="N936" s="311">
        <v>9842922.814255001</v>
      </c>
      <c r="O936" s="311">
        <v>6890045.9699785011</v>
      </c>
      <c r="P936" s="68">
        <f>SUM(K936:O936)</f>
        <v>132879457.99244253</v>
      </c>
      <c r="Q936" s="68">
        <f>D936*P936</f>
        <v>132879457.99244253</v>
      </c>
      <c r="R936" s="127">
        <f>F936*P936</f>
        <v>132879457.99244253</v>
      </c>
      <c r="S936" s="36"/>
    </row>
    <row r="937" spans="1:19">
      <c r="A937" s="24">
        <v>3</v>
      </c>
      <c r="B937" s="72" t="s">
        <v>1745</v>
      </c>
      <c r="C937" s="24"/>
      <c r="D937" s="351"/>
      <c r="E937" s="26"/>
      <c r="F937" s="351"/>
      <c r="G937" s="37"/>
      <c r="H937" s="37"/>
      <c r="I937" s="37"/>
      <c r="J937" s="583"/>
      <c r="K937" s="66"/>
      <c r="L937" s="66"/>
      <c r="M937" s="66"/>
      <c r="N937" s="66"/>
      <c r="O937" s="66"/>
      <c r="P937" s="66"/>
      <c r="Q937" s="66"/>
      <c r="R937" s="66"/>
      <c r="S937" s="37"/>
    </row>
    <row r="938" spans="1:19" ht="30">
      <c r="A938" s="76">
        <v>3.1</v>
      </c>
      <c r="B938" s="75" t="s">
        <v>1746</v>
      </c>
      <c r="C938" s="76" t="s">
        <v>117</v>
      </c>
      <c r="D938" s="351">
        <v>3867.5740000000001</v>
      </c>
      <c r="E938" s="26"/>
      <c r="F938" s="351">
        <v>3867.5740000000001</v>
      </c>
      <c r="G938" s="365" t="s">
        <v>3192</v>
      </c>
      <c r="H938" s="369"/>
      <c r="I938" s="365" t="s">
        <v>2330</v>
      </c>
      <c r="J938" s="593" t="s">
        <v>2328</v>
      </c>
      <c r="K938" s="311">
        <v>19547.406000000003</v>
      </c>
      <c r="L938" s="311">
        <v>0</v>
      </c>
      <c r="M938" s="311">
        <v>5135.0548148148146</v>
      </c>
      <c r="N938" s="311">
        <v>2247.7696296296299</v>
      </c>
      <c r="O938" s="311">
        <v>1573.438740740741</v>
      </c>
      <c r="P938" s="68">
        <f t="shared" ref="P938:P942" si="196">SUM(K938:O938)</f>
        <v>28503.66918518519</v>
      </c>
      <c r="Q938" s="68">
        <f>D938*P938</f>
        <v>110240049.84522343</v>
      </c>
      <c r="R938" s="127">
        <f>F938*P938</f>
        <v>110240049.84522343</v>
      </c>
      <c r="S938" s="37"/>
    </row>
    <row r="939" spans="1:19" ht="30">
      <c r="A939" s="76">
        <v>3.2</v>
      </c>
      <c r="B939" s="75" t="s">
        <v>1747</v>
      </c>
      <c r="C939" s="76" t="s">
        <v>117</v>
      </c>
      <c r="D939" s="351">
        <v>3222.127</v>
      </c>
      <c r="E939" s="26"/>
      <c r="F939" s="351">
        <v>3222.127</v>
      </c>
      <c r="G939" s="365" t="s">
        <v>3193</v>
      </c>
      <c r="H939" s="369"/>
      <c r="I939" s="365" t="s">
        <v>2330</v>
      </c>
      <c r="J939" s="593" t="s">
        <v>2328</v>
      </c>
      <c r="K939" s="311">
        <v>15582.596400000002</v>
      </c>
      <c r="L939" s="311">
        <v>0</v>
      </c>
      <c r="M939" s="311">
        <v>3669.0681481481479</v>
      </c>
      <c r="N939" s="311">
        <v>1754.2922962962964</v>
      </c>
      <c r="O939" s="311">
        <v>1228.0046074074075</v>
      </c>
      <c r="P939" s="68">
        <f t="shared" si="196"/>
        <v>22233.961451851854</v>
      </c>
      <c r="Q939" s="68">
        <f>D939*P939</f>
        <v>71640647.510971054</v>
      </c>
      <c r="R939" s="127">
        <f>F939*P939</f>
        <v>71640647.510971054</v>
      </c>
      <c r="S939" s="37"/>
    </row>
    <row r="940" spans="1:19" ht="30">
      <c r="A940" s="76">
        <v>3.3</v>
      </c>
      <c r="B940" s="75" t="s">
        <v>1748</v>
      </c>
      <c r="C940" s="76" t="s">
        <v>117</v>
      </c>
      <c r="D940" s="351">
        <v>245.60299999999998</v>
      </c>
      <c r="E940" s="26"/>
      <c r="F940" s="351">
        <v>245.60299999999998</v>
      </c>
      <c r="G940" s="365" t="s">
        <v>3194</v>
      </c>
      <c r="H940" s="369"/>
      <c r="I940" s="365" t="s">
        <v>2330</v>
      </c>
      <c r="J940" s="593" t="s">
        <v>2328</v>
      </c>
      <c r="K940" s="311">
        <v>37274.860800000002</v>
      </c>
      <c r="L940" s="311">
        <v>0</v>
      </c>
      <c r="M940" s="311">
        <v>8069.3718518518535</v>
      </c>
      <c r="N940" s="311">
        <v>4133.8157037037045</v>
      </c>
      <c r="O940" s="311">
        <v>2893.6709925925929</v>
      </c>
      <c r="P940" s="68">
        <f t="shared" si="196"/>
        <v>52371.719348148144</v>
      </c>
      <c r="Q940" s="68">
        <f>D940*P940</f>
        <v>12862651.387063228</v>
      </c>
      <c r="R940" s="127">
        <f>F940*P940</f>
        <v>12862651.387063228</v>
      </c>
      <c r="S940" s="38"/>
    </row>
    <row r="941" spans="1:19" ht="60">
      <c r="A941" s="76">
        <v>3.4</v>
      </c>
      <c r="B941" s="75" t="s">
        <v>1749</v>
      </c>
      <c r="C941" s="76" t="s">
        <v>117</v>
      </c>
      <c r="D941" s="351">
        <v>7169.6170000000011</v>
      </c>
      <c r="E941" s="26"/>
      <c r="F941" s="351">
        <v>7169.6170000000011</v>
      </c>
      <c r="G941" s="365" t="s">
        <v>2412</v>
      </c>
      <c r="H941" s="365" t="s">
        <v>2417</v>
      </c>
      <c r="I941" s="365" t="s">
        <v>2368</v>
      </c>
      <c r="J941" s="593" t="s">
        <v>2328</v>
      </c>
      <c r="K941" s="311">
        <v>8367.2630136986299</v>
      </c>
      <c r="L941" s="311">
        <v>0</v>
      </c>
      <c r="M941" s="311">
        <v>24076.661400000005</v>
      </c>
      <c r="N941" s="311">
        <v>2871.1437534246579</v>
      </c>
      <c r="O941" s="311">
        <v>2009.8006273972608</v>
      </c>
      <c r="P941" s="68">
        <f t="shared" si="196"/>
        <v>37324.868794520553</v>
      </c>
      <c r="Q941" s="68">
        <f>D941*P941</f>
        <v>267605013.83196411</v>
      </c>
      <c r="R941" s="127">
        <f>F941*P941</f>
        <v>267605013.83196411</v>
      </c>
      <c r="S941" s="37" t="s">
        <v>3208</v>
      </c>
    </row>
    <row r="942" spans="1:19">
      <c r="A942" s="76">
        <v>3.5</v>
      </c>
      <c r="B942" s="75" t="s">
        <v>1750</v>
      </c>
      <c r="C942" s="76" t="s">
        <v>78</v>
      </c>
      <c r="D942" s="351">
        <v>1</v>
      </c>
      <c r="E942" s="26"/>
      <c r="F942" s="351">
        <v>1</v>
      </c>
      <c r="G942" s="351"/>
      <c r="H942" s="351"/>
      <c r="I942" s="351"/>
      <c r="J942" s="560" t="s">
        <v>2381</v>
      </c>
      <c r="K942" s="311">
        <v>4383265.7201825529</v>
      </c>
      <c r="L942" s="311">
        <v>0</v>
      </c>
      <c r="M942" s="311">
        <v>1757691.9718991111</v>
      </c>
      <c r="N942" s="311">
        <v>520420.14339675114</v>
      </c>
      <c r="O942" s="311">
        <v>364294.10037772584</v>
      </c>
      <c r="P942" s="68">
        <f t="shared" si="196"/>
        <v>7025671.9358561402</v>
      </c>
      <c r="Q942" s="68">
        <f>D942*P942</f>
        <v>7025671.9358561402</v>
      </c>
      <c r="R942" s="127">
        <f>F942*P942</f>
        <v>7025671.9358561402</v>
      </c>
      <c r="S942" s="15"/>
    </row>
    <row r="943" spans="1:19" s="79" customFormat="1" ht="28.5">
      <c r="A943" s="219" t="s">
        <v>114</v>
      </c>
      <c r="B943" s="220" t="s">
        <v>1751</v>
      </c>
      <c r="C943" s="77"/>
      <c r="D943" s="351"/>
      <c r="E943" s="77"/>
      <c r="F943" s="351"/>
      <c r="G943" s="18"/>
      <c r="H943" s="18"/>
      <c r="I943" s="18"/>
      <c r="J943" s="587"/>
      <c r="K943" s="65"/>
      <c r="L943" s="65"/>
      <c r="M943" s="65"/>
      <c r="N943" s="65"/>
      <c r="O943" s="65"/>
      <c r="P943" s="65"/>
      <c r="Q943" s="65"/>
      <c r="R943" s="65"/>
      <c r="S943" s="18"/>
    </row>
    <row r="944" spans="1:19" s="79" customFormat="1">
      <c r="A944" s="77">
        <v>1</v>
      </c>
      <c r="B944" s="78" t="s">
        <v>1752</v>
      </c>
      <c r="C944" s="77"/>
      <c r="D944" s="351"/>
      <c r="E944" s="77"/>
      <c r="F944" s="351"/>
      <c r="G944" s="18"/>
      <c r="H944" s="18"/>
      <c r="I944" s="18"/>
      <c r="J944" s="587"/>
      <c r="K944" s="65"/>
      <c r="L944" s="65"/>
      <c r="M944" s="65"/>
      <c r="N944" s="65"/>
      <c r="O944" s="65"/>
      <c r="P944" s="65"/>
      <c r="Q944" s="65"/>
      <c r="R944" s="65"/>
      <c r="S944" s="18"/>
    </row>
    <row r="945" spans="1:19" ht="45">
      <c r="A945" s="76" t="s">
        <v>1698</v>
      </c>
      <c r="B945" s="75" t="s">
        <v>1753</v>
      </c>
      <c r="C945" s="76" t="s">
        <v>1754</v>
      </c>
      <c r="D945" s="351">
        <v>34</v>
      </c>
      <c r="E945" s="76" t="s">
        <v>1020</v>
      </c>
      <c r="F945" s="351">
        <v>34</v>
      </c>
      <c r="G945" s="15"/>
      <c r="H945" s="15"/>
      <c r="I945" s="15"/>
      <c r="J945" s="572" t="s">
        <v>3196</v>
      </c>
      <c r="K945" s="311">
        <v>0</v>
      </c>
      <c r="L945" s="311">
        <v>363106.80000000005</v>
      </c>
      <c r="M945" s="311">
        <v>513322.5</v>
      </c>
      <c r="N945" s="311">
        <v>461990.25</v>
      </c>
      <c r="O945" s="311">
        <v>307993.5</v>
      </c>
      <c r="P945" s="68">
        <f t="shared" ref="P945:P947" si="197">SUM(K945:O945)</f>
        <v>1646413.05</v>
      </c>
      <c r="Q945" s="68">
        <f>D945*P945</f>
        <v>55978043.700000003</v>
      </c>
      <c r="R945" s="127">
        <f>F945*P945</f>
        <v>55978043.700000003</v>
      </c>
      <c r="S945" s="15" t="s">
        <v>3356</v>
      </c>
    </row>
    <row r="946" spans="1:19" ht="45">
      <c r="A946" s="76" t="s">
        <v>1348</v>
      </c>
      <c r="B946" s="75" t="s">
        <v>1755</v>
      </c>
      <c r="C946" s="76" t="s">
        <v>1754</v>
      </c>
      <c r="D946" s="351">
        <v>182</v>
      </c>
      <c r="E946" s="76" t="s">
        <v>1020</v>
      </c>
      <c r="F946" s="351">
        <v>182</v>
      </c>
      <c r="G946" s="15"/>
      <c r="H946" s="15"/>
      <c r="I946" s="15"/>
      <c r="J946" s="572" t="s">
        <v>3196</v>
      </c>
      <c r="K946" s="311">
        <v>0</v>
      </c>
      <c r="L946" s="311">
        <v>363106.80000000005</v>
      </c>
      <c r="M946" s="311">
        <v>513322.5</v>
      </c>
      <c r="N946" s="311">
        <v>461990.25</v>
      </c>
      <c r="O946" s="311">
        <v>307993.5</v>
      </c>
      <c r="P946" s="68">
        <f t="shared" si="197"/>
        <v>1646413.05</v>
      </c>
      <c r="Q946" s="68">
        <f>D946*P946</f>
        <v>299647175.10000002</v>
      </c>
      <c r="R946" s="127">
        <f>F946*P946</f>
        <v>299647175.10000002</v>
      </c>
      <c r="S946" s="15" t="s">
        <v>3356</v>
      </c>
    </row>
    <row r="947" spans="1:19" ht="45">
      <c r="A947" s="76" t="s">
        <v>1351</v>
      </c>
      <c r="B947" s="75" t="s">
        <v>1756</v>
      </c>
      <c r="C947" s="76" t="s">
        <v>1754</v>
      </c>
      <c r="D947" s="351">
        <v>316</v>
      </c>
      <c r="E947" s="76" t="s">
        <v>1020</v>
      </c>
      <c r="F947" s="351">
        <v>316</v>
      </c>
      <c r="G947" s="15"/>
      <c r="H947" s="15"/>
      <c r="I947" s="15"/>
      <c r="J947" s="572" t="s">
        <v>3196</v>
      </c>
      <c r="K947" s="311">
        <v>0</v>
      </c>
      <c r="L947" s="311">
        <v>363106.80000000005</v>
      </c>
      <c r="M947" s="311">
        <v>578280</v>
      </c>
      <c r="N947" s="311">
        <v>520452</v>
      </c>
      <c r="O947" s="311">
        <v>346968</v>
      </c>
      <c r="P947" s="68">
        <f t="shared" si="197"/>
        <v>1808806.8</v>
      </c>
      <c r="Q947" s="68">
        <f>D947*P947</f>
        <v>571582948.80000007</v>
      </c>
      <c r="R947" s="127">
        <f>F947*P947</f>
        <v>571582948.80000007</v>
      </c>
      <c r="S947" s="15" t="s">
        <v>3356</v>
      </c>
    </row>
    <row r="948" spans="1:19" s="79" customFormat="1">
      <c r="A948" s="77">
        <v>2</v>
      </c>
      <c r="B948" s="78" t="s">
        <v>1757</v>
      </c>
      <c r="C948" s="77"/>
      <c r="D948" s="351"/>
      <c r="E948" s="77"/>
      <c r="F948" s="351"/>
      <c r="G948" s="36"/>
      <c r="H948" s="36"/>
      <c r="I948" s="36"/>
      <c r="J948" s="584"/>
      <c r="K948" s="65"/>
      <c r="L948" s="65"/>
      <c r="M948" s="65"/>
      <c r="N948" s="65"/>
      <c r="O948" s="65"/>
      <c r="P948" s="65"/>
      <c r="Q948" s="65"/>
      <c r="R948" s="65"/>
      <c r="S948" s="36"/>
    </row>
    <row r="949" spans="1:19" s="79" customFormat="1">
      <c r="A949" s="77" t="s">
        <v>1758</v>
      </c>
      <c r="B949" s="78" t="s">
        <v>1759</v>
      </c>
      <c r="C949" s="77"/>
      <c r="D949" s="351"/>
      <c r="E949" s="77"/>
      <c r="F949" s="351"/>
      <c r="G949" s="36"/>
      <c r="H949" s="36"/>
      <c r="I949" s="36"/>
      <c r="J949" s="584"/>
      <c r="K949" s="65"/>
      <c r="L949" s="65"/>
      <c r="M949" s="65"/>
      <c r="N949" s="65"/>
      <c r="O949" s="65"/>
      <c r="P949" s="65"/>
      <c r="Q949" s="65"/>
      <c r="R949" s="65"/>
      <c r="S949" s="36"/>
    </row>
    <row r="950" spans="1:19" ht="30">
      <c r="A950" s="76" t="s">
        <v>2236</v>
      </c>
      <c r="B950" s="75" t="s">
        <v>1760</v>
      </c>
      <c r="C950" s="76" t="s">
        <v>1754</v>
      </c>
      <c r="D950" s="351">
        <v>501</v>
      </c>
      <c r="E950" s="76" t="s">
        <v>1020</v>
      </c>
      <c r="F950" s="351">
        <v>501</v>
      </c>
      <c r="G950" s="15"/>
      <c r="H950" s="15"/>
      <c r="I950" s="15"/>
      <c r="J950" s="572" t="s">
        <v>3196</v>
      </c>
      <c r="K950" s="311">
        <v>0</v>
      </c>
      <c r="L950" s="311">
        <v>0</v>
      </c>
      <c r="M950" s="311">
        <v>262431.25</v>
      </c>
      <c r="N950" s="311">
        <v>236188.125</v>
      </c>
      <c r="O950" s="311">
        <v>157458.75</v>
      </c>
      <c r="P950" s="68">
        <f t="shared" ref="P950:P952" si="198">SUM(K950:O950)</f>
        <v>656078.125</v>
      </c>
      <c r="Q950" s="68">
        <f>D950*P950</f>
        <v>328695140.625</v>
      </c>
      <c r="R950" s="127">
        <f>F950*P950</f>
        <v>328695140.625</v>
      </c>
      <c r="S950" s="15"/>
    </row>
    <row r="951" spans="1:19" ht="30">
      <c r="A951" s="76" t="s">
        <v>1393</v>
      </c>
      <c r="B951" s="75" t="s">
        <v>1761</v>
      </c>
      <c r="C951" s="76" t="s">
        <v>1754</v>
      </c>
      <c r="D951" s="351">
        <v>36</v>
      </c>
      <c r="E951" s="76" t="s">
        <v>1020</v>
      </c>
      <c r="F951" s="351">
        <v>36</v>
      </c>
      <c r="G951" s="308"/>
      <c r="H951" s="308"/>
      <c r="I951" s="308"/>
      <c r="J951" s="572" t="s">
        <v>3196</v>
      </c>
      <c r="K951" s="311">
        <v>0</v>
      </c>
      <c r="L951" s="311">
        <v>0</v>
      </c>
      <c r="M951" s="311">
        <v>262431.25</v>
      </c>
      <c r="N951" s="311">
        <v>236188.125</v>
      </c>
      <c r="O951" s="311">
        <v>157458.75</v>
      </c>
      <c r="P951" s="68">
        <f t="shared" si="198"/>
        <v>656078.125</v>
      </c>
      <c r="Q951" s="68">
        <f>D951*P951</f>
        <v>23618812.5</v>
      </c>
      <c r="R951" s="127">
        <f>F951*P951</f>
        <v>23618812.5</v>
      </c>
      <c r="S951" s="308"/>
    </row>
    <row r="952" spans="1:19" ht="30">
      <c r="A952" s="76" t="s">
        <v>1395</v>
      </c>
      <c r="B952" s="75" t="s">
        <v>1762</v>
      </c>
      <c r="C952" s="76" t="s">
        <v>1754</v>
      </c>
      <c r="D952" s="351">
        <v>19</v>
      </c>
      <c r="E952" s="76" t="s">
        <v>1020</v>
      </c>
      <c r="F952" s="351">
        <v>19</v>
      </c>
      <c r="G952" s="38"/>
      <c r="H952" s="38"/>
      <c r="I952" s="38"/>
      <c r="J952" s="572" t="s">
        <v>3196</v>
      </c>
      <c r="K952" s="311">
        <v>0</v>
      </c>
      <c r="L952" s="311">
        <v>0</v>
      </c>
      <c r="M952" s="311">
        <v>262431.25</v>
      </c>
      <c r="N952" s="311">
        <v>236188.125</v>
      </c>
      <c r="O952" s="311">
        <v>157458.75</v>
      </c>
      <c r="P952" s="68">
        <f t="shared" si="198"/>
        <v>656078.125</v>
      </c>
      <c r="Q952" s="68">
        <f>D952*P952</f>
        <v>12465484.375</v>
      </c>
      <c r="R952" s="127">
        <f>F952*P952</f>
        <v>12465484.375</v>
      </c>
      <c r="S952" s="38"/>
    </row>
    <row r="953" spans="1:19" s="79" customFormat="1">
      <c r="A953" s="77" t="s">
        <v>1763</v>
      </c>
      <c r="B953" s="78" t="s">
        <v>1764</v>
      </c>
      <c r="C953" s="77"/>
      <c r="D953" s="351">
        <v>0</v>
      </c>
      <c r="E953" s="77"/>
      <c r="F953" s="351">
        <v>0</v>
      </c>
      <c r="G953" s="36"/>
      <c r="H953" s="36"/>
      <c r="I953" s="36"/>
      <c r="J953" s="584"/>
      <c r="K953" s="65"/>
      <c r="L953" s="65"/>
      <c r="M953" s="65"/>
      <c r="N953" s="65"/>
      <c r="O953" s="65"/>
      <c r="P953" s="65"/>
      <c r="Q953" s="65"/>
      <c r="R953" s="65"/>
      <c r="S953" s="36"/>
    </row>
    <row r="954" spans="1:19" ht="30">
      <c r="A954" s="76" t="s">
        <v>1401</v>
      </c>
      <c r="B954" s="75" t="s">
        <v>1765</v>
      </c>
      <c r="C954" s="76" t="s">
        <v>8</v>
      </c>
      <c r="D954" s="351">
        <v>205</v>
      </c>
      <c r="E954" s="76" t="s">
        <v>1020</v>
      </c>
      <c r="F954" s="351">
        <v>205</v>
      </c>
      <c r="G954" s="15"/>
      <c r="H954" s="15"/>
      <c r="I954" s="15"/>
      <c r="J954" s="572" t="s">
        <v>3196</v>
      </c>
      <c r="K954" s="311">
        <v>0</v>
      </c>
      <c r="L954" s="311">
        <v>363106.80000000005</v>
      </c>
      <c r="M954" s="311">
        <v>504246.25</v>
      </c>
      <c r="N954" s="311">
        <v>453821.625</v>
      </c>
      <c r="O954" s="311">
        <v>302547.75</v>
      </c>
      <c r="P954" s="68">
        <f t="shared" ref="P954:P957" si="199">SUM(K954:O954)</f>
        <v>1623722.425</v>
      </c>
      <c r="Q954" s="68">
        <f>D954*P954</f>
        <v>332863097.125</v>
      </c>
      <c r="R954" s="127">
        <f>F954*P954</f>
        <v>332863097.125</v>
      </c>
      <c r="S954" s="15"/>
    </row>
    <row r="955" spans="1:19" ht="30">
      <c r="A955" s="76" t="s">
        <v>2237</v>
      </c>
      <c r="B955" s="75" t="s">
        <v>1766</v>
      </c>
      <c r="C955" s="76" t="s">
        <v>8</v>
      </c>
      <c r="D955" s="351">
        <v>19</v>
      </c>
      <c r="E955" s="76" t="s">
        <v>1020</v>
      </c>
      <c r="F955" s="351">
        <v>19</v>
      </c>
      <c r="G955" s="18"/>
      <c r="H955" s="18"/>
      <c r="I955" s="18"/>
      <c r="J955" s="572" t="s">
        <v>3196</v>
      </c>
      <c r="K955" s="311">
        <v>0</v>
      </c>
      <c r="L955" s="311">
        <v>363106.80000000005</v>
      </c>
      <c r="M955" s="311">
        <v>504246.25</v>
      </c>
      <c r="N955" s="311">
        <v>453821.625</v>
      </c>
      <c r="O955" s="311">
        <v>302547.75</v>
      </c>
      <c r="P955" s="68">
        <f t="shared" si="199"/>
        <v>1623722.425</v>
      </c>
      <c r="Q955" s="68">
        <f>D955*P955</f>
        <v>30850726.074999999</v>
      </c>
      <c r="R955" s="127">
        <f>F955*P955</f>
        <v>30850726.074999999</v>
      </c>
      <c r="S955" s="18"/>
    </row>
    <row r="956" spans="1:19" ht="30">
      <c r="A956" s="76" t="s">
        <v>2238</v>
      </c>
      <c r="B956" s="75" t="s">
        <v>1767</v>
      </c>
      <c r="C956" s="76" t="s">
        <v>8</v>
      </c>
      <c r="D956" s="351">
        <v>17</v>
      </c>
      <c r="E956" s="76" t="s">
        <v>1020</v>
      </c>
      <c r="F956" s="351">
        <v>17</v>
      </c>
      <c r="G956" s="15"/>
      <c r="H956" s="15"/>
      <c r="I956" s="15"/>
      <c r="J956" s="572" t="s">
        <v>3196</v>
      </c>
      <c r="K956" s="311">
        <v>0</v>
      </c>
      <c r="L956" s="311">
        <v>363106.80000000005</v>
      </c>
      <c r="M956" s="311">
        <v>614138.75</v>
      </c>
      <c r="N956" s="311">
        <v>552724.875</v>
      </c>
      <c r="O956" s="311">
        <v>368483.25</v>
      </c>
      <c r="P956" s="68">
        <f t="shared" si="199"/>
        <v>1898453.675</v>
      </c>
      <c r="Q956" s="68">
        <f>D956*P956</f>
        <v>32273712.475000001</v>
      </c>
      <c r="R956" s="127">
        <f>F956*P956</f>
        <v>32273712.475000001</v>
      </c>
      <c r="S956" s="15"/>
    </row>
    <row r="957" spans="1:19" ht="30">
      <c r="A957" s="76" t="s">
        <v>2239</v>
      </c>
      <c r="B957" s="75" t="s">
        <v>1768</v>
      </c>
      <c r="C957" s="76" t="s">
        <v>8</v>
      </c>
      <c r="D957" s="351">
        <v>19</v>
      </c>
      <c r="E957" s="76" t="s">
        <v>1020</v>
      </c>
      <c r="F957" s="351">
        <v>19</v>
      </c>
      <c r="G957" s="15"/>
      <c r="H957" s="15"/>
      <c r="I957" s="15"/>
      <c r="J957" s="572" t="s">
        <v>3196</v>
      </c>
      <c r="K957" s="311">
        <v>0</v>
      </c>
      <c r="L957" s="311">
        <v>363106.80000000005</v>
      </c>
      <c r="M957" s="311">
        <v>614138.75</v>
      </c>
      <c r="N957" s="311">
        <v>552724.875</v>
      </c>
      <c r="O957" s="311">
        <v>368483.25</v>
      </c>
      <c r="P957" s="68">
        <f t="shared" si="199"/>
        <v>1898453.675</v>
      </c>
      <c r="Q957" s="68">
        <f>D957*P957</f>
        <v>36070619.825000003</v>
      </c>
      <c r="R957" s="127">
        <f>F957*P957</f>
        <v>36070619.825000003</v>
      </c>
      <c r="S957" s="15"/>
    </row>
    <row r="958" spans="1:19" s="79" customFormat="1">
      <c r="A958" s="77">
        <v>3</v>
      </c>
      <c r="B958" s="78" t="s">
        <v>1769</v>
      </c>
      <c r="C958" s="77"/>
      <c r="D958" s="351"/>
      <c r="E958" s="77"/>
      <c r="F958" s="351"/>
      <c r="G958" s="18"/>
      <c r="H958" s="18"/>
      <c r="I958" s="18"/>
      <c r="J958" s="587"/>
      <c r="K958" s="65"/>
      <c r="L958" s="65"/>
      <c r="M958" s="65"/>
      <c r="N958" s="65"/>
      <c r="O958" s="65"/>
      <c r="P958" s="65"/>
      <c r="Q958" s="65"/>
      <c r="R958" s="65"/>
      <c r="S958" s="18"/>
    </row>
    <row r="959" spans="1:19" ht="60">
      <c r="A959" s="76" t="s">
        <v>2240</v>
      </c>
      <c r="B959" s="75" t="s">
        <v>1770</v>
      </c>
      <c r="C959" s="76" t="s">
        <v>1754</v>
      </c>
      <c r="D959" s="351">
        <v>758</v>
      </c>
      <c r="E959" s="76" t="s">
        <v>1771</v>
      </c>
      <c r="F959" s="351">
        <v>758</v>
      </c>
      <c r="G959" s="351" t="s">
        <v>3357</v>
      </c>
      <c r="H959" s="351" t="s">
        <v>2614</v>
      </c>
      <c r="I959" s="351" t="s">
        <v>2613</v>
      </c>
      <c r="J959" s="351" t="s">
        <v>2526</v>
      </c>
      <c r="K959" s="311">
        <v>1166559.9750000001</v>
      </c>
      <c r="L959" s="311">
        <v>0</v>
      </c>
      <c r="M959" s="311">
        <v>159031.4916666667</v>
      </c>
      <c r="N959" s="311">
        <v>127331.83333333333</v>
      </c>
      <c r="O959" s="311">
        <v>89132.28333333334</v>
      </c>
      <c r="P959" s="68">
        <f>SUM(K959:O959)</f>
        <v>1542055.5833333335</v>
      </c>
      <c r="Q959" s="68">
        <f>D959*P959</f>
        <v>1168878132.1666667</v>
      </c>
      <c r="R959" s="127">
        <f>F959*P959</f>
        <v>1168878132.1666667</v>
      </c>
      <c r="S959" s="15"/>
    </row>
    <row r="960" spans="1:19" ht="45">
      <c r="A960" s="76" t="s">
        <v>1422</v>
      </c>
      <c r="B960" s="75" t="s">
        <v>1772</v>
      </c>
      <c r="C960" s="76" t="s">
        <v>1754</v>
      </c>
      <c r="D960" s="351">
        <v>498</v>
      </c>
      <c r="E960" s="76" t="s">
        <v>1771</v>
      </c>
      <c r="F960" s="351">
        <v>498</v>
      </c>
      <c r="G960" s="37"/>
      <c r="H960" s="37"/>
      <c r="I960" s="37"/>
      <c r="J960" s="583"/>
      <c r="K960" s="311"/>
      <c r="L960" s="311"/>
      <c r="M960" s="311"/>
      <c r="N960" s="311"/>
      <c r="O960" s="311"/>
      <c r="P960" s="68"/>
      <c r="Q960" s="68"/>
      <c r="R960" s="127"/>
      <c r="S960" s="37" t="s">
        <v>3195</v>
      </c>
    </row>
    <row r="961" spans="1:19" s="79" customFormat="1">
      <c r="A961" s="77">
        <v>4</v>
      </c>
      <c r="B961" s="78" t="s">
        <v>1773</v>
      </c>
      <c r="C961" s="77"/>
      <c r="D961" s="351"/>
      <c r="E961" s="77"/>
      <c r="F961" s="351"/>
      <c r="G961" s="36"/>
      <c r="H961" s="36"/>
      <c r="I961" s="36"/>
      <c r="J961" s="584"/>
      <c r="K961" s="65"/>
      <c r="L961" s="65"/>
      <c r="M961" s="65"/>
      <c r="N961" s="65"/>
      <c r="O961" s="65"/>
      <c r="P961" s="65"/>
      <c r="Q961" s="65"/>
      <c r="R961" s="65"/>
      <c r="S961" s="36"/>
    </row>
    <row r="962" spans="1:19" s="79" customFormat="1">
      <c r="A962" s="77" t="s">
        <v>1758</v>
      </c>
      <c r="B962" s="78" t="s">
        <v>1774</v>
      </c>
      <c r="C962" s="77"/>
      <c r="D962" s="351"/>
      <c r="E962" s="77"/>
      <c r="F962" s="351"/>
      <c r="G962" s="36"/>
      <c r="H962" s="36"/>
      <c r="I962" s="36"/>
      <c r="J962" s="584"/>
      <c r="K962" s="65"/>
      <c r="L962" s="65"/>
      <c r="M962" s="65"/>
      <c r="N962" s="65"/>
      <c r="O962" s="65"/>
      <c r="P962" s="65"/>
      <c r="Q962" s="65"/>
      <c r="R962" s="65"/>
      <c r="S962" s="36"/>
    </row>
    <row r="963" spans="1:19" s="79" customFormat="1" ht="28.5">
      <c r="A963" s="77" t="s">
        <v>2241</v>
      </c>
      <c r="B963" s="78" t="s">
        <v>1567</v>
      </c>
      <c r="C963" s="77"/>
      <c r="D963" s="351"/>
      <c r="E963" s="77"/>
      <c r="F963" s="351"/>
      <c r="G963" s="36"/>
      <c r="H963" s="36"/>
      <c r="I963" s="36"/>
      <c r="J963" s="584"/>
      <c r="K963" s="65"/>
      <c r="L963" s="65"/>
      <c r="M963" s="65"/>
      <c r="N963" s="65"/>
      <c r="O963" s="65"/>
      <c r="P963" s="65"/>
      <c r="Q963" s="65"/>
      <c r="R963" s="65"/>
      <c r="S963" s="36"/>
    </row>
    <row r="964" spans="1:19">
      <c r="A964" s="76"/>
      <c r="B964" s="75" t="s">
        <v>1775</v>
      </c>
      <c r="C964" s="76" t="s">
        <v>1754</v>
      </c>
      <c r="D964" s="351">
        <v>498</v>
      </c>
      <c r="E964" s="76"/>
      <c r="F964" s="351">
        <v>498</v>
      </c>
      <c r="G964" s="351" t="s">
        <v>3163</v>
      </c>
      <c r="H964" s="351"/>
      <c r="I964" s="351" t="s">
        <v>2596</v>
      </c>
      <c r="J964" s="560" t="s">
        <v>2328</v>
      </c>
      <c r="K964" s="311">
        <v>305745</v>
      </c>
      <c r="L964" s="311">
        <v>0</v>
      </c>
      <c r="M964" s="311">
        <v>65879</v>
      </c>
      <c r="N964" s="311">
        <v>33880</v>
      </c>
      <c r="O964" s="311">
        <v>23716.000000000004</v>
      </c>
      <c r="P964" s="68">
        <f>SUM(K964:O964)</f>
        <v>429220</v>
      </c>
      <c r="Q964" s="68">
        <f>D964*P964</f>
        <v>213751560</v>
      </c>
      <c r="R964" s="127">
        <f>F964*P964</f>
        <v>213751560</v>
      </c>
      <c r="S964" s="15"/>
    </row>
    <row r="965" spans="1:19" s="79" customFormat="1">
      <c r="A965" s="77" t="s">
        <v>2242</v>
      </c>
      <c r="B965" s="78" t="s">
        <v>1776</v>
      </c>
      <c r="C965" s="77"/>
      <c r="D965" s="351"/>
      <c r="E965" s="77"/>
      <c r="F965" s="351"/>
      <c r="G965" s="351"/>
      <c r="H965" s="351"/>
      <c r="I965" s="351"/>
      <c r="J965" s="560"/>
      <c r="K965" s="65"/>
      <c r="L965" s="65"/>
      <c r="M965" s="65"/>
      <c r="N965" s="65"/>
      <c r="O965" s="65"/>
      <c r="P965" s="65"/>
      <c r="Q965" s="65"/>
      <c r="R965" s="65"/>
      <c r="S965" s="545"/>
    </row>
    <row r="966" spans="1:19">
      <c r="A966" s="76"/>
      <c r="B966" s="75" t="s">
        <v>1777</v>
      </c>
      <c r="C966" s="76" t="s">
        <v>117</v>
      </c>
      <c r="D966" s="351">
        <v>2807.8670000000002</v>
      </c>
      <c r="E966" s="76"/>
      <c r="F966" s="351">
        <v>2807.8670000000002</v>
      </c>
      <c r="G966" s="351" t="s">
        <v>2820</v>
      </c>
      <c r="H966" s="351"/>
      <c r="I966" s="351" t="s">
        <v>2681</v>
      </c>
      <c r="J966" s="560" t="s">
        <v>2328</v>
      </c>
      <c r="K966" s="311">
        <v>41909.439999999995</v>
      </c>
      <c r="L966" s="311">
        <v>0</v>
      </c>
      <c r="M966" s="311">
        <v>29737.08</v>
      </c>
      <c r="N966" s="311">
        <v>6340.4</v>
      </c>
      <c r="O966" s="311">
        <v>4438.28</v>
      </c>
      <c r="P966" s="68">
        <f t="shared" ref="P966:P973" si="200">SUM(K966:O966)</f>
        <v>82425.199999999983</v>
      </c>
      <c r="Q966" s="68">
        <f t="shared" ref="Q966:Q973" si="201">D966*P966</f>
        <v>231438999.04839996</v>
      </c>
      <c r="R966" s="127">
        <f t="shared" ref="R966:R973" si="202">F966*P966</f>
        <v>231438999.04839996</v>
      </c>
      <c r="S966" s="38"/>
    </row>
    <row r="967" spans="1:19">
      <c r="A967" s="76"/>
      <c r="B967" s="75" t="s">
        <v>1778</v>
      </c>
      <c r="C967" s="76" t="s">
        <v>117</v>
      </c>
      <c r="D967" s="351">
        <v>2218.3450000000003</v>
      </c>
      <c r="E967" s="76"/>
      <c r="F967" s="351">
        <v>2218.3450000000003</v>
      </c>
      <c r="G967" s="351" t="s">
        <v>3200</v>
      </c>
      <c r="H967" s="351"/>
      <c r="I967" s="351" t="s">
        <v>2681</v>
      </c>
      <c r="J967" s="560" t="s">
        <v>2328</v>
      </c>
      <c r="K967" s="311">
        <v>85543.26</v>
      </c>
      <c r="L967" s="311">
        <v>0</v>
      </c>
      <c r="M967" s="311">
        <v>45819.240000000005</v>
      </c>
      <c r="N967" s="311">
        <v>11625</v>
      </c>
      <c r="O967" s="311">
        <v>8137.5</v>
      </c>
      <c r="P967" s="68">
        <f t="shared" si="200"/>
        <v>151125</v>
      </c>
      <c r="Q967" s="68">
        <f t="shared" si="201"/>
        <v>335247388.12500006</v>
      </c>
      <c r="R967" s="127">
        <f t="shared" si="202"/>
        <v>335247388.12500006</v>
      </c>
      <c r="S967" s="36"/>
    </row>
    <row r="968" spans="1:19">
      <c r="A968" s="76"/>
      <c r="B968" s="75" t="s">
        <v>1779</v>
      </c>
      <c r="C968" s="76" t="s">
        <v>117</v>
      </c>
      <c r="D968" s="351">
        <v>2056.6659999999997</v>
      </c>
      <c r="E968" s="76"/>
      <c r="F968" s="351">
        <v>2056.6659999999997</v>
      </c>
      <c r="G968" s="351" t="s">
        <v>2818</v>
      </c>
      <c r="H968" s="351"/>
      <c r="I968" s="351" t="s">
        <v>2681</v>
      </c>
      <c r="J968" s="560" t="s">
        <v>2328</v>
      </c>
      <c r="K968" s="311">
        <v>106351.07999999999</v>
      </c>
      <c r="L968" s="311">
        <v>0</v>
      </c>
      <c r="M968" s="311">
        <v>45819.240000000005</v>
      </c>
      <c r="N968" s="311">
        <v>13466.400000000001</v>
      </c>
      <c r="O968" s="311">
        <v>9426.4800000000014</v>
      </c>
      <c r="P968" s="68">
        <f t="shared" si="200"/>
        <v>175063.2</v>
      </c>
      <c r="Q968" s="68">
        <f t="shared" si="201"/>
        <v>360046531.29119998</v>
      </c>
      <c r="R968" s="127">
        <f t="shared" si="202"/>
        <v>360046531.29119998</v>
      </c>
      <c r="S968" s="15"/>
    </row>
    <row r="969" spans="1:19">
      <c r="A969" s="76"/>
      <c r="B969" s="75" t="s">
        <v>1780</v>
      </c>
      <c r="C969" s="76" t="s">
        <v>1754</v>
      </c>
      <c r="D969" s="351">
        <v>291</v>
      </c>
      <c r="E969" s="76"/>
      <c r="F969" s="351">
        <v>291</v>
      </c>
      <c r="G969" s="351" t="s">
        <v>2870</v>
      </c>
      <c r="H969" s="351"/>
      <c r="I969" s="351" t="s">
        <v>2681</v>
      </c>
      <c r="J969" s="560" t="s">
        <v>2328</v>
      </c>
      <c r="K969" s="311">
        <v>21267.730000000003</v>
      </c>
      <c r="L969" s="311">
        <v>0</v>
      </c>
      <c r="M969" s="311">
        <v>20537.236363636363</v>
      </c>
      <c r="N969" s="311">
        <v>3699.5545454545459</v>
      </c>
      <c r="O969" s="311">
        <v>2589.6881818181823</v>
      </c>
      <c r="P969" s="68">
        <f t="shared" si="200"/>
        <v>48094.209090909091</v>
      </c>
      <c r="Q969" s="68">
        <f t="shared" si="201"/>
        <v>13995414.845454546</v>
      </c>
      <c r="R969" s="127">
        <f t="shared" si="202"/>
        <v>13995414.845454546</v>
      </c>
      <c r="S969" s="18"/>
    </row>
    <row r="970" spans="1:19">
      <c r="A970" s="76"/>
      <c r="B970" s="75" t="s">
        <v>1781</v>
      </c>
      <c r="C970" s="76" t="s">
        <v>1754</v>
      </c>
      <c r="D970" s="351">
        <v>133</v>
      </c>
      <c r="E970" s="76"/>
      <c r="F970" s="351">
        <v>133</v>
      </c>
      <c r="G970" s="351" t="s">
        <v>3201</v>
      </c>
      <c r="H970" s="351"/>
      <c r="I970" s="351" t="s">
        <v>2681</v>
      </c>
      <c r="J970" s="560" t="s">
        <v>2328</v>
      </c>
      <c r="K970" s="311">
        <v>64220.160000000003</v>
      </c>
      <c r="L970" s="311">
        <v>0</v>
      </c>
      <c r="M970" s="311">
        <v>28229.454545454548</v>
      </c>
      <c r="N970" s="311">
        <v>8181.3818181818178</v>
      </c>
      <c r="O970" s="311">
        <v>5726.9672727272728</v>
      </c>
      <c r="P970" s="68">
        <f t="shared" si="200"/>
        <v>106357.96363636364</v>
      </c>
      <c r="Q970" s="68">
        <f t="shared" si="201"/>
        <v>14145609.163636364</v>
      </c>
      <c r="R970" s="127">
        <f t="shared" si="202"/>
        <v>14145609.163636364</v>
      </c>
      <c r="S970" s="15"/>
    </row>
    <row r="971" spans="1:19">
      <c r="A971" s="76"/>
      <c r="B971" s="75" t="s">
        <v>1782</v>
      </c>
      <c r="C971" s="76" t="s">
        <v>1754</v>
      </c>
      <c r="D971" s="351">
        <v>112</v>
      </c>
      <c r="E971" s="76"/>
      <c r="F971" s="351">
        <v>112</v>
      </c>
      <c r="G971" s="351" t="s">
        <v>2869</v>
      </c>
      <c r="H971" s="351"/>
      <c r="I971" s="351" t="s">
        <v>2681</v>
      </c>
      <c r="J971" s="560" t="s">
        <v>2328</v>
      </c>
      <c r="K971" s="311">
        <v>78539.520000000004</v>
      </c>
      <c r="L971" s="311">
        <v>0</v>
      </c>
      <c r="M971" s="311">
        <v>28229.454545454548</v>
      </c>
      <c r="N971" s="311">
        <v>9448.5818181818177</v>
      </c>
      <c r="O971" s="311">
        <v>6614.0072727272727</v>
      </c>
      <c r="P971" s="68">
        <f t="shared" si="200"/>
        <v>122831.56363636364</v>
      </c>
      <c r="Q971" s="68">
        <f t="shared" si="201"/>
        <v>13757135.127272729</v>
      </c>
      <c r="R971" s="127">
        <f t="shared" si="202"/>
        <v>13757135.127272729</v>
      </c>
      <c r="S971" s="15"/>
    </row>
    <row r="972" spans="1:19" ht="30">
      <c r="A972" s="76"/>
      <c r="B972" s="75" t="s">
        <v>1783</v>
      </c>
      <c r="C972" s="76" t="s">
        <v>1754</v>
      </c>
      <c r="D972" s="351">
        <v>241</v>
      </c>
      <c r="E972" s="76"/>
      <c r="F972" s="351">
        <v>241</v>
      </c>
      <c r="G972" s="351" t="s">
        <v>3202</v>
      </c>
      <c r="H972" s="351"/>
      <c r="I972" s="351" t="s">
        <v>2681</v>
      </c>
      <c r="J972" s="560" t="s">
        <v>2328</v>
      </c>
      <c r="K972" s="311">
        <v>194251.52000000002</v>
      </c>
      <c r="L972" s="311">
        <v>0</v>
      </c>
      <c r="M972" s="311">
        <v>42344.181818181823</v>
      </c>
      <c r="N972" s="311">
        <v>20937.672727272729</v>
      </c>
      <c r="O972" s="311">
        <v>14656.370909090911</v>
      </c>
      <c r="P972" s="68">
        <f t="shared" si="200"/>
        <v>272189.74545454548</v>
      </c>
      <c r="Q972" s="68">
        <f t="shared" si="201"/>
        <v>65597728.654545464</v>
      </c>
      <c r="R972" s="127">
        <f t="shared" si="202"/>
        <v>65597728.654545464</v>
      </c>
      <c r="S972" s="15"/>
    </row>
    <row r="973" spans="1:19">
      <c r="A973" s="76"/>
      <c r="B973" s="75" t="s">
        <v>1784</v>
      </c>
      <c r="C973" s="76" t="s">
        <v>1754</v>
      </c>
      <c r="D973" s="351">
        <v>260</v>
      </c>
      <c r="E973" s="76"/>
      <c r="F973" s="351">
        <v>260</v>
      </c>
      <c r="G973" s="351" t="s">
        <v>3203</v>
      </c>
      <c r="H973" s="351"/>
      <c r="I973" s="351" t="s">
        <v>2681</v>
      </c>
      <c r="J973" s="560" t="s">
        <v>2328</v>
      </c>
      <c r="K973" s="311">
        <v>46375.200000000004</v>
      </c>
      <c r="L973" s="311">
        <v>0</v>
      </c>
      <c r="M973" s="311">
        <v>28229.454545454548</v>
      </c>
      <c r="N973" s="311">
        <v>6602.181818181818</v>
      </c>
      <c r="O973" s="311">
        <v>4621.5272727272732</v>
      </c>
      <c r="P973" s="68">
        <f t="shared" si="200"/>
        <v>85828.363636363647</v>
      </c>
      <c r="Q973" s="68">
        <f t="shared" si="201"/>
        <v>22315374.545454547</v>
      </c>
      <c r="R973" s="127">
        <f t="shared" si="202"/>
        <v>22315374.545454547</v>
      </c>
      <c r="S973" s="15"/>
    </row>
    <row r="974" spans="1:19" s="79" customFormat="1">
      <c r="A974" s="77" t="s">
        <v>2243</v>
      </c>
      <c r="B974" s="78" t="s">
        <v>1785</v>
      </c>
      <c r="C974" s="77"/>
      <c r="D974" s="351"/>
      <c r="E974" s="77"/>
      <c r="F974" s="351"/>
      <c r="G974" s="351"/>
      <c r="H974" s="351"/>
      <c r="I974" s="351"/>
      <c r="J974" s="560"/>
      <c r="K974" s="65"/>
      <c r="L974" s="65"/>
      <c r="M974" s="65"/>
      <c r="N974" s="65"/>
      <c r="O974" s="65"/>
      <c r="P974" s="65"/>
      <c r="Q974" s="65"/>
      <c r="R974" s="65"/>
      <c r="S974" s="36"/>
    </row>
    <row r="975" spans="1:19">
      <c r="A975" s="76"/>
      <c r="B975" s="75" t="s">
        <v>1786</v>
      </c>
      <c r="C975" s="76" t="s">
        <v>1787</v>
      </c>
      <c r="D975" s="351">
        <v>436.60399999999993</v>
      </c>
      <c r="E975" s="76"/>
      <c r="F975" s="351">
        <v>436.60399999999993</v>
      </c>
      <c r="G975" s="351" t="s">
        <v>3204</v>
      </c>
      <c r="H975" s="351"/>
      <c r="I975" s="351" t="s">
        <v>3179</v>
      </c>
      <c r="J975" s="560" t="s">
        <v>2328</v>
      </c>
      <c r="K975" s="311">
        <v>6215.0000000000009</v>
      </c>
      <c r="L975" s="311">
        <v>0</v>
      </c>
      <c r="M975" s="311">
        <v>19455.652173913048</v>
      </c>
      <c r="N975" s="311">
        <v>2271.739130434783</v>
      </c>
      <c r="O975" s="311">
        <v>1590.2173913043482</v>
      </c>
      <c r="P975" s="68">
        <f t="shared" ref="P975:P978" si="203">SUM(K975:O975)</f>
        <v>29532.608695652179</v>
      </c>
      <c r="Q975" s="68">
        <f>D975*P975</f>
        <v>12894055.086956521</v>
      </c>
      <c r="R975" s="127">
        <f>F975*P975</f>
        <v>12894055.086956521</v>
      </c>
      <c r="S975" s="37"/>
    </row>
    <row r="976" spans="1:19">
      <c r="A976" s="76"/>
      <c r="B976" s="75" t="s">
        <v>1788</v>
      </c>
      <c r="C976" s="76" t="s">
        <v>117</v>
      </c>
      <c r="D976" s="351">
        <v>399.64259999999996</v>
      </c>
      <c r="E976" s="76"/>
      <c r="F976" s="351">
        <v>399.64259999999996</v>
      </c>
      <c r="G976" s="351" t="s">
        <v>3205</v>
      </c>
      <c r="H976" s="351"/>
      <c r="I976" s="351" t="s">
        <v>3179</v>
      </c>
      <c r="J976" s="560" t="s">
        <v>2328</v>
      </c>
      <c r="K976" s="311">
        <v>8249</v>
      </c>
      <c r="L976" s="311">
        <v>0</v>
      </c>
      <c r="M976" s="311">
        <v>20340.000000000004</v>
      </c>
      <c r="N976" s="311">
        <v>2530</v>
      </c>
      <c r="O976" s="311">
        <v>1771.0000000000002</v>
      </c>
      <c r="P976" s="68">
        <f t="shared" si="203"/>
        <v>32890.000000000007</v>
      </c>
      <c r="Q976" s="68">
        <f>D976*P976</f>
        <v>13144245.114000002</v>
      </c>
      <c r="R976" s="127">
        <f>F976*P976</f>
        <v>13144245.114000002</v>
      </c>
      <c r="S976" s="37"/>
    </row>
    <row r="977" spans="1:19" s="79" customFormat="1">
      <c r="A977" s="77" t="s">
        <v>2244</v>
      </c>
      <c r="B977" s="78" t="s">
        <v>1789</v>
      </c>
      <c r="C977" s="77" t="s">
        <v>78</v>
      </c>
      <c r="D977" s="351">
        <v>1</v>
      </c>
      <c r="E977" s="77"/>
      <c r="F977" s="351">
        <v>1</v>
      </c>
      <c r="G977" s="351"/>
      <c r="H977" s="351"/>
      <c r="I977" s="351"/>
      <c r="J977" s="560" t="s">
        <v>2381</v>
      </c>
      <c r="K977" s="311">
        <v>128354380.51839203</v>
      </c>
      <c r="L977" s="311">
        <v>0</v>
      </c>
      <c r="M977" s="311">
        <v>68175977.571187377</v>
      </c>
      <c r="N977" s="311">
        <v>16655115.092337236</v>
      </c>
      <c r="O977" s="311">
        <v>11658580.564636067</v>
      </c>
      <c r="P977" s="68">
        <f t="shared" si="203"/>
        <v>224844053.74655271</v>
      </c>
      <c r="Q977" s="68">
        <f>D977*P977</f>
        <v>224844053.74655271</v>
      </c>
      <c r="R977" s="127">
        <f>F977*P977</f>
        <v>224844053.74655271</v>
      </c>
      <c r="S977" s="36"/>
    </row>
    <row r="978" spans="1:19" s="84" customFormat="1">
      <c r="A978" s="30"/>
      <c r="B978" s="85" t="s">
        <v>2196</v>
      </c>
      <c r="C978" s="86" t="s">
        <v>744</v>
      </c>
      <c r="D978" s="352">
        <v>498</v>
      </c>
      <c r="E978" s="30"/>
      <c r="F978" s="352">
        <v>498</v>
      </c>
      <c r="G978" s="351" t="s">
        <v>3161</v>
      </c>
      <c r="H978" s="26"/>
      <c r="I978" s="351" t="s">
        <v>2596</v>
      </c>
      <c r="J978" s="560" t="s">
        <v>2328</v>
      </c>
      <c r="K978" s="311">
        <v>102547.20000000001</v>
      </c>
      <c r="L978" s="311">
        <v>0</v>
      </c>
      <c r="M978" s="311">
        <v>51885.833333333343</v>
      </c>
      <c r="N978" s="311">
        <v>13999.66666666667</v>
      </c>
      <c r="O978" s="311">
        <v>9799.7666666666682</v>
      </c>
      <c r="P978" s="68">
        <f t="shared" si="203"/>
        <v>178232.46666666667</v>
      </c>
      <c r="Q978" s="68">
        <f>D978*P978</f>
        <v>88759768.400000006</v>
      </c>
      <c r="R978" s="127">
        <f>F978*P978</f>
        <v>88759768.400000006</v>
      </c>
      <c r="S978" s="26"/>
    </row>
    <row r="979" spans="1:19" s="79" customFormat="1">
      <c r="A979" s="77" t="s">
        <v>1763</v>
      </c>
      <c r="B979" s="78" t="s">
        <v>1790</v>
      </c>
      <c r="C979" s="77"/>
      <c r="D979" s="351"/>
      <c r="E979" s="77"/>
      <c r="F979" s="351"/>
      <c r="G979" s="36"/>
      <c r="H979" s="36"/>
      <c r="I979" s="36"/>
      <c r="J979" s="584"/>
      <c r="K979" s="65"/>
      <c r="L979" s="65"/>
      <c r="M979" s="65"/>
      <c r="N979" s="65"/>
      <c r="O979" s="65"/>
      <c r="P979" s="65"/>
      <c r="Q979" s="65"/>
      <c r="R979" s="65"/>
      <c r="S979" s="36"/>
    </row>
    <row r="980" spans="1:19" s="79" customFormat="1" ht="57">
      <c r="A980" s="77" t="s">
        <v>2245</v>
      </c>
      <c r="B980" s="78" t="s">
        <v>1791</v>
      </c>
      <c r="C980" s="77"/>
      <c r="D980" s="351"/>
      <c r="E980" s="77"/>
      <c r="F980" s="351"/>
      <c r="G980" s="36"/>
      <c r="H980" s="36"/>
      <c r="I980" s="36"/>
      <c r="J980" s="584"/>
      <c r="K980" s="65"/>
      <c r="L980" s="65"/>
      <c r="M980" s="65"/>
      <c r="N980" s="65"/>
      <c r="O980" s="65"/>
      <c r="P980" s="65"/>
      <c r="Q980" s="65"/>
      <c r="R980" s="65"/>
      <c r="S980" s="36"/>
    </row>
    <row r="981" spans="1:19" ht="75">
      <c r="A981" s="76"/>
      <c r="B981" s="75" t="s">
        <v>1792</v>
      </c>
      <c r="C981" s="76" t="s">
        <v>117</v>
      </c>
      <c r="D981" s="351">
        <v>9336.0170000000035</v>
      </c>
      <c r="E981" s="76" t="s">
        <v>1793</v>
      </c>
      <c r="F981" s="351">
        <v>9336.0170000000035</v>
      </c>
      <c r="G981" s="351" t="s">
        <v>3164</v>
      </c>
      <c r="H981" s="351"/>
      <c r="I981" s="351" t="s">
        <v>3165</v>
      </c>
      <c r="J981" s="560" t="s">
        <v>3166</v>
      </c>
      <c r="K981" s="311">
        <v>49839.000000000007</v>
      </c>
      <c r="L981" s="311">
        <v>0</v>
      </c>
      <c r="M981" s="311">
        <v>71592.091666666674</v>
      </c>
      <c r="N981" s="311">
        <v>10825.583333333336</v>
      </c>
      <c r="O981" s="311">
        <v>7577.9083333333347</v>
      </c>
      <c r="P981" s="68">
        <f t="shared" ref="P981:P985" si="204">SUM(K981:O981)</f>
        <v>139834.58333333334</v>
      </c>
      <c r="Q981" s="68">
        <f>D981*P981</f>
        <v>1305498047.1879172</v>
      </c>
      <c r="R981" s="127">
        <f>F981*P981</f>
        <v>1305498047.1879172</v>
      </c>
      <c r="S981" s="36"/>
    </row>
    <row r="982" spans="1:19" ht="30">
      <c r="A982" s="76"/>
      <c r="B982" s="75" t="s">
        <v>1794</v>
      </c>
      <c r="C982" s="76" t="s">
        <v>117</v>
      </c>
      <c r="D982" s="351">
        <v>5645.8629999999994</v>
      </c>
      <c r="E982" s="76"/>
      <c r="F982" s="351">
        <v>5645.8629999999994</v>
      </c>
      <c r="G982" s="351" t="s">
        <v>3167</v>
      </c>
      <c r="H982" s="351"/>
      <c r="I982" s="351" t="s">
        <v>3165</v>
      </c>
      <c r="J982" s="560" t="s">
        <v>3166</v>
      </c>
      <c r="K982" s="311">
        <v>73482</v>
      </c>
      <c r="L982" s="311">
        <v>0</v>
      </c>
      <c r="M982" s="311">
        <v>79878.758333333346</v>
      </c>
      <c r="N982" s="311">
        <v>13688.91666666667</v>
      </c>
      <c r="O982" s="311">
        <v>9582.2416666666686</v>
      </c>
      <c r="P982" s="68">
        <f t="shared" si="204"/>
        <v>176631.91666666669</v>
      </c>
      <c r="Q982" s="68">
        <f>D982*P982</f>
        <v>997239602.92741668</v>
      </c>
      <c r="R982" s="127">
        <f>F982*P982</f>
        <v>997239602.92741668</v>
      </c>
      <c r="S982" s="37"/>
    </row>
    <row r="983" spans="1:19" ht="30">
      <c r="A983" s="76"/>
      <c r="B983" s="75" t="s">
        <v>1795</v>
      </c>
      <c r="C983" s="76" t="s">
        <v>117</v>
      </c>
      <c r="D983" s="351">
        <v>1349.7280000000001</v>
      </c>
      <c r="E983" s="76"/>
      <c r="F983" s="351">
        <v>1349.7280000000001</v>
      </c>
      <c r="G983" s="351" t="s">
        <v>3168</v>
      </c>
      <c r="H983" s="351"/>
      <c r="I983" s="351" t="s">
        <v>3165</v>
      </c>
      <c r="J983" s="560" t="s">
        <v>3166</v>
      </c>
      <c r="K983" s="311">
        <v>116994.00000000001</v>
      </c>
      <c r="L983" s="311">
        <v>0</v>
      </c>
      <c r="M983" s="311">
        <v>84705.741666666683</v>
      </c>
      <c r="N983" s="311">
        <v>18036.083333333336</v>
      </c>
      <c r="O983" s="311">
        <v>12625.258333333335</v>
      </c>
      <c r="P983" s="68">
        <f t="shared" si="204"/>
        <v>232361.08333333337</v>
      </c>
      <c r="Q983" s="68">
        <f>D983*P983</f>
        <v>313624260.2853334</v>
      </c>
      <c r="R983" s="127">
        <f>F983*P983</f>
        <v>313624260.2853334</v>
      </c>
      <c r="S983" s="37"/>
    </row>
    <row r="984" spans="1:19" ht="30">
      <c r="A984" s="76"/>
      <c r="B984" s="75" t="s">
        <v>1796</v>
      </c>
      <c r="C984" s="76" t="s">
        <v>117</v>
      </c>
      <c r="D984" s="351">
        <v>2242.9650000000001</v>
      </c>
      <c r="E984" s="76"/>
      <c r="F984" s="351">
        <v>2242.9650000000001</v>
      </c>
      <c r="G984" s="351" t="s">
        <v>3169</v>
      </c>
      <c r="H984" s="351"/>
      <c r="I984" s="351" t="s">
        <v>3165</v>
      </c>
      <c r="J984" s="560" t="s">
        <v>3166</v>
      </c>
      <c r="K984" s="311">
        <v>144966</v>
      </c>
      <c r="L984" s="311">
        <v>0</v>
      </c>
      <c r="M984" s="311">
        <v>91155.216666666689</v>
      </c>
      <c r="N984" s="311">
        <v>21126.833333333336</v>
      </c>
      <c r="O984" s="311">
        <v>14788.783333333335</v>
      </c>
      <c r="P984" s="68">
        <f t="shared" si="204"/>
        <v>272036.83333333337</v>
      </c>
      <c r="Q984" s="68">
        <f>D984*P984</f>
        <v>610169095.87750018</v>
      </c>
      <c r="R984" s="127">
        <f>F984*P984</f>
        <v>610169095.87750018</v>
      </c>
      <c r="S984" s="37"/>
    </row>
    <row r="985" spans="1:19" s="79" customFormat="1">
      <c r="A985" s="77" t="s">
        <v>2246</v>
      </c>
      <c r="B985" s="78" t="s">
        <v>1797</v>
      </c>
      <c r="C985" s="77" t="s">
        <v>78</v>
      </c>
      <c r="D985" s="351">
        <v>1</v>
      </c>
      <c r="E985" s="77"/>
      <c r="F985" s="351">
        <v>1</v>
      </c>
      <c r="G985" s="351"/>
      <c r="H985" s="351"/>
      <c r="I985" s="351"/>
      <c r="J985" s="560" t="s">
        <v>2381</v>
      </c>
      <c r="K985" s="311">
        <v>144920030.78380004</v>
      </c>
      <c r="L985" s="311">
        <v>0</v>
      </c>
      <c r="M985" s="311">
        <v>75089622.822138369</v>
      </c>
      <c r="N985" s="311">
        <v>18644885.898808338</v>
      </c>
      <c r="O985" s="311">
        <v>13051420.129165838</v>
      </c>
      <c r="P985" s="68">
        <f t="shared" si="204"/>
        <v>251705959.63391256</v>
      </c>
      <c r="Q985" s="68">
        <f>D985*P985</f>
        <v>251705959.63391256</v>
      </c>
      <c r="R985" s="127">
        <f>F985*P985</f>
        <v>251705959.63391256</v>
      </c>
      <c r="S985" s="36"/>
    </row>
    <row r="986" spans="1:19" s="79" customFormat="1">
      <c r="A986" s="77" t="s">
        <v>1798</v>
      </c>
      <c r="B986" s="78" t="s">
        <v>1799</v>
      </c>
      <c r="C986" s="77"/>
      <c r="D986" s="351"/>
      <c r="E986" s="77"/>
      <c r="F986" s="351"/>
      <c r="G986" s="38"/>
      <c r="H986" s="38"/>
      <c r="I986" s="38"/>
      <c r="J986" s="585"/>
      <c r="K986" s="65"/>
      <c r="L986" s="65"/>
      <c r="M986" s="65"/>
      <c r="N986" s="65"/>
      <c r="O986" s="65"/>
      <c r="P986" s="65"/>
      <c r="Q986" s="65"/>
      <c r="R986" s="65"/>
      <c r="S986" s="38"/>
    </row>
    <row r="987" spans="1:19" s="79" customFormat="1" ht="57">
      <c r="A987" s="77" t="s">
        <v>2247</v>
      </c>
      <c r="B987" s="78" t="s">
        <v>1800</v>
      </c>
      <c r="C987" s="77"/>
      <c r="D987" s="351"/>
      <c r="E987" s="77"/>
      <c r="F987" s="351"/>
      <c r="G987" s="36"/>
      <c r="H987" s="36"/>
      <c r="I987" s="36"/>
      <c r="J987" s="584"/>
      <c r="K987" s="65"/>
      <c r="L987" s="65"/>
      <c r="M987" s="65"/>
      <c r="N987" s="65"/>
      <c r="O987" s="65"/>
      <c r="P987" s="65"/>
      <c r="Q987" s="65"/>
      <c r="R987" s="65"/>
      <c r="S987" s="36"/>
    </row>
    <row r="988" spans="1:19" ht="60">
      <c r="A988" s="76"/>
      <c r="B988" s="75" t="s">
        <v>1801</v>
      </c>
      <c r="C988" s="76" t="s">
        <v>117</v>
      </c>
      <c r="D988" s="351">
        <v>2127.4090000000001</v>
      </c>
      <c r="E988" s="76" t="s">
        <v>1802</v>
      </c>
      <c r="F988" s="351">
        <v>2127.4090000000001</v>
      </c>
      <c r="G988" s="351" t="s">
        <v>3180</v>
      </c>
      <c r="H988" s="351"/>
      <c r="I988" s="351" t="s">
        <v>3181</v>
      </c>
      <c r="J988" s="560" t="s">
        <v>3166</v>
      </c>
      <c r="K988" s="311">
        <v>21466.61</v>
      </c>
      <c r="L988" s="311">
        <v>0</v>
      </c>
      <c r="M988" s="311">
        <v>66191.633333333346</v>
      </c>
      <c r="N988" s="311">
        <v>7757.3666666666677</v>
      </c>
      <c r="O988" s="311">
        <v>5430.1566666666677</v>
      </c>
      <c r="P988" s="68">
        <f t="shared" ref="P988:P990" si="205">SUM(K988:O988)</f>
        <v>100845.76666666668</v>
      </c>
      <c r="Q988" s="68">
        <f>D988*P988</f>
        <v>214540191.61856669</v>
      </c>
      <c r="R988" s="127">
        <f>F988*P988</f>
        <v>214540191.61856669</v>
      </c>
      <c r="S988" s="15"/>
    </row>
    <row r="989" spans="1:19" ht="30">
      <c r="A989" s="76"/>
      <c r="B989" s="75" t="s">
        <v>1803</v>
      </c>
      <c r="C989" s="76" t="s">
        <v>117</v>
      </c>
      <c r="D989" s="351">
        <v>1194.4969999999996</v>
      </c>
      <c r="E989" s="76"/>
      <c r="F989" s="351">
        <v>1194.4969999999996</v>
      </c>
      <c r="G989" s="351" t="s">
        <v>3182</v>
      </c>
      <c r="H989" s="351"/>
      <c r="I989" s="351" t="s">
        <v>3181</v>
      </c>
      <c r="J989" s="560" t="s">
        <v>3166</v>
      </c>
      <c r="K989" s="311">
        <v>25626.140000000003</v>
      </c>
      <c r="L989" s="311">
        <v>0</v>
      </c>
      <c r="M989" s="311">
        <v>72658.058333333349</v>
      </c>
      <c r="N989" s="311">
        <v>8697.7166666666672</v>
      </c>
      <c r="O989" s="311">
        <v>6088.4016666666676</v>
      </c>
      <c r="P989" s="68">
        <f t="shared" si="205"/>
        <v>113070.31666666668</v>
      </c>
      <c r="Q989" s="68">
        <f>D989*P989</f>
        <v>135062154.04738331</v>
      </c>
      <c r="R989" s="127">
        <f>F989*P989</f>
        <v>135062154.04738331</v>
      </c>
      <c r="S989" s="18"/>
    </row>
    <row r="990" spans="1:19" s="79" customFormat="1">
      <c r="A990" s="77" t="s">
        <v>2248</v>
      </c>
      <c r="B990" s="78" t="s">
        <v>1797</v>
      </c>
      <c r="C990" s="77" t="s">
        <v>78</v>
      </c>
      <c r="D990" s="351">
        <v>1</v>
      </c>
      <c r="E990" s="77"/>
      <c r="F990" s="351">
        <v>1</v>
      </c>
      <c r="G990" s="351"/>
      <c r="H990" s="351"/>
      <c r="I990" s="351"/>
      <c r="J990" s="560" t="s">
        <v>2381</v>
      </c>
      <c r="K990" s="311">
        <v>31861506.500808004</v>
      </c>
      <c r="L990" s="311">
        <v>0</v>
      </c>
      <c r="M990" s="311">
        <v>23767759.36601501</v>
      </c>
      <c r="N990" s="311">
        <v>4714344.5649850005</v>
      </c>
      <c r="O990" s="311">
        <v>3300041.1954895006</v>
      </c>
      <c r="P990" s="68">
        <f t="shared" si="205"/>
        <v>63643651.627297521</v>
      </c>
      <c r="Q990" s="68">
        <f>D990*P990</f>
        <v>63643651.627297521</v>
      </c>
      <c r="R990" s="127">
        <f>F990*P990</f>
        <v>63643651.627297521</v>
      </c>
      <c r="S990" s="18"/>
    </row>
    <row r="991" spans="1:19" s="79" customFormat="1">
      <c r="A991" s="77" t="s">
        <v>1804</v>
      </c>
      <c r="B991" s="78" t="s">
        <v>1805</v>
      </c>
      <c r="C991" s="77"/>
      <c r="D991" s="351"/>
      <c r="E991" s="77"/>
      <c r="F991" s="351"/>
      <c r="G991" s="18"/>
      <c r="H991" s="18"/>
      <c r="I991" s="18"/>
      <c r="J991" s="587"/>
      <c r="K991" s="65"/>
      <c r="L991" s="65"/>
      <c r="M991" s="65"/>
      <c r="N991" s="65"/>
      <c r="O991" s="65"/>
      <c r="P991" s="65"/>
      <c r="Q991" s="65"/>
      <c r="R991" s="65"/>
      <c r="S991" s="18"/>
    </row>
    <row r="992" spans="1:19" s="79" customFormat="1">
      <c r="A992" s="77" t="s">
        <v>2249</v>
      </c>
      <c r="B992" s="78" t="s">
        <v>1806</v>
      </c>
      <c r="C992" s="77"/>
      <c r="D992" s="351"/>
      <c r="E992" s="77"/>
      <c r="F992" s="351"/>
      <c r="G992" s="18"/>
      <c r="H992" s="18"/>
      <c r="I992" s="18"/>
      <c r="J992" s="587"/>
      <c r="K992" s="65"/>
      <c r="L992" s="65"/>
      <c r="M992" s="65"/>
      <c r="N992" s="65"/>
      <c r="O992" s="65"/>
      <c r="P992" s="65"/>
      <c r="Q992" s="65"/>
      <c r="R992" s="65"/>
      <c r="S992" s="18"/>
    </row>
    <row r="993" spans="1:19">
      <c r="A993" s="76"/>
      <c r="B993" s="75" t="s">
        <v>1807</v>
      </c>
      <c r="C993" s="76" t="s">
        <v>117</v>
      </c>
      <c r="D993" s="351">
        <v>59946.296000000009</v>
      </c>
      <c r="E993" s="76"/>
      <c r="F993" s="351">
        <v>59946.296000000009</v>
      </c>
      <c r="G993" s="365" t="s">
        <v>2408</v>
      </c>
      <c r="H993" s="369"/>
      <c r="I993" s="365" t="s">
        <v>2330</v>
      </c>
      <c r="J993" s="593" t="s">
        <v>2328</v>
      </c>
      <c r="K993" s="311">
        <v>5903.6580000000013</v>
      </c>
      <c r="L993" s="311">
        <v>0</v>
      </c>
      <c r="M993" s="311">
        <v>3667.8962962962964</v>
      </c>
      <c r="N993" s="311">
        <v>866.21259259259261</v>
      </c>
      <c r="O993" s="311">
        <v>606.34881481481489</v>
      </c>
      <c r="P993" s="68">
        <f t="shared" ref="P993:P994" si="206">SUM(K993:O993)</f>
        <v>11044.115703703705</v>
      </c>
      <c r="Q993" s="68">
        <f>D993*P993</f>
        <v>662053829.0324707</v>
      </c>
      <c r="R993" s="127">
        <f>F993*P993</f>
        <v>662053829.0324707</v>
      </c>
      <c r="S993" s="15"/>
    </row>
    <row r="994" spans="1:19" s="79" customFormat="1">
      <c r="A994" s="77" t="s">
        <v>2250</v>
      </c>
      <c r="B994" s="78" t="s">
        <v>1808</v>
      </c>
      <c r="C994" s="77" t="s">
        <v>78</v>
      </c>
      <c r="D994" s="351">
        <v>1</v>
      </c>
      <c r="E994" s="77"/>
      <c r="F994" s="351">
        <v>1</v>
      </c>
      <c r="G994" s="351"/>
      <c r="H994" s="351"/>
      <c r="I994" s="351"/>
      <c r="J994" s="560" t="s">
        <v>2381</v>
      </c>
      <c r="K994" s="311">
        <v>11493711.945190085</v>
      </c>
      <c r="L994" s="311">
        <v>0</v>
      </c>
      <c r="M994" s="311">
        <v>11480292.944628151</v>
      </c>
      <c r="N994" s="311">
        <v>1946949.5669337485</v>
      </c>
      <c r="O994" s="311">
        <v>1362864.6968536242</v>
      </c>
      <c r="P994" s="68">
        <f t="shared" si="206"/>
        <v>26283819.153605606</v>
      </c>
      <c r="Q994" s="68">
        <f>D994*P994</f>
        <v>26283819.153605606</v>
      </c>
      <c r="R994" s="127">
        <f>F994*P994</f>
        <v>26283819.153605606</v>
      </c>
      <c r="S994" s="36"/>
    </row>
    <row r="995" spans="1:19" s="79" customFormat="1" ht="28.5">
      <c r="A995" s="219" t="s">
        <v>144</v>
      </c>
      <c r="B995" s="220" t="s">
        <v>1809</v>
      </c>
      <c r="C995" s="77"/>
      <c r="D995" s="351"/>
      <c r="E995" s="77"/>
      <c r="F995" s="351"/>
      <c r="G995" s="37"/>
      <c r="H995" s="37"/>
      <c r="I995" s="37"/>
      <c r="J995" s="583"/>
      <c r="K995" s="66"/>
      <c r="L995" s="66"/>
      <c r="M995" s="66"/>
      <c r="N995" s="66"/>
      <c r="O995" s="66"/>
      <c r="P995" s="66"/>
      <c r="Q995" s="66"/>
      <c r="R995" s="66"/>
      <c r="S995" s="37"/>
    </row>
    <row r="996" spans="1:19" s="79" customFormat="1">
      <c r="A996" s="77">
        <v>1</v>
      </c>
      <c r="B996" s="78" t="s">
        <v>1810</v>
      </c>
      <c r="C996" s="77"/>
      <c r="D996" s="351"/>
      <c r="E996" s="77"/>
      <c r="F996" s="351"/>
      <c r="G996" s="36"/>
      <c r="H996" s="36"/>
      <c r="I996" s="36"/>
      <c r="J996" s="584"/>
      <c r="K996" s="65"/>
      <c r="L996" s="65"/>
      <c r="M996" s="65"/>
      <c r="N996" s="65"/>
      <c r="O996" s="65"/>
      <c r="P996" s="65"/>
      <c r="Q996" s="65"/>
      <c r="R996" s="65"/>
      <c r="S996" s="36"/>
    </row>
    <row r="997" spans="1:19" s="79" customFormat="1">
      <c r="A997" s="77" t="s">
        <v>1758</v>
      </c>
      <c r="B997" s="78" t="s">
        <v>1759</v>
      </c>
      <c r="C997" s="77"/>
      <c r="D997" s="351"/>
      <c r="E997" s="77"/>
      <c r="F997" s="351"/>
      <c r="G997" s="36"/>
      <c r="H997" s="36"/>
      <c r="I997" s="36"/>
      <c r="J997" s="584"/>
      <c r="K997" s="65"/>
      <c r="L997" s="65"/>
      <c r="M997" s="65"/>
      <c r="N997" s="65"/>
      <c r="O997" s="65"/>
      <c r="P997" s="65"/>
      <c r="Q997" s="65"/>
      <c r="R997" s="65"/>
      <c r="S997" s="36"/>
    </row>
    <row r="998" spans="1:19" ht="30">
      <c r="A998" s="76" t="s">
        <v>1698</v>
      </c>
      <c r="B998" s="75" t="s">
        <v>1811</v>
      </c>
      <c r="C998" s="76" t="s">
        <v>1754</v>
      </c>
      <c r="D998" s="351">
        <v>2</v>
      </c>
      <c r="E998" s="76" t="s">
        <v>1020</v>
      </c>
      <c r="F998" s="351">
        <v>2</v>
      </c>
      <c r="G998" s="37"/>
      <c r="H998" s="37"/>
      <c r="I998" s="37"/>
      <c r="J998" s="572" t="s">
        <v>3196</v>
      </c>
      <c r="K998" s="311">
        <v>0</v>
      </c>
      <c r="L998" s="311">
        <v>259848.00000000003</v>
      </c>
      <c r="M998" s="311">
        <v>405891.25</v>
      </c>
      <c r="N998" s="311">
        <v>365302.125</v>
      </c>
      <c r="O998" s="311">
        <v>243534.75</v>
      </c>
      <c r="P998" s="68">
        <f t="shared" ref="P998:P1005" si="207">SUM(K998:O998)</f>
        <v>1274576.125</v>
      </c>
      <c r="Q998" s="68">
        <f t="shared" ref="Q998:Q1005" si="208">D998*P998</f>
        <v>2549152.25</v>
      </c>
      <c r="R998" s="127">
        <f t="shared" ref="R998:R1005" si="209">F998*P998</f>
        <v>2549152.25</v>
      </c>
      <c r="S998" s="37" t="s">
        <v>3360</v>
      </c>
    </row>
    <row r="999" spans="1:19" ht="30">
      <c r="A999" s="76" t="s">
        <v>1348</v>
      </c>
      <c r="B999" s="75" t="s">
        <v>1812</v>
      </c>
      <c r="C999" s="76" t="s">
        <v>1754</v>
      </c>
      <c r="D999" s="351">
        <v>8</v>
      </c>
      <c r="E999" s="76" t="s">
        <v>1020</v>
      </c>
      <c r="F999" s="351">
        <v>8</v>
      </c>
      <c r="G999" s="38"/>
      <c r="H999" s="38"/>
      <c r="I999" s="38"/>
      <c r="J999" s="572" t="s">
        <v>3196</v>
      </c>
      <c r="K999" s="311">
        <v>0</v>
      </c>
      <c r="L999" s="311">
        <v>259848.00000000003</v>
      </c>
      <c r="M999" s="311">
        <v>405891.25</v>
      </c>
      <c r="N999" s="311">
        <v>365302.125</v>
      </c>
      <c r="O999" s="311">
        <v>243534.75</v>
      </c>
      <c r="P999" s="68">
        <f t="shared" si="207"/>
        <v>1274576.125</v>
      </c>
      <c r="Q999" s="68">
        <f t="shared" si="208"/>
        <v>10196609</v>
      </c>
      <c r="R999" s="127">
        <f t="shared" si="209"/>
        <v>10196609</v>
      </c>
      <c r="S999" s="37" t="s">
        <v>3360</v>
      </c>
    </row>
    <row r="1000" spans="1:19" ht="30">
      <c r="A1000" s="76" t="s">
        <v>1351</v>
      </c>
      <c r="B1000" s="75" t="s">
        <v>1813</v>
      </c>
      <c r="C1000" s="76" t="s">
        <v>1754</v>
      </c>
      <c r="D1000" s="351">
        <v>5</v>
      </c>
      <c r="E1000" s="76" t="s">
        <v>1020</v>
      </c>
      <c r="F1000" s="351">
        <v>5</v>
      </c>
      <c r="G1000" s="36"/>
      <c r="H1000" s="36"/>
      <c r="I1000" s="36"/>
      <c r="J1000" s="572" t="s">
        <v>3196</v>
      </c>
      <c r="K1000" s="311">
        <v>0</v>
      </c>
      <c r="L1000" s="311">
        <v>259848.00000000003</v>
      </c>
      <c r="M1000" s="311">
        <v>405891.25</v>
      </c>
      <c r="N1000" s="311">
        <v>365302.125</v>
      </c>
      <c r="O1000" s="311">
        <v>243534.75</v>
      </c>
      <c r="P1000" s="68">
        <f t="shared" si="207"/>
        <v>1274576.125</v>
      </c>
      <c r="Q1000" s="68">
        <f t="shared" si="208"/>
        <v>6372880.625</v>
      </c>
      <c r="R1000" s="127">
        <f t="shared" si="209"/>
        <v>6372880.625</v>
      </c>
      <c r="S1000" s="37" t="s">
        <v>3360</v>
      </c>
    </row>
    <row r="1001" spans="1:19" ht="30">
      <c r="A1001" s="76" t="s">
        <v>1590</v>
      </c>
      <c r="B1001" s="75" t="s">
        <v>1814</v>
      </c>
      <c r="C1001" s="76" t="s">
        <v>1754</v>
      </c>
      <c r="D1001" s="351">
        <v>3</v>
      </c>
      <c r="E1001" s="76" t="s">
        <v>1020</v>
      </c>
      <c r="F1001" s="351">
        <v>3</v>
      </c>
      <c r="G1001" s="15"/>
      <c r="H1001" s="15"/>
      <c r="I1001" s="15"/>
      <c r="J1001" s="572" t="s">
        <v>3196</v>
      </c>
      <c r="K1001" s="311">
        <v>0</v>
      </c>
      <c r="L1001" s="311">
        <v>259848.00000000003</v>
      </c>
      <c r="M1001" s="311">
        <v>405891.25</v>
      </c>
      <c r="N1001" s="311">
        <v>365302.125</v>
      </c>
      <c r="O1001" s="311">
        <v>243534.75</v>
      </c>
      <c r="P1001" s="68">
        <f t="shared" si="207"/>
        <v>1274576.125</v>
      </c>
      <c r="Q1001" s="68">
        <f t="shared" si="208"/>
        <v>3823728.375</v>
      </c>
      <c r="R1001" s="127">
        <f t="shared" si="209"/>
        <v>3823728.375</v>
      </c>
      <c r="S1001" s="37" t="s">
        <v>3360</v>
      </c>
    </row>
    <row r="1002" spans="1:19" ht="30">
      <c r="A1002" s="76" t="s">
        <v>1706</v>
      </c>
      <c r="B1002" s="75" t="s">
        <v>1815</v>
      </c>
      <c r="C1002" s="76" t="s">
        <v>1754</v>
      </c>
      <c r="D1002" s="351">
        <v>3</v>
      </c>
      <c r="E1002" s="76" t="s">
        <v>1020</v>
      </c>
      <c r="F1002" s="351">
        <v>3</v>
      </c>
      <c r="G1002" s="18"/>
      <c r="H1002" s="18"/>
      <c r="I1002" s="18"/>
      <c r="J1002" s="572" t="s">
        <v>3196</v>
      </c>
      <c r="K1002" s="311">
        <v>0</v>
      </c>
      <c r="L1002" s="311">
        <v>259848.00000000003</v>
      </c>
      <c r="M1002" s="311">
        <v>415644.375</v>
      </c>
      <c r="N1002" s="311">
        <v>374079.9375</v>
      </c>
      <c r="O1002" s="311">
        <v>249386.625</v>
      </c>
      <c r="P1002" s="68">
        <f t="shared" si="207"/>
        <v>1298958.9375</v>
      </c>
      <c r="Q1002" s="68">
        <f t="shared" si="208"/>
        <v>3896876.8125</v>
      </c>
      <c r="R1002" s="127">
        <f t="shared" si="209"/>
        <v>3896876.8125</v>
      </c>
      <c r="S1002" s="37" t="s">
        <v>3360</v>
      </c>
    </row>
    <row r="1003" spans="1:19" ht="30">
      <c r="A1003" s="76" t="s">
        <v>1708</v>
      </c>
      <c r="B1003" s="75" t="s">
        <v>1816</v>
      </c>
      <c r="C1003" s="76" t="s">
        <v>1754</v>
      </c>
      <c r="D1003" s="351">
        <v>7</v>
      </c>
      <c r="E1003" s="76" t="s">
        <v>1020</v>
      </c>
      <c r="F1003" s="351">
        <v>7</v>
      </c>
      <c r="G1003" s="15"/>
      <c r="H1003" s="15"/>
      <c r="I1003" s="15"/>
      <c r="J1003" s="572" t="s">
        <v>3196</v>
      </c>
      <c r="K1003" s="311">
        <v>0</v>
      </c>
      <c r="L1003" s="311">
        <v>259848.00000000003</v>
      </c>
      <c r="M1003" s="311">
        <v>425397.5</v>
      </c>
      <c r="N1003" s="311">
        <v>382857.75</v>
      </c>
      <c r="O1003" s="311">
        <v>255238.5</v>
      </c>
      <c r="P1003" s="68">
        <f t="shared" si="207"/>
        <v>1323341.75</v>
      </c>
      <c r="Q1003" s="68">
        <f t="shared" si="208"/>
        <v>9263392.25</v>
      </c>
      <c r="R1003" s="127">
        <f t="shared" si="209"/>
        <v>9263392.25</v>
      </c>
      <c r="S1003" s="37" t="s">
        <v>3360</v>
      </c>
    </row>
    <row r="1004" spans="1:19" ht="30">
      <c r="A1004" s="76" t="s">
        <v>1710</v>
      </c>
      <c r="B1004" s="75" t="s">
        <v>1817</v>
      </c>
      <c r="C1004" s="76" t="s">
        <v>1754</v>
      </c>
      <c r="D1004" s="351">
        <v>1</v>
      </c>
      <c r="E1004" s="76" t="s">
        <v>1020</v>
      </c>
      <c r="F1004" s="351">
        <v>1</v>
      </c>
      <c r="G1004" s="15"/>
      <c r="H1004" s="15"/>
      <c r="I1004" s="15"/>
      <c r="J1004" s="572" t="s">
        <v>3196</v>
      </c>
      <c r="K1004" s="311">
        <v>0</v>
      </c>
      <c r="L1004" s="311">
        <v>259848.00000000003</v>
      </c>
      <c r="M1004" s="311">
        <v>535970</v>
      </c>
      <c r="N1004" s="311">
        <v>482373</v>
      </c>
      <c r="O1004" s="311">
        <v>321582</v>
      </c>
      <c r="P1004" s="68">
        <f t="shared" si="207"/>
        <v>1599773</v>
      </c>
      <c r="Q1004" s="68">
        <f t="shared" si="208"/>
        <v>1599773</v>
      </c>
      <c r="R1004" s="127">
        <f t="shared" si="209"/>
        <v>1599773</v>
      </c>
      <c r="S1004" s="37" t="s">
        <v>3360</v>
      </c>
    </row>
    <row r="1005" spans="1:19" ht="30">
      <c r="A1005" s="76" t="s">
        <v>1712</v>
      </c>
      <c r="B1005" s="75" t="s">
        <v>1818</v>
      </c>
      <c r="C1005" s="76" t="s">
        <v>1754</v>
      </c>
      <c r="D1005" s="351">
        <v>1</v>
      </c>
      <c r="E1005" s="76" t="s">
        <v>1020</v>
      </c>
      <c r="F1005" s="351">
        <v>1</v>
      </c>
      <c r="G1005" s="15"/>
      <c r="H1005" s="15"/>
      <c r="I1005" s="15"/>
      <c r="J1005" s="572" t="s">
        <v>3196</v>
      </c>
      <c r="K1005" s="311">
        <v>0</v>
      </c>
      <c r="L1005" s="311">
        <v>259848.00000000003</v>
      </c>
      <c r="M1005" s="311">
        <v>619171.875</v>
      </c>
      <c r="N1005" s="311">
        <v>557254.6875</v>
      </c>
      <c r="O1005" s="311">
        <v>371503.125</v>
      </c>
      <c r="P1005" s="68">
        <f t="shared" si="207"/>
        <v>1807777.6875</v>
      </c>
      <c r="Q1005" s="68">
        <f t="shared" si="208"/>
        <v>1807777.6875</v>
      </c>
      <c r="R1005" s="127">
        <f t="shared" si="209"/>
        <v>1807777.6875</v>
      </c>
      <c r="S1005" s="37" t="s">
        <v>3360</v>
      </c>
    </row>
    <row r="1006" spans="1:19" s="79" customFormat="1">
      <c r="A1006" s="77" t="s">
        <v>1763</v>
      </c>
      <c r="B1006" s="78" t="s">
        <v>1764</v>
      </c>
      <c r="C1006" s="77"/>
      <c r="D1006" s="351"/>
      <c r="E1006" s="77"/>
      <c r="F1006" s="351"/>
      <c r="G1006" s="18"/>
      <c r="H1006" s="18"/>
      <c r="I1006" s="18"/>
      <c r="J1006" s="587"/>
      <c r="K1006" s="65"/>
      <c r="L1006" s="65"/>
      <c r="M1006" s="65"/>
      <c r="N1006" s="65"/>
      <c r="O1006" s="65"/>
      <c r="P1006" s="65"/>
      <c r="Q1006" s="65"/>
      <c r="R1006" s="65"/>
      <c r="S1006" s="18"/>
    </row>
    <row r="1007" spans="1:19" ht="30">
      <c r="A1007" s="76" t="s">
        <v>1713</v>
      </c>
      <c r="B1007" s="75" t="s">
        <v>1819</v>
      </c>
      <c r="C1007" s="76" t="s">
        <v>1754</v>
      </c>
      <c r="D1007" s="351">
        <v>2</v>
      </c>
      <c r="E1007" s="76" t="s">
        <v>1020</v>
      </c>
      <c r="F1007" s="351">
        <v>2</v>
      </c>
      <c r="G1007" s="37"/>
      <c r="H1007" s="37"/>
      <c r="I1007" s="37"/>
      <c r="J1007" s="572" t="s">
        <v>3196</v>
      </c>
      <c r="K1007" s="311">
        <v>0</v>
      </c>
      <c r="L1007" s="311">
        <v>363106.80000000005</v>
      </c>
      <c r="M1007" s="311">
        <v>733348.75</v>
      </c>
      <c r="N1007" s="311">
        <v>660013.875</v>
      </c>
      <c r="O1007" s="311">
        <v>440009.25</v>
      </c>
      <c r="P1007" s="68">
        <f t="shared" ref="P1007:P1010" si="210">SUM(K1007:O1007)</f>
        <v>2196478.6749999998</v>
      </c>
      <c r="Q1007" s="68">
        <f>D1007*P1007</f>
        <v>4392957.3499999996</v>
      </c>
      <c r="R1007" s="127">
        <f>F1007*P1007</f>
        <v>4392957.3499999996</v>
      </c>
      <c r="S1007" s="37"/>
    </row>
    <row r="1008" spans="1:19" ht="30">
      <c r="A1008" s="76" t="s">
        <v>1715</v>
      </c>
      <c r="B1008" s="75" t="s">
        <v>1820</v>
      </c>
      <c r="C1008" s="76" t="s">
        <v>1754</v>
      </c>
      <c r="D1008" s="351">
        <v>2</v>
      </c>
      <c r="E1008" s="76" t="s">
        <v>1020</v>
      </c>
      <c r="F1008" s="351">
        <v>2</v>
      </c>
      <c r="G1008" s="37"/>
      <c r="H1008" s="37"/>
      <c r="I1008" s="37"/>
      <c r="J1008" s="572" t="s">
        <v>3196</v>
      </c>
      <c r="K1008" s="311">
        <v>0</v>
      </c>
      <c r="L1008" s="311">
        <v>363106.80000000005</v>
      </c>
      <c r="M1008" s="311">
        <v>992688.75</v>
      </c>
      <c r="N1008" s="311">
        <v>893419.875</v>
      </c>
      <c r="O1008" s="311">
        <v>595613.25</v>
      </c>
      <c r="P1008" s="68">
        <f t="shared" si="210"/>
        <v>2844828.6749999998</v>
      </c>
      <c r="Q1008" s="68">
        <f>D1008*P1008</f>
        <v>5689657.3499999996</v>
      </c>
      <c r="R1008" s="127">
        <f>F1008*P1008</f>
        <v>5689657.3499999996</v>
      </c>
      <c r="S1008" s="37"/>
    </row>
    <row r="1009" spans="1:19" ht="30">
      <c r="A1009" s="76" t="s">
        <v>1717</v>
      </c>
      <c r="B1009" s="75" t="s">
        <v>1821</v>
      </c>
      <c r="C1009" s="76" t="s">
        <v>1754</v>
      </c>
      <c r="D1009" s="351">
        <v>4</v>
      </c>
      <c r="E1009" s="76" t="s">
        <v>1020</v>
      </c>
      <c r="F1009" s="351">
        <v>4</v>
      </c>
      <c r="G1009" s="37"/>
      <c r="H1009" s="37"/>
      <c r="I1009" s="37"/>
      <c r="J1009" s="572" t="s">
        <v>3196</v>
      </c>
      <c r="K1009" s="311">
        <v>0</v>
      </c>
      <c r="L1009" s="311">
        <v>363106.80000000005</v>
      </c>
      <c r="M1009" s="311">
        <v>1387077.5</v>
      </c>
      <c r="N1009" s="311">
        <v>1248369.75</v>
      </c>
      <c r="O1009" s="311">
        <v>832246.5</v>
      </c>
      <c r="P1009" s="68">
        <f t="shared" si="210"/>
        <v>3830800.55</v>
      </c>
      <c r="Q1009" s="68">
        <f>D1009*P1009</f>
        <v>15323202.199999999</v>
      </c>
      <c r="R1009" s="127">
        <f>F1009*P1009</f>
        <v>15323202.199999999</v>
      </c>
      <c r="S1009" s="37"/>
    </row>
    <row r="1010" spans="1:19" ht="30">
      <c r="A1010" s="76" t="s">
        <v>1719</v>
      </c>
      <c r="B1010" s="75" t="s">
        <v>1822</v>
      </c>
      <c r="C1010" s="76" t="s">
        <v>1754</v>
      </c>
      <c r="D1010" s="351">
        <v>1</v>
      </c>
      <c r="E1010" s="76" t="s">
        <v>1020</v>
      </c>
      <c r="F1010" s="351">
        <v>1</v>
      </c>
      <c r="G1010" s="37"/>
      <c r="H1010" s="37"/>
      <c r="I1010" s="37"/>
      <c r="J1010" s="572" t="s">
        <v>3196</v>
      </c>
      <c r="K1010" s="311">
        <v>0</v>
      </c>
      <c r="L1010" s="311">
        <v>363106.80000000005</v>
      </c>
      <c r="M1010" s="311">
        <v>1387077.5</v>
      </c>
      <c r="N1010" s="311">
        <v>1248369.75</v>
      </c>
      <c r="O1010" s="311">
        <v>832246.5</v>
      </c>
      <c r="P1010" s="68">
        <f t="shared" si="210"/>
        <v>3830800.55</v>
      </c>
      <c r="Q1010" s="68">
        <f>D1010*P1010</f>
        <v>3830800.55</v>
      </c>
      <c r="R1010" s="127">
        <f>F1010*P1010</f>
        <v>3830800.55</v>
      </c>
      <c r="S1010" s="37"/>
    </row>
    <row r="1011" spans="1:19" s="79" customFormat="1">
      <c r="A1011" s="77">
        <v>2</v>
      </c>
      <c r="B1011" s="78" t="s">
        <v>1769</v>
      </c>
      <c r="C1011" s="77"/>
      <c r="D1011" s="351"/>
      <c r="E1011" s="77"/>
      <c r="F1011" s="351"/>
      <c r="G1011" s="36"/>
      <c r="H1011" s="36"/>
      <c r="I1011" s="36"/>
      <c r="J1011" s="584"/>
      <c r="K1011" s="65"/>
      <c r="L1011" s="65"/>
      <c r="M1011" s="65"/>
      <c r="N1011" s="65"/>
      <c r="O1011" s="65"/>
      <c r="P1011" s="65"/>
      <c r="Q1011" s="65"/>
      <c r="R1011" s="65"/>
      <c r="S1011" s="36"/>
    </row>
    <row r="1012" spans="1:19" ht="60">
      <c r="A1012" s="76" t="s">
        <v>2236</v>
      </c>
      <c r="B1012" s="75" t="s">
        <v>1823</v>
      </c>
      <c r="C1012" s="76" t="s">
        <v>1754</v>
      </c>
      <c r="D1012" s="351">
        <v>14</v>
      </c>
      <c r="E1012" s="76" t="s">
        <v>1771</v>
      </c>
      <c r="F1012" s="351">
        <v>14</v>
      </c>
      <c r="G1012" s="351" t="s">
        <v>3359</v>
      </c>
      <c r="H1012" s="351" t="s">
        <v>3358</v>
      </c>
      <c r="I1012" s="351" t="s">
        <v>2613</v>
      </c>
      <c r="J1012" s="351" t="s">
        <v>2526</v>
      </c>
      <c r="K1012" s="311">
        <v>967996.57500000007</v>
      </c>
      <c r="L1012" s="311">
        <v>0</v>
      </c>
      <c r="M1012" s="311">
        <v>159031.4916666667</v>
      </c>
      <c r="N1012" s="311">
        <v>108053.83333333333</v>
      </c>
      <c r="O1012" s="311">
        <v>75637.683333333334</v>
      </c>
      <c r="P1012" s="68">
        <f>SUM(K1012:O1012)</f>
        <v>1310719.5833333335</v>
      </c>
      <c r="Q1012" s="68">
        <f>D1012*P1012</f>
        <v>18350074.166666668</v>
      </c>
      <c r="R1012" s="127">
        <f>F1012*P1012</f>
        <v>18350074.166666668</v>
      </c>
      <c r="S1012" s="36"/>
    </row>
    <row r="1013" spans="1:19" ht="45">
      <c r="A1013" s="76" t="s">
        <v>1393</v>
      </c>
      <c r="B1013" s="75" t="s">
        <v>1772</v>
      </c>
      <c r="C1013" s="76" t="s">
        <v>1754</v>
      </c>
      <c r="D1013" s="351">
        <v>5</v>
      </c>
      <c r="E1013" s="76"/>
      <c r="F1013" s="351">
        <v>5</v>
      </c>
      <c r="G1013" s="37"/>
      <c r="H1013" s="37"/>
      <c r="I1013" s="37"/>
      <c r="J1013" s="583"/>
      <c r="K1013" s="311"/>
      <c r="L1013" s="311"/>
      <c r="M1013" s="311"/>
      <c r="N1013" s="311"/>
      <c r="O1013" s="311"/>
      <c r="P1013" s="68"/>
      <c r="Q1013" s="68"/>
      <c r="R1013" s="127"/>
      <c r="S1013" s="37" t="s">
        <v>3195</v>
      </c>
    </row>
    <row r="1014" spans="1:19" ht="75">
      <c r="A1014" s="76" t="s">
        <v>1395</v>
      </c>
      <c r="B1014" s="75" t="s">
        <v>1824</v>
      </c>
      <c r="C1014" s="76" t="s">
        <v>1754</v>
      </c>
      <c r="D1014" s="351">
        <v>5</v>
      </c>
      <c r="E1014" s="76"/>
      <c r="F1014" s="351">
        <v>5</v>
      </c>
      <c r="G1014" s="351" t="s">
        <v>3206</v>
      </c>
      <c r="H1014" s="351" t="s">
        <v>2624</v>
      </c>
      <c r="I1014" s="351" t="s">
        <v>2615</v>
      </c>
      <c r="J1014" s="560" t="s">
        <v>2328</v>
      </c>
      <c r="K1014" s="311">
        <v>2002320</v>
      </c>
      <c r="L1014" s="311">
        <v>259848.00000000003</v>
      </c>
      <c r="M1014" s="311">
        <v>241929.91818181818</v>
      </c>
      <c r="N1014" s="311">
        <v>215809.72727272726</v>
      </c>
      <c r="O1014" s="311">
        <v>151066.80909090908</v>
      </c>
      <c r="P1014" s="68">
        <f>SUM(K1014:O1014)</f>
        <v>2870974.4545454541</v>
      </c>
      <c r="Q1014" s="68">
        <f>D1014*P1014</f>
        <v>14354872.27272727</v>
      </c>
      <c r="R1014" s="127">
        <f>F1014*P1014</f>
        <v>14354872.27272727</v>
      </c>
      <c r="S1014" s="37"/>
    </row>
    <row r="1015" spans="1:19" s="79" customFormat="1">
      <c r="A1015" s="77">
        <v>3</v>
      </c>
      <c r="B1015" s="78" t="s">
        <v>1773</v>
      </c>
      <c r="C1015" s="77"/>
      <c r="D1015" s="351"/>
      <c r="E1015" s="77"/>
      <c r="F1015" s="351"/>
      <c r="G1015" s="36"/>
      <c r="H1015" s="36"/>
      <c r="I1015" s="36"/>
      <c r="J1015" s="584"/>
      <c r="K1015" s="65"/>
      <c r="L1015" s="65"/>
      <c r="M1015" s="65"/>
      <c r="N1015" s="65"/>
      <c r="O1015" s="65"/>
      <c r="P1015" s="65"/>
      <c r="Q1015" s="65"/>
      <c r="R1015" s="65"/>
      <c r="S1015" s="36"/>
    </row>
    <row r="1016" spans="1:19" s="79" customFormat="1">
      <c r="A1016" s="77" t="s">
        <v>1758</v>
      </c>
      <c r="B1016" s="78" t="s">
        <v>1774</v>
      </c>
      <c r="C1016" s="77"/>
      <c r="D1016" s="351"/>
      <c r="E1016" s="77"/>
      <c r="F1016" s="351"/>
      <c r="G1016" s="36"/>
      <c r="H1016" s="36"/>
      <c r="I1016" s="36"/>
      <c r="J1016" s="584"/>
      <c r="K1016" s="65"/>
      <c r="L1016" s="65"/>
      <c r="M1016" s="65"/>
      <c r="N1016" s="65"/>
      <c r="O1016" s="65"/>
      <c r="P1016" s="65"/>
      <c r="Q1016" s="65"/>
      <c r="R1016" s="65"/>
      <c r="S1016" s="36"/>
    </row>
    <row r="1017" spans="1:19" s="79" customFormat="1">
      <c r="A1017" s="77"/>
      <c r="B1017" s="78" t="s">
        <v>1825</v>
      </c>
      <c r="C1017" s="77"/>
      <c r="D1017" s="351"/>
      <c r="E1017" s="77"/>
      <c r="F1017" s="351"/>
      <c r="G1017" s="38"/>
      <c r="H1017" s="38"/>
      <c r="I1017" s="38"/>
      <c r="J1017" s="585"/>
      <c r="K1017" s="65"/>
      <c r="L1017" s="65"/>
      <c r="M1017" s="65"/>
      <c r="N1017" s="65"/>
      <c r="O1017" s="65"/>
      <c r="P1017" s="65"/>
      <c r="Q1017" s="65"/>
      <c r="R1017" s="65"/>
      <c r="S1017" s="38"/>
    </row>
    <row r="1018" spans="1:19" s="79" customFormat="1">
      <c r="A1018" s="77" t="s">
        <v>2240</v>
      </c>
      <c r="B1018" s="78" t="s">
        <v>1483</v>
      </c>
      <c r="C1018" s="77"/>
      <c r="D1018" s="351"/>
      <c r="E1018" s="77"/>
      <c r="F1018" s="351"/>
      <c r="G1018" s="36"/>
      <c r="H1018" s="36"/>
      <c r="I1018" s="36"/>
      <c r="J1018" s="584"/>
      <c r="K1018" s="65"/>
      <c r="L1018" s="65"/>
      <c r="M1018" s="65"/>
      <c r="N1018" s="65"/>
      <c r="O1018" s="65"/>
      <c r="P1018" s="65"/>
      <c r="Q1018" s="65"/>
      <c r="R1018" s="65"/>
      <c r="S1018" s="36"/>
    </row>
    <row r="1019" spans="1:19">
      <c r="A1019" s="76"/>
      <c r="B1019" s="75" t="s">
        <v>1611</v>
      </c>
      <c r="C1019" s="76" t="s">
        <v>117</v>
      </c>
      <c r="D1019" s="351">
        <v>28.353999999999999</v>
      </c>
      <c r="E1019" s="76"/>
      <c r="F1019" s="351">
        <v>28.353999999999999</v>
      </c>
      <c r="G1019" s="351" t="s">
        <v>3310</v>
      </c>
      <c r="H1019" s="351"/>
      <c r="I1019" s="351" t="s">
        <v>2596</v>
      </c>
      <c r="J1019" s="560" t="s">
        <v>2328</v>
      </c>
      <c r="K1019" s="311">
        <v>72501.222906000025</v>
      </c>
      <c r="L1019" s="311">
        <v>0</v>
      </c>
      <c r="M1019" s="311">
        <v>54616.666666666672</v>
      </c>
      <c r="N1019" s="311">
        <v>11484.821673333337</v>
      </c>
      <c r="O1019" s="311">
        <v>8039.3751713333359</v>
      </c>
      <c r="P1019" s="68">
        <f t="shared" ref="P1019:P1025" si="211">SUM(K1019:O1019)</f>
        <v>146642.08641733337</v>
      </c>
      <c r="Q1019" s="68">
        <f t="shared" ref="Q1019:Q1025" si="212">D1019*P1019</f>
        <v>4157889.7182770702</v>
      </c>
      <c r="R1019" s="127">
        <f t="shared" ref="R1019:R1025" si="213">F1019*P1019</f>
        <v>4157889.7182770702</v>
      </c>
      <c r="S1019" s="15"/>
    </row>
    <row r="1020" spans="1:19">
      <c r="A1020" s="76"/>
      <c r="B1020" s="75" t="s">
        <v>1612</v>
      </c>
      <c r="C1020" s="76" t="s">
        <v>117</v>
      </c>
      <c r="D1020" s="351">
        <v>33.836999999999996</v>
      </c>
      <c r="E1020" s="76"/>
      <c r="F1020" s="351">
        <v>33.836999999999996</v>
      </c>
      <c r="G1020" s="351" t="s">
        <v>3310</v>
      </c>
      <c r="H1020" s="351"/>
      <c r="I1020" s="351" t="s">
        <v>2596</v>
      </c>
      <c r="J1020" s="560" t="s">
        <v>2328</v>
      </c>
      <c r="K1020" s="311">
        <v>90413.28974160002</v>
      </c>
      <c r="L1020" s="311">
        <v>0</v>
      </c>
      <c r="M1020" s="311">
        <v>68270.833333333343</v>
      </c>
      <c r="N1020" s="311">
        <v>14336.46389066667</v>
      </c>
      <c r="O1020" s="311">
        <v>10035.524723466669</v>
      </c>
      <c r="P1020" s="68">
        <f t="shared" si="211"/>
        <v>183056.11168906669</v>
      </c>
      <c r="Q1020" s="68">
        <f t="shared" si="212"/>
        <v>6194069.6512229489</v>
      </c>
      <c r="R1020" s="127">
        <f t="shared" si="213"/>
        <v>6194069.6512229489</v>
      </c>
      <c r="S1020" s="18"/>
    </row>
    <row r="1021" spans="1:19">
      <c r="A1021" s="76"/>
      <c r="B1021" s="75" t="s">
        <v>1514</v>
      </c>
      <c r="C1021" s="76" t="s">
        <v>117</v>
      </c>
      <c r="D1021" s="351">
        <v>9.2989999999999995</v>
      </c>
      <c r="E1021" s="76"/>
      <c r="F1021" s="351">
        <v>9.2989999999999995</v>
      </c>
      <c r="G1021" s="351" t="s">
        <v>3310</v>
      </c>
      <c r="H1021" s="351"/>
      <c r="I1021" s="351" t="s">
        <v>2596</v>
      </c>
      <c r="J1021" s="560" t="s">
        <v>2328</v>
      </c>
      <c r="K1021" s="311">
        <v>113443.08995880003</v>
      </c>
      <c r="L1021" s="311">
        <v>0</v>
      </c>
      <c r="M1021" s="311">
        <v>95579.166666666686</v>
      </c>
      <c r="N1021" s="311">
        <v>18865.956265333338</v>
      </c>
      <c r="O1021" s="311">
        <v>13206.169385733336</v>
      </c>
      <c r="P1021" s="68">
        <f t="shared" si="211"/>
        <v>241094.3822765334</v>
      </c>
      <c r="Q1021" s="68">
        <f t="shared" si="212"/>
        <v>2241936.6607894842</v>
      </c>
      <c r="R1021" s="127">
        <f t="shared" si="213"/>
        <v>2241936.6607894842</v>
      </c>
      <c r="S1021" s="15"/>
    </row>
    <row r="1022" spans="1:19">
      <c r="A1022" s="76"/>
      <c r="B1022" s="75" t="s">
        <v>1613</v>
      </c>
      <c r="C1022" s="76" t="s">
        <v>117</v>
      </c>
      <c r="D1022" s="351">
        <v>18.584</v>
      </c>
      <c r="E1022" s="76"/>
      <c r="F1022" s="351">
        <v>18.584</v>
      </c>
      <c r="G1022" s="351" t="s">
        <v>3310</v>
      </c>
      <c r="H1022" s="351"/>
      <c r="I1022" s="351" t="s">
        <v>2596</v>
      </c>
      <c r="J1022" s="560" t="s">
        <v>2328</v>
      </c>
      <c r="K1022" s="311">
        <v>109178.31214080003</v>
      </c>
      <c r="L1022" s="311">
        <v>0</v>
      </c>
      <c r="M1022" s="311">
        <v>81925.000000000015</v>
      </c>
      <c r="N1022" s="311">
        <v>17266.358912000003</v>
      </c>
      <c r="O1022" s="311">
        <v>12086.451238400003</v>
      </c>
      <c r="P1022" s="68">
        <f t="shared" si="211"/>
        <v>220456.12229120007</v>
      </c>
      <c r="Q1022" s="68">
        <f t="shared" si="212"/>
        <v>4096956.5766596622</v>
      </c>
      <c r="R1022" s="127">
        <f t="shared" si="213"/>
        <v>4096956.5766596622</v>
      </c>
      <c r="S1022" s="15"/>
    </row>
    <row r="1023" spans="1:19">
      <c r="A1023" s="76"/>
      <c r="B1023" s="75" t="s">
        <v>1517</v>
      </c>
      <c r="C1023" s="76" t="s">
        <v>117</v>
      </c>
      <c r="D1023" s="351">
        <v>24.907999999999998</v>
      </c>
      <c r="E1023" s="76"/>
      <c r="F1023" s="351">
        <v>24.907999999999998</v>
      </c>
      <c r="G1023" s="351" t="s">
        <v>3310</v>
      </c>
      <c r="H1023" s="351"/>
      <c r="I1023" s="351" t="s">
        <v>2596</v>
      </c>
      <c r="J1023" s="560" t="s">
        <v>2328</v>
      </c>
      <c r="K1023" s="311">
        <v>162061.55708400003</v>
      </c>
      <c r="L1023" s="311">
        <v>0</v>
      </c>
      <c r="M1023" s="311">
        <v>136541.66666666669</v>
      </c>
      <c r="N1023" s="311">
        <v>26951.366093333334</v>
      </c>
      <c r="O1023" s="311">
        <v>18865.956265333334</v>
      </c>
      <c r="P1023" s="68">
        <f t="shared" si="211"/>
        <v>344420.5461093334</v>
      </c>
      <c r="Q1023" s="68">
        <f t="shared" si="212"/>
        <v>8578826.9624912757</v>
      </c>
      <c r="R1023" s="127">
        <f t="shared" si="213"/>
        <v>8578826.9624912757</v>
      </c>
      <c r="S1023" s="15"/>
    </row>
    <row r="1024" spans="1:19" s="84" customFormat="1">
      <c r="A1024" s="30"/>
      <c r="B1024" s="85" t="s">
        <v>2197</v>
      </c>
      <c r="C1024" s="86" t="s">
        <v>117</v>
      </c>
      <c r="D1024" s="352">
        <v>9</v>
      </c>
      <c r="E1024" s="30"/>
      <c r="F1024" s="352">
        <v>9</v>
      </c>
      <c r="G1024" s="351" t="s">
        <v>3310</v>
      </c>
      <c r="H1024" s="351"/>
      <c r="I1024" s="351" t="s">
        <v>2596</v>
      </c>
      <c r="J1024" s="560" t="s">
        <v>2328</v>
      </c>
      <c r="K1024" s="311">
        <v>125466.49920000002</v>
      </c>
      <c r="L1024" s="311">
        <v>0</v>
      </c>
      <c r="M1024" s="311">
        <v>109233.33333333334</v>
      </c>
      <c r="N1024" s="311">
        <v>21177.35466666667</v>
      </c>
      <c r="O1024" s="311">
        <v>14824.148266666669</v>
      </c>
      <c r="P1024" s="68">
        <f t="shared" si="211"/>
        <v>270701.33546666673</v>
      </c>
      <c r="Q1024" s="68">
        <f t="shared" si="212"/>
        <v>2436312.0192000004</v>
      </c>
      <c r="R1024" s="127">
        <f t="shared" si="213"/>
        <v>2436312.0192000004</v>
      </c>
      <c r="S1024" s="26"/>
    </row>
    <row r="1025" spans="1:19" s="84" customFormat="1">
      <c r="A1025" s="30"/>
      <c r="B1025" s="85" t="s">
        <v>1513</v>
      </c>
      <c r="C1025" s="86" t="s">
        <v>117</v>
      </c>
      <c r="D1025" s="352">
        <v>4</v>
      </c>
      <c r="E1025" s="30"/>
      <c r="F1025" s="352">
        <v>4</v>
      </c>
      <c r="G1025" s="351" t="s">
        <v>3310</v>
      </c>
      <c r="H1025" s="351"/>
      <c r="I1025" s="351" t="s">
        <v>2596</v>
      </c>
      <c r="J1025" s="560" t="s">
        <v>2328</v>
      </c>
      <c r="K1025" s="311">
        <v>94099.874400000015</v>
      </c>
      <c r="L1025" s="311">
        <v>0</v>
      </c>
      <c r="M1025" s="311">
        <v>81925.000000000015</v>
      </c>
      <c r="N1025" s="311">
        <v>15883.016000000001</v>
      </c>
      <c r="O1025" s="311">
        <v>11118.111200000001</v>
      </c>
      <c r="P1025" s="68">
        <f t="shared" si="211"/>
        <v>203026.00160000005</v>
      </c>
      <c r="Q1025" s="68">
        <f t="shared" si="212"/>
        <v>812104.00640000019</v>
      </c>
      <c r="R1025" s="127">
        <f t="shared" si="213"/>
        <v>812104.00640000019</v>
      </c>
      <c r="S1025" s="26"/>
    </row>
    <row r="1026" spans="1:19" s="79" customFormat="1">
      <c r="A1026" s="77" t="s">
        <v>1422</v>
      </c>
      <c r="B1026" s="78" t="s">
        <v>1494</v>
      </c>
      <c r="C1026" s="77"/>
      <c r="D1026" s="351"/>
      <c r="E1026" s="77"/>
      <c r="F1026" s="351"/>
      <c r="G1026" s="18"/>
      <c r="H1026" s="18"/>
      <c r="I1026" s="18"/>
      <c r="J1026" s="587"/>
      <c r="K1026" s="65"/>
      <c r="L1026" s="65"/>
      <c r="M1026" s="65"/>
      <c r="N1026" s="65"/>
      <c r="O1026" s="65"/>
      <c r="P1026" s="65"/>
      <c r="Q1026" s="65"/>
      <c r="R1026" s="65"/>
      <c r="S1026" s="18"/>
    </row>
    <row r="1027" spans="1:19">
      <c r="A1027" s="76"/>
      <c r="B1027" s="75" t="s">
        <v>1611</v>
      </c>
      <c r="C1027" s="76" t="s">
        <v>8</v>
      </c>
      <c r="D1027" s="351">
        <v>6</v>
      </c>
      <c r="E1027" s="76"/>
      <c r="F1027" s="351">
        <v>6</v>
      </c>
      <c r="G1027" s="351" t="s">
        <v>3310</v>
      </c>
      <c r="H1027" s="351"/>
      <c r="I1027" s="351" t="s">
        <v>2596</v>
      </c>
      <c r="J1027" s="560" t="s">
        <v>2328</v>
      </c>
      <c r="K1027" s="311">
        <v>74774</v>
      </c>
      <c r="L1027" s="311">
        <v>0</v>
      </c>
      <c r="M1027" s="311">
        <v>8192.5</v>
      </c>
      <c r="N1027" s="311">
        <v>7585</v>
      </c>
      <c r="O1027" s="311">
        <v>5309.5000000000009</v>
      </c>
      <c r="P1027" s="68">
        <f t="shared" ref="P1027:P1030" si="214">SUM(K1027:O1027)</f>
        <v>95861</v>
      </c>
      <c r="Q1027" s="68">
        <f>D1027*P1027</f>
        <v>575166</v>
      </c>
      <c r="R1027" s="127">
        <f>F1027*P1027</f>
        <v>575166</v>
      </c>
      <c r="S1027" s="37"/>
    </row>
    <row r="1028" spans="1:19">
      <c r="A1028" s="76"/>
      <c r="B1028" s="75" t="s">
        <v>1612</v>
      </c>
      <c r="C1028" s="76" t="s">
        <v>8</v>
      </c>
      <c r="D1028" s="351">
        <v>4</v>
      </c>
      <c r="E1028" s="76"/>
      <c r="F1028" s="351">
        <v>4</v>
      </c>
      <c r="G1028" s="351" t="s">
        <v>3310</v>
      </c>
      <c r="H1028" s="351"/>
      <c r="I1028" s="351" t="s">
        <v>2596</v>
      </c>
      <c r="J1028" s="560" t="s">
        <v>2328</v>
      </c>
      <c r="K1028" s="311">
        <v>74774</v>
      </c>
      <c r="L1028" s="311">
        <v>0</v>
      </c>
      <c r="M1028" s="311">
        <v>16385</v>
      </c>
      <c r="N1028" s="311">
        <v>8310</v>
      </c>
      <c r="O1028" s="311">
        <v>5817.0000000000009</v>
      </c>
      <c r="P1028" s="68">
        <f t="shared" si="214"/>
        <v>105286</v>
      </c>
      <c r="Q1028" s="68">
        <f>D1028*P1028</f>
        <v>421144</v>
      </c>
      <c r="R1028" s="127">
        <f>F1028*P1028</f>
        <v>421144</v>
      </c>
      <c r="S1028" s="37"/>
    </row>
    <row r="1029" spans="1:19">
      <c r="A1029" s="76"/>
      <c r="B1029" s="75" t="s">
        <v>1613</v>
      </c>
      <c r="C1029" s="76" t="s">
        <v>8</v>
      </c>
      <c r="D1029" s="351">
        <v>2</v>
      </c>
      <c r="E1029" s="76"/>
      <c r="F1029" s="351">
        <v>2</v>
      </c>
      <c r="G1029" s="351" t="s">
        <v>3310</v>
      </c>
      <c r="H1029" s="351"/>
      <c r="I1029" s="351" t="s">
        <v>2596</v>
      </c>
      <c r="J1029" s="560" t="s">
        <v>2328</v>
      </c>
      <c r="K1029" s="311">
        <v>74774</v>
      </c>
      <c r="L1029" s="311">
        <v>0</v>
      </c>
      <c r="M1029" s="311">
        <v>25942.916666666672</v>
      </c>
      <c r="N1029" s="311">
        <v>9155.8333333333339</v>
      </c>
      <c r="O1029" s="311">
        <v>6409.0833333333348</v>
      </c>
      <c r="P1029" s="68">
        <f t="shared" si="214"/>
        <v>116281.83333333333</v>
      </c>
      <c r="Q1029" s="68">
        <f>D1029*P1029</f>
        <v>232563.66666666666</v>
      </c>
      <c r="R1029" s="127">
        <f>F1029*P1029</f>
        <v>232563.66666666666</v>
      </c>
      <c r="S1029" s="37"/>
    </row>
    <row r="1030" spans="1:19">
      <c r="A1030" s="76"/>
      <c r="B1030" s="75" t="s">
        <v>1517</v>
      </c>
      <c r="C1030" s="76" t="s">
        <v>8</v>
      </c>
      <c r="D1030" s="351">
        <v>3</v>
      </c>
      <c r="E1030" s="76"/>
      <c r="F1030" s="351">
        <v>3</v>
      </c>
      <c r="G1030" s="351" t="s">
        <v>3310</v>
      </c>
      <c r="H1030" s="351"/>
      <c r="I1030" s="351" t="s">
        <v>2596</v>
      </c>
      <c r="J1030" s="560" t="s">
        <v>2328</v>
      </c>
      <c r="K1030" s="311">
        <v>95531.023123200022</v>
      </c>
      <c r="L1030" s="311">
        <v>0</v>
      </c>
      <c r="M1030" s="311">
        <v>64174.583333333343</v>
      </c>
      <c r="N1030" s="311">
        <v>14443.48071466667</v>
      </c>
      <c r="O1030" s="311">
        <v>10110.436500266669</v>
      </c>
      <c r="P1030" s="68">
        <f t="shared" si="214"/>
        <v>184259.52367146668</v>
      </c>
      <c r="Q1030" s="68">
        <f>D1030*P1030</f>
        <v>552778.57101440011</v>
      </c>
      <c r="R1030" s="127">
        <f>F1030*P1030</f>
        <v>552778.57101440011</v>
      </c>
      <c r="S1030" s="37"/>
    </row>
    <row r="1031" spans="1:19" s="79" customFormat="1">
      <c r="A1031" s="77" t="s">
        <v>2253</v>
      </c>
      <c r="B1031" s="78" t="s">
        <v>1495</v>
      </c>
      <c r="C1031" s="77"/>
      <c r="D1031" s="351"/>
      <c r="E1031" s="77"/>
      <c r="F1031" s="351"/>
      <c r="G1031" s="36"/>
      <c r="H1031" s="36"/>
      <c r="I1031" s="36"/>
      <c r="J1031" s="584"/>
      <c r="K1031" s="65"/>
      <c r="L1031" s="65"/>
      <c r="M1031" s="65"/>
      <c r="N1031" s="65"/>
      <c r="O1031" s="65"/>
      <c r="P1031" s="65"/>
      <c r="Q1031" s="65"/>
      <c r="R1031" s="65"/>
      <c r="S1031" s="36"/>
    </row>
    <row r="1032" spans="1:19">
      <c r="A1032" s="76"/>
      <c r="B1032" s="75" t="s">
        <v>1826</v>
      </c>
      <c r="C1032" s="76" t="s">
        <v>8</v>
      </c>
      <c r="D1032" s="351">
        <v>2</v>
      </c>
      <c r="E1032" s="76"/>
      <c r="F1032" s="351">
        <v>2</v>
      </c>
      <c r="G1032" s="351" t="s">
        <v>3310</v>
      </c>
      <c r="H1032" s="351"/>
      <c r="I1032" s="351" t="s">
        <v>2596</v>
      </c>
      <c r="J1032" s="560" t="s">
        <v>2328</v>
      </c>
      <c r="K1032" s="311">
        <v>38455.200000000004</v>
      </c>
      <c r="L1032" s="311">
        <v>0</v>
      </c>
      <c r="M1032" s="311">
        <v>19115.833333333339</v>
      </c>
      <c r="N1032" s="311">
        <v>5219.6666666666679</v>
      </c>
      <c r="O1032" s="311">
        <v>3653.7666666666673</v>
      </c>
      <c r="P1032" s="68">
        <f t="shared" ref="P1032:P1037" si="215">SUM(K1032:O1032)</f>
        <v>66444.466666666674</v>
      </c>
      <c r="Q1032" s="68">
        <f t="shared" ref="Q1032:Q1037" si="216">D1032*P1032</f>
        <v>132888.93333333335</v>
      </c>
      <c r="R1032" s="127">
        <f t="shared" ref="R1032:R1037" si="217">F1032*P1032</f>
        <v>132888.93333333335</v>
      </c>
      <c r="S1032" s="36"/>
    </row>
    <row r="1033" spans="1:19">
      <c r="A1033" s="76"/>
      <c r="B1033" s="75" t="s">
        <v>1827</v>
      </c>
      <c r="C1033" s="76" t="s">
        <v>8</v>
      </c>
      <c r="D1033" s="351">
        <v>1</v>
      </c>
      <c r="E1033" s="76"/>
      <c r="F1033" s="351">
        <v>1</v>
      </c>
      <c r="G1033" s="351" t="s">
        <v>3310</v>
      </c>
      <c r="H1033" s="351"/>
      <c r="I1033" s="351" t="s">
        <v>2596</v>
      </c>
      <c r="J1033" s="560" t="s">
        <v>2328</v>
      </c>
      <c r="K1033" s="311">
        <v>38455.200000000004</v>
      </c>
      <c r="L1033" s="311">
        <v>0</v>
      </c>
      <c r="M1033" s="311">
        <v>20481.250000000004</v>
      </c>
      <c r="N1033" s="311">
        <v>5340.5</v>
      </c>
      <c r="O1033" s="311">
        <v>3738.3500000000004</v>
      </c>
      <c r="P1033" s="68">
        <f t="shared" si="215"/>
        <v>68015.300000000017</v>
      </c>
      <c r="Q1033" s="68">
        <f t="shared" si="216"/>
        <v>68015.300000000017</v>
      </c>
      <c r="R1033" s="127">
        <f t="shared" si="217"/>
        <v>68015.300000000017</v>
      </c>
      <c r="S1033" s="37"/>
    </row>
    <row r="1034" spans="1:19">
      <c r="A1034" s="76"/>
      <c r="B1034" s="75" t="s">
        <v>1828</v>
      </c>
      <c r="C1034" s="76" t="s">
        <v>8</v>
      </c>
      <c r="D1034" s="351">
        <v>1</v>
      </c>
      <c r="E1034" s="76"/>
      <c r="F1034" s="351">
        <v>1</v>
      </c>
      <c r="G1034" s="351" t="s">
        <v>3310</v>
      </c>
      <c r="H1034" s="351"/>
      <c r="I1034" s="351" t="s">
        <v>2596</v>
      </c>
      <c r="J1034" s="560" t="s">
        <v>2328</v>
      </c>
      <c r="K1034" s="311">
        <v>38455.200000000004</v>
      </c>
      <c r="L1034" s="311">
        <v>0</v>
      </c>
      <c r="M1034" s="311">
        <v>24577.500000000004</v>
      </c>
      <c r="N1034" s="311">
        <v>5703</v>
      </c>
      <c r="O1034" s="311">
        <v>3992.1000000000004</v>
      </c>
      <c r="P1034" s="68">
        <f t="shared" si="215"/>
        <v>72727.800000000017</v>
      </c>
      <c r="Q1034" s="68">
        <f t="shared" si="216"/>
        <v>72727.800000000017</v>
      </c>
      <c r="R1034" s="127">
        <f t="shared" si="217"/>
        <v>72727.800000000017</v>
      </c>
      <c r="S1034" s="37"/>
    </row>
    <row r="1035" spans="1:19" s="84" customFormat="1">
      <c r="A1035" s="30"/>
      <c r="B1035" s="85" t="s">
        <v>2198</v>
      </c>
      <c r="C1035" s="86" t="s">
        <v>8</v>
      </c>
      <c r="D1035" s="352">
        <v>2</v>
      </c>
      <c r="E1035" s="30"/>
      <c r="F1035" s="352">
        <v>2</v>
      </c>
      <c r="G1035" s="351" t="s">
        <v>3310</v>
      </c>
      <c r="H1035" s="26"/>
      <c r="I1035" s="351" t="s">
        <v>2596</v>
      </c>
      <c r="J1035" s="560" t="s">
        <v>2328</v>
      </c>
      <c r="K1035" s="311">
        <v>38455.200000000004</v>
      </c>
      <c r="L1035" s="311">
        <v>0</v>
      </c>
      <c r="M1035" s="311">
        <v>23212.083333333336</v>
      </c>
      <c r="N1035" s="311">
        <v>5582.1666666666679</v>
      </c>
      <c r="O1035" s="311">
        <v>3907.5166666666673</v>
      </c>
      <c r="P1035" s="68">
        <f t="shared" si="215"/>
        <v>71156.966666666674</v>
      </c>
      <c r="Q1035" s="68">
        <f t="shared" si="216"/>
        <v>142313.93333333335</v>
      </c>
      <c r="R1035" s="127">
        <f t="shared" si="217"/>
        <v>142313.93333333335</v>
      </c>
      <c r="S1035" s="26"/>
    </row>
    <row r="1036" spans="1:19" s="84" customFormat="1">
      <c r="A1036" s="30"/>
      <c r="B1036" s="85" t="s">
        <v>2199</v>
      </c>
      <c r="C1036" s="86" t="s">
        <v>8</v>
      </c>
      <c r="D1036" s="352">
        <v>1</v>
      </c>
      <c r="E1036" s="30"/>
      <c r="F1036" s="352">
        <v>1</v>
      </c>
      <c r="G1036" s="351" t="s">
        <v>3310</v>
      </c>
      <c r="H1036" s="26"/>
      <c r="I1036" s="351" t="s">
        <v>2596</v>
      </c>
      <c r="J1036" s="560" t="s">
        <v>2328</v>
      </c>
      <c r="K1036" s="311">
        <v>53653.549600000006</v>
      </c>
      <c r="L1036" s="311">
        <v>0</v>
      </c>
      <c r="M1036" s="311">
        <v>36866.250000000007</v>
      </c>
      <c r="N1036" s="311">
        <v>8184.844000000001</v>
      </c>
      <c r="O1036" s="311">
        <v>5729.390800000001</v>
      </c>
      <c r="P1036" s="68">
        <f t="shared" si="215"/>
        <v>104434.0344</v>
      </c>
      <c r="Q1036" s="68">
        <f t="shared" si="216"/>
        <v>104434.0344</v>
      </c>
      <c r="R1036" s="127">
        <f t="shared" si="217"/>
        <v>104434.0344</v>
      </c>
      <c r="S1036" s="26"/>
    </row>
    <row r="1037" spans="1:19" s="84" customFormat="1">
      <c r="A1037" s="30"/>
      <c r="B1037" s="85" t="s">
        <v>2200</v>
      </c>
      <c r="C1037" s="86" t="s">
        <v>8</v>
      </c>
      <c r="D1037" s="352">
        <v>2</v>
      </c>
      <c r="E1037" s="30"/>
      <c r="F1037" s="352">
        <v>2</v>
      </c>
      <c r="G1037" s="351" t="s">
        <v>3310</v>
      </c>
      <c r="H1037" s="26"/>
      <c r="I1037" s="351" t="s">
        <v>2596</v>
      </c>
      <c r="J1037" s="560" t="s">
        <v>2328</v>
      </c>
      <c r="K1037" s="311">
        <v>47875.655800000008</v>
      </c>
      <c r="L1037" s="311">
        <v>0</v>
      </c>
      <c r="M1037" s="311">
        <v>32770</v>
      </c>
      <c r="N1037" s="311">
        <v>7292.2619999999997</v>
      </c>
      <c r="O1037" s="311">
        <v>5104.5834000000004</v>
      </c>
      <c r="P1037" s="68">
        <f t="shared" si="215"/>
        <v>93042.501200000013</v>
      </c>
      <c r="Q1037" s="68">
        <f t="shared" si="216"/>
        <v>186085.00240000003</v>
      </c>
      <c r="R1037" s="127">
        <f t="shared" si="217"/>
        <v>186085.00240000003</v>
      </c>
      <c r="S1037" s="26"/>
    </row>
    <row r="1038" spans="1:19" s="83" customFormat="1">
      <c r="A1038" s="28" t="s">
        <v>2254</v>
      </c>
      <c r="B1038" s="87" t="s">
        <v>2201</v>
      </c>
      <c r="C1038" s="88"/>
      <c r="D1038" s="352"/>
      <c r="E1038" s="28"/>
      <c r="F1038" s="352"/>
      <c r="G1038" s="28"/>
      <c r="H1038" s="28"/>
      <c r="I1038" s="28"/>
      <c r="J1038" s="580"/>
      <c r="K1038" s="80"/>
      <c r="L1038" s="80"/>
      <c r="M1038" s="80"/>
      <c r="N1038" s="80"/>
      <c r="O1038" s="80"/>
      <c r="P1038" s="80"/>
      <c r="Q1038" s="80"/>
      <c r="R1038" s="80"/>
      <c r="S1038" s="28"/>
    </row>
    <row r="1039" spans="1:19" s="84" customFormat="1">
      <c r="A1039" s="30"/>
      <c r="B1039" s="85" t="s">
        <v>2202</v>
      </c>
      <c r="C1039" s="86" t="s">
        <v>8</v>
      </c>
      <c r="D1039" s="352">
        <v>16</v>
      </c>
      <c r="E1039" s="30"/>
      <c r="F1039" s="352">
        <v>16</v>
      </c>
      <c r="G1039" s="351" t="s">
        <v>3310</v>
      </c>
      <c r="H1039" s="26"/>
      <c r="I1039" s="351" t="s">
        <v>2596</v>
      </c>
      <c r="J1039" s="560" t="s">
        <v>2328</v>
      </c>
      <c r="K1039" s="311">
        <v>38455.200000000004</v>
      </c>
      <c r="L1039" s="311">
        <v>0</v>
      </c>
      <c r="M1039" s="311">
        <v>20481.250000000004</v>
      </c>
      <c r="N1039" s="311">
        <v>5340.5</v>
      </c>
      <c r="O1039" s="311">
        <v>3738.3500000000004</v>
      </c>
      <c r="P1039" s="68">
        <f t="shared" ref="P1039:P1043" si="218">SUM(K1039:O1039)</f>
        <v>68015.300000000017</v>
      </c>
      <c r="Q1039" s="68">
        <f>D1039*P1039</f>
        <v>1088244.8000000003</v>
      </c>
      <c r="R1039" s="127">
        <f>F1039*P1039</f>
        <v>1088244.8000000003</v>
      </c>
      <c r="S1039" s="30"/>
    </row>
    <row r="1040" spans="1:19" s="84" customFormat="1">
      <c r="A1040" s="30"/>
      <c r="B1040" s="85" t="s">
        <v>2203</v>
      </c>
      <c r="C1040" s="86" t="s">
        <v>8</v>
      </c>
      <c r="D1040" s="352">
        <v>2</v>
      </c>
      <c r="E1040" s="30"/>
      <c r="F1040" s="352">
        <v>2</v>
      </c>
      <c r="G1040" s="351" t="s">
        <v>3310</v>
      </c>
      <c r="H1040" s="26"/>
      <c r="I1040" s="351" t="s">
        <v>2596</v>
      </c>
      <c r="J1040" s="560" t="s">
        <v>2328</v>
      </c>
      <c r="K1040" s="311">
        <v>38455.200000000004</v>
      </c>
      <c r="L1040" s="311">
        <v>0</v>
      </c>
      <c r="M1040" s="311">
        <v>24577.500000000004</v>
      </c>
      <c r="N1040" s="311">
        <v>5703</v>
      </c>
      <c r="O1040" s="311">
        <v>3992.1000000000004</v>
      </c>
      <c r="P1040" s="68">
        <f t="shared" si="218"/>
        <v>72727.800000000017</v>
      </c>
      <c r="Q1040" s="68">
        <f>D1040*P1040</f>
        <v>145455.60000000003</v>
      </c>
      <c r="R1040" s="127">
        <f>F1040*P1040</f>
        <v>145455.60000000003</v>
      </c>
      <c r="S1040" s="30"/>
    </row>
    <row r="1041" spans="1:19" s="84" customFormat="1">
      <c r="A1041" s="30"/>
      <c r="B1041" s="85" t="s">
        <v>2204</v>
      </c>
      <c r="C1041" s="86" t="s">
        <v>8</v>
      </c>
      <c r="D1041" s="352">
        <v>1</v>
      </c>
      <c r="E1041" s="30"/>
      <c r="F1041" s="352">
        <v>1</v>
      </c>
      <c r="G1041" s="351" t="s">
        <v>3310</v>
      </c>
      <c r="H1041" s="26"/>
      <c r="I1041" s="351" t="s">
        <v>2596</v>
      </c>
      <c r="J1041" s="560" t="s">
        <v>2328</v>
      </c>
      <c r="K1041" s="311">
        <v>38455.200000000004</v>
      </c>
      <c r="L1041" s="311">
        <v>0</v>
      </c>
      <c r="M1041" s="311">
        <v>28673.750000000004</v>
      </c>
      <c r="N1041" s="311">
        <v>6065.5</v>
      </c>
      <c r="O1041" s="311">
        <v>4245.8500000000004</v>
      </c>
      <c r="P1041" s="68">
        <f t="shared" si="218"/>
        <v>77440.300000000017</v>
      </c>
      <c r="Q1041" s="68">
        <f>D1041*P1041</f>
        <v>77440.300000000017</v>
      </c>
      <c r="R1041" s="127">
        <f>F1041*P1041</f>
        <v>77440.300000000017</v>
      </c>
      <c r="S1041" s="30"/>
    </row>
    <row r="1042" spans="1:19" s="84" customFormat="1">
      <c r="A1042" s="30"/>
      <c r="B1042" s="85" t="s">
        <v>2205</v>
      </c>
      <c r="C1042" s="86" t="s">
        <v>8</v>
      </c>
      <c r="D1042" s="352">
        <v>8</v>
      </c>
      <c r="E1042" s="30"/>
      <c r="F1042" s="352">
        <v>8</v>
      </c>
      <c r="G1042" s="351" t="s">
        <v>3310</v>
      </c>
      <c r="H1042" s="26"/>
      <c r="I1042" s="351" t="s">
        <v>2596</v>
      </c>
      <c r="J1042" s="560" t="s">
        <v>2328</v>
      </c>
      <c r="K1042" s="311">
        <v>38455.200000000004</v>
      </c>
      <c r="L1042" s="311">
        <v>0</v>
      </c>
      <c r="M1042" s="311">
        <v>28673.750000000004</v>
      </c>
      <c r="N1042" s="311">
        <v>6065.5</v>
      </c>
      <c r="O1042" s="311">
        <v>4245.8500000000004</v>
      </c>
      <c r="P1042" s="68">
        <f t="shared" si="218"/>
        <v>77440.300000000017</v>
      </c>
      <c r="Q1042" s="68">
        <f>D1042*P1042</f>
        <v>619522.40000000014</v>
      </c>
      <c r="R1042" s="127">
        <f>F1042*P1042</f>
        <v>619522.40000000014</v>
      </c>
      <c r="S1042" s="30"/>
    </row>
    <row r="1043" spans="1:19" s="84" customFormat="1">
      <c r="A1043" s="30"/>
      <c r="B1043" s="85" t="s">
        <v>2206</v>
      </c>
      <c r="C1043" s="86" t="s">
        <v>8</v>
      </c>
      <c r="D1043" s="352">
        <v>2</v>
      </c>
      <c r="E1043" s="30"/>
      <c r="F1043" s="352">
        <v>2</v>
      </c>
      <c r="G1043" s="351" t="s">
        <v>3310</v>
      </c>
      <c r="H1043" s="26"/>
      <c r="I1043" s="351" t="s">
        <v>2596</v>
      </c>
      <c r="J1043" s="560" t="s">
        <v>2328</v>
      </c>
      <c r="K1043" s="311">
        <v>38455.200000000004</v>
      </c>
      <c r="L1043" s="311">
        <v>0</v>
      </c>
      <c r="M1043" s="311">
        <v>32770</v>
      </c>
      <c r="N1043" s="311">
        <v>6428</v>
      </c>
      <c r="O1043" s="311">
        <v>4499.6000000000004</v>
      </c>
      <c r="P1043" s="68">
        <f t="shared" si="218"/>
        <v>82152.800000000017</v>
      </c>
      <c r="Q1043" s="68">
        <f>D1043*P1043</f>
        <v>164305.60000000003</v>
      </c>
      <c r="R1043" s="127">
        <f>F1043*P1043</f>
        <v>164305.60000000003</v>
      </c>
      <c r="S1043" s="30"/>
    </row>
    <row r="1044" spans="1:19" s="83" customFormat="1">
      <c r="A1044" s="28" t="s">
        <v>2255</v>
      </c>
      <c r="B1044" s="87" t="s">
        <v>2207</v>
      </c>
      <c r="C1044" s="88"/>
      <c r="D1044" s="352"/>
      <c r="E1044" s="28"/>
      <c r="F1044" s="352"/>
      <c r="G1044" s="28"/>
      <c r="H1044" s="28"/>
      <c r="I1044" s="28"/>
      <c r="J1044" s="580"/>
      <c r="K1044" s="80"/>
      <c r="L1044" s="80"/>
      <c r="M1044" s="80"/>
      <c r="N1044" s="80"/>
      <c r="O1044" s="80"/>
      <c r="P1044" s="80"/>
      <c r="Q1044" s="80"/>
      <c r="R1044" s="80"/>
      <c r="S1044" s="28"/>
    </row>
    <row r="1045" spans="1:19" s="84" customFormat="1">
      <c r="A1045" s="30"/>
      <c r="B1045" s="85" t="s">
        <v>2208</v>
      </c>
      <c r="C1045" s="86" t="s">
        <v>8</v>
      </c>
      <c r="D1045" s="352">
        <v>12</v>
      </c>
      <c r="E1045" s="30"/>
      <c r="F1045" s="352">
        <v>12</v>
      </c>
      <c r="G1045" s="351" t="s">
        <v>3310</v>
      </c>
      <c r="H1045" s="26"/>
      <c r="I1045" s="351" t="s">
        <v>2596</v>
      </c>
      <c r="J1045" s="560" t="s">
        <v>2328</v>
      </c>
      <c r="K1045" s="311">
        <v>38455.200000000004</v>
      </c>
      <c r="L1045" s="311">
        <v>0</v>
      </c>
      <c r="M1045" s="311">
        <v>10923.333333333336</v>
      </c>
      <c r="N1045" s="311">
        <v>4494.666666666667</v>
      </c>
      <c r="O1045" s="311">
        <v>3146.2666666666673</v>
      </c>
      <c r="P1045" s="68">
        <f t="shared" ref="P1045:P1048" si="219">SUM(K1045:O1045)</f>
        <v>57019.466666666674</v>
      </c>
      <c r="Q1045" s="68">
        <f>D1045*P1045</f>
        <v>684233.60000000009</v>
      </c>
      <c r="R1045" s="127">
        <f>F1045*P1045</f>
        <v>684233.60000000009</v>
      </c>
      <c r="S1045" s="26"/>
    </row>
    <row r="1046" spans="1:19" s="84" customFormat="1">
      <c r="A1046" s="30"/>
      <c r="B1046" s="85" t="s">
        <v>2209</v>
      </c>
      <c r="C1046" s="86" t="s">
        <v>8</v>
      </c>
      <c r="D1046" s="352">
        <v>6</v>
      </c>
      <c r="E1046" s="30"/>
      <c r="F1046" s="352">
        <v>6</v>
      </c>
      <c r="G1046" s="351" t="s">
        <v>3310</v>
      </c>
      <c r="H1046" s="26"/>
      <c r="I1046" s="351" t="s">
        <v>2596</v>
      </c>
      <c r="J1046" s="560" t="s">
        <v>2328</v>
      </c>
      <c r="K1046" s="311">
        <v>46224.218600000007</v>
      </c>
      <c r="L1046" s="311">
        <v>0</v>
      </c>
      <c r="M1046" s="311">
        <v>19115.833333333339</v>
      </c>
      <c r="N1046" s="311">
        <v>5932.4206666666678</v>
      </c>
      <c r="O1046" s="311">
        <v>4152.6944666666677</v>
      </c>
      <c r="P1046" s="68">
        <f t="shared" si="219"/>
        <v>75425.167066666691</v>
      </c>
      <c r="Q1046" s="68">
        <f>D1046*P1046</f>
        <v>452551.00240000011</v>
      </c>
      <c r="R1046" s="127">
        <f>F1046*P1046</f>
        <v>452551.00240000011</v>
      </c>
      <c r="S1046" s="26"/>
    </row>
    <row r="1047" spans="1:19" s="84" customFormat="1">
      <c r="A1047" s="30"/>
      <c r="B1047" s="85" t="s">
        <v>2210</v>
      </c>
      <c r="C1047" s="86" t="s">
        <v>8</v>
      </c>
      <c r="D1047" s="352">
        <v>2</v>
      </c>
      <c r="E1047" s="30"/>
      <c r="F1047" s="352">
        <v>2</v>
      </c>
      <c r="G1047" s="351" t="s">
        <v>3310</v>
      </c>
      <c r="H1047" s="26"/>
      <c r="I1047" s="351" t="s">
        <v>2596</v>
      </c>
      <c r="J1047" s="560" t="s">
        <v>2328</v>
      </c>
      <c r="K1047" s="311">
        <v>50351.743400000007</v>
      </c>
      <c r="L1047" s="311">
        <v>0</v>
      </c>
      <c r="M1047" s="311">
        <v>20481.250000000004</v>
      </c>
      <c r="N1047" s="311">
        <v>6431.9260000000004</v>
      </c>
      <c r="O1047" s="311">
        <v>4502.3482000000004</v>
      </c>
      <c r="P1047" s="68">
        <f t="shared" si="219"/>
        <v>81767.267600000021</v>
      </c>
      <c r="Q1047" s="68">
        <f>D1047*P1047</f>
        <v>163534.53520000004</v>
      </c>
      <c r="R1047" s="127">
        <f>F1047*P1047</f>
        <v>163534.53520000004</v>
      </c>
      <c r="S1047" s="26"/>
    </row>
    <row r="1048" spans="1:19" s="84" customFormat="1">
      <c r="A1048" s="30"/>
      <c r="B1048" s="85" t="s">
        <v>2211</v>
      </c>
      <c r="C1048" s="86" t="s">
        <v>8</v>
      </c>
      <c r="D1048" s="352">
        <v>10</v>
      </c>
      <c r="E1048" s="30"/>
      <c r="F1048" s="352">
        <v>10</v>
      </c>
      <c r="G1048" s="351" t="s">
        <v>3310</v>
      </c>
      <c r="H1048" s="26"/>
      <c r="I1048" s="351" t="s">
        <v>2596</v>
      </c>
      <c r="J1048" s="560" t="s">
        <v>2328</v>
      </c>
      <c r="K1048" s="311">
        <v>85845.892999999996</v>
      </c>
      <c r="L1048" s="311">
        <v>0</v>
      </c>
      <c r="M1048" s="311">
        <v>34135.416666666672</v>
      </c>
      <c r="N1048" s="311">
        <v>10896.603333333333</v>
      </c>
      <c r="O1048" s="311">
        <v>7627.6223333333337</v>
      </c>
      <c r="P1048" s="68">
        <f t="shared" si="219"/>
        <v>138505.53533333333</v>
      </c>
      <c r="Q1048" s="68">
        <f>D1048*P1048</f>
        <v>1385055.3533333333</v>
      </c>
      <c r="R1048" s="127">
        <f>F1048*P1048</f>
        <v>1385055.3533333333</v>
      </c>
      <c r="S1048" s="329"/>
    </row>
    <row r="1049" spans="1:19" s="79" customFormat="1">
      <c r="A1049" s="77" t="s">
        <v>2256</v>
      </c>
      <c r="B1049" s="78" t="s">
        <v>1829</v>
      </c>
      <c r="C1049" s="77"/>
      <c r="D1049" s="351"/>
      <c r="E1049" s="77"/>
      <c r="F1049" s="351"/>
      <c r="G1049" s="36"/>
      <c r="H1049" s="36"/>
      <c r="I1049" s="36"/>
      <c r="J1049" s="584"/>
      <c r="K1049" s="65"/>
      <c r="L1049" s="65"/>
      <c r="M1049" s="65"/>
      <c r="N1049" s="65"/>
      <c r="O1049" s="65"/>
      <c r="P1049" s="65"/>
      <c r="Q1049" s="65"/>
      <c r="R1049" s="65"/>
      <c r="S1049" s="36"/>
    </row>
    <row r="1050" spans="1:19">
      <c r="A1050" s="76"/>
      <c r="B1050" s="75" t="s">
        <v>1558</v>
      </c>
      <c r="C1050" s="76" t="s">
        <v>117</v>
      </c>
      <c r="D1050" s="351">
        <v>68</v>
      </c>
      <c r="E1050" s="76"/>
      <c r="F1050" s="351">
        <v>68</v>
      </c>
      <c r="G1050" s="351" t="s">
        <v>3204</v>
      </c>
      <c r="H1050" s="351"/>
      <c r="I1050" s="351" t="s">
        <v>3179</v>
      </c>
      <c r="J1050" s="560" t="s">
        <v>2328</v>
      </c>
      <c r="K1050" s="311">
        <v>6215.0000000000009</v>
      </c>
      <c r="L1050" s="311">
        <v>0</v>
      </c>
      <c r="M1050" s="311">
        <v>19455.652173913048</v>
      </c>
      <c r="N1050" s="311">
        <v>2271.739130434783</v>
      </c>
      <c r="O1050" s="311">
        <v>1590.2173913043482</v>
      </c>
      <c r="P1050" s="68">
        <f t="shared" ref="P1050:P1052" si="220">SUM(K1050:O1050)</f>
        <v>29532.608695652179</v>
      </c>
      <c r="Q1050" s="68">
        <f>D1050*P1050</f>
        <v>2008217.3913043481</v>
      </c>
      <c r="R1050" s="127">
        <f>F1050*P1050</f>
        <v>2008217.3913043481</v>
      </c>
      <c r="S1050" s="37"/>
    </row>
    <row r="1051" spans="1:19">
      <c r="A1051" s="76"/>
      <c r="B1051" s="75" t="s">
        <v>1557</v>
      </c>
      <c r="C1051" s="76" t="s">
        <v>117</v>
      </c>
      <c r="D1051" s="351">
        <v>10</v>
      </c>
      <c r="E1051" s="76"/>
      <c r="F1051" s="351">
        <v>10</v>
      </c>
      <c r="G1051" s="351" t="s">
        <v>3205</v>
      </c>
      <c r="H1051" s="351"/>
      <c r="I1051" s="351" t="s">
        <v>3179</v>
      </c>
      <c r="J1051" s="560" t="s">
        <v>2328</v>
      </c>
      <c r="K1051" s="311">
        <v>8249</v>
      </c>
      <c r="L1051" s="311">
        <v>0</v>
      </c>
      <c r="M1051" s="311">
        <v>20340.000000000004</v>
      </c>
      <c r="N1051" s="311">
        <v>2530</v>
      </c>
      <c r="O1051" s="311">
        <v>1771.0000000000002</v>
      </c>
      <c r="P1051" s="68">
        <f t="shared" si="220"/>
        <v>32890.000000000007</v>
      </c>
      <c r="Q1051" s="68">
        <f>D1051*P1051</f>
        <v>328900.00000000006</v>
      </c>
      <c r="R1051" s="127">
        <f>F1051*P1051</f>
        <v>328900.00000000006</v>
      </c>
      <c r="S1051" s="37"/>
    </row>
    <row r="1052" spans="1:19">
      <c r="A1052" s="76"/>
      <c r="B1052" s="75" t="s">
        <v>1662</v>
      </c>
      <c r="C1052" s="76" t="s">
        <v>117</v>
      </c>
      <c r="D1052" s="351">
        <v>18</v>
      </c>
      <c r="E1052" s="76"/>
      <c r="F1052" s="351">
        <v>18</v>
      </c>
      <c r="G1052" s="351" t="s">
        <v>3324</v>
      </c>
      <c r="H1052" s="351"/>
      <c r="I1052" s="351" t="s">
        <v>3179</v>
      </c>
      <c r="J1052" s="560" t="s">
        <v>2328</v>
      </c>
      <c r="K1052" s="311">
        <v>9944.0000000000018</v>
      </c>
      <c r="L1052" s="311">
        <v>0</v>
      </c>
      <c r="M1052" s="311">
        <v>21449.454545454544</v>
      </c>
      <c r="N1052" s="311">
        <v>2778.181818181818</v>
      </c>
      <c r="O1052" s="311">
        <v>1944.7272727272727</v>
      </c>
      <c r="P1052" s="68">
        <f t="shared" si="220"/>
        <v>36116.363636363632</v>
      </c>
      <c r="Q1052" s="68">
        <f>D1052*P1052</f>
        <v>650094.54545454541</v>
      </c>
      <c r="R1052" s="127">
        <f>F1052*P1052</f>
        <v>650094.54545454541</v>
      </c>
      <c r="S1052" s="37"/>
    </row>
    <row r="1053" spans="1:19" s="83" customFormat="1">
      <c r="A1053" s="28" t="s">
        <v>2257</v>
      </c>
      <c r="B1053" s="152" t="s">
        <v>2212</v>
      </c>
      <c r="C1053" s="88"/>
      <c r="D1053" s="352"/>
      <c r="E1053" s="28"/>
      <c r="F1053" s="352"/>
      <c r="G1053" s="24"/>
      <c r="H1053" s="24"/>
      <c r="I1053" s="24"/>
      <c r="J1053" s="594"/>
      <c r="K1053" s="65"/>
      <c r="L1053" s="65"/>
      <c r="M1053" s="65"/>
      <c r="N1053" s="65"/>
      <c r="O1053" s="65"/>
      <c r="P1053" s="65"/>
      <c r="Q1053" s="65"/>
      <c r="R1053" s="65"/>
      <c r="S1053" s="24"/>
    </row>
    <row r="1054" spans="1:19" s="84" customFormat="1">
      <c r="A1054" s="30"/>
      <c r="B1054" s="85" t="s">
        <v>2213</v>
      </c>
      <c r="C1054" s="86" t="s">
        <v>8</v>
      </c>
      <c r="D1054" s="352">
        <v>5</v>
      </c>
      <c r="E1054" s="30"/>
      <c r="F1054" s="352">
        <v>5</v>
      </c>
      <c r="G1054" s="351" t="s">
        <v>3310</v>
      </c>
      <c r="H1054" s="26"/>
      <c r="I1054" s="351" t="s">
        <v>2596</v>
      </c>
      <c r="J1054" s="560" t="s">
        <v>2328</v>
      </c>
      <c r="K1054" s="311">
        <v>129252.20000000001</v>
      </c>
      <c r="L1054" s="311">
        <v>0</v>
      </c>
      <c r="M1054" s="311">
        <v>68270.833333333343</v>
      </c>
      <c r="N1054" s="311">
        <v>17899.666666666668</v>
      </c>
      <c r="O1054" s="311">
        <v>12529.76666666667</v>
      </c>
      <c r="P1054" s="68">
        <f t="shared" ref="P1054:P1055" si="221">SUM(K1054:O1054)</f>
        <v>227952.46666666667</v>
      </c>
      <c r="Q1054" s="68">
        <f>D1054*P1054</f>
        <v>1139762.3333333335</v>
      </c>
      <c r="R1054" s="127">
        <f>F1054*P1054</f>
        <v>1139762.3333333335</v>
      </c>
      <c r="S1054" s="26"/>
    </row>
    <row r="1055" spans="1:19" s="84" customFormat="1">
      <c r="A1055" s="30"/>
      <c r="B1055" s="85" t="s">
        <v>2214</v>
      </c>
      <c r="C1055" s="86" t="s">
        <v>8</v>
      </c>
      <c r="D1055" s="352">
        <v>5</v>
      </c>
      <c r="E1055" s="30"/>
      <c r="F1055" s="352">
        <v>5</v>
      </c>
      <c r="G1055" s="351" t="s">
        <v>3310</v>
      </c>
      <c r="H1055" s="26"/>
      <c r="I1055" s="351" t="s">
        <v>2596</v>
      </c>
      <c r="J1055" s="560" t="s">
        <v>2328</v>
      </c>
      <c r="K1055" s="311">
        <v>102547.20000000001</v>
      </c>
      <c r="L1055" s="311">
        <v>0</v>
      </c>
      <c r="M1055" s="311">
        <v>51885.833333333343</v>
      </c>
      <c r="N1055" s="311">
        <v>13999.66666666667</v>
      </c>
      <c r="O1055" s="311">
        <v>9799.7666666666682</v>
      </c>
      <c r="P1055" s="68">
        <f t="shared" si="221"/>
        <v>178232.46666666667</v>
      </c>
      <c r="Q1055" s="68">
        <f>D1055*P1055</f>
        <v>891162.33333333337</v>
      </c>
      <c r="R1055" s="127">
        <f>F1055*P1055</f>
        <v>891162.33333333337</v>
      </c>
      <c r="S1055" s="26"/>
    </row>
    <row r="1056" spans="1:19" s="83" customFormat="1">
      <c r="A1056" s="28" t="s">
        <v>2258</v>
      </c>
      <c r="B1056" s="152" t="s">
        <v>2144</v>
      </c>
      <c r="C1056" s="88"/>
      <c r="D1056" s="352"/>
      <c r="E1056" s="28"/>
      <c r="F1056" s="352"/>
      <c r="G1056" s="24"/>
      <c r="H1056" s="24"/>
      <c r="I1056" s="24"/>
      <c r="J1056" s="594"/>
      <c r="K1056" s="65"/>
      <c r="L1056" s="65"/>
      <c r="M1056" s="65"/>
      <c r="N1056" s="65"/>
      <c r="O1056" s="65"/>
      <c r="P1056" s="65"/>
      <c r="Q1056" s="65"/>
      <c r="R1056" s="65"/>
      <c r="S1056" s="24"/>
    </row>
    <row r="1057" spans="1:19" s="84" customFormat="1">
      <c r="A1057" s="30"/>
      <c r="B1057" s="85" t="s">
        <v>2145</v>
      </c>
      <c r="C1057" s="86" t="s">
        <v>1350</v>
      </c>
      <c r="D1057" s="352">
        <v>36</v>
      </c>
      <c r="E1057" s="30"/>
      <c r="F1057" s="352">
        <v>36</v>
      </c>
      <c r="G1057" s="351" t="s">
        <v>3307</v>
      </c>
      <c r="H1057" s="351"/>
      <c r="I1057" s="351" t="s">
        <v>2596</v>
      </c>
      <c r="J1057" s="560" t="s">
        <v>2328</v>
      </c>
      <c r="K1057" s="311">
        <v>288414</v>
      </c>
      <c r="L1057" s="311">
        <v>0</v>
      </c>
      <c r="M1057" s="311">
        <v>147391.55000000002</v>
      </c>
      <c r="N1057" s="311">
        <v>39503.5</v>
      </c>
      <c r="O1057" s="311">
        <v>27652.450000000004</v>
      </c>
      <c r="P1057" s="68">
        <f t="shared" ref="P1057:P1058" si="222">SUM(K1057:O1057)</f>
        <v>502961.50000000006</v>
      </c>
      <c r="Q1057" s="68">
        <f>D1057*P1057</f>
        <v>18106614.000000004</v>
      </c>
      <c r="R1057" s="127">
        <f>F1057*P1057</f>
        <v>18106614.000000004</v>
      </c>
      <c r="S1057" s="26"/>
    </row>
    <row r="1058" spans="1:19" s="84" customFormat="1">
      <c r="A1058" s="30"/>
      <c r="B1058" s="85" t="s">
        <v>2146</v>
      </c>
      <c r="C1058" s="86" t="s">
        <v>1350</v>
      </c>
      <c r="D1058" s="352">
        <v>24</v>
      </c>
      <c r="E1058" s="30"/>
      <c r="F1058" s="352">
        <v>24</v>
      </c>
      <c r="G1058" s="351" t="s">
        <v>3307</v>
      </c>
      <c r="H1058" s="351"/>
      <c r="I1058" s="351" t="s">
        <v>2596</v>
      </c>
      <c r="J1058" s="560" t="s">
        <v>2328</v>
      </c>
      <c r="K1058" s="311">
        <v>380279.2</v>
      </c>
      <c r="L1058" s="311">
        <v>0</v>
      </c>
      <c r="M1058" s="311">
        <v>245652.58333333337</v>
      </c>
      <c r="N1058" s="311">
        <v>56627.166666666679</v>
      </c>
      <c r="O1058" s="311">
        <v>39639.016666666677</v>
      </c>
      <c r="P1058" s="68">
        <f t="shared" si="222"/>
        <v>722197.96666666679</v>
      </c>
      <c r="Q1058" s="68">
        <f>D1058*P1058</f>
        <v>17332751.200000003</v>
      </c>
      <c r="R1058" s="127">
        <f>F1058*P1058</f>
        <v>17332751.200000003</v>
      </c>
      <c r="S1058" s="26"/>
    </row>
    <row r="1059" spans="1:19" s="79" customFormat="1">
      <c r="A1059" s="77" t="s">
        <v>2259</v>
      </c>
      <c r="B1059" s="78" t="s">
        <v>1376</v>
      </c>
      <c r="C1059" s="77"/>
      <c r="D1059" s="351"/>
      <c r="E1059" s="77"/>
      <c r="F1059" s="351"/>
      <c r="G1059" s="36"/>
      <c r="H1059" s="36"/>
      <c r="I1059" s="36"/>
      <c r="J1059" s="584"/>
      <c r="K1059" s="65"/>
      <c r="L1059" s="65"/>
      <c r="M1059" s="65"/>
      <c r="N1059" s="65"/>
      <c r="O1059" s="65"/>
      <c r="P1059" s="65"/>
      <c r="Q1059" s="65"/>
      <c r="R1059" s="65"/>
      <c r="S1059" s="36"/>
    </row>
    <row r="1060" spans="1:19">
      <c r="A1060" s="76"/>
      <c r="B1060" s="75" t="s">
        <v>1558</v>
      </c>
      <c r="C1060" s="76" t="s">
        <v>8</v>
      </c>
      <c r="D1060" s="351">
        <v>20</v>
      </c>
      <c r="E1060" s="76"/>
      <c r="F1060" s="351">
        <v>20</v>
      </c>
      <c r="G1060" s="351" t="s">
        <v>3162</v>
      </c>
      <c r="H1060" s="351"/>
      <c r="I1060" s="351" t="s">
        <v>2596</v>
      </c>
      <c r="J1060" s="560" t="s">
        <v>2328</v>
      </c>
      <c r="K1060" s="311">
        <v>116495.86242</v>
      </c>
      <c r="L1060" s="311">
        <v>0</v>
      </c>
      <c r="M1060" s="311">
        <v>28024.000000000004</v>
      </c>
      <c r="N1060" s="311">
        <v>13167.693800000001</v>
      </c>
      <c r="O1060" s="311">
        <v>9217.3856599999999</v>
      </c>
      <c r="P1060" s="68">
        <f t="shared" ref="P1060:P1061" si="223">SUM(K1060:O1060)</f>
        <v>166904.94188000003</v>
      </c>
      <c r="Q1060" s="68">
        <f>D1060*P1060</f>
        <v>3338098.8376000007</v>
      </c>
      <c r="R1060" s="127">
        <f>F1060*P1060</f>
        <v>3338098.8376000007</v>
      </c>
      <c r="S1060" s="37"/>
    </row>
    <row r="1061" spans="1:19">
      <c r="A1061" s="76"/>
      <c r="B1061" s="75" t="s">
        <v>1662</v>
      </c>
      <c r="C1061" s="76" t="s">
        <v>8</v>
      </c>
      <c r="D1061" s="351">
        <v>9</v>
      </c>
      <c r="E1061" s="76"/>
      <c r="F1061" s="351">
        <v>9</v>
      </c>
      <c r="G1061" s="351" t="s">
        <v>3162</v>
      </c>
      <c r="H1061" s="351"/>
      <c r="I1061" s="351" t="s">
        <v>2596</v>
      </c>
      <c r="J1061" s="560" t="s">
        <v>2328</v>
      </c>
      <c r="K1061" s="311">
        <v>208721.75350250001</v>
      </c>
      <c r="L1061" s="311">
        <v>0</v>
      </c>
      <c r="M1061" s="311">
        <v>28024.000000000004</v>
      </c>
      <c r="N1061" s="311">
        <v>21628.784725000001</v>
      </c>
      <c r="O1061" s="311">
        <v>15140.149307500002</v>
      </c>
      <c r="P1061" s="68">
        <f t="shared" si="223"/>
        <v>273514.68753500003</v>
      </c>
      <c r="Q1061" s="68">
        <f>D1061*P1061</f>
        <v>2461632.1878150003</v>
      </c>
      <c r="R1061" s="127">
        <f>F1061*P1061</f>
        <v>2461632.1878150003</v>
      </c>
      <c r="S1061" s="37"/>
    </row>
    <row r="1062" spans="1:19" s="79" customFormat="1" ht="28.5">
      <c r="A1062" s="214" t="s">
        <v>2260</v>
      </c>
      <c r="B1062" s="78" t="s">
        <v>1479</v>
      </c>
      <c r="C1062" s="77"/>
      <c r="D1062" s="351"/>
      <c r="E1062" s="77"/>
      <c r="F1062" s="351"/>
      <c r="G1062" s="36"/>
      <c r="H1062" s="36"/>
      <c r="I1062" s="36"/>
      <c r="J1062" s="584"/>
      <c r="K1062" s="65"/>
      <c r="L1062" s="65"/>
      <c r="M1062" s="65"/>
      <c r="N1062" s="65"/>
      <c r="O1062" s="65"/>
      <c r="P1062" s="65"/>
      <c r="Q1062" s="65"/>
      <c r="R1062" s="65"/>
      <c r="S1062" s="36"/>
    </row>
    <row r="1063" spans="1:19">
      <c r="A1063" s="76"/>
      <c r="B1063" s="75" t="s">
        <v>1830</v>
      </c>
      <c r="C1063" s="76" t="s">
        <v>8</v>
      </c>
      <c r="D1063" s="351">
        <v>5</v>
      </c>
      <c r="E1063" s="76"/>
      <c r="F1063" s="351">
        <v>5</v>
      </c>
      <c r="G1063" s="351" t="s">
        <v>3163</v>
      </c>
      <c r="H1063" s="351"/>
      <c r="I1063" s="351" t="s">
        <v>2596</v>
      </c>
      <c r="J1063" s="560" t="s">
        <v>2328</v>
      </c>
      <c r="K1063" s="311">
        <v>362446.80000000005</v>
      </c>
      <c r="L1063" s="311">
        <v>0</v>
      </c>
      <c r="M1063" s="311">
        <v>65879</v>
      </c>
      <c r="N1063" s="311">
        <v>39082</v>
      </c>
      <c r="O1063" s="311">
        <v>27357.4</v>
      </c>
      <c r="P1063" s="68">
        <f t="shared" ref="P1063:P1064" si="224">SUM(K1063:O1063)</f>
        <v>494765.20000000007</v>
      </c>
      <c r="Q1063" s="68">
        <f>D1063*P1063</f>
        <v>2473826.0000000005</v>
      </c>
      <c r="R1063" s="127">
        <f>F1063*P1063</f>
        <v>2473826.0000000005</v>
      </c>
      <c r="S1063" s="37"/>
    </row>
    <row r="1064" spans="1:19" s="79" customFormat="1">
      <c r="A1064" s="77" t="s">
        <v>2261</v>
      </c>
      <c r="B1064" s="78" t="s">
        <v>1482</v>
      </c>
      <c r="C1064" s="77" t="s">
        <v>8</v>
      </c>
      <c r="D1064" s="351">
        <v>10</v>
      </c>
      <c r="E1064" s="77"/>
      <c r="F1064" s="351">
        <v>10</v>
      </c>
      <c r="G1064" s="351" t="s">
        <v>3307</v>
      </c>
      <c r="H1064" s="351"/>
      <c r="I1064" s="351" t="s">
        <v>2596</v>
      </c>
      <c r="J1064" s="560" t="s">
        <v>2328</v>
      </c>
      <c r="K1064" s="311">
        <v>645936.67044549994</v>
      </c>
      <c r="L1064" s="311">
        <v>0</v>
      </c>
      <c r="M1064" s="311">
        <v>147391.55000000002</v>
      </c>
      <c r="N1064" s="311">
        <v>72303.744995000001</v>
      </c>
      <c r="O1064" s="311">
        <v>50612.621496499996</v>
      </c>
      <c r="P1064" s="68">
        <f t="shared" si="224"/>
        <v>916244.58693699993</v>
      </c>
      <c r="Q1064" s="68">
        <f>D1064*P1064</f>
        <v>9162445.8693699986</v>
      </c>
      <c r="R1064" s="127">
        <f>F1064*P1064</f>
        <v>9162445.8693699986</v>
      </c>
      <c r="S1064" s="38"/>
    </row>
    <row r="1065" spans="1:19" s="79" customFormat="1" ht="28.5">
      <c r="A1065" s="77" t="s">
        <v>2262</v>
      </c>
      <c r="B1065" s="78" t="s">
        <v>1567</v>
      </c>
      <c r="C1065" s="77"/>
      <c r="D1065" s="351"/>
      <c r="E1065" s="77"/>
      <c r="F1065" s="351"/>
      <c r="G1065" s="351"/>
      <c r="H1065" s="351"/>
      <c r="I1065" s="351"/>
      <c r="J1065" s="560"/>
      <c r="K1065" s="65"/>
      <c r="L1065" s="65"/>
      <c r="M1065" s="65"/>
      <c r="N1065" s="65"/>
      <c r="O1065" s="65"/>
      <c r="P1065" s="65"/>
      <c r="Q1065" s="65"/>
      <c r="R1065" s="65"/>
      <c r="S1065" s="36"/>
    </row>
    <row r="1066" spans="1:19">
      <c r="A1066" s="76"/>
      <c r="B1066" s="75" t="s">
        <v>1775</v>
      </c>
      <c r="C1066" s="76" t="s">
        <v>1754</v>
      </c>
      <c r="D1066" s="351">
        <v>5</v>
      </c>
      <c r="E1066" s="76"/>
      <c r="F1066" s="351">
        <v>5</v>
      </c>
      <c r="G1066" s="351" t="s">
        <v>3163</v>
      </c>
      <c r="H1066" s="351"/>
      <c r="I1066" s="351" t="s">
        <v>2596</v>
      </c>
      <c r="J1066" s="560" t="s">
        <v>2328</v>
      </c>
      <c r="K1066" s="311">
        <v>305745</v>
      </c>
      <c r="L1066" s="311">
        <v>0</v>
      </c>
      <c r="M1066" s="311">
        <v>65879</v>
      </c>
      <c r="N1066" s="311">
        <v>33880</v>
      </c>
      <c r="O1066" s="311">
        <v>23716.000000000004</v>
      </c>
      <c r="P1066" s="68">
        <f>SUM(K1066:O1066)</f>
        <v>429220</v>
      </c>
      <c r="Q1066" s="68">
        <f>D1066*P1066</f>
        <v>2146100</v>
      </c>
      <c r="R1066" s="127">
        <f>F1066*P1066</f>
        <v>2146100</v>
      </c>
      <c r="S1066" s="15"/>
    </row>
    <row r="1067" spans="1:19" s="79" customFormat="1">
      <c r="A1067" s="77" t="s">
        <v>2263</v>
      </c>
      <c r="B1067" s="78" t="s">
        <v>1776</v>
      </c>
      <c r="C1067" s="77"/>
      <c r="D1067" s="351"/>
      <c r="E1067" s="77"/>
      <c r="F1067" s="351"/>
      <c r="G1067" s="351"/>
      <c r="H1067" s="351"/>
      <c r="I1067" s="351"/>
      <c r="J1067" s="560"/>
      <c r="K1067" s="65"/>
      <c r="L1067" s="65"/>
      <c r="M1067" s="65"/>
      <c r="N1067" s="65"/>
      <c r="O1067" s="65"/>
      <c r="P1067" s="65"/>
      <c r="Q1067" s="65"/>
      <c r="R1067" s="65"/>
      <c r="S1067" s="18"/>
    </row>
    <row r="1068" spans="1:19">
      <c r="A1068" s="76"/>
      <c r="B1068" s="75" t="s">
        <v>1777</v>
      </c>
      <c r="C1068" s="76" t="s">
        <v>117</v>
      </c>
      <c r="D1068" s="351">
        <v>47.45</v>
      </c>
      <c r="E1068" s="76"/>
      <c r="F1068" s="351">
        <v>47.45</v>
      </c>
      <c r="G1068" s="351" t="s">
        <v>2820</v>
      </c>
      <c r="H1068" s="351"/>
      <c r="I1068" s="351" t="s">
        <v>2681</v>
      </c>
      <c r="J1068" s="560" t="s">
        <v>2328</v>
      </c>
      <c r="K1068" s="311">
        <v>41909.439999999995</v>
      </c>
      <c r="L1068" s="311">
        <v>0</v>
      </c>
      <c r="M1068" s="311">
        <v>29737.08</v>
      </c>
      <c r="N1068" s="311">
        <v>6340.4</v>
      </c>
      <c r="O1068" s="311">
        <v>4438.28</v>
      </c>
      <c r="P1068" s="68">
        <f t="shared" ref="P1068:P1075" si="225">SUM(K1068:O1068)</f>
        <v>82425.199999999983</v>
      </c>
      <c r="Q1068" s="68">
        <f t="shared" ref="Q1068:Q1075" si="226">D1068*P1068</f>
        <v>3911075.7399999993</v>
      </c>
      <c r="R1068" s="127">
        <f t="shared" ref="R1068:R1075" si="227">F1068*P1068</f>
        <v>3911075.7399999993</v>
      </c>
      <c r="S1068" s="15"/>
    </row>
    <row r="1069" spans="1:19">
      <c r="A1069" s="76"/>
      <c r="B1069" s="75" t="s">
        <v>1778</v>
      </c>
      <c r="C1069" s="76" t="s">
        <v>117</v>
      </c>
      <c r="D1069" s="351">
        <v>20.387</v>
      </c>
      <c r="E1069" s="76"/>
      <c r="F1069" s="351">
        <v>20.387</v>
      </c>
      <c r="G1069" s="351" t="s">
        <v>3200</v>
      </c>
      <c r="H1069" s="351"/>
      <c r="I1069" s="351" t="s">
        <v>2681</v>
      </c>
      <c r="J1069" s="560" t="s">
        <v>2328</v>
      </c>
      <c r="K1069" s="311">
        <v>85543.26</v>
      </c>
      <c r="L1069" s="311">
        <v>0</v>
      </c>
      <c r="M1069" s="311">
        <v>45819.240000000005</v>
      </c>
      <c r="N1069" s="311">
        <v>11625</v>
      </c>
      <c r="O1069" s="311">
        <v>8137.5</v>
      </c>
      <c r="P1069" s="68">
        <f t="shared" si="225"/>
        <v>151125</v>
      </c>
      <c r="Q1069" s="68">
        <f t="shared" si="226"/>
        <v>3080985.375</v>
      </c>
      <c r="R1069" s="127">
        <f t="shared" si="227"/>
        <v>3080985.375</v>
      </c>
      <c r="S1069" s="15"/>
    </row>
    <row r="1070" spans="1:19">
      <c r="A1070" s="76"/>
      <c r="B1070" s="75" t="s">
        <v>1779</v>
      </c>
      <c r="C1070" s="76" t="s">
        <v>117</v>
      </c>
      <c r="D1070" s="351">
        <v>70.242999999999995</v>
      </c>
      <c r="E1070" s="76"/>
      <c r="F1070" s="351">
        <v>70.242999999999995</v>
      </c>
      <c r="G1070" s="351" t="s">
        <v>2818</v>
      </c>
      <c r="H1070" s="351"/>
      <c r="I1070" s="351" t="s">
        <v>2681</v>
      </c>
      <c r="J1070" s="560" t="s">
        <v>2328</v>
      </c>
      <c r="K1070" s="311">
        <v>106351.07999999999</v>
      </c>
      <c r="L1070" s="311">
        <v>0</v>
      </c>
      <c r="M1070" s="311">
        <v>45819.240000000005</v>
      </c>
      <c r="N1070" s="311">
        <v>13466.400000000001</v>
      </c>
      <c r="O1070" s="311">
        <v>9426.4800000000014</v>
      </c>
      <c r="P1070" s="68">
        <f t="shared" si="225"/>
        <v>175063.2</v>
      </c>
      <c r="Q1070" s="68">
        <f t="shared" si="226"/>
        <v>12296964.3576</v>
      </c>
      <c r="R1070" s="127">
        <f t="shared" si="227"/>
        <v>12296964.3576</v>
      </c>
      <c r="S1070" s="15"/>
    </row>
    <row r="1071" spans="1:19">
      <c r="A1071" s="76"/>
      <c r="B1071" s="75" t="s">
        <v>1780</v>
      </c>
      <c r="C1071" s="76" t="s">
        <v>1754</v>
      </c>
      <c r="D1071" s="351">
        <v>7</v>
      </c>
      <c r="E1071" s="76"/>
      <c r="F1071" s="351">
        <v>7</v>
      </c>
      <c r="G1071" s="351" t="s">
        <v>2870</v>
      </c>
      <c r="H1071" s="351"/>
      <c r="I1071" s="351" t="s">
        <v>2681</v>
      </c>
      <c r="J1071" s="560" t="s">
        <v>2328</v>
      </c>
      <c r="K1071" s="311">
        <v>21267.730000000003</v>
      </c>
      <c r="L1071" s="311">
        <v>0</v>
      </c>
      <c r="M1071" s="311">
        <v>20537.236363636363</v>
      </c>
      <c r="N1071" s="311">
        <v>3699.5545454545459</v>
      </c>
      <c r="O1071" s="311">
        <v>2589.6881818181823</v>
      </c>
      <c r="P1071" s="68">
        <f t="shared" si="225"/>
        <v>48094.209090909091</v>
      </c>
      <c r="Q1071" s="68">
        <f t="shared" si="226"/>
        <v>336659.46363636362</v>
      </c>
      <c r="R1071" s="127">
        <f t="shared" si="227"/>
        <v>336659.46363636362</v>
      </c>
      <c r="S1071" s="15"/>
    </row>
    <row r="1072" spans="1:19">
      <c r="A1072" s="76"/>
      <c r="B1072" s="75" t="s">
        <v>1781</v>
      </c>
      <c r="C1072" s="76" t="s">
        <v>1754</v>
      </c>
      <c r="D1072" s="351">
        <v>2</v>
      </c>
      <c r="E1072" s="76"/>
      <c r="F1072" s="351">
        <v>2</v>
      </c>
      <c r="G1072" s="351" t="s">
        <v>3201</v>
      </c>
      <c r="H1072" s="351"/>
      <c r="I1072" s="351" t="s">
        <v>2681</v>
      </c>
      <c r="J1072" s="560" t="s">
        <v>2328</v>
      </c>
      <c r="K1072" s="311">
        <v>64220.160000000003</v>
      </c>
      <c r="L1072" s="311">
        <v>0</v>
      </c>
      <c r="M1072" s="311">
        <v>28229.454545454548</v>
      </c>
      <c r="N1072" s="311">
        <v>8181.3818181818178</v>
      </c>
      <c r="O1072" s="311">
        <v>5726.9672727272728</v>
      </c>
      <c r="P1072" s="68">
        <f t="shared" si="225"/>
        <v>106357.96363636364</v>
      </c>
      <c r="Q1072" s="68">
        <f t="shared" si="226"/>
        <v>212715.92727272728</v>
      </c>
      <c r="R1072" s="127">
        <f t="shared" si="227"/>
        <v>212715.92727272728</v>
      </c>
      <c r="S1072" s="15"/>
    </row>
    <row r="1073" spans="1:19">
      <c r="A1073" s="76"/>
      <c r="B1073" s="75" t="s">
        <v>1782</v>
      </c>
      <c r="C1073" s="76" t="s">
        <v>1754</v>
      </c>
      <c r="D1073" s="351">
        <v>16</v>
      </c>
      <c r="E1073" s="76"/>
      <c r="F1073" s="351">
        <v>16</v>
      </c>
      <c r="G1073" s="351" t="s">
        <v>2869</v>
      </c>
      <c r="H1073" s="351"/>
      <c r="I1073" s="351" t="s">
        <v>2681</v>
      </c>
      <c r="J1073" s="560" t="s">
        <v>2328</v>
      </c>
      <c r="K1073" s="311">
        <v>78539.520000000004</v>
      </c>
      <c r="L1073" s="311">
        <v>0</v>
      </c>
      <c r="M1073" s="311">
        <v>28229.454545454548</v>
      </c>
      <c r="N1073" s="311">
        <v>9448.5818181818177</v>
      </c>
      <c r="O1073" s="311">
        <v>6614.0072727272727</v>
      </c>
      <c r="P1073" s="68">
        <f t="shared" si="225"/>
        <v>122831.56363636364</v>
      </c>
      <c r="Q1073" s="68">
        <f t="shared" si="226"/>
        <v>1965305.0181818183</v>
      </c>
      <c r="R1073" s="127">
        <f t="shared" si="227"/>
        <v>1965305.0181818183</v>
      </c>
      <c r="S1073" s="37"/>
    </row>
    <row r="1074" spans="1:19" ht="30">
      <c r="A1074" s="76"/>
      <c r="B1074" s="75" t="s">
        <v>1831</v>
      </c>
      <c r="C1074" s="76" t="s">
        <v>1754</v>
      </c>
      <c r="D1074" s="351">
        <v>2</v>
      </c>
      <c r="E1074" s="76"/>
      <c r="F1074" s="351">
        <v>2</v>
      </c>
      <c r="G1074" s="351" t="s">
        <v>3202</v>
      </c>
      <c r="H1074" s="351"/>
      <c r="I1074" s="351" t="s">
        <v>2681</v>
      </c>
      <c r="J1074" s="560" t="s">
        <v>2328</v>
      </c>
      <c r="K1074" s="311">
        <v>225638.40000000002</v>
      </c>
      <c r="L1074" s="311">
        <v>0</v>
      </c>
      <c r="M1074" s="311">
        <v>42344.181818181823</v>
      </c>
      <c r="N1074" s="311">
        <v>23715.272727272728</v>
      </c>
      <c r="O1074" s="311">
        <v>16600.69090909091</v>
      </c>
      <c r="P1074" s="68">
        <f t="shared" si="225"/>
        <v>308298.54545454547</v>
      </c>
      <c r="Q1074" s="68">
        <f t="shared" si="226"/>
        <v>616597.09090909094</v>
      </c>
      <c r="R1074" s="127">
        <f t="shared" si="227"/>
        <v>616597.09090909094</v>
      </c>
      <c r="S1074" s="37"/>
    </row>
    <row r="1075" spans="1:19" ht="30">
      <c r="A1075" s="76"/>
      <c r="B1075" s="75" t="s">
        <v>1832</v>
      </c>
      <c r="C1075" s="76" t="s">
        <v>1754</v>
      </c>
      <c r="D1075" s="351">
        <v>2</v>
      </c>
      <c r="E1075" s="76"/>
      <c r="F1075" s="351">
        <v>2</v>
      </c>
      <c r="G1075" s="351" t="s">
        <v>3337</v>
      </c>
      <c r="H1075" s="351"/>
      <c r="I1075" s="351" t="s">
        <v>2681</v>
      </c>
      <c r="J1075" s="560" t="s">
        <v>2328</v>
      </c>
      <c r="K1075" s="311">
        <v>218695.68000000002</v>
      </c>
      <c r="L1075" s="311">
        <v>0</v>
      </c>
      <c r="M1075" s="311">
        <v>42344.181818181823</v>
      </c>
      <c r="N1075" s="311">
        <v>23100.872727272726</v>
      </c>
      <c r="O1075" s="311">
        <v>16170.61090909091</v>
      </c>
      <c r="P1075" s="68">
        <f t="shared" si="225"/>
        <v>300311.34545454546</v>
      </c>
      <c r="Q1075" s="68">
        <f t="shared" si="226"/>
        <v>600622.69090909092</v>
      </c>
      <c r="R1075" s="127">
        <f t="shared" si="227"/>
        <v>600622.69090909092</v>
      </c>
      <c r="S1075" s="37"/>
    </row>
    <row r="1076" spans="1:19" s="79" customFormat="1" ht="28.5">
      <c r="A1076" s="77" t="s">
        <v>2264</v>
      </c>
      <c r="B1076" s="78" t="s">
        <v>1591</v>
      </c>
      <c r="C1076" s="77"/>
      <c r="D1076" s="351"/>
      <c r="E1076" s="77"/>
      <c r="F1076" s="351"/>
      <c r="G1076" s="351"/>
      <c r="H1076" s="351"/>
      <c r="I1076" s="351"/>
      <c r="J1076" s="560"/>
      <c r="K1076" s="65"/>
      <c r="L1076" s="65"/>
      <c r="M1076" s="65"/>
      <c r="N1076" s="65"/>
      <c r="O1076" s="65"/>
      <c r="P1076" s="65"/>
      <c r="Q1076" s="65"/>
      <c r="R1076" s="65"/>
      <c r="S1076" s="36"/>
    </row>
    <row r="1077" spans="1:19" ht="30">
      <c r="A1077" s="76"/>
      <c r="B1077" s="75" t="s">
        <v>1833</v>
      </c>
      <c r="C1077" s="76" t="s">
        <v>117</v>
      </c>
      <c r="D1077" s="351">
        <v>191.48919999999998</v>
      </c>
      <c r="E1077" s="76"/>
      <c r="F1077" s="351">
        <v>191.48919999999998</v>
      </c>
      <c r="G1077" s="351" t="s">
        <v>3338</v>
      </c>
      <c r="H1077" s="351"/>
      <c r="I1077" s="351" t="s">
        <v>3179</v>
      </c>
      <c r="J1077" s="560" t="s">
        <v>2328</v>
      </c>
      <c r="K1077" s="311">
        <v>53449.000000000007</v>
      </c>
      <c r="L1077" s="311">
        <v>0</v>
      </c>
      <c r="M1077" s="311">
        <v>23594.400000000001</v>
      </c>
      <c r="N1077" s="311">
        <v>6818</v>
      </c>
      <c r="O1077" s="311">
        <v>4772.6000000000004</v>
      </c>
      <c r="P1077" s="68">
        <f t="shared" ref="P1077:P1078" si="228">SUM(K1077:O1077)</f>
        <v>88634.000000000015</v>
      </c>
      <c r="Q1077" s="68">
        <f>D1077*P1077</f>
        <v>16972453.752800003</v>
      </c>
      <c r="R1077" s="127">
        <f>F1077*P1077</f>
        <v>16972453.752800003</v>
      </c>
      <c r="S1077" s="37"/>
    </row>
    <row r="1078" spans="1:19" ht="30">
      <c r="A1078" s="76"/>
      <c r="B1078" s="75" t="s">
        <v>1834</v>
      </c>
      <c r="C1078" s="76" t="s">
        <v>117</v>
      </c>
      <c r="D1078" s="351">
        <v>57.901199999999989</v>
      </c>
      <c r="E1078" s="76"/>
      <c r="F1078" s="351">
        <v>57.901199999999989</v>
      </c>
      <c r="G1078" s="351" t="s">
        <v>3317</v>
      </c>
      <c r="H1078" s="351"/>
      <c r="I1078" s="351" t="s">
        <v>3179</v>
      </c>
      <c r="J1078" s="560" t="s">
        <v>2328</v>
      </c>
      <c r="K1078" s="311">
        <v>61585.000000000007</v>
      </c>
      <c r="L1078" s="311">
        <v>0</v>
      </c>
      <c r="M1078" s="311">
        <v>24814.800000000003</v>
      </c>
      <c r="N1078" s="311">
        <v>7646</v>
      </c>
      <c r="O1078" s="311">
        <v>5352.2000000000007</v>
      </c>
      <c r="P1078" s="68">
        <f t="shared" si="228"/>
        <v>99398.000000000015</v>
      </c>
      <c r="Q1078" s="68">
        <f>D1078*P1078</f>
        <v>5755263.4775999999</v>
      </c>
      <c r="R1078" s="127">
        <f>F1078*P1078</f>
        <v>5755263.4775999999</v>
      </c>
      <c r="S1078" s="37"/>
    </row>
    <row r="1079" spans="1:19" s="79" customFormat="1" ht="42.75">
      <c r="A1079" s="77" t="s">
        <v>2265</v>
      </c>
      <c r="B1079" s="78" t="s">
        <v>1596</v>
      </c>
      <c r="C1079" s="77"/>
      <c r="D1079" s="351"/>
      <c r="E1079" s="77"/>
      <c r="F1079" s="351"/>
      <c r="G1079" s="351"/>
      <c r="H1079" s="351"/>
      <c r="I1079" s="351"/>
      <c r="J1079" s="560"/>
      <c r="K1079" s="65"/>
      <c r="L1079" s="65"/>
      <c r="M1079" s="65"/>
      <c r="N1079" s="65"/>
      <c r="O1079" s="65"/>
      <c r="P1079" s="65"/>
      <c r="Q1079" s="65"/>
      <c r="R1079" s="65"/>
      <c r="S1079" s="36"/>
    </row>
    <row r="1080" spans="1:19" ht="30">
      <c r="A1080" s="76"/>
      <c r="B1080" s="75" t="s">
        <v>1835</v>
      </c>
      <c r="C1080" s="76" t="s">
        <v>117</v>
      </c>
      <c r="D1080" s="351">
        <v>30</v>
      </c>
      <c r="E1080" s="76"/>
      <c r="F1080" s="351">
        <v>30</v>
      </c>
      <c r="G1080" s="351" t="s">
        <v>3321</v>
      </c>
      <c r="H1080" s="351"/>
      <c r="I1080" s="351" t="s">
        <v>3340</v>
      </c>
      <c r="J1080" s="560" t="s">
        <v>3166</v>
      </c>
      <c r="K1080" s="311">
        <v>811347.82200000016</v>
      </c>
      <c r="L1080" s="311">
        <v>0</v>
      </c>
      <c r="M1080" s="311">
        <v>276920.625</v>
      </c>
      <c r="N1080" s="311">
        <v>98941.830000000016</v>
      </c>
      <c r="O1080" s="311">
        <v>69259.281000000003</v>
      </c>
      <c r="P1080" s="68">
        <f t="shared" ref="P1080:P1081" si="229">SUM(K1080:O1080)</f>
        <v>1256469.5580000002</v>
      </c>
      <c r="Q1080" s="68">
        <f>D1080*P1080</f>
        <v>37694086.74000001</v>
      </c>
      <c r="R1080" s="127">
        <f>F1080*P1080</f>
        <v>37694086.74000001</v>
      </c>
      <c r="S1080" s="37"/>
    </row>
    <row r="1081" spans="1:19" ht="30">
      <c r="A1081" s="76"/>
      <c r="B1081" s="75" t="s">
        <v>1836</v>
      </c>
      <c r="C1081" s="76" t="s">
        <v>117</v>
      </c>
      <c r="D1081" s="351">
        <v>17</v>
      </c>
      <c r="E1081" s="76"/>
      <c r="F1081" s="351">
        <v>17</v>
      </c>
      <c r="G1081" s="351" t="s">
        <v>3321</v>
      </c>
      <c r="H1081" s="351"/>
      <c r="I1081" s="351" t="s">
        <v>3340</v>
      </c>
      <c r="J1081" s="560" t="s">
        <v>3166</v>
      </c>
      <c r="K1081" s="311">
        <v>1012542.42</v>
      </c>
      <c r="L1081" s="311">
        <v>0</v>
      </c>
      <c r="M1081" s="311">
        <v>346429.75000000006</v>
      </c>
      <c r="N1081" s="311">
        <v>123551.3</v>
      </c>
      <c r="O1081" s="311">
        <v>86485.91</v>
      </c>
      <c r="P1081" s="68">
        <f t="shared" si="229"/>
        <v>1569009.3800000001</v>
      </c>
      <c r="Q1081" s="68">
        <f>D1081*P1081</f>
        <v>26673159.460000001</v>
      </c>
      <c r="R1081" s="127">
        <f>F1081*P1081</f>
        <v>26673159.460000001</v>
      </c>
      <c r="S1081" s="37"/>
    </row>
    <row r="1082" spans="1:19" s="79" customFormat="1" ht="42.75">
      <c r="A1082" s="77" t="s">
        <v>2266</v>
      </c>
      <c r="B1082" s="78" t="s">
        <v>1600</v>
      </c>
      <c r="C1082" s="77"/>
      <c r="D1082" s="351"/>
      <c r="E1082" s="77"/>
      <c r="F1082" s="351"/>
      <c r="G1082" s="351"/>
      <c r="H1082" s="351"/>
      <c r="I1082" s="351"/>
      <c r="J1082" s="560"/>
      <c r="K1082" s="65"/>
      <c r="L1082" s="65"/>
      <c r="M1082" s="65"/>
      <c r="N1082" s="65"/>
      <c r="O1082" s="65"/>
      <c r="P1082" s="65"/>
      <c r="Q1082" s="65"/>
      <c r="R1082" s="65"/>
      <c r="S1082" s="36"/>
    </row>
    <row r="1083" spans="1:19" ht="30">
      <c r="A1083" s="76"/>
      <c r="B1083" s="75" t="s">
        <v>1837</v>
      </c>
      <c r="C1083" s="76" t="s">
        <v>117</v>
      </c>
      <c r="D1083" s="351">
        <v>30</v>
      </c>
      <c r="E1083" s="76"/>
      <c r="F1083" s="351">
        <v>30</v>
      </c>
      <c r="G1083" s="351" t="s">
        <v>3339</v>
      </c>
      <c r="H1083" s="351"/>
      <c r="I1083" s="351" t="s">
        <v>3340</v>
      </c>
      <c r="J1083" s="560" t="s">
        <v>3166</v>
      </c>
      <c r="K1083" s="311">
        <v>891397.42200000014</v>
      </c>
      <c r="L1083" s="311">
        <v>0</v>
      </c>
      <c r="M1083" s="311">
        <v>276920.625</v>
      </c>
      <c r="N1083" s="311">
        <v>106285.83000000002</v>
      </c>
      <c r="O1083" s="311">
        <v>74400.081000000006</v>
      </c>
      <c r="P1083" s="68">
        <f t="shared" ref="P1083:P1085" si="230">SUM(K1083:O1083)</f>
        <v>1349003.9580000003</v>
      </c>
      <c r="Q1083" s="68">
        <f>D1083*P1083</f>
        <v>40470118.74000001</v>
      </c>
      <c r="R1083" s="127">
        <f>F1083*P1083</f>
        <v>40470118.74000001</v>
      </c>
      <c r="S1083" s="37"/>
    </row>
    <row r="1084" spans="1:19" ht="30">
      <c r="A1084" s="76"/>
      <c r="B1084" s="75" t="s">
        <v>1838</v>
      </c>
      <c r="C1084" s="76" t="s">
        <v>117</v>
      </c>
      <c r="D1084" s="351">
        <v>17</v>
      </c>
      <c r="E1084" s="76"/>
      <c r="F1084" s="351">
        <v>17</v>
      </c>
      <c r="G1084" s="351" t="s">
        <v>3339</v>
      </c>
      <c r="H1084" s="351"/>
      <c r="I1084" s="351" t="s">
        <v>3340</v>
      </c>
      <c r="J1084" s="560" t="s">
        <v>3166</v>
      </c>
      <c r="K1084" s="311">
        <v>1117051.6200000001</v>
      </c>
      <c r="L1084" s="311">
        <v>0</v>
      </c>
      <c r="M1084" s="311">
        <v>346429.75000000006</v>
      </c>
      <c r="N1084" s="311">
        <v>133139.30000000002</v>
      </c>
      <c r="O1084" s="311">
        <v>93197.510000000009</v>
      </c>
      <c r="P1084" s="68">
        <f t="shared" si="230"/>
        <v>1689818.1800000002</v>
      </c>
      <c r="Q1084" s="68">
        <f>D1084*P1084</f>
        <v>28726909.060000002</v>
      </c>
      <c r="R1084" s="127">
        <f>F1084*P1084</f>
        <v>28726909.060000002</v>
      </c>
      <c r="S1084" s="37"/>
    </row>
    <row r="1085" spans="1:19" s="79" customFormat="1">
      <c r="A1085" s="77" t="s">
        <v>2267</v>
      </c>
      <c r="B1085" s="78" t="s">
        <v>1789</v>
      </c>
      <c r="C1085" s="77" t="s">
        <v>78</v>
      </c>
      <c r="D1085" s="351">
        <v>1</v>
      </c>
      <c r="E1085" s="77"/>
      <c r="F1085" s="351">
        <v>1</v>
      </c>
      <c r="G1085" s="351"/>
      <c r="H1085" s="351"/>
      <c r="I1085" s="351"/>
      <c r="J1085" s="560" t="s">
        <v>2381</v>
      </c>
      <c r="K1085" s="311">
        <v>35677101.113492645</v>
      </c>
      <c r="L1085" s="311">
        <v>0</v>
      </c>
      <c r="M1085" s="311">
        <v>12533159.388529269</v>
      </c>
      <c r="N1085" s="311">
        <v>4085615.2967815176</v>
      </c>
      <c r="O1085" s="311">
        <v>2859930.7077470627</v>
      </c>
      <c r="P1085" s="68">
        <f t="shared" si="230"/>
        <v>55155806.506550498</v>
      </c>
      <c r="Q1085" s="68">
        <f>D1085*P1085</f>
        <v>55155806.506550498</v>
      </c>
      <c r="R1085" s="127">
        <f>F1085*P1085</f>
        <v>55155806.506550498</v>
      </c>
      <c r="S1085" s="36"/>
    </row>
    <row r="1086" spans="1:19" s="83" customFormat="1" ht="42.75">
      <c r="A1086" s="28" t="s">
        <v>2268</v>
      </c>
      <c r="B1086" s="87" t="s">
        <v>1608</v>
      </c>
      <c r="C1086" s="88"/>
      <c r="D1086" s="352"/>
      <c r="E1086" s="28"/>
      <c r="F1086" s="352"/>
      <c r="G1086" s="24"/>
      <c r="H1086" s="24"/>
      <c r="I1086" s="24"/>
      <c r="J1086" s="594"/>
      <c r="K1086" s="65"/>
      <c r="L1086" s="65"/>
      <c r="M1086" s="65"/>
      <c r="N1086" s="65"/>
      <c r="O1086" s="65"/>
      <c r="P1086" s="65"/>
      <c r="Q1086" s="65"/>
      <c r="R1086" s="65"/>
      <c r="S1086" s="24"/>
    </row>
    <row r="1087" spans="1:19" s="84" customFormat="1" ht="60">
      <c r="A1087" s="30"/>
      <c r="B1087" s="85" t="s">
        <v>1609</v>
      </c>
      <c r="C1087" s="86" t="s">
        <v>1350</v>
      </c>
      <c r="D1087" s="352">
        <v>36</v>
      </c>
      <c r="E1087" s="30"/>
      <c r="F1087" s="352">
        <v>36</v>
      </c>
      <c r="G1087" s="351" t="s">
        <v>3343</v>
      </c>
      <c r="H1087" s="351"/>
      <c r="I1087" s="351" t="s">
        <v>3341</v>
      </c>
      <c r="J1087" s="560" t="s">
        <v>3342</v>
      </c>
      <c r="K1087" s="311">
        <v>1267126.6132</v>
      </c>
      <c r="L1087" s="311">
        <v>0</v>
      </c>
      <c r="M1087" s="311">
        <v>307360.00000000006</v>
      </c>
      <c r="N1087" s="311">
        <v>143450.14800000002</v>
      </c>
      <c r="O1087" s="311">
        <v>100415.1036</v>
      </c>
      <c r="P1087" s="68">
        <f t="shared" ref="P1087:P1088" si="231">SUM(K1087:O1087)</f>
        <v>1818351.8648000001</v>
      </c>
      <c r="Q1087" s="68">
        <f>D1087*P1087</f>
        <v>65460667.132800005</v>
      </c>
      <c r="R1087" s="127">
        <f>F1087*P1087</f>
        <v>65460667.132800005</v>
      </c>
      <c r="S1087" s="26"/>
    </row>
    <row r="1088" spans="1:19" s="84" customFormat="1" ht="60">
      <c r="A1088" s="30"/>
      <c r="B1088" s="85" t="s">
        <v>1610</v>
      </c>
      <c r="C1088" s="86" t="s">
        <v>1350</v>
      </c>
      <c r="D1088" s="352">
        <v>24</v>
      </c>
      <c r="E1088" s="30"/>
      <c r="F1088" s="352">
        <v>24</v>
      </c>
      <c r="G1088" s="351" t="s">
        <v>3344</v>
      </c>
      <c r="H1088" s="351"/>
      <c r="I1088" s="351" t="s">
        <v>3341</v>
      </c>
      <c r="J1088" s="560" t="s">
        <v>3342</v>
      </c>
      <c r="K1088" s="311">
        <v>2219206.8640000001</v>
      </c>
      <c r="L1088" s="311">
        <v>0</v>
      </c>
      <c r="M1088" s="311">
        <v>416216.66666666674</v>
      </c>
      <c r="N1088" s="311">
        <v>240430.29333333333</v>
      </c>
      <c r="O1088" s="311">
        <v>168301.20533333335</v>
      </c>
      <c r="P1088" s="68">
        <f t="shared" si="231"/>
        <v>3044155.029333334</v>
      </c>
      <c r="Q1088" s="68">
        <f>D1088*P1088</f>
        <v>73059720.704000011</v>
      </c>
      <c r="R1088" s="127">
        <f>F1088*P1088</f>
        <v>73059720.704000011</v>
      </c>
      <c r="S1088" s="26"/>
    </row>
    <row r="1089" spans="1:19" s="79" customFormat="1">
      <c r="A1089" s="77" t="s">
        <v>1763</v>
      </c>
      <c r="B1089" s="78" t="s">
        <v>1790</v>
      </c>
      <c r="C1089" s="77"/>
      <c r="D1089" s="351"/>
      <c r="E1089" s="77"/>
      <c r="F1089" s="351"/>
      <c r="G1089" s="36"/>
      <c r="H1089" s="36"/>
      <c r="I1089" s="36"/>
      <c r="J1089" s="584"/>
      <c r="K1089" s="65"/>
      <c r="L1089" s="65"/>
      <c r="M1089" s="65"/>
      <c r="N1089" s="65"/>
      <c r="O1089" s="65"/>
      <c r="P1089" s="65"/>
      <c r="Q1089" s="65"/>
      <c r="R1089" s="65"/>
      <c r="S1089" s="36"/>
    </row>
    <row r="1090" spans="1:19" ht="75">
      <c r="A1090" s="76" t="s">
        <v>2269</v>
      </c>
      <c r="B1090" s="75" t="s">
        <v>1791</v>
      </c>
      <c r="C1090" s="76"/>
      <c r="D1090" s="351"/>
      <c r="E1090" s="76" t="s">
        <v>1793</v>
      </c>
      <c r="F1090" s="351"/>
      <c r="G1090" s="37"/>
      <c r="H1090" s="37"/>
      <c r="I1090" s="37"/>
      <c r="J1090" s="583"/>
      <c r="K1090" s="66"/>
      <c r="L1090" s="66"/>
      <c r="M1090" s="66"/>
      <c r="N1090" s="66"/>
      <c r="O1090" s="66"/>
      <c r="P1090" s="66"/>
      <c r="Q1090" s="66"/>
      <c r="R1090" s="66"/>
      <c r="S1090" s="37"/>
    </row>
    <row r="1091" spans="1:19" ht="30">
      <c r="A1091" s="76" t="s">
        <v>2270</v>
      </c>
      <c r="B1091" s="75" t="s">
        <v>1839</v>
      </c>
      <c r="C1091" s="76" t="s">
        <v>1754</v>
      </c>
      <c r="D1091" s="351">
        <v>21</v>
      </c>
      <c r="E1091" s="76"/>
      <c r="F1091" s="351">
        <v>21</v>
      </c>
      <c r="G1091" s="351"/>
      <c r="H1091" s="351"/>
      <c r="I1091" s="351"/>
      <c r="J1091" s="560" t="s">
        <v>3197</v>
      </c>
      <c r="K1091" s="311">
        <v>0</v>
      </c>
      <c r="L1091" s="311">
        <v>0</v>
      </c>
      <c r="M1091" s="311">
        <v>72416.521739130447</v>
      </c>
      <c r="N1091" s="311">
        <v>65174.869565217406</v>
      </c>
      <c r="O1091" s="311">
        <v>43449.913043478264</v>
      </c>
      <c r="P1091" s="68">
        <f t="shared" ref="P1091:P1099" si="232">SUM(K1091:O1091)</f>
        <v>181041.30434782611</v>
      </c>
      <c r="Q1091" s="68">
        <f t="shared" ref="Q1091:Q1099" si="233">D1091*P1091</f>
        <v>3801867.3913043481</v>
      </c>
      <c r="R1091" s="127">
        <f t="shared" ref="R1091:R1099" si="234">F1091*P1091</f>
        <v>3801867.3913043481</v>
      </c>
      <c r="S1091" s="37"/>
    </row>
    <row r="1092" spans="1:19" ht="30">
      <c r="A1092" s="76" t="s">
        <v>2271</v>
      </c>
      <c r="B1092" s="75" t="s">
        <v>1840</v>
      </c>
      <c r="C1092" s="76" t="s">
        <v>117</v>
      </c>
      <c r="D1092" s="351">
        <v>102.34099999999999</v>
      </c>
      <c r="E1092" s="76"/>
      <c r="F1092" s="351">
        <v>102.34099999999999</v>
      </c>
      <c r="G1092" s="351" t="s">
        <v>3170</v>
      </c>
      <c r="H1092" s="351"/>
      <c r="I1092" s="351" t="s">
        <v>3165</v>
      </c>
      <c r="J1092" s="560" t="s">
        <v>3166</v>
      </c>
      <c r="K1092" s="311">
        <v>54612.000000000007</v>
      </c>
      <c r="L1092" s="311">
        <v>0</v>
      </c>
      <c r="M1092" s="311">
        <v>36717.466666666674</v>
      </c>
      <c r="N1092" s="311">
        <v>8169.3333333333348</v>
      </c>
      <c r="O1092" s="311">
        <v>5718.5333333333347</v>
      </c>
      <c r="P1092" s="68">
        <f t="shared" si="232"/>
        <v>105217.33333333334</v>
      </c>
      <c r="Q1092" s="68">
        <f t="shared" si="233"/>
        <v>10768047.110666666</v>
      </c>
      <c r="R1092" s="127">
        <f t="shared" si="234"/>
        <v>10768047.110666666</v>
      </c>
      <c r="S1092" s="37"/>
    </row>
    <row r="1093" spans="1:19" ht="30">
      <c r="A1093" s="76" t="s">
        <v>2272</v>
      </c>
      <c r="B1093" s="75" t="s">
        <v>1841</v>
      </c>
      <c r="C1093" s="76" t="s">
        <v>117</v>
      </c>
      <c r="D1093" s="351">
        <v>131.71700000000001</v>
      </c>
      <c r="E1093" s="76"/>
      <c r="F1093" s="351">
        <v>131.71700000000001</v>
      </c>
      <c r="G1093" s="351" t="s">
        <v>3171</v>
      </c>
      <c r="H1093" s="351"/>
      <c r="I1093" s="351" t="s">
        <v>3165</v>
      </c>
      <c r="J1093" s="560" t="s">
        <v>3166</v>
      </c>
      <c r="K1093" s="311">
        <v>81585</v>
      </c>
      <c r="L1093" s="311">
        <v>0</v>
      </c>
      <c r="M1093" s="311">
        <v>41232.758333333346</v>
      </c>
      <c r="N1093" s="311">
        <v>10998.916666666668</v>
      </c>
      <c r="O1093" s="311">
        <v>7699.2416666666677</v>
      </c>
      <c r="P1093" s="68">
        <f t="shared" si="232"/>
        <v>141515.91666666669</v>
      </c>
      <c r="Q1093" s="68">
        <f t="shared" si="233"/>
        <v>18640051.995583337</v>
      </c>
      <c r="R1093" s="127">
        <f t="shared" si="234"/>
        <v>18640051.995583337</v>
      </c>
      <c r="S1093" s="37"/>
    </row>
    <row r="1094" spans="1:19" ht="30">
      <c r="A1094" s="76" t="s">
        <v>2273</v>
      </c>
      <c r="B1094" s="75" t="s">
        <v>1795</v>
      </c>
      <c r="C1094" s="76" t="s">
        <v>117</v>
      </c>
      <c r="D1094" s="351">
        <v>100.86199999999999</v>
      </c>
      <c r="E1094" s="76"/>
      <c r="F1094" s="351">
        <v>100.86199999999999</v>
      </c>
      <c r="G1094" s="351" t="s">
        <v>3168</v>
      </c>
      <c r="H1094" s="351"/>
      <c r="I1094" s="351" t="s">
        <v>3165</v>
      </c>
      <c r="J1094" s="560" t="s">
        <v>3166</v>
      </c>
      <c r="K1094" s="311">
        <v>116994.00000000001</v>
      </c>
      <c r="L1094" s="311">
        <v>0</v>
      </c>
      <c r="M1094" s="311">
        <v>43404.241666666676</v>
      </c>
      <c r="N1094" s="311">
        <v>14381.083333333336</v>
      </c>
      <c r="O1094" s="311">
        <v>10066.758333333335</v>
      </c>
      <c r="P1094" s="68">
        <f t="shared" si="232"/>
        <v>184846.08333333337</v>
      </c>
      <c r="Q1094" s="68">
        <f t="shared" si="233"/>
        <v>18643945.657166671</v>
      </c>
      <c r="R1094" s="127">
        <f t="shared" si="234"/>
        <v>18643945.657166671</v>
      </c>
      <c r="S1094" s="37"/>
    </row>
    <row r="1095" spans="1:19" ht="30">
      <c r="A1095" s="76" t="s">
        <v>2274</v>
      </c>
      <c r="B1095" s="75" t="s">
        <v>1842</v>
      </c>
      <c r="C1095" s="76" t="s">
        <v>117</v>
      </c>
      <c r="D1095" s="351">
        <v>90.826999999999998</v>
      </c>
      <c r="E1095" s="76"/>
      <c r="F1095" s="351">
        <v>90.826999999999998</v>
      </c>
      <c r="G1095" s="351" t="s">
        <v>3172</v>
      </c>
      <c r="H1095" s="351"/>
      <c r="I1095" s="351" t="s">
        <v>3165</v>
      </c>
      <c r="J1095" s="560" t="s">
        <v>3166</v>
      </c>
      <c r="K1095" s="311">
        <v>171717.00000000003</v>
      </c>
      <c r="L1095" s="311">
        <v>0</v>
      </c>
      <c r="M1095" s="311">
        <v>47085.216666666674</v>
      </c>
      <c r="N1095" s="311">
        <v>19636.833333333336</v>
      </c>
      <c r="O1095" s="311">
        <v>13745.783333333335</v>
      </c>
      <c r="P1095" s="68">
        <f t="shared" si="232"/>
        <v>252184.83333333337</v>
      </c>
      <c r="Q1095" s="68">
        <f t="shared" si="233"/>
        <v>22905191.85716667</v>
      </c>
      <c r="R1095" s="127">
        <f t="shared" si="234"/>
        <v>22905191.85716667</v>
      </c>
      <c r="S1095" s="37"/>
    </row>
    <row r="1096" spans="1:19" ht="30">
      <c r="A1096" s="76" t="s">
        <v>2275</v>
      </c>
      <c r="B1096" s="75" t="s">
        <v>1843</v>
      </c>
      <c r="C1096" s="76" t="s">
        <v>117</v>
      </c>
      <c r="D1096" s="351">
        <v>34.949999999999996</v>
      </c>
      <c r="E1096" s="76"/>
      <c r="F1096" s="351">
        <v>34.949999999999996</v>
      </c>
      <c r="G1096" s="351" t="s">
        <v>3173</v>
      </c>
      <c r="H1096" s="351"/>
      <c r="I1096" s="351" t="s">
        <v>3165</v>
      </c>
      <c r="J1096" s="560" t="s">
        <v>3166</v>
      </c>
      <c r="K1096" s="311">
        <v>206238.00000000003</v>
      </c>
      <c r="L1096" s="311">
        <v>0</v>
      </c>
      <c r="M1096" s="311">
        <v>53727.733333333344</v>
      </c>
      <c r="N1096" s="311">
        <v>23334.666666666672</v>
      </c>
      <c r="O1096" s="311">
        <v>16334.26666666667</v>
      </c>
      <c r="P1096" s="68">
        <f t="shared" si="232"/>
        <v>299634.66666666669</v>
      </c>
      <c r="Q1096" s="68">
        <f t="shared" si="233"/>
        <v>10472231.6</v>
      </c>
      <c r="R1096" s="127">
        <f t="shared" si="234"/>
        <v>10472231.6</v>
      </c>
      <c r="S1096" s="37"/>
    </row>
    <row r="1097" spans="1:19" ht="30">
      <c r="A1097" s="76" t="s">
        <v>2276</v>
      </c>
      <c r="B1097" s="75" t="s">
        <v>1844</v>
      </c>
      <c r="C1097" s="76" t="s">
        <v>117</v>
      </c>
      <c r="D1097" s="351">
        <v>3.05</v>
      </c>
      <c r="E1097" s="76"/>
      <c r="F1097" s="351">
        <v>3.05</v>
      </c>
      <c r="G1097" s="351" t="s">
        <v>3174</v>
      </c>
      <c r="H1097" s="351"/>
      <c r="I1097" s="351" t="s">
        <v>3165</v>
      </c>
      <c r="J1097" s="560" t="s">
        <v>3166</v>
      </c>
      <c r="K1097" s="311">
        <v>262404</v>
      </c>
      <c r="L1097" s="311">
        <v>0</v>
      </c>
      <c r="M1097" s="311">
        <v>63369.458333333343</v>
      </c>
      <c r="N1097" s="311">
        <v>29247.916666666672</v>
      </c>
      <c r="O1097" s="311">
        <v>20473.541666666672</v>
      </c>
      <c r="P1097" s="68">
        <f t="shared" si="232"/>
        <v>375494.91666666674</v>
      </c>
      <c r="Q1097" s="68">
        <f t="shared" si="233"/>
        <v>1145259.4958333336</v>
      </c>
      <c r="R1097" s="127">
        <f t="shared" si="234"/>
        <v>1145259.4958333336</v>
      </c>
      <c r="S1097" s="37"/>
    </row>
    <row r="1098" spans="1:19">
      <c r="A1098" s="76" t="s">
        <v>2277</v>
      </c>
      <c r="B1098" s="75" t="s">
        <v>1845</v>
      </c>
      <c r="C1098" s="76" t="s">
        <v>1727</v>
      </c>
      <c r="D1098" s="351">
        <v>8.8310749999999985</v>
      </c>
      <c r="E1098" s="76"/>
      <c r="F1098" s="351">
        <v>8.8310749999999985</v>
      </c>
      <c r="G1098" s="351" t="s">
        <v>3207</v>
      </c>
      <c r="H1098" s="351"/>
      <c r="I1098" s="351" t="s">
        <v>3179</v>
      </c>
      <c r="J1098" s="560" t="s">
        <v>2671</v>
      </c>
      <c r="K1098" s="311">
        <v>211536.00000000003</v>
      </c>
      <c r="L1098" s="311">
        <v>0</v>
      </c>
      <c r="M1098" s="311">
        <v>58956.808333333342</v>
      </c>
      <c r="N1098" s="311">
        <v>23937.416666666672</v>
      </c>
      <c r="O1098" s="311">
        <v>16756.191666666669</v>
      </c>
      <c r="P1098" s="68">
        <f t="shared" si="232"/>
        <v>311186.41666666669</v>
      </c>
      <c r="Q1098" s="68">
        <f t="shared" si="233"/>
        <v>2748110.5845645829</v>
      </c>
      <c r="R1098" s="127">
        <f t="shared" si="234"/>
        <v>2748110.5845645829</v>
      </c>
      <c r="S1098" s="37"/>
    </row>
    <row r="1099" spans="1:19">
      <c r="A1099" s="76" t="s">
        <v>2278</v>
      </c>
      <c r="B1099" s="75" t="s">
        <v>1797</v>
      </c>
      <c r="C1099" s="76" t="s">
        <v>78</v>
      </c>
      <c r="D1099" s="351">
        <v>1</v>
      </c>
      <c r="E1099" s="76"/>
      <c r="F1099" s="351">
        <v>1</v>
      </c>
      <c r="G1099" s="351"/>
      <c r="H1099" s="351"/>
      <c r="I1099" s="351"/>
      <c r="J1099" s="560" t="s">
        <v>2381</v>
      </c>
      <c r="K1099" s="311">
        <v>8250483.0168000013</v>
      </c>
      <c r="L1099" s="311">
        <v>0</v>
      </c>
      <c r="M1099" s="311">
        <v>3119314.2648475002</v>
      </c>
      <c r="N1099" s="311">
        <v>963542.14251249994</v>
      </c>
      <c r="O1099" s="311">
        <v>674479.49975874997</v>
      </c>
      <c r="P1099" s="68">
        <f t="shared" si="232"/>
        <v>13007818.923918752</v>
      </c>
      <c r="Q1099" s="68">
        <f t="shared" si="233"/>
        <v>13007818.923918752</v>
      </c>
      <c r="R1099" s="127">
        <f t="shared" si="234"/>
        <v>13007818.923918752</v>
      </c>
      <c r="S1099" s="37"/>
    </row>
    <row r="1100" spans="1:19" s="79" customFormat="1">
      <c r="A1100" s="77" t="s">
        <v>1798</v>
      </c>
      <c r="B1100" s="78" t="s">
        <v>1799</v>
      </c>
      <c r="C1100" s="77"/>
      <c r="D1100" s="351"/>
      <c r="E1100" s="77"/>
      <c r="F1100" s="351"/>
      <c r="G1100" s="36"/>
      <c r="H1100" s="36"/>
      <c r="I1100" s="36"/>
      <c r="J1100" s="584"/>
      <c r="K1100" s="65"/>
      <c r="L1100" s="65"/>
      <c r="M1100" s="65"/>
      <c r="N1100" s="65"/>
      <c r="O1100" s="65"/>
      <c r="P1100" s="65"/>
      <c r="Q1100" s="65"/>
      <c r="R1100" s="65"/>
      <c r="S1100" s="36"/>
    </row>
    <row r="1101" spans="1:19" s="79" customFormat="1" ht="57">
      <c r="A1101" s="76" t="s">
        <v>2279</v>
      </c>
      <c r="B1101" s="78" t="s">
        <v>1800</v>
      </c>
      <c r="C1101" s="77"/>
      <c r="D1101" s="351"/>
      <c r="E1101" s="77" t="s">
        <v>1802</v>
      </c>
      <c r="F1101" s="351"/>
      <c r="G1101" s="36"/>
      <c r="H1101" s="36"/>
      <c r="I1101" s="36"/>
      <c r="J1101" s="584"/>
      <c r="K1101" s="65"/>
      <c r="L1101" s="65"/>
      <c r="M1101" s="65"/>
      <c r="N1101" s="65"/>
      <c r="O1101" s="65"/>
      <c r="P1101" s="65"/>
      <c r="Q1101" s="65"/>
      <c r="R1101" s="65"/>
      <c r="S1101" s="36"/>
    </row>
    <row r="1102" spans="1:19" ht="30">
      <c r="A1102" s="76"/>
      <c r="B1102" s="75" t="s">
        <v>1803</v>
      </c>
      <c r="C1102" s="76" t="s">
        <v>117</v>
      </c>
      <c r="D1102" s="351">
        <v>114.866</v>
      </c>
      <c r="E1102" s="76"/>
      <c r="F1102" s="351">
        <v>114.866</v>
      </c>
      <c r="G1102" s="351" t="s">
        <v>3182</v>
      </c>
      <c r="H1102" s="351"/>
      <c r="I1102" s="351" t="s">
        <v>3181</v>
      </c>
      <c r="J1102" s="560" t="s">
        <v>3166</v>
      </c>
      <c r="K1102" s="311">
        <v>29468.140000000003</v>
      </c>
      <c r="L1102" s="311">
        <v>0</v>
      </c>
      <c r="M1102" s="311">
        <v>31356.558333333338</v>
      </c>
      <c r="N1102" s="311">
        <v>5382.7166666666672</v>
      </c>
      <c r="O1102" s="311">
        <v>3767.9016666666676</v>
      </c>
      <c r="P1102" s="68">
        <f t="shared" ref="P1102:P1104" si="235">SUM(K1102:O1102)</f>
        <v>69975.31666666668</v>
      </c>
      <c r="Q1102" s="68">
        <f>D1102*P1102</f>
        <v>8037784.7242333349</v>
      </c>
      <c r="R1102" s="127">
        <f>F1102*P1102</f>
        <v>8037784.7242333349</v>
      </c>
      <c r="S1102" s="37"/>
    </row>
    <row r="1103" spans="1:19" ht="30">
      <c r="A1103" s="76"/>
      <c r="B1103" s="75" t="s">
        <v>1846</v>
      </c>
      <c r="C1103" s="76" t="s">
        <v>117</v>
      </c>
      <c r="D1103" s="351">
        <v>59.440000000000005</v>
      </c>
      <c r="E1103" s="76"/>
      <c r="F1103" s="351">
        <v>59.440000000000005</v>
      </c>
      <c r="G1103" s="351" t="s">
        <v>3183</v>
      </c>
      <c r="H1103" s="351"/>
      <c r="I1103" s="351" t="s">
        <v>3181</v>
      </c>
      <c r="J1103" s="560" t="s">
        <v>3166</v>
      </c>
      <c r="K1103" s="311">
        <v>39148.850000000006</v>
      </c>
      <c r="L1103" s="311">
        <v>0</v>
      </c>
      <c r="M1103" s="311">
        <v>34937.716666666674</v>
      </c>
      <c r="N1103" s="311">
        <v>6556.3333333333348</v>
      </c>
      <c r="O1103" s="311">
        <v>4589.4333333333343</v>
      </c>
      <c r="P1103" s="68">
        <f t="shared" si="235"/>
        <v>85232.333333333343</v>
      </c>
      <c r="Q1103" s="68">
        <f>D1103*P1103</f>
        <v>5066209.8933333345</v>
      </c>
      <c r="R1103" s="127">
        <f>F1103*P1103</f>
        <v>5066209.8933333345</v>
      </c>
      <c r="S1103" s="37"/>
    </row>
    <row r="1104" spans="1:19" s="79" customFormat="1">
      <c r="A1104" s="76" t="s">
        <v>2280</v>
      </c>
      <c r="B1104" s="78" t="s">
        <v>1797</v>
      </c>
      <c r="C1104" s="77" t="s">
        <v>78</v>
      </c>
      <c r="D1104" s="351">
        <v>1</v>
      </c>
      <c r="E1104" s="77"/>
      <c r="F1104" s="351">
        <v>1</v>
      </c>
      <c r="G1104" s="351"/>
      <c r="H1104" s="351"/>
      <c r="I1104" s="351"/>
      <c r="J1104" s="560" t="s">
        <v>2381</v>
      </c>
      <c r="K1104" s="311">
        <v>2385853.4922560006</v>
      </c>
      <c r="L1104" s="311">
        <v>0</v>
      </c>
      <c r="M1104" s="311">
        <v>1778928.4151300003</v>
      </c>
      <c r="N1104" s="311">
        <v>352947.61927000008</v>
      </c>
      <c r="O1104" s="311">
        <v>247063.33348900007</v>
      </c>
      <c r="P1104" s="68">
        <f t="shared" si="235"/>
        <v>4764792.8601450007</v>
      </c>
      <c r="Q1104" s="68">
        <f>D1104*P1104</f>
        <v>4764792.8601450007</v>
      </c>
      <c r="R1104" s="127">
        <f>F1104*P1104</f>
        <v>4764792.8601450007</v>
      </c>
      <c r="S1104" s="36"/>
    </row>
    <row r="1105" spans="1:19" s="79" customFormat="1">
      <c r="A1105" s="77" t="s">
        <v>1804</v>
      </c>
      <c r="B1105" s="78" t="s">
        <v>1805</v>
      </c>
      <c r="C1105" s="77"/>
      <c r="D1105" s="351"/>
      <c r="E1105" s="77"/>
      <c r="F1105" s="351"/>
      <c r="G1105" s="36"/>
      <c r="H1105" s="36"/>
      <c r="I1105" s="36"/>
      <c r="J1105" s="584"/>
      <c r="K1105" s="65"/>
      <c r="L1105" s="65"/>
      <c r="M1105" s="65"/>
      <c r="N1105" s="65"/>
      <c r="O1105" s="65"/>
      <c r="P1105" s="65"/>
      <c r="Q1105" s="65"/>
      <c r="R1105" s="65"/>
      <c r="S1105" s="36"/>
    </row>
    <row r="1106" spans="1:19" ht="30">
      <c r="A1106" s="76" t="s">
        <v>2281</v>
      </c>
      <c r="B1106" s="75" t="s">
        <v>1746</v>
      </c>
      <c r="C1106" s="76" t="s">
        <v>117</v>
      </c>
      <c r="D1106" s="351">
        <v>226.26599999999999</v>
      </c>
      <c r="E1106" s="76"/>
      <c r="F1106" s="351">
        <v>226.26599999999999</v>
      </c>
      <c r="G1106" s="365" t="s">
        <v>3192</v>
      </c>
      <c r="H1106" s="369"/>
      <c r="I1106" s="365" t="s">
        <v>2330</v>
      </c>
      <c r="J1106" s="593" t="s">
        <v>2328</v>
      </c>
      <c r="K1106" s="311">
        <v>19547.406000000003</v>
      </c>
      <c r="L1106" s="311">
        <v>0</v>
      </c>
      <c r="M1106" s="311">
        <v>5135.0548148148146</v>
      </c>
      <c r="N1106" s="311">
        <v>2247.7696296296299</v>
      </c>
      <c r="O1106" s="311">
        <v>1573.438740740741</v>
      </c>
      <c r="P1106" s="68">
        <f t="shared" ref="P1106:P1109" si="236">SUM(K1106:O1106)</f>
        <v>28503.66918518519</v>
      </c>
      <c r="Q1106" s="68">
        <f>D1106*P1106</f>
        <v>6449411.2118551116</v>
      </c>
      <c r="R1106" s="127">
        <f>F1106*P1106</f>
        <v>6449411.2118551116</v>
      </c>
      <c r="S1106" s="37"/>
    </row>
    <row r="1107" spans="1:19" ht="30">
      <c r="A1107" s="76" t="s">
        <v>2282</v>
      </c>
      <c r="B1107" s="75" t="s">
        <v>1747</v>
      </c>
      <c r="C1107" s="76" t="s">
        <v>117</v>
      </c>
      <c r="D1107" s="351">
        <v>167.03700000000001</v>
      </c>
      <c r="E1107" s="76"/>
      <c r="F1107" s="351">
        <v>167.03700000000001</v>
      </c>
      <c r="G1107" s="365" t="s">
        <v>3193</v>
      </c>
      <c r="H1107" s="369"/>
      <c r="I1107" s="365" t="s">
        <v>2330</v>
      </c>
      <c r="J1107" s="593" t="s">
        <v>2328</v>
      </c>
      <c r="K1107" s="311">
        <v>15582.596400000002</v>
      </c>
      <c r="L1107" s="311">
        <v>0</v>
      </c>
      <c r="M1107" s="311">
        <v>3669.0681481481479</v>
      </c>
      <c r="N1107" s="311">
        <v>1754.2922962962964</v>
      </c>
      <c r="O1107" s="311">
        <v>1228.0046074074075</v>
      </c>
      <c r="P1107" s="68">
        <f t="shared" si="236"/>
        <v>22233.961451851854</v>
      </c>
      <c r="Q1107" s="68">
        <f>D1107*P1107</f>
        <v>3713894.2190329782</v>
      </c>
      <c r="R1107" s="127">
        <f>F1107*P1107</f>
        <v>3713894.2190329782</v>
      </c>
      <c r="S1107" s="38"/>
    </row>
    <row r="1108" spans="1:19" ht="60">
      <c r="A1108" s="76" t="s">
        <v>2283</v>
      </c>
      <c r="B1108" s="75" t="s">
        <v>1749</v>
      </c>
      <c r="C1108" s="76" t="s">
        <v>117</v>
      </c>
      <c r="D1108" s="351">
        <v>338.303</v>
      </c>
      <c r="E1108" s="76"/>
      <c r="F1108" s="351">
        <v>338.303</v>
      </c>
      <c r="G1108" s="365" t="s">
        <v>2412</v>
      </c>
      <c r="H1108" s="365" t="s">
        <v>2417</v>
      </c>
      <c r="I1108" s="365" t="s">
        <v>2368</v>
      </c>
      <c r="J1108" s="593" t="s">
        <v>2328</v>
      </c>
      <c r="K1108" s="311">
        <v>8367.2630136986299</v>
      </c>
      <c r="L1108" s="311">
        <v>0</v>
      </c>
      <c r="M1108" s="311">
        <v>24076.661400000005</v>
      </c>
      <c r="N1108" s="311">
        <v>2871.1437534246579</v>
      </c>
      <c r="O1108" s="311">
        <v>2009.8006273972608</v>
      </c>
      <c r="P1108" s="68">
        <f t="shared" si="236"/>
        <v>37324.868794520553</v>
      </c>
      <c r="Q1108" s="68">
        <f>D1108*P1108</f>
        <v>12627115.087792687</v>
      </c>
      <c r="R1108" s="127">
        <f>F1108*P1108</f>
        <v>12627115.087792687</v>
      </c>
      <c r="S1108" s="37" t="s">
        <v>3208</v>
      </c>
    </row>
    <row r="1109" spans="1:19">
      <c r="A1109" s="153" t="s">
        <v>2284</v>
      </c>
      <c r="B1109" s="154" t="s">
        <v>1750</v>
      </c>
      <c r="C1109" s="153" t="s">
        <v>78</v>
      </c>
      <c r="D1109" s="353">
        <v>1</v>
      </c>
      <c r="E1109" s="153"/>
      <c r="F1109" s="353">
        <v>1</v>
      </c>
      <c r="G1109" s="353"/>
      <c r="H1109" s="353"/>
      <c r="I1109" s="353"/>
      <c r="J1109" s="614" t="s">
        <v>2381</v>
      </c>
      <c r="K1109" s="311">
        <v>228176.82260416803</v>
      </c>
      <c r="L1109" s="311">
        <v>0</v>
      </c>
      <c r="M1109" s="311">
        <v>92664.37919511112</v>
      </c>
      <c r="N1109" s="311">
        <v>27189.932355871111</v>
      </c>
      <c r="O1109" s="311">
        <v>19032.952649109779</v>
      </c>
      <c r="P1109" s="68">
        <f t="shared" si="236"/>
        <v>367064.08680426003</v>
      </c>
      <c r="Q1109" s="68">
        <f>D1109*P1109</f>
        <v>367064.08680426003</v>
      </c>
      <c r="R1109" s="127">
        <f>F1109*P1109</f>
        <v>367064.08680426003</v>
      </c>
      <c r="S1109" s="529"/>
    </row>
    <row r="1110" spans="1:19" s="79" customFormat="1" ht="14.25">
      <c r="A1110" s="449" t="s">
        <v>1124</v>
      </c>
      <c r="B1110" s="450" t="s">
        <v>1882</v>
      </c>
      <c r="C1110" s="615"/>
      <c r="D1110" s="616"/>
      <c r="E1110" s="615"/>
      <c r="F1110" s="288"/>
      <c r="G1110" s="288"/>
      <c r="H1110" s="288"/>
      <c r="I1110" s="288"/>
      <c r="J1110" s="288"/>
      <c r="K1110" s="279"/>
      <c r="L1110" s="279"/>
      <c r="M1110" s="279"/>
      <c r="N1110" s="279"/>
      <c r="O1110" s="279"/>
      <c r="P1110" s="279"/>
      <c r="Q1110" s="279">
        <f>SUBTOTAL(9,Q1111:Q1547)</f>
        <v>0</v>
      </c>
      <c r="R1110" s="279">
        <f>SUBTOTAL(9,R1111:R1547)</f>
        <v>3614271744.8833432</v>
      </c>
      <c r="S1110" s="288"/>
    </row>
    <row r="1111" spans="1:19" s="538" customFormat="1">
      <c r="A1111" s="539" t="s">
        <v>113</v>
      </c>
      <c r="B1111" s="540" t="s">
        <v>2216</v>
      </c>
      <c r="C1111" s="539"/>
      <c r="D1111" s="487"/>
      <c r="E1111" s="539"/>
      <c r="F1111" s="326"/>
      <c r="G1111" s="326"/>
      <c r="H1111" s="326"/>
      <c r="I1111" s="326"/>
      <c r="J1111" s="558"/>
      <c r="K1111" s="222"/>
      <c r="L1111" s="222"/>
      <c r="M1111" s="222"/>
      <c r="N1111" s="222"/>
      <c r="O1111" s="222"/>
      <c r="P1111" s="222"/>
      <c r="Q1111" s="222"/>
      <c r="R1111" s="222"/>
      <c r="S1111" s="326"/>
    </row>
    <row r="1112" spans="1:19">
      <c r="A1112" s="215" t="s">
        <v>2218</v>
      </c>
      <c r="B1112" s="216" t="s">
        <v>2217</v>
      </c>
      <c r="C1112" s="24"/>
      <c r="D1112" s="351"/>
      <c r="E1112" s="24"/>
      <c r="F1112" s="26"/>
      <c r="G1112" s="26"/>
      <c r="H1112" s="26"/>
      <c r="I1112" s="26"/>
      <c r="J1112" s="559"/>
      <c r="K1112" s="66"/>
      <c r="L1112" s="66"/>
      <c r="M1112" s="66"/>
      <c r="N1112" s="66"/>
      <c r="O1112" s="66"/>
      <c r="P1112" s="66"/>
      <c r="Q1112" s="66"/>
      <c r="R1112" s="66"/>
      <c r="S1112" s="26"/>
    </row>
    <row r="1113" spans="1:19">
      <c r="A1113" s="24"/>
      <c r="B1113" s="72" t="s">
        <v>1334</v>
      </c>
      <c r="C1113" s="24"/>
      <c r="D1113" s="351"/>
      <c r="E1113" s="26"/>
      <c r="F1113" s="26"/>
      <c r="G1113" s="26"/>
      <c r="H1113" s="26"/>
      <c r="I1113" s="26"/>
      <c r="J1113" s="559"/>
      <c r="K1113" s="66"/>
      <c r="L1113" s="66"/>
      <c r="M1113" s="66"/>
      <c r="N1113" s="66"/>
      <c r="O1113" s="66"/>
      <c r="P1113" s="66"/>
      <c r="Q1113" s="66"/>
      <c r="R1113" s="66"/>
      <c r="S1113" s="26"/>
    </row>
    <row r="1114" spans="1:19" ht="30">
      <c r="A1114" s="24"/>
      <c r="B1114" s="25" t="s">
        <v>1372</v>
      </c>
      <c r="C1114" s="26" t="s">
        <v>1336</v>
      </c>
      <c r="D1114" s="351"/>
      <c r="E1114" s="26"/>
      <c r="F1114" s="351">
        <v>1</v>
      </c>
      <c r="G1114" s="351" t="s">
        <v>3123</v>
      </c>
      <c r="H1114" s="351"/>
      <c r="I1114" s="351" t="s">
        <v>2596</v>
      </c>
      <c r="J1114" s="560" t="s">
        <v>2328</v>
      </c>
      <c r="K1114" s="311">
        <v>1410024</v>
      </c>
      <c r="L1114" s="311">
        <v>0</v>
      </c>
      <c r="M1114" s="311">
        <v>696833.33333333349</v>
      </c>
      <c r="N1114" s="311">
        <v>191026.66666666669</v>
      </c>
      <c r="O1114" s="311">
        <v>133718.66666666669</v>
      </c>
      <c r="P1114" s="68">
        <f t="shared" ref="P1114:P1115" si="237">SUM(K1114:O1114)</f>
        <v>2431602.6666666665</v>
      </c>
      <c r="Q1114" s="68">
        <f>D1114*P1114</f>
        <v>0</v>
      </c>
      <c r="R1114" s="127">
        <f>F1114*P1114</f>
        <v>2431602.6666666665</v>
      </c>
      <c r="S1114" s="26"/>
    </row>
    <row r="1115" spans="1:19" ht="30">
      <c r="A1115" s="26"/>
      <c r="B1115" s="25" t="s">
        <v>1475</v>
      </c>
      <c r="C1115" s="26" t="s">
        <v>1336</v>
      </c>
      <c r="D1115" s="351"/>
      <c r="E1115" s="26"/>
      <c r="F1115" s="351">
        <v>2</v>
      </c>
      <c r="G1115" s="351" t="s">
        <v>3123</v>
      </c>
      <c r="H1115" s="351"/>
      <c r="I1115" s="351" t="s">
        <v>2596</v>
      </c>
      <c r="J1115" s="560" t="s">
        <v>2328</v>
      </c>
      <c r="K1115" s="311">
        <v>1655710.0000000002</v>
      </c>
      <c r="L1115" s="311">
        <v>0</v>
      </c>
      <c r="M1115" s="311">
        <v>801358.33333333337</v>
      </c>
      <c r="N1115" s="311">
        <v>222816.66666666666</v>
      </c>
      <c r="O1115" s="311">
        <v>155971.66666666666</v>
      </c>
      <c r="P1115" s="68">
        <f t="shared" si="237"/>
        <v>2835856.6666666665</v>
      </c>
      <c r="Q1115" s="68">
        <f>D1115*P1115</f>
        <v>0</v>
      </c>
      <c r="R1115" s="127">
        <f>F1115*P1115</f>
        <v>5671713.333333333</v>
      </c>
      <c r="S1115" s="26"/>
    </row>
    <row r="1116" spans="1:19">
      <c r="A1116" s="24"/>
      <c r="B1116" s="27" t="s">
        <v>1349</v>
      </c>
      <c r="C1116" s="24"/>
      <c r="D1116" s="351"/>
      <c r="E1116" s="26"/>
      <c r="F1116" s="351"/>
      <c r="G1116" s="26"/>
      <c r="H1116" s="26"/>
      <c r="I1116" s="26"/>
      <c r="J1116" s="559"/>
      <c r="K1116" s="66"/>
      <c r="L1116" s="66"/>
      <c r="M1116" s="66"/>
      <c r="N1116" s="66"/>
      <c r="O1116" s="66"/>
      <c r="P1116" s="66"/>
      <c r="Q1116" s="66"/>
      <c r="R1116" s="66"/>
      <c r="S1116" s="26"/>
    </row>
    <row r="1117" spans="1:19" ht="30">
      <c r="A1117" s="26"/>
      <c r="B1117" s="25" t="s">
        <v>1386</v>
      </c>
      <c r="C1117" s="26" t="s">
        <v>1350</v>
      </c>
      <c r="D1117" s="351"/>
      <c r="E1117" s="26"/>
      <c r="F1117" s="351">
        <v>1</v>
      </c>
      <c r="G1117" s="351" t="s">
        <v>3123</v>
      </c>
      <c r="H1117" s="351"/>
      <c r="I1117" s="351" t="s">
        <v>2596</v>
      </c>
      <c r="J1117" s="560" t="s">
        <v>2328</v>
      </c>
      <c r="K1117" s="311">
        <v>2159900.4000000004</v>
      </c>
      <c r="L1117" s="311">
        <v>0</v>
      </c>
      <c r="M1117" s="311">
        <v>710770.00000000012</v>
      </c>
      <c r="N1117" s="311">
        <v>261056</v>
      </c>
      <c r="O1117" s="311">
        <v>182739.20000000001</v>
      </c>
      <c r="P1117" s="68">
        <f>SUM(K1117:O1117)</f>
        <v>3314465.6000000006</v>
      </c>
      <c r="Q1117" s="68">
        <f>D1117*P1117</f>
        <v>0</v>
      </c>
      <c r="R1117" s="127">
        <f>F1117*P1117</f>
        <v>3314465.6000000006</v>
      </c>
      <c r="S1117" s="26"/>
    </row>
    <row r="1118" spans="1:19">
      <c r="A1118" s="24"/>
      <c r="B1118" s="27" t="s">
        <v>1352</v>
      </c>
      <c r="C1118" s="24"/>
      <c r="D1118" s="351"/>
      <c r="E1118" s="26"/>
      <c r="F1118" s="351"/>
      <c r="G1118" s="327"/>
      <c r="H1118" s="327"/>
      <c r="I1118" s="327"/>
      <c r="J1118" s="561"/>
      <c r="K1118" s="66"/>
      <c r="L1118" s="66"/>
      <c r="M1118" s="66"/>
      <c r="N1118" s="66"/>
      <c r="O1118" s="66"/>
      <c r="P1118" s="66"/>
      <c r="Q1118" s="66"/>
      <c r="R1118" s="66"/>
      <c r="S1118" s="26"/>
    </row>
    <row r="1119" spans="1:19" ht="30">
      <c r="A1119" s="24"/>
      <c r="B1119" s="25" t="s">
        <v>3395</v>
      </c>
      <c r="C1119" s="26" t="s">
        <v>1350</v>
      </c>
      <c r="D1119" s="351"/>
      <c r="E1119" s="26"/>
      <c r="F1119" s="351">
        <v>2</v>
      </c>
      <c r="G1119" s="351" t="s">
        <v>3123</v>
      </c>
      <c r="H1119" s="351"/>
      <c r="I1119" s="351" t="s">
        <v>2596</v>
      </c>
      <c r="J1119" s="560" t="s">
        <v>2328</v>
      </c>
      <c r="K1119" s="311">
        <v>6639931.2000000002</v>
      </c>
      <c r="L1119" s="311">
        <v>0</v>
      </c>
      <c r="M1119" s="311">
        <v>822263.33333333349</v>
      </c>
      <c r="N1119" s="311">
        <v>681934.66666666674</v>
      </c>
      <c r="O1119" s="311">
        <v>477354.26666666672</v>
      </c>
      <c r="P1119" s="68">
        <f t="shared" ref="P1119:P1126" si="238">SUM(K1119:O1119)</f>
        <v>8621483.4666666668</v>
      </c>
      <c r="Q1119" s="68">
        <f t="shared" ref="Q1119:Q1126" si="239">D1119*P1119</f>
        <v>0</v>
      </c>
      <c r="R1119" s="127">
        <f t="shared" ref="R1119:R1126" si="240">F1119*P1119</f>
        <v>17242966.933333334</v>
      </c>
      <c r="S1119" s="26"/>
    </row>
    <row r="1120" spans="1:19" ht="30">
      <c r="A1120" s="26"/>
      <c r="B1120" s="25" t="s">
        <v>3396</v>
      </c>
      <c r="C1120" s="26" t="s">
        <v>1350</v>
      </c>
      <c r="D1120" s="351"/>
      <c r="E1120" s="26"/>
      <c r="F1120" s="351">
        <v>1</v>
      </c>
      <c r="G1120" s="351" t="s">
        <v>3123</v>
      </c>
      <c r="H1120" s="351"/>
      <c r="I1120" s="351" t="s">
        <v>2596</v>
      </c>
      <c r="J1120" s="560" t="s">
        <v>2328</v>
      </c>
      <c r="K1120" s="311">
        <v>1638618.8</v>
      </c>
      <c r="L1120" s="311">
        <v>0</v>
      </c>
      <c r="M1120" s="311">
        <v>348416.66666666674</v>
      </c>
      <c r="N1120" s="311">
        <v>181165.33333333337</v>
      </c>
      <c r="O1120" s="311">
        <v>126815.73333333335</v>
      </c>
      <c r="P1120" s="68">
        <f t="shared" si="238"/>
        <v>2295016.5333333337</v>
      </c>
      <c r="Q1120" s="68">
        <f t="shared" si="239"/>
        <v>0</v>
      </c>
      <c r="R1120" s="127">
        <f t="shared" si="240"/>
        <v>2295016.5333333337</v>
      </c>
      <c r="S1120" s="26"/>
    </row>
    <row r="1121" spans="1:19" ht="30">
      <c r="A1121" s="26"/>
      <c r="B1121" s="25" t="s">
        <v>3397</v>
      </c>
      <c r="C1121" s="26" t="s">
        <v>1350</v>
      </c>
      <c r="D1121" s="351"/>
      <c r="E1121" s="26"/>
      <c r="F1121" s="351">
        <v>2</v>
      </c>
      <c r="G1121" s="351" t="s">
        <v>3123</v>
      </c>
      <c r="H1121" s="351"/>
      <c r="I1121" s="351" t="s">
        <v>2596</v>
      </c>
      <c r="J1121" s="560" t="s">
        <v>2328</v>
      </c>
      <c r="K1121" s="311">
        <v>3418240.0000000005</v>
      </c>
      <c r="L1121" s="311">
        <v>0</v>
      </c>
      <c r="M1121" s="311">
        <v>374547.91666666674</v>
      </c>
      <c r="N1121" s="311">
        <v>346745.83333333337</v>
      </c>
      <c r="O1121" s="311">
        <v>242722.08333333337</v>
      </c>
      <c r="P1121" s="68">
        <f t="shared" si="238"/>
        <v>4382255.833333334</v>
      </c>
      <c r="Q1121" s="68">
        <f t="shared" si="239"/>
        <v>0</v>
      </c>
      <c r="R1121" s="127">
        <f t="shared" si="240"/>
        <v>8764511.6666666679</v>
      </c>
      <c r="S1121" s="26"/>
    </row>
    <row r="1122" spans="1:19" ht="30">
      <c r="A1122" s="26"/>
      <c r="B1122" s="25" t="s">
        <v>3398</v>
      </c>
      <c r="C1122" s="26" t="s">
        <v>1350</v>
      </c>
      <c r="D1122" s="351"/>
      <c r="E1122" s="26"/>
      <c r="F1122" s="351">
        <v>3</v>
      </c>
      <c r="G1122" s="351" t="s">
        <v>3123</v>
      </c>
      <c r="H1122" s="351"/>
      <c r="I1122" s="351" t="s">
        <v>2596</v>
      </c>
      <c r="J1122" s="560" t="s">
        <v>2328</v>
      </c>
      <c r="K1122" s="311">
        <v>2034921.0000000002</v>
      </c>
      <c r="L1122" s="311">
        <v>0</v>
      </c>
      <c r="M1122" s="311">
        <v>296154.16666666669</v>
      </c>
      <c r="N1122" s="311">
        <v>212898.33333333337</v>
      </c>
      <c r="O1122" s="311">
        <v>149028.83333333337</v>
      </c>
      <c r="P1122" s="68">
        <f t="shared" si="238"/>
        <v>2693002.333333334</v>
      </c>
      <c r="Q1122" s="68">
        <f t="shared" si="239"/>
        <v>0</v>
      </c>
      <c r="R1122" s="127">
        <f t="shared" si="240"/>
        <v>8079007.0000000019</v>
      </c>
      <c r="S1122" s="26"/>
    </row>
    <row r="1123" spans="1:19" ht="30">
      <c r="A1123" s="26"/>
      <c r="B1123" s="25" t="s">
        <v>3399</v>
      </c>
      <c r="C1123" s="26" t="s">
        <v>1350</v>
      </c>
      <c r="D1123" s="351"/>
      <c r="E1123" s="26"/>
      <c r="F1123" s="351">
        <v>3</v>
      </c>
      <c r="G1123" s="351" t="s">
        <v>3123</v>
      </c>
      <c r="H1123" s="351"/>
      <c r="I1123" s="351" t="s">
        <v>2596</v>
      </c>
      <c r="J1123" s="560" t="s">
        <v>2328</v>
      </c>
      <c r="K1123" s="311">
        <v>903697.20000000007</v>
      </c>
      <c r="L1123" s="311">
        <v>0</v>
      </c>
      <c r="M1123" s="311">
        <v>449457.50000000006</v>
      </c>
      <c r="N1123" s="311">
        <v>122683</v>
      </c>
      <c r="O1123" s="311">
        <v>85878.1</v>
      </c>
      <c r="P1123" s="68">
        <f t="shared" si="238"/>
        <v>1561715.8000000003</v>
      </c>
      <c r="Q1123" s="68">
        <f t="shared" si="239"/>
        <v>0</v>
      </c>
      <c r="R1123" s="127">
        <f t="shared" si="240"/>
        <v>4685147.4000000004</v>
      </c>
      <c r="S1123" s="24"/>
    </row>
    <row r="1124" spans="1:19" ht="30">
      <c r="A1124" s="26"/>
      <c r="B1124" s="25" t="s">
        <v>3400</v>
      </c>
      <c r="C1124" s="26" t="s">
        <v>1350</v>
      </c>
      <c r="D1124" s="351"/>
      <c r="E1124" s="26"/>
      <c r="F1124" s="351">
        <v>1</v>
      </c>
      <c r="G1124" s="351" t="s">
        <v>3123</v>
      </c>
      <c r="H1124" s="351"/>
      <c r="I1124" s="351" t="s">
        <v>2596</v>
      </c>
      <c r="J1124" s="560" t="s">
        <v>2328</v>
      </c>
      <c r="K1124" s="311">
        <v>920788.4</v>
      </c>
      <c r="L1124" s="311">
        <v>0</v>
      </c>
      <c r="M1124" s="311">
        <v>480815</v>
      </c>
      <c r="N1124" s="311">
        <v>127026</v>
      </c>
      <c r="O1124" s="311">
        <v>88918.200000000012</v>
      </c>
      <c r="P1124" s="68">
        <f t="shared" si="238"/>
        <v>1617547.5999999999</v>
      </c>
      <c r="Q1124" s="68">
        <f t="shared" si="239"/>
        <v>0</v>
      </c>
      <c r="R1124" s="127">
        <f t="shared" si="240"/>
        <v>1617547.5999999999</v>
      </c>
      <c r="S1124" s="24"/>
    </row>
    <row r="1125" spans="1:19" ht="30">
      <c r="A1125" s="26"/>
      <c r="B1125" s="25" t="s">
        <v>3401</v>
      </c>
      <c r="C1125" s="26" t="s">
        <v>1350</v>
      </c>
      <c r="D1125" s="351"/>
      <c r="E1125" s="26"/>
      <c r="F1125" s="351">
        <v>2</v>
      </c>
      <c r="G1125" s="351" t="s">
        <v>3123</v>
      </c>
      <c r="H1125" s="351"/>
      <c r="I1125" s="351" t="s">
        <v>2596</v>
      </c>
      <c r="J1125" s="560" t="s">
        <v>2328</v>
      </c>
      <c r="K1125" s="311">
        <v>139934.20000000001</v>
      </c>
      <c r="L1125" s="311">
        <v>0</v>
      </c>
      <c r="M1125" s="311">
        <v>106267.08333333334</v>
      </c>
      <c r="N1125" s="311">
        <v>22242.166666666672</v>
      </c>
      <c r="O1125" s="311">
        <v>15569.51666666667</v>
      </c>
      <c r="P1125" s="68">
        <f t="shared" si="238"/>
        <v>284012.96666666667</v>
      </c>
      <c r="Q1125" s="68">
        <f t="shared" si="239"/>
        <v>0</v>
      </c>
      <c r="R1125" s="127">
        <f t="shared" si="240"/>
        <v>568025.93333333335</v>
      </c>
      <c r="S1125" s="26"/>
    </row>
    <row r="1126" spans="1:19" ht="30">
      <c r="A1126" s="26"/>
      <c r="B1126" s="25" t="s">
        <v>3402</v>
      </c>
      <c r="C1126" s="26" t="s">
        <v>1350</v>
      </c>
      <c r="D1126" s="351"/>
      <c r="E1126" s="26"/>
      <c r="F1126" s="351">
        <v>123</v>
      </c>
      <c r="G1126" s="351" t="s">
        <v>3123</v>
      </c>
      <c r="H1126" s="351"/>
      <c r="I1126" s="351" t="s">
        <v>2596</v>
      </c>
      <c r="J1126" s="560" t="s">
        <v>2328</v>
      </c>
      <c r="K1126" s="311">
        <v>163434.6</v>
      </c>
      <c r="L1126" s="311">
        <v>0</v>
      </c>
      <c r="M1126" s="311">
        <v>128914.16666666669</v>
      </c>
      <c r="N1126" s="311">
        <v>26402.333333333339</v>
      </c>
      <c r="O1126" s="311">
        <v>18481.633333333339</v>
      </c>
      <c r="P1126" s="68">
        <f t="shared" si="238"/>
        <v>337232.7333333334</v>
      </c>
      <c r="Q1126" s="68">
        <f t="shared" si="239"/>
        <v>0</v>
      </c>
      <c r="R1126" s="127">
        <f t="shared" si="240"/>
        <v>41479626.20000001</v>
      </c>
      <c r="S1126" s="26"/>
    </row>
    <row r="1127" spans="1:19" s="83" customFormat="1">
      <c r="A1127" s="24">
        <v>1.7</v>
      </c>
      <c r="B1127" s="27" t="s">
        <v>1990</v>
      </c>
      <c r="C1127" s="24"/>
      <c r="D1127" s="351"/>
      <c r="E1127" s="24"/>
      <c r="F1127" s="351"/>
      <c r="G1127" s="200"/>
      <c r="H1127" s="200"/>
      <c r="I1127" s="200"/>
      <c r="J1127" s="563"/>
      <c r="K1127" s="80"/>
      <c r="L1127" s="80"/>
      <c r="M1127" s="80"/>
      <c r="N1127" s="80"/>
      <c r="O1127" s="80"/>
      <c r="P1127" s="80"/>
      <c r="Q1127" s="80"/>
      <c r="R1127" s="80"/>
      <c r="S1127" s="200"/>
    </row>
    <row r="1128" spans="1:19" s="84" customFormat="1" ht="30">
      <c r="A1128" s="26"/>
      <c r="B1128" s="25" t="s">
        <v>3577</v>
      </c>
      <c r="C1128" s="26" t="s">
        <v>1350</v>
      </c>
      <c r="D1128" s="351"/>
      <c r="E1128" s="26"/>
      <c r="F1128" s="351">
        <v>1</v>
      </c>
      <c r="G1128" s="26" t="s">
        <v>3123</v>
      </c>
      <c r="H1128" s="26"/>
      <c r="I1128" s="26" t="s">
        <v>2596</v>
      </c>
      <c r="J1128" s="559" t="s">
        <v>2328</v>
      </c>
      <c r="K1128" s="311">
        <v>8887424</v>
      </c>
      <c r="L1128" s="311">
        <v>0</v>
      </c>
      <c r="M1128" s="311">
        <v>3501587.5000000009</v>
      </c>
      <c r="N1128" s="311">
        <v>1125235</v>
      </c>
      <c r="O1128" s="311">
        <v>787664.50000000012</v>
      </c>
      <c r="P1128" s="68">
        <f t="shared" ref="P1128:P1129" si="241">SUM(K1128:O1128)</f>
        <v>14301911</v>
      </c>
      <c r="Q1128" s="68">
        <f>D1128*P1128</f>
        <v>0</v>
      </c>
      <c r="R1128" s="127">
        <f>F1128*P1128</f>
        <v>14301911</v>
      </c>
      <c r="S1128" s="15"/>
    </row>
    <row r="1129" spans="1:19" s="84" customFormat="1" ht="30">
      <c r="A1129" s="26"/>
      <c r="B1129" s="25" t="s">
        <v>3578</v>
      </c>
      <c r="C1129" s="26" t="s">
        <v>1350</v>
      </c>
      <c r="D1129" s="351"/>
      <c r="E1129" s="26"/>
      <c r="F1129" s="351">
        <v>1</v>
      </c>
      <c r="G1129" s="26" t="s">
        <v>3123</v>
      </c>
      <c r="H1129" s="26"/>
      <c r="I1129" s="26" t="s">
        <v>2596</v>
      </c>
      <c r="J1129" s="559" t="s">
        <v>2328</v>
      </c>
      <c r="K1129" s="311">
        <v>7470990.8000000007</v>
      </c>
      <c r="L1129" s="311">
        <v>0</v>
      </c>
      <c r="M1129" s="311">
        <v>2897084.583333334</v>
      </c>
      <c r="N1129" s="311">
        <v>941791.16666666686</v>
      </c>
      <c r="O1129" s="311">
        <v>659253.81666666677</v>
      </c>
      <c r="P1129" s="68">
        <f t="shared" si="241"/>
        <v>11969120.366666667</v>
      </c>
      <c r="Q1129" s="68">
        <f>D1129*P1129</f>
        <v>0</v>
      </c>
      <c r="R1129" s="127">
        <f>F1129*P1129</f>
        <v>11969120.366666667</v>
      </c>
      <c r="S1129" s="15"/>
    </row>
    <row r="1130" spans="1:19" ht="57">
      <c r="A1130" s="24">
        <v>1.1100000000000001</v>
      </c>
      <c r="B1130" s="72" t="s">
        <v>1377</v>
      </c>
      <c r="C1130" s="24"/>
      <c r="D1130" s="351"/>
      <c r="E1130" s="26"/>
      <c r="F1130" s="351"/>
      <c r="G1130" s="26"/>
      <c r="H1130" s="26"/>
      <c r="I1130" s="26"/>
      <c r="J1130" s="559"/>
      <c r="K1130" s="66"/>
      <c r="L1130" s="66"/>
      <c r="M1130" s="66"/>
      <c r="N1130" s="66"/>
      <c r="O1130" s="66"/>
      <c r="P1130" s="66"/>
      <c r="Q1130" s="66"/>
      <c r="R1130" s="66"/>
      <c r="S1130" s="26"/>
    </row>
    <row r="1131" spans="1:19" ht="60">
      <c r="A1131" s="26"/>
      <c r="B1131" s="25" t="s">
        <v>3576</v>
      </c>
      <c r="C1131" s="26" t="s">
        <v>1350</v>
      </c>
      <c r="D1131" s="351"/>
      <c r="E1131" s="26"/>
      <c r="F1131" s="351">
        <v>1</v>
      </c>
      <c r="G1131" s="351" t="s">
        <v>3348</v>
      </c>
      <c r="H1131" s="351"/>
      <c r="I1131" s="351" t="s">
        <v>2596</v>
      </c>
      <c r="J1131" s="560" t="s">
        <v>2328</v>
      </c>
      <c r="K1131" s="311">
        <v>29323158.200000003</v>
      </c>
      <c r="L1131" s="311">
        <v>0</v>
      </c>
      <c r="M1131" s="311">
        <v>4731121.666666667</v>
      </c>
      <c r="N1131" s="311">
        <v>3108881.3333333335</v>
      </c>
      <c r="O1131" s="311">
        <v>2176216.9333333336</v>
      </c>
      <c r="P1131" s="68">
        <f>SUM(K1131:O1131)</f>
        <v>39339378.13333334</v>
      </c>
      <c r="Q1131" s="68">
        <f>D1131*P1131</f>
        <v>0</v>
      </c>
      <c r="R1131" s="127">
        <f>F1131*P1131</f>
        <v>39339378.13333334</v>
      </c>
      <c r="S1131" s="26"/>
    </row>
    <row r="1132" spans="1:19">
      <c r="A1132" s="24"/>
      <c r="B1132" s="72" t="s">
        <v>1371</v>
      </c>
      <c r="C1132" s="24"/>
      <c r="D1132" s="351"/>
      <c r="E1132" s="26"/>
      <c r="F1132" s="351"/>
      <c r="G1132" s="26"/>
      <c r="H1132" s="26"/>
      <c r="I1132" s="26"/>
      <c r="J1132" s="559"/>
      <c r="K1132" s="66"/>
      <c r="L1132" s="66"/>
      <c r="M1132" s="66"/>
      <c r="N1132" s="66"/>
      <c r="O1132" s="66"/>
      <c r="P1132" s="66"/>
      <c r="Q1132" s="66"/>
      <c r="R1132" s="66"/>
      <c r="S1132" s="26"/>
    </row>
    <row r="1133" spans="1:19">
      <c r="A1133" s="24"/>
      <c r="B1133" s="25" t="s">
        <v>1339</v>
      </c>
      <c r="C1133" s="26" t="s">
        <v>1350</v>
      </c>
      <c r="D1133" s="351"/>
      <c r="E1133" s="26"/>
      <c r="F1133" s="351">
        <v>2</v>
      </c>
      <c r="G1133" s="351" t="s">
        <v>3125</v>
      </c>
      <c r="H1133" s="351"/>
      <c r="I1133" s="351" t="s">
        <v>2596</v>
      </c>
      <c r="J1133" s="560" t="s">
        <v>2328</v>
      </c>
      <c r="K1133" s="311">
        <v>792604.4</v>
      </c>
      <c r="L1133" s="311">
        <v>0</v>
      </c>
      <c r="M1133" s="311">
        <v>162381.00000000003</v>
      </c>
      <c r="N1133" s="311">
        <v>87086</v>
      </c>
      <c r="O1133" s="311">
        <v>60960.200000000004</v>
      </c>
      <c r="P1133" s="68">
        <f t="shared" ref="P1133:P1134" si="242">SUM(K1133:O1133)</f>
        <v>1103031.6000000001</v>
      </c>
      <c r="Q1133" s="68">
        <f>D1133*P1133</f>
        <v>0</v>
      </c>
      <c r="R1133" s="127">
        <f>F1133*P1133</f>
        <v>2206063.2000000002</v>
      </c>
      <c r="S1133" s="26"/>
    </row>
    <row r="1134" spans="1:19">
      <c r="A1134" s="73"/>
      <c r="B1134" s="72" t="s">
        <v>1408</v>
      </c>
      <c r="C1134" s="26" t="s">
        <v>78</v>
      </c>
      <c r="D1134" s="351"/>
      <c r="E1134" s="24"/>
      <c r="F1134" s="351">
        <v>1</v>
      </c>
      <c r="G1134" s="351"/>
      <c r="H1134" s="351"/>
      <c r="I1134" s="351"/>
      <c r="J1134" s="560" t="s">
        <v>2381</v>
      </c>
      <c r="K1134" s="311">
        <v>16959010.740000002</v>
      </c>
      <c r="L1134" s="311">
        <v>0</v>
      </c>
      <c r="M1134" s="311">
        <v>5587056.6250000009</v>
      </c>
      <c r="N1134" s="311">
        <v>1910683.675</v>
      </c>
      <c r="O1134" s="311">
        <v>1337478.5725000002</v>
      </c>
      <c r="P1134" s="68">
        <f t="shared" si="242"/>
        <v>25794229.612500004</v>
      </c>
      <c r="Q1134" s="68">
        <f>D1134*P1134</f>
        <v>0</v>
      </c>
      <c r="R1134" s="127">
        <f>F1134*P1134</f>
        <v>25794229.612500004</v>
      </c>
      <c r="S1134" s="26"/>
    </row>
    <row r="1135" spans="1:19" ht="28.5">
      <c r="A1135" s="541" t="s">
        <v>2220</v>
      </c>
      <c r="B1135" s="542" t="s">
        <v>2221</v>
      </c>
      <c r="C1135" s="543"/>
      <c r="D1135" s="515"/>
      <c r="E1135" s="543"/>
      <c r="F1135" s="515"/>
      <c r="G1135" s="543"/>
      <c r="H1135" s="543"/>
      <c r="I1135" s="543"/>
      <c r="J1135" s="564"/>
      <c r="K1135" s="247"/>
      <c r="L1135" s="247"/>
      <c r="M1135" s="247"/>
      <c r="N1135" s="247"/>
      <c r="O1135" s="247"/>
      <c r="P1135" s="247"/>
      <c r="Q1135" s="247"/>
      <c r="R1135" s="247"/>
      <c r="S1135" s="543"/>
    </row>
    <row r="1136" spans="1:19">
      <c r="A1136" s="24"/>
      <c r="B1136" s="72" t="s">
        <v>1382</v>
      </c>
      <c r="C1136" s="24"/>
      <c r="D1136" s="351"/>
      <c r="E1136" s="26"/>
      <c r="F1136" s="351"/>
      <c r="G1136" s="26"/>
      <c r="H1136" s="26"/>
      <c r="I1136" s="26"/>
      <c r="J1136" s="559"/>
      <c r="K1136" s="66"/>
      <c r="L1136" s="66"/>
      <c r="M1136" s="66"/>
      <c r="N1136" s="66"/>
      <c r="O1136" s="66"/>
      <c r="P1136" s="66"/>
      <c r="Q1136" s="66"/>
      <c r="R1136" s="66"/>
      <c r="S1136" s="26"/>
    </row>
    <row r="1137" spans="1:19" ht="30">
      <c r="A1137" s="24"/>
      <c r="B1137" s="643" t="s">
        <v>3403</v>
      </c>
      <c r="C1137" s="26" t="s">
        <v>1336</v>
      </c>
      <c r="D1137" s="351"/>
      <c r="E1137" s="26"/>
      <c r="F1137" s="351">
        <v>5</v>
      </c>
      <c r="G1137" s="351" t="s">
        <v>3128</v>
      </c>
      <c r="H1137" s="351"/>
      <c r="I1137" s="351" t="s">
        <v>2596</v>
      </c>
      <c r="J1137" s="560" t="s">
        <v>2328</v>
      </c>
      <c r="K1137" s="311">
        <v>1324568</v>
      </c>
      <c r="L1137" s="311">
        <v>0</v>
      </c>
      <c r="M1137" s="311">
        <v>696833.33333333349</v>
      </c>
      <c r="N1137" s="311">
        <v>183186.66666666669</v>
      </c>
      <c r="O1137" s="311">
        <v>128230.66666666669</v>
      </c>
      <c r="P1137" s="68">
        <f t="shared" ref="P1137:P1139" si="243">SUM(K1137:O1137)</f>
        <v>2332818.6666666665</v>
      </c>
      <c r="Q1137" s="68">
        <f>D1137*P1137</f>
        <v>0</v>
      </c>
      <c r="R1137" s="127">
        <f>F1137*P1137</f>
        <v>11664093.333333332</v>
      </c>
      <c r="S1137" s="329"/>
    </row>
    <row r="1138" spans="1:19" ht="30">
      <c r="A1138" s="24"/>
      <c r="B1138" s="643" t="s">
        <v>3404</v>
      </c>
      <c r="C1138" s="26" t="s">
        <v>1336</v>
      </c>
      <c r="D1138" s="351"/>
      <c r="E1138" s="26"/>
      <c r="F1138" s="351">
        <v>1</v>
      </c>
      <c r="G1138" s="351" t="s">
        <v>3128</v>
      </c>
      <c r="H1138" s="351"/>
      <c r="I1138" s="351" t="s">
        <v>2596</v>
      </c>
      <c r="J1138" s="560" t="s">
        <v>2328</v>
      </c>
      <c r="K1138" s="311">
        <v>1389728.2000000002</v>
      </c>
      <c r="L1138" s="311">
        <v>0</v>
      </c>
      <c r="M1138" s="311">
        <v>714254.16666666663</v>
      </c>
      <c r="N1138" s="311">
        <v>190706.33333333334</v>
      </c>
      <c r="O1138" s="311">
        <v>133494.43333333335</v>
      </c>
      <c r="P1138" s="68">
        <f t="shared" si="243"/>
        <v>2428183.1333333338</v>
      </c>
      <c r="Q1138" s="68">
        <f>D1138*P1138</f>
        <v>0</v>
      </c>
      <c r="R1138" s="127">
        <f>F1138*P1138</f>
        <v>2428183.1333333338</v>
      </c>
      <c r="S1138" s="330"/>
    </row>
    <row r="1139" spans="1:19" ht="30">
      <c r="A1139" s="24"/>
      <c r="B1139" s="643" t="s">
        <v>1340</v>
      </c>
      <c r="C1139" s="26" t="s">
        <v>1336</v>
      </c>
      <c r="D1139" s="351"/>
      <c r="E1139" s="26"/>
      <c r="F1139" s="351">
        <v>9</v>
      </c>
      <c r="G1139" s="351" t="s">
        <v>3128</v>
      </c>
      <c r="H1139" s="351"/>
      <c r="I1139" s="351" t="s">
        <v>2596</v>
      </c>
      <c r="J1139" s="560" t="s">
        <v>2328</v>
      </c>
      <c r="K1139" s="311">
        <v>1141905.8</v>
      </c>
      <c r="L1139" s="311">
        <v>0</v>
      </c>
      <c r="M1139" s="311">
        <v>592308.33333333337</v>
      </c>
      <c r="N1139" s="311">
        <v>157178.66666666669</v>
      </c>
      <c r="O1139" s="311">
        <v>110025.06666666668</v>
      </c>
      <c r="P1139" s="68">
        <f t="shared" si="243"/>
        <v>2001417.8666666667</v>
      </c>
      <c r="Q1139" s="68">
        <f>D1139*P1139</f>
        <v>0</v>
      </c>
      <c r="R1139" s="127">
        <f>F1139*P1139</f>
        <v>18012760.800000001</v>
      </c>
      <c r="S1139" s="330"/>
    </row>
    <row r="1140" spans="1:19">
      <c r="A1140" s="24"/>
      <c r="B1140" s="27" t="s">
        <v>1396</v>
      </c>
      <c r="C1140" s="24"/>
      <c r="D1140" s="351"/>
      <c r="E1140" s="24"/>
      <c r="F1140" s="351"/>
      <c r="G1140" s="336"/>
      <c r="H1140" s="336"/>
      <c r="I1140" s="336"/>
      <c r="J1140" s="568"/>
      <c r="K1140" s="66"/>
      <c r="L1140" s="66"/>
      <c r="M1140" s="66"/>
      <c r="N1140" s="66"/>
      <c r="O1140" s="66"/>
      <c r="P1140" s="66"/>
      <c r="Q1140" s="66"/>
      <c r="R1140" s="66"/>
      <c r="S1140" s="336"/>
    </row>
    <row r="1141" spans="1:19" ht="30">
      <c r="A1141" s="24"/>
      <c r="B1141" s="25" t="s">
        <v>3396</v>
      </c>
      <c r="C1141" s="26" t="s">
        <v>1350</v>
      </c>
      <c r="D1141" s="351"/>
      <c r="E1141" s="24"/>
      <c r="F1141" s="351">
        <v>1</v>
      </c>
      <c r="G1141" s="351" t="s">
        <v>3128</v>
      </c>
      <c r="H1141" s="351"/>
      <c r="I1141" s="351" t="s">
        <v>2596</v>
      </c>
      <c r="J1141" s="560" t="s">
        <v>2328</v>
      </c>
      <c r="K1141" s="311">
        <v>1540344.4000000001</v>
      </c>
      <c r="L1141" s="311">
        <v>0</v>
      </c>
      <c r="M1141" s="311">
        <v>418100.00000000006</v>
      </c>
      <c r="N1141" s="311">
        <v>178316</v>
      </c>
      <c r="O1141" s="311">
        <v>124821.20000000001</v>
      </c>
      <c r="P1141" s="68">
        <f t="shared" ref="P1141:P1156" si="244">SUM(K1141:O1141)</f>
        <v>2261581.6000000006</v>
      </c>
      <c r="Q1141" s="68">
        <f t="shared" ref="Q1141:Q1156" si="245">D1141*P1141</f>
        <v>0</v>
      </c>
      <c r="R1141" s="127">
        <f t="shared" ref="R1141:R1156" si="246">F1141*P1141</f>
        <v>2261581.6000000006</v>
      </c>
      <c r="S1141" s="335"/>
    </row>
    <row r="1142" spans="1:19" ht="30">
      <c r="A1142" s="24"/>
      <c r="B1142" s="25" t="s">
        <v>3405</v>
      </c>
      <c r="C1142" s="26" t="s">
        <v>1350</v>
      </c>
      <c r="D1142" s="351"/>
      <c r="E1142" s="24"/>
      <c r="F1142" s="351">
        <v>2</v>
      </c>
      <c r="G1142" s="351" t="s">
        <v>3128</v>
      </c>
      <c r="H1142" s="351"/>
      <c r="I1142" s="351" t="s">
        <v>2596</v>
      </c>
      <c r="J1142" s="560" t="s">
        <v>2328</v>
      </c>
      <c r="K1142" s="311">
        <v>1500821</v>
      </c>
      <c r="L1142" s="311">
        <v>0</v>
      </c>
      <c r="M1142" s="311">
        <v>324027.50000000006</v>
      </c>
      <c r="N1142" s="311">
        <v>166365</v>
      </c>
      <c r="O1142" s="311">
        <v>116455.50000000001</v>
      </c>
      <c r="P1142" s="68">
        <f t="shared" si="244"/>
        <v>2107669</v>
      </c>
      <c r="Q1142" s="68">
        <f t="shared" si="245"/>
        <v>0</v>
      </c>
      <c r="R1142" s="127">
        <f t="shared" si="246"/>
        <v>4215338</v>
      </c>
      <c r="S1142" s="331"/>
    </row>
    <row r="1143" spans="1:19" ht="30">
      <c r="A1143" s="24"/>
      <c r="B1143" s="25" t="s">
        <v>3406</v>
      </c>
      <c r="C1143" s="26" t="s">
        <v>1350</v>
      </c>
      <c r="D1143" s="351"/>
      <c r="E1143" s="24"/>
      <c r="F1143" s="351">
        <v>1</v>
      </c>
      <c r="G1143" s="351" t="s">
        <v>3128</v>
      </c>
      <c r="H1143" s="351"/>
      <c r="I1143" s="351" t="s">
        <v>2596</v>
      </c>
      <c r="J1143" s="560" t="s">
        <v>2328</v>
      </c>
      <c r="K1143" s="311">
        <v>1978306.4000000001</v>
      </c>
      <c r="L1143" s="311">
        <v>0</v>
      </c>
      <c r="M1143" s="311">
        <v>428552.50000000006</v>
      </c>
      <c r="N1143" s="311">
        <v>219421</v>
      </c>
      <c r="O1143" s="311">
        <v>153594.70000000001</v>
      </c>
      <c r="P1143" s="68">
        <f t="shared" si="244"/>
        <v>2779874.6000000006</v>
      </c>
      <c r="Q1143" s="68">
        <f t="shared" si="245"/>
        <v>0</v>
      </c>
      <c r="R1143" s="127">
        <f t="shared" si="246"/>
        <v>2779874.6000000006</v>
      </c>
      <c r="S1143" s="333"/>
    </row>
    <row r="1144" spans="1:19" ht="30">
      <c r="A1144" s="24"/>
      <c r="B1144" s="25" t="s">
        <v>3407</v>
      </c>
      <c r="C1144" s="26" t="s">
        <v>1350</v>
      </c>
      <c r="D1144" s="351"/>
      <c r="E1144" s="24"/>
      <c r="F1144" s="26">
        <v>1</v>
      </c>
      <c r="G1144" s="351" t="s">
        <v>3128</v>
      </c>
      <c r="H1144" s="351"/>
      <c r="I1144" s="351" t="s">
        <v>2596</v>
      </c>
      <c r="J1144" s="560" t="s">
        <v>2328</v>
      </c>
      <c r="K1144" s="311">
        <v>1507230.2000000002</v>
      </c>
      <c r="L1144" s="311">
        <v>0</v>
      </c>
      <c r="M1144" s="311">
        <v>418100.00000000006</v>
      </c>
      <c r="N1144" s="311">
        <v>175278</v>
      </c>
      <c r="O1144" s="311">
        <v>122694.6</v>
      </c>
      <c r="P1144" s="68">
        <f t="shared" si="244"/>
        <v>2223302.8000000003</v>
      </c>
      <c r="Q1144" s="68">
        <f t="shared" si="245"/>
        <v>0</v>
      </c>
      <c r="R1144" s="127">
        <f t="shared" si="246"/>
        <v>2223302.8000000003</v>
      </c>
      <c r="S1144" s="333"/>
    </row>
    <row r="1145" spans="1:19" s="84" customFormat="1" ht="30">
      <c r="A1145" s="30"/>
      <c r="B1145" s="25" t="s">
        <v>3408</v>
      </c>
      <c r="C1145" s="26" t="s">
        <v>1350</v>
      </c>
      <c r="D1145" s="352"/>
      <c r="E1145" s="30"/>
      <c r="F1145" s="26">
        <v>1</v>
      </c>
      <c r="G1145" s="351" t="s">
        <v>3128</v>
      </c>
      <c r="H1145" s="26"/>
      <c r="I1145" s="351" t="s">
        <v>2596</v>
      </c>
      <c r="J1145" s="560" t="s">
        <v>2328</v>
      </c>
      <c r="K1145" s="311">
        <v>965652.8</v>
      </c>
      <c r="L1145" s="311">
        <v>0</v>
      </c>
      <c r="M1145" s="311">
        <v>405905.41666666674</v>
      </c>
      <c r="N1145" s="311">
        <v>124512.83333333336</v>
      </c>
      <c r="O1145" s="311">
        <v>87158.983333333352</v>
      </c>
      <c r="P1145" s="68">
        <f t="shared" si="244"/>
        <v>1583230.0333333334</v>
      </c>
      <c r="Q1145" s="68">
        <f t="shared" si="245"/>
        <v>0</v>
      </c>
      <c r="R1145" s="127">
        <f t="shared" si="246"/>
        <v>1583230.0333333334</v>
      </c>
      <c r="S1145" s="26"/>
    </row>
    <row r="1146" spans="1:19" s="84" customFormat="1" ht="30">
      <c r="A1146" s="30"/>
      <c r="B1146" s="25" t="s">
        <v>3409</v>
      </c>
      <c r="C1146" s="26" t="s">
        <v>1350</v>
      </c>
      <c r="D1146" s="352"/>
      <c r="E1146" s="30"/>
      <c r="F1146" s="26">
        <v>29</v>
      </c>
      <c r="G1146" s="351" t="s">
        <v>3128</v>
      </c>
      <c r="H1146" s="26"/>
      <c r="I1146" s="351" t="s">
        <v>2596</v>
      </c>
      <c r="J1146" s="560" t="s">
        <v>2328</v>
      </c>
      <c r="K1146" s="311">
        <v>123911.20000000001</v>
      </c>
      <c r="L1146" s="311">
        <v>0</v>
      </c>
      <c r="M1146" s="311">
        <v>101040.83333333333</v>
      </c>
      <c r="N1146" s="311">
        <v>20309.666666666668</v>
      </c>
      <c r="O1146" s="311">
        <v>14216.766666666668</v>
      </c>
      <c r="P1146" s="68">
        <f t="shared" si="244"/>
        <v>259478.46666666665</v>
      </c>
      <c r="Q1146" s="68">
        <f t="shared" si="245"/>
        <v>0</v>
      </c>
      <c r="R1146" s="127">
        <f t="shared" si="246"/>
        <v>7524875.5333333323</v>
      </c>
      <c r="S1146" s="26"/>
    </row>
    <row r="1147" spans="1:19" s="84" customFormat="1" ht="30">
      <c r="A1147" s="30"/>
      <c r="B1147" s="25" t="s">
        <v>3410</v>
      </c>
      <c r="C1147" s="26" t="s">
        <v>1350</v>
      </c>
      <c r="D1147" s="352"/>
      <c r="E1147" s="30"/>
      <c r="F1147" s="26">
        <v>1</v>
      </c>
      <c r="G1147" s="351" t="s">
        <v>3128</v>
      </c>
      <c r="H1147" s="26"/>
      <c r="I1147" s="351" t="s">
        <v>2596</v>
      </c>
      <c r="J1147" s="560" t="s">
        <v>2328</v>
      </c>
      <c r="K1147" s="311">
        <v>316187.2</v>
      </c>
      <c r="L1147" s="311">
        <v>0</v>
      </c>
      <c r="M1147" s="311">
        <v>367579.58333333337</v>
      </c>
      <c r="N1147" s="311">
        <v>61537.166666666679</v>
      </c>
      <c r="O1147" s="311">
        <v>43076.016666666677</v>
      </c>
      <c r="P1147" s="68">
        <f t="shared" si="244"/>
        <v>788379.96666666679</v>
      </c>
      <c r="Q1147" s="68">
        <f t="shared" si="245"/>
        <v>0</v>
      </c>
      <c r="R1147" s="127">
        <f t="shared" si="246"/>
        <v>788379.96666666679</v>
      </c>
      <c r="S1147" s="26"/>
    </row>
    <row r="1148" spans="1:19" s="84" customFormat="1" ht="30">
      <c r="A1148" s="30"/>
      <c r="B1148" s="25" t="s">
        <v>3411</v>
      </c>
      <c r="C1148" s="26" t="s">
        <v>1350</v>
      </c>
      <c r="D1148" s="352"/>
      <c r="E1148" s="30"/>
      <c r="F1148" s="26">
        <v>2</v>
      </c>
      <c r="G1148" s="351" t="s">
        <v>3128</v>
      </c>
      <c r="H1148" s="26"/>
      <c r="I1148" s="351" t="s">
        <v>2596</v>
      </c>
      <c r="J1148" s="560" t="s">
        <v>2328</v>
      </c>
      <c r="K1148" s="311">
        <v>352506</v>
      </c>
      <c r="L1148" s="311">
        <v>0</v>
      </c>
      <c r="M1148" s="311">
        <v>402421.25000000006</v>
      </c>
      <c r="N1148" s="311">
        <v>67952.5</v>
      </c>
      <c r="O1148" s="311">
        <v>47566.750000000007</v>
      </c>
      <c r="P1148" s="68">
        <f t="shared" si="244"/>
        <v>870446.5</v>
      </c>
      <c r="Q1148" s="68">
        <f t="shared" si="245"/>
        <v>0</v>
      </c>
      <c r="R1148" s="127">
        <f t="shared" si="246"/>
        <v>1740893</v>
      </c>
      <c r="S1148" s="26"/>
    </row>
    <row r="1149" spans="1:19" s="84" customFormat="1" ht="30">
      <c r="A1149" s="30"/>
      <c r="B1149" s="25" t="s">
        <v>3412</v>
      </c>
      <c r="C1149" s="26" t="s">
        <v>1350</v>
      </c>
      <c r="D1149" s="352"/>
      <c r="E1149" s="30"/>
      <c r="F1149" s="26">
        <v>7</v>
      </c>
      <c r="G1149" s="351" t="s">
        <v>3128</v>
      </c>
      <c r="H1149" s="26"/>
      <c r="I1149" s="351" t="s">
        <v>2596</v>
      </c>
      <c r="J1149" s="560" t="s">
        <v>2328</v>
      </c>
      <c r="K1149" s="311">
        <v>279868.40000000002</v>
      </c>
      <c r="L1149" s="311">
        <v>0</v>
      </c>
      <c r="M1149" s="311">
        <v>332737.91666666674</v>
      </c>
      <c r="N1149" s="311">
        <v>55121.833333333343</v>
      </c>
      <c r="O1149" s="311">
        <v>38585.28333333334</v>
      </c>
      <c r="P1149" s="68">
        <f t="shared" si="244"/>
        <v>706313.43333333347</v>
      </c>
      <c r="Q1149" s="68">
        <f t="shared" si="245"/>
        <v>0</v>
      </c>
      <c r="R1149" s="127">
        <f t="shared" si="246"/>
        <v>4944194.0333333341</v>
      </c>
      <c r="S1149" s="26"/>
    </row>
    <row r="1150" spans="1:19" s="84" customFormat="1" ht="30">
      <c r="A1150" s="30"/>
      <c r="B1150" s="25" t="s">
        <v>3413</v>
      </c>
      <c r="C1150" s="26" t="s">
        <v>1350</v>
      </c>
      <c r="D1150" s="352"/>
      <c r="E1150" s="30"/>
      <c r="F1150" s="26">
        <v>1</v>
      </c>
      <c r="G1150" s="351" t="s">
        <v>3128</v>
      </c>
      <c r="H1150" s="26"/>
      <c r="I1150" s="351" t="s">
        <v>2596</v>
      </c>
      <c r="J1150" s="560" t="s">
        <v>2328</v>
      </c>
      <c r="K1150" s="311">
        <v>304437</v>
      </c>
      <c r="L1150" s="311">
        <v>0</v>
      </c>
      <c r="M1150" s="311">
        <v>350158.74999999994</v>
      </c>
      <c r="N1150" s="311">
        <v>58917.5</v>
      </c>
      <c r="O1150" s="311">
        <v>41242.250000000007</v>
      </c>
      <c r="P1150" s="68">
        <f t="shared" si="244"/>
        <v>754755.5</v>
      </c>
      <c r="Q1150" s="68">
        <f t="shared" si="245"/>
        <v>0</v>
      </c>
      <c r="R1150" s="127">
        <f t="shared" si="246"/>
        <v>754755.5</v>
      </c>
      <c r="S1150" s="26"/>
    </row>
    <row r="1151" spans="1:19" s="84" customFormat="1" ht="30">
      <c r="A1151" s="30"/>
      <c r="B1151" s="25" t="s">
        <v>3414</v>
      </c>
      <c r="C1151" s="26" t="s">
        <v>1350</v>
      </c>
      <c r="D1151" s="352"/>
      <c r="E1151" s="30"/>
      <c r="F1151" s="26">
        <v>2</v>
      </c>
      <c r="G1151" s="351" t="s">
        <v>3128</v>
      </c>
      <c r="H1151" s="26"/>
      <c r="I1151" s="351" t="s">
        <v>2596</v>
      </c>
      <c r="J1151" s="560" t="s">
        <v>2328</v>
      </c>
      <c r="K1151" s="311">
        <v>197617</v>
      </c>
      <c r="L1151" s="311">
        <v>0</v>
      </c>
      <c r="M1151" s="311">
        <v>245633.75</v>
      </c>
      <c r="N1151" s="311">
        <v>39867.5</v>
      </c>
      <c r="O1151" s="311">
        <v>27907.250000000004</v>
      </c>
      <c r="P1151" s="68">
        <f t="shared" si="244"/>
        <v>511025.5</v>
      </c>
      <c r="Q1151" s="68">
        <f t="shared" si="245"/>
        <v>0</v>
      </c>
      <c r="R1151" s="127">
        <f t="shared" si="246"/>
        <v>1022051</v>
      </c>
      <c r="S1151" s="26"/>
    </row>
    <row r="1152" spans="1:19" s="84" customFormat="1" ht="30">
      <c r="A1152" s="30"/>
      <c r="B1152" s="25" t="s">
        <v>3415</v>
      </c>
      <c r="C1152" s="26" t="s">
        <v>1350</v>
      </c>
      <c r="D1152" s="352"/>
      <c r="E1152" s="30"/>
      <c r="F1152" s="26">
        <v>4</v>
      </c>
      <c r="G1152" s="351" t="s">
        <v>3128</v>
      </c>
      <c r="H1152" s="26"/>
      <c r="I1152" s="351" t="s">
        <v>2596</v>
      </c>
      <c r="J1152" s="560" t="s">
        <v>2328</v>
      </c>
      <c r="K1152" s="311">
        <v>155957.20000000001</v>
      </c>
      <c r="L1152" s="311">
        <v>0</v>
      </c>
      <c r="M1152" s="311">
        <v>210792.08333333337</v>
      </c>
      <c r="N1152" s="311">
        <v>32962.166666666672</v>
      </c>
      <c r="O1152" s="311">
        <v>23073.51666666667</v>
      </c>
      <c r="P1152" s="68">
        <f t="shared" si="244"/>
        <v>422784.96666666673</v>
      </c>
      <c r="Q1152" s="68">
        <f t="shared" si="245"/>
        <v>0</v>
      </c>
      <c r="R1152" s="127">
        <f t="shared" si="246"/>
        <v>1691139.8666666669</v>
      </c>
      <c r="S1152" s="26"/>
    </row>
    <row r="1153" spans="1:19" s="84" customFormat="1" ht="30">
      <c r="A1153" s="30"/>
      <c r="B1153" s="25" t="s">
        <v>3416</v>
      </c>
      <c r="C1153" s="26" t="s">
        <v>1350</v>
      </c>
      <c r="D1153" s="352"/>
      <c r="E1153" s="30"/>
      <c r="F1153" s="26">
        <v>3</v>
      </c>
      <c r="G1153" s="351" t="s">
        <v>3128</v>
      </c>
      <c r="H1153" s="26"/>
      <c r="I1153" s="351" t="s">
        <v>2596</v>
      </c>
      <c r="J1153" s="560" t="s">
        <v>2328</v>
      </c>
      <c r="K1153" s="311">
        <v>222185.60000000001</v>
      </c>
      <c r="L1153" s="311">
        <v>0</v>
      </c>
      <c r="M1153" s="311">
        <v>280475.41666666669</v>
      </c>
      <c r="N1153" s="311">
        <v>45204.833333333343</v>
      </c>
      <c r="O1153" s="311">
        <v>31643.383333333339</v>
      </c>
      <c r="P1153" s="68">
        <f t="shared" si="244"/>
        <v>579509.2333333334</v>
      </c>
      <c r="Q1153" s="68">
        <f t="shared" si="245"/>
        <v>0</v>
      </c>
      <c r="R1153" s="127">
        <f t="shared" si="246"/>
        <v>1738527.7000000002</v>
      </c>
      <c r="S1153" s="26"/>
    </row>
    <row r="1154" spans="1:19" s="84" customFormat="1" ht="30">
      <c r="A1154" s="30"/>
      <c r="B1154" s="25" t="s">
        <v>3417</v>
      </c>
      <c r="C1154" s="26" t="s">
        <v>1350</v>
      </c>
      <c r="D1154" s="352"/>
      <c r="E1154" s="30"/>
      <c r="F1154" s="26">
        <v>26</v>
      </c>
      <c r="G1154" s="351" t="s">
        <v>3128</v>
      </c>
      <c r="H1154" s="26"/>
      <c r="I1154" s="351" t="s">
        <v>2596</v>
      </c>
      <c r="J1154" s="560" t="s">
        <v>2328</v>
      </c>
      <c r="K1154" s="311">
        <v>206162.6</v>
      </c>
      <c r="L1154" s="311">
        <v>0</v>
      </c>
      <c r="M1154" s="311">
        <v>158529.58333333337</v>
      </c>
      <c r="N1154" s="311">
        <v>32943.166666666672</v>
      </c>
      <c r="O1154" s="311">
        <v>23060.216666666671</v>
      </c>
      <c r="P1154" s="68">
        <f t="shared" si="244"/>
        <v>420695.56666666671</v>
      </c>
      <c r="Q1154" s="68">
        <f t="shared" si="245"/>
        <v>0</v>
      </c>
      <c r="R1154" s="127">
        <f t="shared" si="246"/>
        <v>10938084.733333334</v>
      </c>
      <c r="S1154" s="26"/>
    </row>
    <row r="1155" spans="1:19" s="84" customFormat="1" ht="30">
      <c r="A1155" s="30"/>
      <c r="B1155" s="25" t="s">
        <v>3418</v>
      </c>
      <c r="C1155" s="26" t="s">
        <v>1350</v>
      </c>
      <c r="D1155" s="352"/>
      <c r="E1155" s="30"/>
      <c r="F1155" s="26">
        <v>68</v>
      </c>
      <c r="G1155" s="351" t="s">
        <v>3128</v>
      </c>
      <c r="H1155" s="26"/>
      <c r="I1155" s="351" t="s">
        <v>2596</v>
      </c>
      <c r="J1155" s="560" t="s">
        <v>2328</v>
      </c>
      <c r="K1155" s="311">
        <v>155957.20000000001</v>
      </c>
      <c r="L1155" s="311">
        <v>0</v>
      </c>
      <c r="M1155" s="311">
        <v>116719.58333333337</v>
      </c>
      <c r="N1155" s="311">
        <v>24637.166666666672</v>
      </c>
      <c r="O1155" s="311">
        <v>17246.01666666667</v>
      </c>
      <c r="P1155" s="68">
        <f t="shared" si="244"/>
        <v>314559.96666666673</v>
      </c>
      <c r="Q1155" s="68">
        <f t="shared" si="245"/>
        <v>0</v>
      </c>
      <c r="R1155" s="127">
        <f t="shared" si="246"/>
        <v>21390077.733333338</v>
      </c>
      <c r="S1155" s="26"/>
    </row>
    <row r="1156" spans="1:19" s="84" customFormat="1" ht="30">
      <c r="A1156" s="30"/>
      <c r="B1156" s="25" t="s">
        <v>3419</v>
      </c>
      <c r="C1156" s="26" t="s">
        <v>1350</v>
      </c>
      <c r="D1156" s="352"/>
      <c r="E1156" s="30"/>
      <c r="F1156" s="26">
        <v>5</v>
      </c>
      <c r="G1156" s="351" t="s">
        <v>3128</v>
      </c>
      <c r="H1156" s="26"/>
      <c r="I1156" s="351" t="s">
        <v>2596</v>
      </c>
      <c r="J1156" s="560" t="s">
        <v>2328</v>
      </c>
      <c r="K1156" s="311">
        <v>394165.80000000005</v>
      </c>
      <c r="L1156" s="311">
        <v>0</v>
      </c>
      <c r="M1156" s="311">
        <v>405905.41666666674</v>
      </c>
      <c r="N1156" s="311">
        <v>72082.833333333343</v>
      </c>
      <c r="O1156" s="311">
        <v>50457.983333333337</v>
      </c>
      <c r="P1156" s="68">
        <f t="shared" si="244"/>
        <v>922612.03333333344</v>
      </c>
      <c r="Q1156" s="68">
        <f t="shared" si="245"/>
        <v>0</v>
      </c>
      <c r="R1156" s="127">
        <f t="shared" si="246"/>
        <v>4613060.166666667</v>
      </c>
      <c r="S1156" s="26"/>
    </row>
    <row r="1157" spans="1:19" ht="28.5">
      <c r="A1157" s="24"/>
      <c r="B1157" s="72" t="s">
        <v>1479</v>
      </c>
      <c r="C1157" s="24"/>
      <c r="D1157" s="351"/>
      <c r="E1157" s="24"/>
      <c r="F1157" s="351"/>
      <c r="G1157" s="331"/>
      <c r="H1157" s="331"/>
      <c r="I1157" s="331"/>
      <c r="J1157" s="570"/>
      <c r="K1157" s="127"/>
      <c r="L1157" s="127"/>
      <c r="M1157" s="127"/>
      <c r="N1157" s="127"/>
      <c r="O1157" s="127"/>
      <c r="P1157" s="127"/>
      <c r="Q1157" s="127"/>
      <c r="R1157" s="127"/>
      <c r="S1157" s="331"/>
    </row>
    <row r="1158" spans="1:19">
      <c r="A1158" s="26"/>
      <c r="B1158" s="25" t="s">
        <v>3420</v>
      </c>
      <c r="C1158" s="26" t="s">
        <v>1350</v>
      </c>
      <c r="D1158" s="351"/>
      <c r="E1158" s="26"/>
      <c r="F1158" s="351">
        <v>1</v>
      </c>
      <c r="G1158" s="351" t="s">
        <v>3163</v>
      </c>
      <c r="H1158" s="351"/>
      <c r="I1158" s="351" t="s">
        <v>2596</v>
      </c>
      <c r="J1158" s="560" t="s">
        <v>2328</v>
      </c>
      <c r="K1158" s="311">
        <v>1104170</v>
      </c>
      <c r="L1158" s="311">
        <v>0</v>
      </c>
      <c r="M1158" s="311">
        <v>175715.00000000003</v>
      </c>
      <c r="N1158" s="311">
        <v>116850</v>
      </c>
      <c r="O1158" s="311">
        <v>81795.000000000015</v>
      </c>
      <c r="P1158" s="68">
        <f t="shared" ref="P1158:P1159" si="247">SUM(K1158:O1158)</f>
        <v>1478530</v>
      </c>
      <c r="Q1158" s="68">
        <f>D1158*P1158</f>
        <v>0</v>
      </c>
      <c r="R1158" s="127">
        <f>F1158*P1158</f>
        <v>1478530</v>
      </c>
      <c r="S1158" s="334"/>
    </row>
    <row r="1159" spans="1:19">
      <c r="A1159" s="26"/>
      <c r="B1159" s="25" t="s">
        <v>3421</v>
      </c>
      <c r="C1159" s="26" t="s">
        <v>1350</v>
      </c>
      <c r="D1159" s="351"/>
      <c r="E1159" s="26"/>
      <c r="F1159" s="351">
        <v>1</v>
      </c>
      <c r="G1159" s="351" t="s">
        <v>3163</v>
      </c>
      <c r="H1159" s="351"/>
      <c r="I1159" s="351" t="s">
        <v>2596</v>
      </c>
      <c r="J1159" s="560" t="s">
        <v>2328</v>
      </c>
      <c r="K1159" s="311">
        <v>1765800.0000000002</v>
      </c>
      <c r="L1159" s="311">
        <v>0</v>
      </c>
      <c r="M1159" s="311">
        <v>223966.00000000003</v>
      </c>
      <c r="N1159" s="311">
        <v>181820</v>
      </c>
      <c r="O1159" s="311">
        <v>127274.00000000001</v>
      </c>
      <c r="P1159" s="68">
        <f t="shared" si="247"/>
        <v>2298860</v>
      </c>
      <c r="Q1159" s="68">
        <f>D1159*P1159</f>
        <v>0</v>
      </c>
      <c r="R1159" s="127">
        <f>F1159*P1159</f>
        <v>2298860</v>
      </c>
      <c r="S1159" s="335"/>
    </row>
    <row r="1160" spans="1:19" s="83" customFormat="1">
      <c r="A1160" s="644"/>
      <c r="B1160" s="27" t="s">
        <v>3429</v>
      </c>
      <c r="C1160" s="24"/>
      <c r="D1160" s="351"/>
      <c r="E1160" s="24"/>
      <c r="F1160" s="351"/>
      <c r="G1160" s="547"/>
      <c r="H1160" s="547"/>
      <c r="I1160" s="351"/>
      <c r="J1160" s="560"/>
      <c r="K1160" s="80"/>
      <c r="L1160" s="80"/>
      <c r="M1160" s="80"/>
      <c r="N1160" s="80"/>
      <c r="O1160" s="80"/>
      <c r="P1160" s="80"/>
      <c r="Q1160" s="80"/>
      <c r="R1160" s="80"/>
      <c r="S1160" s="547"/>
    </row>
    <row r="1161" spans="1:19" s="84" customFormat="1" ht="30">
      <c r="A1161" s="26"/>
      <c r="B1161" s="25" t="s">
        <v>3411</v>
      </c>
      <c r="C1161" s="26" t="s">
        <v>1350</v>
      </c>
      <c r="D1161" s="351"/>
      <c r="E1161" s="26"/>
      <c r="F1161" s="351">
        <v>1</v>
      </c>
      <c r="G1161" s="351" t="s">
        <v>3147</v>
      </c>
      <c r="H1161" s="351"/>
      <c r="I1161" s="351" t="s">
        <v>2596</v>
      </c>
      <c r="J1161" s="560" t="s">
        <v>2328</v>
      </c>
      <c r="K1161" s="311">
        <v>666556.80000000005</v>
      </c>
      <c r="L1161" s="311">
        <v>0</v>
      </c>
      <c r="M1161" s="311">
        <v>402421.25000000006</v>
      </c>
      <c r="N1161" s="311">
        <v>96764.5</v>
      </c>
      <c r="O1161" s="311">
        <v>67735.150000000009</v>
      </c>
      <c r="P1161" s="68">
        <f t="shared" ref="P1161:P1162" si="248">SUM(K1161:O1161)</f>
        <v>1233477.7</v>
      </c>
      <c r="Q1161" s="68">
        <f>D1161*P1161</f>
        <v>0</v>
      </c>
      <c r="R1161" s="127">
        <f>F1161*P1161</f>
        <v>1233477.7</v>
      </c>
      <c r="S1161" s="509"/>
    </row>
    <row r="1162" spans="1:19" s="84" customFormat="1" ht="30">
      <c r="A1162" s="26"/>
      <c r="B1162" s="25" t="s">
        <v>3579</v>
      </c>
      <c r="C1162" s="26" t="s">
        <v>1350</v>
      </c>
      <c r="D1162" s="351"/>
      <c r="E1162" s="26"/>
      <c r="F1162" s="351">
        <v>1</v>
      </c>
      <c r="G1162" s="351" t="s">
        <v>3147</v>
      </c>
      <c r="H1162" s="351"/>
      <c r="I1162" s="351" t="s">
        <v>2596</v>
      </c>
      <c r="J1162" s="560" t="s">
        <v>2328</v>
      </c>
      <c r="K1162" s="311">
        <v>13441160.600000001</v>
      </c>
      <c r="L1162" s="311">
        <v>0</v>
      </c>
      <c r="M1162" s="311">
        <v>2750749.583333334</v>
      </c>
      <c r="N1162" s="311">
        <v>1476563.166666667</v>
      </c>
      <c r="O1162" s="311">
        <v>1033594.2166666669</v>
      </c>
      <c r="P1162" s="68">
        <f t="shared" si="248"/>
        <v>18702067.56666667</v>
      </c>
      <c r="Q1162" s="68">
        <f>D1162*P1162</f>
        <v>0</v>
      </c>
      <c r="R1162" s="127">
        <f>F1162*P1162</f>
        <v>18702067.56666667</v>
      </c>
      <c r="S1162" s="509"/>
    </row>
    <row r="1163" spans="1:19">
      <c r="A1163" s="24">
        <v>2.4</v>
      </c>
      <c r="B1163" s="27" t="s">
        <v>1394</v>
      </c>
      <c r="C1163" s="24"/>
      <c r="D1163" s="351"/>
      <c r="E1163" s="24"/>
      <c r="F1163" s="351"/>
      <c r="G1163" s="335"/>
      <c r="H1163" s="335"/>
      <c r="I1163" s="335"/>
      <c r="J1163" s="567"/>
      <c r="K1163" s="66"/>
      <c r="L1163" s="66"/>
      <c r="M1163" s="66"/>
      <c r="N1163" s="66"/>
      <c r="O1163" s="66"/>
      <c r="P1163" s="66"/>
      <c r="Q1163" s="66"/>
      <c r="R1163" s="66"/>
      <c r="S1163" s="335"/>
    </row>
    <row r="1164" spans="1:19" ht="30">
      <c r="A1164" s="24"/>
      <c r="B1164" s="25" t="s">
        <v>3404</v>
      </c>
      <c r="C1164" s="26" t="s">
        <v>1350</v>
      </c>
      <c r="D1164" s="351"/>
      <c r="E1164" s="24"/>
      <c r="F1164" s="351">
        <v>1</v>
      </c>
      <c r="G1164" s="351" t="s">
        <v>3128</v>
      </c>
      <c r="H1164" s="351"/>
      <c r="I1164" s="351" t="s">
        <v>2596</v>
      </c>
      <c r="J1164" s="560" t="s">
        <v>2328</v>
      </c>
      <c r="K1164" s="311">
        <v>4190548.6</v>
      </c>
      <c r="L1164" s="311">
        <v>0</v>
      </c>
      <c r="M1164" s="311">
        <v>1458123.75</v>
      </c>
      <c r="N1164" s="311">
        <v>513491.5</v>
      </c>
      <c r="O1164" s="311">
        <v>359444.05000000005</v>
      </c>
      <c r="P1164" s="68">
        <f>SUM(K1164:O1164)</f>
        <v>6521607.8999999994</v>
      </c>
      <c r="Q1164" s="68">
        <f>D1164*P1164</f>
        <v>0</v>
      </c>
      <c r="R1164" s="127">
        <f>F1164*P1164</f>
        <v>6521607.8999999994</v>
      </c>
      <c r="S1164" s="330"/>
    </row>
    <row r="1165" spans="1:19">
      <c r="A1165" s="24">
        <v>2.5</v>
      </c>
      <c r="B1165" s="27" t="s">
        <v>1396</v>
      </c>
      <c r="C1165" s="24"/>
      <c r="D1165" s="351"/>
      <c r="E1165" s="24"/>
      <c r="F1165" s="351"/>
      <c r="G1165" s="336"/>
      <c r="H1165" s="336"/>
      <c r="I1165" s="336"/>
      <c r="J1165" s="568"/>
      <c r="K1165" s="66"/>
      <c r="L1165" s="66"/>
      <c r="M1165" s="66"/>
      <c r="N1165" s="66"/>
      <c r="O1165" s="66"/>
      <c r="P1165" s="66"/>
      <c r="Q1165" s="66"/>
      <c r="R1165" s="66"/>
      <c r="S1165" s="336"/>
    </row>
    <row r="1166" spans="1:19" ht="30">
      <c r="A1166" s="24"/>
      <c r="B1166" s="25" t="s">
        <v>3580</v>
      </c>
      <c r="C1166" s="26" t="s">
        <v>1350</v>
      </c>
      <c r="D1166" s="351"/>
      <c r="E1166" s="24"/>
      <c r="F1166" s="351">
        <v>1</v>
      </c>
      <c r="G1166" s="351" t="s">
        <v>3128</v>
      </c>
      <c r="H1166" s="351"/>
      <c r="I1166" s="351" t="s">
        <v>2596</v>
      </c>
      <c r="J1166" s="560" t="s">
        <v>2328</v>
      </c>
      <c r="K1166" s="311">
        <v>870583.00000000012</v>
      </c>
      <c r="L1166" s="311">
        <v>0</v>
      </c>
      <c r="M1166" s="311">
        <v>344932.50000000006</v>
      </c>
      <c r="N1166" s="311">
        <v>110395</v>
      </c>
      <c r="O1166" s="311">
        <v>77276.500000000015</v>
      </c>
      <c r="P1166" s="68">
        <f t="shared" ref="P1166:P1191" si="249">SUM(K1166:O1166)</f>
        <v>1403187.0000000002</v>
      </c>
      <c r="Q1166" s="68">
        <f t="shared" ref="Q1166:Q1191" si="250">D1166*P1166</f>
        <v>0</v>
      </c>
      <c r="R1166" s="127">
        <f t="shared" ref="R1166:R1191" si="251">F1166*P1166</f>
        <v>1403187.0000000002</v>
      </c>
      <c r="S1166" s="335"/>
    </row>
    <row r="1167" spans="1:19" ht="30">
      <c r="A1167" s="24"/>
      <c r="B1167" s="25" t="s">
        <v>3581</v>
      </c>
      <c r="C1167" s="26" t="s">
        <v>1350</v>
      </c>
      <c r="D1167" s="351"/>
      <c r="E1167" s="24"/>
      <c r="F1167" s="351">
        <v>1</v>
      </c>
      <c r="G1167" s="351" t="s">
        <v>3128</v>
      </c>
      <c r="H1167" s="351"/>
      <c r="I1167" s="351" t="s">
        <v>2596</v>
      </c>
      <c r="J1167" s="560" t="s">
        <v>2328</v>
      </c>
      <c r="K1167" s="311">
        <v>925061.20000000007</v>
      </c>
      <c r="L1167" s="311">
        <v>0</v>
      </c>
      <c r="M1167" s="311">
        <v>367579.58333333337</v>
      </c>
      <c r="N1167" s="311">
        <v>117397.16666666669</v>
      </c>
      <c r="O1167" s="311">
        <v>82178.016666666677</v>
      </c>
      <c r="P1167" s="68">
        <f t="shared" si="249"/>
        <v>1492215.9666666668</v>
      </c>
      <c r="Q1167" s="68">
        <f t="shared" si="250"/>
        <v>0</v>
      </c>
      <c r="R1167" s="127">
        <f t="shared" si="251"/>
        <v>1492215.9666666668</v>
      </c>
      <c r="S1167" s="331"/>
    </row>
    <row r="1168" spans="1:19" ht="30">
      <c r="A1168" s="24"/>
      <c r="B1168" s="25" t="s">
        <v>3582</v>
      </c>
      <c r="C1168" s="26" t="s">
        <v>1350</v>
      </c>
      <c r="D1168" s="351"/>
      <c r="E1168" s="24"/>
      <c r="F1168" s="351">
        <v>1</v>
      </c>
      <c r="G1168" s="351" t="s">
        <v>3128</v>
      </c>
      <c r="H1168" s="351"/>
      <c r="I1168" s="351" t="s">
        <v>2596</v>
      </c>
      <c r="J1168" s="560" t="s">
        <v>2328</v>
      </c>
      <c r="K1168" s="311">
        <v>733853.4</v>
      </c>
      <c r="L1168" s="311">
        <v>0</v>
      </c>
      <c r="M1168" s="311">
        <v>299638.33333333337</v>
      </c>
      <c r="N1168" s="311">
        <v>93842.666666666686</v>
      </c>
      <c r="O1168" s="311">
        <v>65689.866666666683</v>
      </c>
      <c r="P1168" s="68">
        <f t="shared" si="249"/>
        <v>1193024.2666666668</v>
      </c>
      <c r="Q1168" s="68">
        <f t="shared" si="250"/>
        <v>0</v>
      </c>
      <c r="R1168" s="127">
        <f t="shared" si="251"/>
        <v>1193024.2666666668</v>
      </c>
      <c r="S1168" s="333"/>
    </row>
    <row r="1169" spans="1:19" ht="30">
      <c r="A1169" s="24"/>
      <c r="B1169" s="25" t="s">
        <v>3583</v>
      </c>
      <c r="C1169" s="26" t="s">
        <v>1350</v>
      </c>
      <c r="D1169" s="351"/>
      <c r="E1169" s="24"/>
      <c r="F1169" s="351">
        <v>1</v>
      </c>
      <c r="G1169" s="351" t="s">
        <v>3128</v>
      </c>
      <c r="H1169" s="351"/>
      <c r="I1169" s="351" t="s">
        <v>2596</v>
      </c>
      <c r="J1169" s="560" t="s">
        <v>2328</v>
      </c>
      <c r="K1169" s="311">
        <v>575759.80000000005</v>
      </c>
      <c r="L1169" s="311">
        <v>0</v>
      </c>
      <c r="M1169" s="311">
        <v>235181.25000000006</v>
      </c>
      <c r="N1169" s="311">
        <v>73634.5</v>
      </c>
      <c r="O1169" s="311">
        <v>51544.15</v>
      </c>
      <c r="P1169" s="68">
        <f t="shared" si="249"/>
        <v>936119.70000000007</v>
      </c>
      <c r="Q1169" s="68">
        <f t="shared" si="250"/>
        <v>0</v>
      </c>
      <c r="R1169" s="127">
        <f t="shared" si="251"/>
        <v>936119.70000000007</v>
      </c>
      <c r="S1169" s="333"/>
    </row>
    <row r="1170" spans="1:19" ht="30">
      <c r="A1170" s="24"/>
      <c r="B1170" s="25" t="s">
        <v>3584</v>
      </c>
      <c r="C1170" s="26" t="s">
        <v>1350</v>
      </c>
      <c r="D1170" s="351"/>
      <c r="E1170" s="24"/>
      <c r="F1170" s="351">
        <v>1</v>
      </c>
      <c r="G1170" s="351" t="s">
        <v>3128</v>
      </c>
      <c r="H1170" s="351"/>
      <c r="I1170" s="351" t="s">
        <v>2596</v>
      </c>
      <c r="J1170" s="560" t="s">
        <v>2328</v>
      </c>
      <c r="K1170" s="311">
        <v>717830.4</v>
      </c>
      <c r="L1170" s="311">
        <v>0</v>
      </c>
      <c r="M1170" s="311">
        <v>290927.91666666669</v>
      </c>
      <c r="N1170" s="311">
        <v>91601.833333333343</v>
      </c>
      <c r="O1170" s="311">
        <v>64121.28333333334</v>
      </c>
      <c r="P1170" s="68">
        <f t="shared" si="249"/>
        <v>1164481.4333333333</v>
      </c>
      <c r="Q1170" s="68">
        <f t="shared" si="250"/>
        <v>0</v>
      </c>
      <c r="R1170" s="127">
        <f t="shared" si="251"/>
        <v>1164481.4333333333</v>
      </c>
      <c r="S1170" s="335"/>
    </row>
    <row r="1171" spans="1:19" ht="30">
      <c r="A1171" s="24"/>
      <c r="B1171" s="25" t="s">
        <v>3585</v>
      </c>
      <c r="C1171" s="26" t="s">
        <v>1350</v>
      </c>
      <c r="D1171" s="351"/>
      <c r="E1171" s="24"/>
      <c r="F1171" s="351">
        <v>1</v>
      </c>
      <c r="G1171" s="351" t="s">
        <v>3128</v>
      </c>
      <c r="H1171" s="351"/>
      <c r="I1171" s="351" t="s">
        <v>2596</v>
      </c>
      <c r="J1171" s="560" t="s">
        <v>2328</v>
      </c>
      <c r="K1171" s="311">
        <v>713557.60000000009</v>
      </c>
      <c r="L1171" s="311">
        <v>0</v>
      </c>
      <c r="M1171" s="311">
        <v>301380.41666666674</v>
      </c>
      <c r="N1171" s="311">
        <v>92134.833333333343</v>
      </c>
      <c r="O1171" s="311">
        <v>64494.383333333339</v>
      </c>
      <c r="P1171" s="68">
        <f t="shared" si="249"/>
        <v>1171567.2333333334</v>
      </c>
      <c r="Q1171" s="68">
        <f t="shared" si="250"/>
        <v>0</v>
      </c>
      <c r="R1171" s="127">
        <f t="shared" si="251"/>
        <v>1171567.2333333334</v>
      </c>
      <c r="S1171" s="331"/>
    </row>
    <row r="1172" spans="1:19" ht="30">
      <c r="A1172" s="24"/>
      <c r="B1172" s="25" t="s">
        <v>3586</v>
      </c>
      <c r="C1172" s="26" t="s">
        <v>1350</v>
      </c>
      <c r="D1172" s="351"/>
      <c r="E1172" s="24"/>
      <c r="F1172" s="351">
        <v>1</v>
      </c>
      <c r="G1172" s="351" t="s">
        <v>3128</v>
      </c>
      <c r="H1172" s="351"/>
      <c r="I1172" s="351" t="s">
        <v>2596</v>
      </c>
      <c r="J1172" s="560" t="s">
        <v>2328</v>
      </c>
      <c r="K1172" s="311">
        <v>744535.4</v>
      </c>
      <c r="L1172" s="311">
        <v>0</v>
      </c>
      <c r="M1172" s="311">
        <v>306606.66666666674</v>
      </c>
      <c r="N1172" s="311">
        <v>95439.333333333343</v>
      </c>
      <c r="O1172" s="311">
        <v>66807.53333333334</v>
      </c>
      <c r="P1172" s="68">
        <f t="shared" si="249"/>
        <v>1213388.9333333336</v>
      </c>
      <c r="Q1172" s="68">
        <f t="shared" si="250"/>
        <v>0</v>
      </c>
      <c r="R1172" s="127">
        <f t="shared" si="251"/>
        <v>1213388.9333333336</v>
      </c>
      <c r="S1172" s="333"/>
    </row>
    <row r="1173" spans="1:19" ht="30">
      <c r="A1173" s="24"/>
      <c r="B1173" s="25" t="s">
        <v>3587</v>
      </c>
      <c r="C1173" s="26" t="s">
        <v>1350</v>
      </c>
      <c r="D1173" s="351"/>
      <c r="E1173" s="24"/>
      <c r="F1173" s="351">
        <v>2</v>
      </c>
      <c r="G1173" s="351" t="s">
        <v>3128</v>
      </c>
      <c r="H1173" s="351"/>
      <c r="I1173" s="351" t="s">
        <v>2596</v>
      </c>
      <c r="J1173" s="560" t="s">
        <v>2328</v>
      </c>
      <c r="K1173" s="311">
        <v>575759.80000000005</v>
      </c>
      <c r="L1173" s="311">
        <v>0</v>
      </c>
      <c r="M1173" s="311">
        <v>235181.25000000006</v>
      </c>
      <c r="N1173" s="311">
        <v>73634.5</v>
      </c>
      <c r="O1173" s="311">
        <v>51544.15</v>
      </c>
      <c r="P1173" s="68">
        <f t="shared" si="249"/>
        <v>936119.70000000007</v>
      </c>
      <c r="Q1173" s="68">
        <f t="shared" si="250"/>
        <v>0</v>
      </c>
      <c r="R1173" s="127">
        <f t="shared" si="251"/>
        <v>1872239.4000000001</v>
      </c>
      <c r="S1173" s="333"/>
    </row>
    <row r="1174" spans="1:19" s="84" customFormat="1" ht="30">
      <c r="A1174" s="26"/>
      <c r="B1174" s="25" t="s">
        <v>3588</v>
      </c>
      <c r="C1174" s="26" t="s">
        <v>1350</v>
      </c>
      <c r="D1174" s="351"/>
      <c r="E1174" s="26"/>
      <c r="F1174" s="351">
        <v>1</v>
      </c>
      <c r="G1174" s="351" t="s">
        <v>3128</v>
      </c>
      <c r="H1174" s="26"/>
      <c r="I1174" s="351" t="s">
        <v>2596</v>
      </c>
      <c r="J1174" s="560" t="s">
        <v>2328</v>
      </c>
      <c r="K1174" s="311">
        <v>930402.20000000007</v>
      </c>
      <c r="L1174" s="311">
        <v>0</v>
      </c>
      <c r="M1174" s="311">
        <v>378032.08333333337</v>
      </c>
      <c r="N1174" s="311">
        <v>118812.16666666669</v>
      </c>
      <c r="O1174" s="311">
        <v>83168.516666666677</v>
      </c>
      <c r="P1174" s="68">
        <f t="shared" si="249"/>
        <v>1510414.9666666668</v>
      </c>
      <c r="Q1174" s="68">
        <f t="shared" si="250"/>
        <v>0</v>
      </c>
      <c r="R1174" s="127">
        <f t="shared" si="251"/>
        <v>1510414.9666666668</v>
      </c>
      <c r="S1174" s="26"/>
    </row>
    <row r="1175" spans="1:19" s="84" customFormat="1" ht="30">
      <c r="A1175" s="26"/>
      <c r="B1175" s="25" t="s">
        <v>3396</v>
      </c>
      <c r="C1175" s="26" t="s">
        <v>1350</v>
      </c>
      <c r="D1175" s="351"/>
      <c r="E1175" s="26"/>
      <c r="F1175" s="351">
        <v>1</v>
      </c>
      <c r="G1175" s="351" t="s">
        <v>3128</v>
      </c>
      <c r="H1175" s="26"/>
      <c r="I1175" s="351" t="s">
        <v>2596</v>
      </c>
      <c r="J1175" s="560" t="s">
        <v>2328</v>
      </c>
      <c r="K1175" s="311">
        <v>1540344.4000000001</v>
      </c>
      <c r="L1175" s="311">
        <v>0</v>
      </c>
      <c r="M1175" s="311">
        <v>418100.00000000006</v>
      </c>
      <c r="N1175" s="311">
        <v>178316</v>
      </c>
      <c r="O1175" s="311">
        <v>124821.20000000001</v>
      </c>
      <c r="P1175" s="68">
        <f t="shared" si="249"/>
        <v>2261581.6000000006</v>
      </c>
      <c r="Q1175" s="68">
        <f t="shared" si="250"/>
        <v>0</v>
      </c>
      <c r="R1175" s="127">
        <f t="shared" si="251"/>
        <v>2261581.6000000006</v>
      </c>
      <c r="S1175" s="26"/>
    </row>
    <row r="1176" spans="1:19" s="84" customFormat="1" ht="30">
      <c r="A1176" s="26"/>
      <c r="B1176" s="25" t="s">
        <v>3405</v>
      </c>
      <c r="C1176" s="26" t="s">
        <v>1350</v>
      </c>
      <c r="D1176" s="351"/>
      <c r="E1176" s="26"/>
      <c r="F1176" s="351">
        <v>2</v>
      </c>
      <c r="G1176" s="351" t="s">
        <v>3128</v>
      </c>
      <c r="H1176" s="26"/>
      <c r="I1176" s="351" t="s">
        <v>2596</v>
      </c>
      <c r="J1176" s="560" t="s">
        <v>2328</v>
      </c>
      <c r="K1176" s="311">
        <v>1500821</v>
      </c>
      <c r="L1176" s="311">
        <v>0</v>
      </c>
      <c r="M1176" s="311">
        <v>324027.50000000006</v>
      </c>
      <c r="N1176" s="311">
        <v>166365</v>
      </c>
      <c r="O1176" s="311">
        <v>116455.50000000001</v>
      </c>
      <c r="P1176" s="68">
        <f t="shared" si="249"/>
        <v>2107669</v>
      </c>
      <c r="Q1176" s="68">
        <f t="shared" si="250"/>
        <v>0</v>
      </c>
      <c r="R1176" s="127">
        <f t="shared" si="251"/>
        <v>4215338</v>
      </c>
      <c r="S1176" s="26"/>
    </row>
    <row r="1177" spans="1:19" s="84" customFormat="1" ht="30">
      <c r="A1177" s="26"/>
      <c r="B1177" s="25" t="s">
        <v>3406</v>
      </c>
      <c r="C1177" s="26" t="s">
        <v>1350</v>
      </c>
      <c r="D1177" s="351"/>
      <c r="E1177" s="26"/>
      <c r="F1177" s="351">
        <v>1</v>
      </c>
      <c r="G1177" s="351" t="s">
        <v>3128</v>
      </c>
      <c r="H1177" s="26"/>
      <c r="I1177" s="351" t="s">
        <v>2596</v>
      </c>
      <c r="J1177" s="560" t="s">
        <v>2328</v>
      </c>
      <c r="K1177" s="311">
        <v>1978306.4000000001</v>
      </c>
      <c r="L1177" s="311">
        <v>0</v>
      </c>
      <c r="M1177" s="311">
        <v>428552.50000000006</v>
      </c>
      <c r="N1177" s="311">
        <v>219421</v>
      </c>
      <c r="O1177" s="311">
        <v>153594.70000000001</v>
      </c>
      <c r="P1177" s="68">
        <f t="shared" si="249"/>
        <v>2779874.6000000006</v>
      </c>
      <c r="Q1177" s="68">
        <f t="shared" si="250"/>
        <v>0</v>
      </c>
      <c r="R1177" s="127">
        <f t="shared" si="251"/>
        <v>2779874.6000000006</v>
      </c>
      <c r="S1177" s="26"/>
    </row>
    <row r="1178" spans="1:19" s="84" customFormat="1" ht="30">
      <c r="A1178" s="26"/>
      <c r="B1178" s="25" t="s">
        <v>3407</v>
      </c>
      <c r="C1178" s="26" t="s">
        <v>1350</v>
      </c>
      <c r="D1178" s="351"/>
      <c r="E1178" s="26"/>
      <c r="F1178" s="351">
        <v>1</v>
      </c>
      <c r="G1178" s="351" t="s">
        <v>3128</v>
      </c>
      <c r="H1178" s="26"/>
      <c r="I1178" s="351" t="s">
        <v>2596</v>
      </c>
      <c r="J1178" s="560" t="s">
        <v>2328</v>
      </c>
      <c r="K1178" s="311">
        <v>1507230.2000000002</v>
      </c>
      <c r="L1178" s="311">
        <v>0</v>
      </c>
      <c r="M1178" s="311">
        <v>418100.00000000006</v>
      </c>
      <c r="N1178" s="311">
        <v>175278</v>
      </c>
      <c r="O1178" s="311">
        <v>122694.6</v>
      </c>
      <c r="P1178" s="68">
        <f t="shared" si="249"/>
        <v>2223302.8000000003</v>
      </c>
      <c r="Q1178" s="68">
        <f t="shared" si="250"/>
        <v>0</v>
      </c>
      <c r="R1178" s="127">
        <f t="shared" si="251"/>
        <v>2223302.8000000003</v>
      </c>
      <c r="S1178" s="26"/>
    </row>
    <row r="1179" spans="1:19" s="84" customFormat="1" ht="30">
      <c r="A1179" s="26"/>
      <c r="B1179" s="25" t="s">
        <v>3408</v>
      </c>
      <c r="C1179" s="26" t="s">
        <v>1350</v>
      </c>
      <c r="D1179" s="351"/>
      <c r="E1179" s="26"/>
      <c r="F1179" s="351">
        <v>1</v>
      </c>
      <c r="G1179" s="351" t="s">
        <v>3128</v>
      </c>
      <c r="H1179" s="26"/>
      <c r="I1179" s="351" t="s">
        <v>2596</v>
      </c>
      <c r="J1179" s="560" t="s">
        <v>2328</v>
      </c>
      <c r="K1179" s="311">
        <v>965652.8</v>
      </c>
      <c r="L1179" s="311">
        <v>0</v>
      </c>
      <c r="M1179" s="311">
        <v>405905.41666666674</v>
      </c>
      <c r="N1179" s="311">
        <v>124512.83333333336</v>
      </c>
      <c r="O1179" s="311">
        <v>87158.983333333352</v>
      </c>
      <c r="P1179" s="68">
        <f t="shared" si="249"/>
        <v>1583230.0333333334</v>
      </c>
      <c r="Q1179" s="68">
        <f t="shared" si="250"/>
        <v>0</v>
      </c>
      <c r="R1179" s="127">
        <f t="shared" si="251"/>
        <v>1583230.0333333334</v>
      </c>
      <c r="S1179" s="26"/>
    </row>
    <row r="1180" spans="1:19" s="84" customFormat="1" ht="30">
      <c r="A1180" s="26"/>
      <c r="B1180" s="25" t="s">
        <v>3409</v>
      </c>
      <c r="C1180" s="26" t="s">
        <v>1350</v>
      </c>
      <c r="D1180" s="351"/>
      <c r="E1180" s="26"/>
      <c r="F1180" s="351">
        <v>29</v>
      </c>
      <c r="G1180" s="351" t="s">
        <v>3128</v>
      </c>
      <c r="H1180" s="26"/>
      <c r="I1180" s="351" t="s">
        <v>2596</v>
      </c>
      <c r="J1180" s="560" t="s">
        <v>2328</v>
      </c>
      <c r="K1180" s="311">
        <v>123911.20000000001</v>
      </c>
      <c r="L1180" s="311">
        <v>0</v>
      </c>
      <c r="M1180" s="311">
        <v>101040.83333333333</v>
      </c>
      <c r="N1180" s="311">
        <v>20309.666666666668</v>
      </c>
      <c r="O1180" s="311">
        <v>14216.766666666668</v>
      </c>
      <c r="P1180" s="68">
        <f t="shared" si="249"/>
        <v>259478.46666666665</v>
      </c>
      <c r="Q1180" s="68">
        <f t="shared" si="250"/>
        <v>0</v>
      </c>
      <c r="R1180" s="127">
        <f t="shared" si="251"/>
        <v>7524875.5333333323</v>
      </c>
      <c r="S1180" s="26"/>
    </row>
    <row r="1181" spans="1:19" s="84" customFormat="1" ht="30">
      <c r="A1181" s="26"/>
      <c r="B1181" s="25" t="s">
        <v>3410</v>
      </c>
      <c r="C1181" s="26" t="s">
        <v>1350</v>
      </c>
      <c r="D1181" s="351"/>
      <c r="E1181" s="26"/>
      <c r="F1181" s="351">
        <v>1</v>
      </c>
      <c r="G1181" s="351" t="s">
        <v>3128</v>
      </c>
      <c r="H1181" s="26"/>
      <c r="I1181" s="351" t="s">
        <v>2596</v>
      </c>
      <c r="J1181" s="560" t="s">
        <v>2328</v>
      </c>
      <c r="K1181" s="311">
        <v>316187.2</v>
      </c>
      <c r="L1181" s="311">
        <v>0</v>
      </c>
      <c r="M1181" s="311">
        <v>367579.58333333337</v>
      </c>
      <c r="N1181" s="311">
        <v>61537.166666666679</v>
      </c>
      <c r="O1181" s="311">
        <v>43076.016666666677</v>
      </c>
      <c r="P1181" s="68">
        <f t="shared" si="249"/>
        <v>788379.96666666679</v>
      </c>
      <c r="Q1181" s="68">
        <f t="shared" si="250"/>
        <v>0</v>
      </c>
      <c r="R1181" s="127">
        <f t="shared" si="251"/>
        <v>788379.96666666679</v>
      </c>
      <c r="S1181" s="26"/>
    </row>
    <row r="1182" spans="1:19" s="84" customFormat="1" ht="30">
      <c r="A1182" s="26"/>
      <c r="B1182" s="25" t="s">
        <v>3411</v>
      </c>
      <c r="C1182" s="26" t="s">
        <v>1350</v>
      </c>
      <c r="D1182" s="351"/>
      <c r="E1182" s="26"/>
      <c r="F1182" s="351">
        <v>2</v>
      </c>
      <c r="G1182" s="351" t="s">
        <v>3128</v>
      </c>
      <c r="H1182" s="26"/>
      <c r="I1182" s="351" t="s">
        <v>2596</v>
      </c>
      <c r="J1182" s="560" t="s">
        <v>2328</v>
      </c>
      <c r="K1182" s="311">
        <v>352506</v>
      </c>
      <c r="L1182" s="311">
        <v>0</v>
      </c>
      <c r="M1182" s="311">
        <v>402421.25000000006</v>
      </c>
      <c r="N1182" s="311">
        <v>67952.5</v>
      </c>
      <c r="O1182" s="311">
        <v>47566.750000000007</v>
      </c>
      <c r="P1182" s="68">
        <f t="shared" si="249"/>
        <v>870446.5</v>
      </c>
      <c r="Q1182" s="68">
        <f t="shared" si="250"/>
        <v>0</v>
      </c>
      <c r="R1182" s="127">
        <f t="shared" si="251"/>
        <v>1740893</v>
      </c>
      <c r="S1182" s="26"/>
    </row>
    <row r="1183" spans="1:19" s="84" customFormat="1" ht="30">
      <c r="A1183" s="26"/>
      <c r="B1183" s="25" t="s">
        <v>3412</v>
      </c>
      <c r="C1183" s="26" t="s">
        <v>1350</v>
      </c>
      <c r="D1183" s="351"/>
      <c r="E1183" s="26"/>
      <c r="F1183" s="351">
        <v>7</v>
      </c>
      <c r="G1183" s="351" t="s">
        <v>3128</v>
      </c>
      <c r="H1183" s="26"/>
      <c r="I1183" s="351" t="s">
        <v>2596</v>
      </c>
      <c r="J1183" s="560" t="s">
        <v>2328</v>
      </c>
      <c r="K1183" s="311">
        <v>279868.40000000002</v>
      </c>
      <c r="L1183" s="311">
        <v>0</v>
      </c>
      <c r="M1183" s="311">
        <v>332737.91666666674</v>
      </c>
      <c r="N1183" s="311">
        <v>55121.833333333343</v>
      </c>
      <c r="O1183" s="311">
        <v>38585.28333333334</v>
      </c>
      <c r="P1183" s="68">
        <f t="shared" si="249"/>
        <v>706313.43333333347</v>
      </c>
      <c r="Q1183" s="68">
        <f t="shared" si="250"/>
        <v>0</v>
      </c>
      <c r="R1183" s="127">
        <f t="shared" si="251"/>
        <v>4944194.0333333341</v>
      </c>
      <c r="S1183" s="26"/>
    </row>
    <row r="1184" spans="1:19" s="84" customFormat="1" ht="30">
      <c r="A1184" s="26"/>
      <c r="B1184" s="25" t="s">
        <v>3413</v>
      </c>
      <c r="C1184" s="26" t="s">
        <v>1350</v>
      </c>
      <c r="D1184" s="351"/>
      <c r="E1184" s="26"/>
      <c r="F1184" s="351">
        <v>1</v>
      </c>
      <c r="G1184" s="351" t="s">
        <v>3128</v>
      </c>
      <c r="H1184" s="26"/>
      <c r="I1184" s="351" t="s">
        <v>2596</v>
      </c>
      <c r="J1184" s="560" t="s">
        <v>2328</v>
      </c>
      <c r="K1184" s="311">
        <v>304437</v>
      </c>
      <c r="L1184" s="311">
        <v>0</v>
      </c>
      <c r="M1184" s="311">
        <v>350158.74999999994</v>
      </c>
      <c r="N1184" s="311">
        <v>58917.5</v>
      </c>
      <c r="O1184" s="311">
        <v>41242.250000000007</v>
      </c>
      <c r="P1184" s="68">
        <f t="shared" si="249"/>
        <v>754755.5</v>
      </c>
      <c r="Q1184" s="68">
        <f t="shared" si="250"/>
        <v>0</v>
      </c>
      <c r="R1184" s="127">
        <f t="shared" si="251"/>
        <v>754755.5</v>
      </c>
      <c r="S1184" s="26"/>
    </row>
    <row r="1185" spans="1:19" s="84" customFormat="1" ht="30">
      <c r="A1185" s="26"/>
      <c r="B1185" s="25" t="s">
        <v>3414</v>
      </c>
      <c r="C1185" s="26" t="s">
        <v>1350</v>
      </c>
      <c r="D1185" s="351"/>
      <c r="E1185" s="26"/>
      <c r="F1185" s="351">
        <v>2</v>
      </c>
      <c r="G1185" s="351" t="s">
        <v>3128</v>
      </c>
      <c r="H1185" s="26"/>
      <c r="I1185" s="351" t="s">
        <v>2596</v>
      </c>
      <c r="J1185" s="560" t="s">
        <v>2328</v>
      </c>
      <c r="K1185" s="311">
        <v>197617</v>
      </c>
      <c r="L1185" s="311">
        <v>0</v>
      </c>
      <c r="M1185" s="311">
        <v>245633.75</v>
      </c>
      <c r="N1185" s="311">
        <v>39867.5</v>
      </c>
      <c r="O1185" s="311">
        <v>27907.250000000004</v>
      </c>
      <c r="P1185" s="68">
        <f t="shared" si="249"/>
        <v>511025.5</v>
      </c>
      <c r="Q1185" s="68">
        <f t="shared" si="250"/>
        <v>0</v>
      </c>
      <c r="R1185" s="127">
        <f t="shared" si="251"/>
        <v>1022051</v>
      </c>
      <c r="S1185" s="26"/>
    </row>
    <row r="1186" spans="1:19" s="84" customFormat="1" ht="30">
      <c r="A1186" s="26"/>
      <c r="B1186" s="25" t="s">
        <v>3415</v>
      </c>
      <c r="C1186" s="26" t="s">
        <v>1350</v>
      </c>
      <c r="D1186" s="351"/>
      <c r="E1186" s="26"/>
      <c r="F1186" s="351">
        <v>4</v>
      </c>
      <c r="G1186" s="351" t="s">
        <v>3128</v>
      </c>
      <c r="H1186" s="26"/>
      <c r="I1186" s="351" t="s">
        <v>2596</v>
      </c>
      <c r="J1186" s="560" t="s">
        <v>2328</v>
      </c>
      <c r="K1186" s="311">
        <v>155957.20000000001</v>
      </c>
      <c r="L1186" s="311">
        <v>0</v>
      </c>
      <c r="M1186" s="311">
        <v>210792.08333333337</v>
      </c>
      <c r="N1186" s="311">
        <v>32962.166666666672</v>
      </c>
      <c r="O1186" s="311">
        <v>23073.51666666667</v>
      </c>
      <c r="P1186" s="68">
        <f t="shared" si="249"/>
        <v>422784.96666666673</v>
      </c>
      <c r="Q1186" s="68">
        <f t="shared" si="250"/>
        <v>0</v>
      </c>
      <c r="R1186" s="127">
        <f t="shared" si="251"/>
        <v>1691139.8666666669</v>
      </c>
      <c r="S1186" s="26"/>
    </row>
    <row r="1187" spans="1:19" s="84" customFormat="1" ht="30">
      <c r="A1187" s="26"/>
      <c r="B1187" s="25" t="s">
        <v>3416</v>
      </c>
      <c r="C1187" s="26" t="s">
        <v>1350</v>
      </c>
      <c r="D1187" s="351"/>
      <c r="E1187" s="26"/>
      <c r="F1187" s="351">
        <v>3</v>
      </c>
      <c r="G1187" s="351" t="s">
        <v>3128</v>
      </c>
      <c r="H1187" s="26"/>
      <c r="I1187" s="351" t="s">
        <v>2596</v>
      </c>
      <c r="J1187" s="560" t="s">
        <v>2328</v>
      </c>
      <c r="K1187" s="311">
        <v>222185.60000000001</v>
      </c>
      <c r="L1187" s="311">
        <v>0</v>
      </c>
      <c r="M1187" s="311">
        <v>280475.41666666669</v>
      </c>
      <c r="N1187" s="311">
        <v>45204.833333333343</v>
      </c>
      <c r="O1187" s="311">
        <v>31643.383333333339</v>
      </c>
      <c r="P1187" s="68">
        <f t="shared" si="249"/>
        <v>579509.2333333334</v>
      </c>
      <c r="Q1187" s="68">
        <f t="shared" si="250"/>
        <v>0</v>
      </c>
      <c r="R1187" s="127">
        <f t="shared" si="251"/>
        <v>1738527.7000000002</v>
      </c>
      <c r="S1187" s="26"/>
    </row>
    <row r="1188" spans="1:19" s="84" customFormat="1" ht="30">
      <c r="A1188" s="26"/>
      <c r="B1188" s="25" t="s">
        <v>3417</v>
      </c>
      <c r="C1188" s="26" t="s">
        <v>1350</v>
      </c>
      <c r="D1188" s="351"/>
      <c r="E1188" s="26"/>
      <c r="F1188" s="351">
        <v>26</v>
      </c>
      <c r="G1188" s="351" t="s">
        <v>3128</v>
      </c>
      <c r="H1188" s="26"/>
      <c r="I1188" s="351" t="s">
        <v>2596</v>
      </c>
      <c r="J1188" s="560" t="s">
        <v>2328</v>
      </c>
      <c r="K1188" s="311">
        <v>206162.6</v>
      </c>
      <c r="L1188" s="311">
        <v>0</v>
      </c>
      <c r="M1188" s="311">
        <v>158529.58333333337</v>
      </c>
      <c r="N1188" s="311">
        <v>32943.166666666672</v>
      </c>
      <c r="O1188" s="311">
        <v>23060.216666666671</v>
      </c>
      <c r="P1188" s="68">
        <f t="shared" si="249"/>
        <v>420695.56666666671</v>
      </c>
      <c r="Q1188" s="68">
        <f t="shared" si="250"/>
        <v>0</v>
      </c>
      <c r="R1188" s="127">
        <f t="shared" si="251"/>
        <v>10938084.733333334</v>
      </c>
      <c r="S1188" s="26"/>
    </row>
    <row r="1189" spans="1:19" s="84" customFormat="1" ht="30">
      <c r="A1189" s="26"/>
      <c r="B1189" s="25" t="s">
        <v>3418</v>
      </c>
      <c r="C1189" s="26" t="s">
        <v>1350</v>
      </c>
      <c r="D1189" s="351"/>
      <c r="E1189" s="26"/>
      <c r="F1189" s="351">
        <v>68</v>
      </c>
      <c r="G1189" s="351" t="s">
        <v>3128</v>
      </c>
      <c r="H1189" s="26"/>
      <c r="I1189" s="351" t="s">
        <v>2596</v>
      </c>
      <c r="J1189" s="560" t="s">
        <v>2328</v>
      </c>
      <c r="K1189" s="311">
        <v>155957.20000000001</v>
      </c>
      <c r="L1189" s="311">
        <v>0</v>
      </c>
      <c r="M1189" s="311">
        <v>116719.58333333337</v>
      </c>
      <c r="N1189" s="311">
        <v>24637.166666666672</v>
      </c>
      <c r="O1189" s="311">
        <v>17246.01666666667</v>
      </c>
      <c r="P1189" s="68">
        <f t="shared" si="249"/>
        <v>314559.96666666673</v>
      </c>
      <c r="Q1189" s="68">
        <f t="shared" si="250"/>
        <v>0</v>
      </c>
      <c r="R1189" s="127">
        <f t="shared" si="251"/>
        <v>21390077.733333338</v>
      </c>
      <c r="S1189" s="26"/>
    </row>
    <row r="1190" spans="1:19" s="84" customFormat="1" ht="30">
      <c r="A1190" s="26"/>
      <c r="B1190" s="25" t="s">
        <v>3419</v>
      </c>
      <c r="C1190" s="26" t="s">
        <v>1350</v>
      </c>
      <c r="D1190" s="351"/>
      <c r="E1190" s="26"/>
      <c r="F1190" s="351">
        <v>5</v>
      </c>
      <c r="G1190" s="351" t="s">
        <v>3128</v>
      </c>
      <c r="H1190" s="26"/>
      <c r="I1190" s="351" t="s">
        <v>2596</v>
      </c>
      <c r="J1190" s="560" t="s">
        <v>2328</v>
      </c>
      <c r="K1190" s="311">
        <v>394165.80000000005</v>
      </c>
      <c r="L1190" s="311">
        <v>0</v>
      </c>
      <c r="M1190" s="311">
        <v>405905.41666666674</v>
      </c>
      <c r="N1190" s="311">
        <v>72082.833333333343</v>
      </c>
      <c r="O1190" s="311">
        <v>50457.983333333337</v>
      </c>
      <c r="P1190" s="68">
        <f t="shared" si="249"/>
        <v>922612.03333333344</v>
      </c>
      <c r="Q1190" s="68">
        <f t="shared" si="250"/>
        <v>0</v>
      </c>
      <c r="R1190" s="127">
        <f t="shared" si="251"/>
        <v>4613060.166666667</v>
      </c>
      <c r="S1190" s="26"/>
    </row>
    <row r="1191" spans="1:19">
      <c r="A1191" s="73"/>
      <c r="B1191" s="72" t="s">
        <v>1408</v>
      </c>
      <c r="C1191" s="26" t="s">
        <v>78</v>
      </c>
      <c r="D1191" s="351"/>
      <c r="E1191" s="24"/>
      <c r="F1191" s="351">
        <v>1</v>
      </c>
      <c r="G1191" s="351"/>
      <c r="H1191" s="351"/>
      <c r="I1191" s="351"/>
      <c r="J1191" s="560" t="s">
        <v>2381</v>
      </c>
      <c r="K1191" s="311">
        <v>18664122.540000003</v>
      </c>
      <c r="L1191" s="311">
        <v>0</v>
      </c>
      <c r="M1191" s="311">
        <v>10630118.500000004</v>
      </c>
      <c r="N1191" s="311">
        <v>2482562.8000000003</v>
      </c>
      <c r="O1191" s="311">
        <v>1737793.9600000002</v>
      </c>
      <c r="P1191" s="68">
        <f t="shared" si="249"/>
        <v>33514597.800000008</v>
      </c>
      <c r="Q1191" s="68">
        <f t="shared" si="250"/>
        <v>0</v>
      </c>
      <c r="R1191" s="127">
        <f t="shared" si="251"/>
        <v>33514597.800000008</v>
      </c>
      <c r="S1191" s="26"/>
    </row>
    <row r="1192" spans="1:19">
      <c r="A1192" s="215" t="s">
        <v>2222</v>
      </c>
      <c r="B1192" s="216" t="s">
        <v>2223</v>
      </c>
      <c r="C1192" s="215"/>
      <c r="D1192" s="515"/>
      <c r="E1192" s="215"/>
      <c r="F1192" s="515"/>
      <c r="G1192" s="535"/>
      <c r="H1192" s="535"/>
      <c r="I1192" s="535"/>
      <c r="J1192" s="576"/>
      <c r="K1192" s="551"/>
      <c r="L1192" s="551"/>
      <c r="M1192" s="551"/>
      <c r="N1192" s="551"/>
      <c r="O1192" s="551"/>
      <c r="P1192" s="551"/>
      <c r="Q1192" s="551"/>
      <c r="R1192" s="551"/>
      <c r="S1192" s="535"/>
    </row>
    <row r="1193" spans="1:19">
      <c r="A1193" s="24"/>
      <c r="B1193" s="27" t="s">
        <v>1424</v>
      </c>
      <c r="C1193" s="24"/>
      <c r="D1193" s="351"/>
      <c r="E1193" s="26"/>
      <c r="F1193" s="351"/>
      <c r="G1193" s="15"/>
      <c r="H1193" s="15"/>
      <c r="I1193" s="15"/>
      <c r="J1193" s="572"/>
      <c r="K1193" s="66"/>
      <c r="L1193" s="66"/>
      <c r="M1193" s="66"/>
      <c r="N1193" s="66"/>
      <c r="O1193" s="66"/>
      <c r="P1193" s="66"/>
      <c r="Q1193" s="66"/>
      <c r="R1193" s="66"/>
      <c r="S1193" s="15"/>
    </row>
    <row r="1194" spans="1:19" s="84" customFormat="1" ht="30">
      <c r="A1194" s="30"/>
      <c r="B1194" s="25" t="s">
        <v>3422</v>
      </c>
      <c r="C1194" s="26" t="s">
        <v>1350</v>
      </c>
      <c r="D1194" s="351"/>
      <c r="E1194" s="26"/>
      <c r="F1194" s="351">
        <v>1</v>
      </c>
      <c r="G1194" s="351" t="s">
        <v>3128</v>
      </c>
      <c r="H1194" s="351"/>
      <c r="I1194" s="351" t="s">
        <v>2596</v>
      </c>
      <c r="J1194" s="560" t="s">
        <v>2328</v>
      </c>
      <c r="K1194" s="311">
        <v>1893918.6</v>
      </c>
      <c r="L1194" s="311">
        <v>0</v>
      </c>
      <c r="M1194" s="311">
        <v>334480.00000000006</v>
      </c>
      <c r="N1194" s="311">
        <v>203354</v>
      </c>
      <c r="O1194" s="311">
        <v>142347.80000000002</v>
      </c>
      <c r="P1194" s="68">
        <f t="shared" ref="P1194:P1202" si="252">SUM(K1194:O1194)</f>
        <v>2574100.4</v>
      </c>
      <c r="Q1194" s="68">
        <f t="shared" ref="Q1194:Q1202" si="253">D1194*P1194</f>
        <v>0</v>
      </c>
      <c r="R1194" s="127">
        <f t="shared" ref="R1194:R1202" si="254">F1194*P1194</f>
        <v>2574100.4</v>
      </c>
      <c r="S1194" s="315"/>
    </row>
    <row r="1195" spans="1:19" s="84" customFormat="1" ht="30">
      <c r="A1195" s="30"/>
      <c r="B1195" s="25" t="s">
        <v>3423</v>
      </c>
      <c r="C1195" s="26" t="s">
        <v>1350</v>
      </c>
      <c r="D1195" s="351"/>
      <c r="E1195" s="26"/>
      <c r="F1195" s="351">
        <v>2</v>
      </c>
      <c r="G1195" s="351" t="s">
        <v>3128</v>
      </c>
      <c r="H1195" s="351"/>
      <c r="I1195" s="351" t="s">
        <v>2596</v>
      </c>
      <c r="J1195" s="560" t="s">
        <v>2328</v>
      </c>
      <c r="K1195" s="311">
        <v>1979374.6</v>
      </c>
      <c r="L1195" s="311">
        <v>0</v>
      </c>
      <c r="M1195" s="311">
        <v>365837.50000000006</v>
      </c>
      <c r="N1195" s="311">
        <v>213969</v>
      </c>
      <c r="O1195" s="311">
        <v>149778.30000000002</v>
      </c>
      <c r="P1195" s="68">
        <f t="shared" si="252"/>
        <v>2708959.4</v>
      </c>
      <c r="Q1195" s="68">
        <f t="shared" si="253"/>
        <v>0</v>
      </c>
      <c r="R1195" s="127">
        <f t="shared" si="254"/>
        <v>5417918.7999999998</v>
      </c>
      <c r="S1195" s="315"/>
    </row>
    <row r="1196" spans="1:19" s="84" customFormat="1" ht="30">
      <c r="A1196" s="30"/>
      <c r="B1196" s="25" t="s">
        <v>3424</v>
      </c>
      <c r="C1196" s="26" t="s">
        <v>1350</v>
      </c>
      <c r="D1196" s="351"/>
      <c r="E1196" s="26"/>
      <c r="F1196" s="351">
        <v>1</v>
      </c>
      <c r="G1196" s="351" t="s">
        <v>3128</v>
      </c>
      <c r="H1196" s="351"/>
      <c r="I1196" s="351" t="s">
        <v>2596</v>
      </c>
      <c r="J1196" s="560" t="s">
        <v>2328</v>
      </c>
      <c r="K1196" s="311">
        <v>162366.40000000002</v>
      </c>
      <c r="L1196" s="311">
        <v>0</v>
      </c>
      <c r="M1196" s="311">
        <v>217760.41666666669</v>
      </c>
      <c r="N1196" s="311">
        <v>34166.833333333336</v>
      </c>
      <c r="O1196" s="311">
        <v>23916.78333333334</v>
      </c>
      <c r="P1196" s="68">
        <f t="shared" si="252"/>
        <v>438210.43333333335</v>
      </c>
      <c r="Q1196" s="68">
        <f t="shared" si="253"/>
        <v>0</v>
      </c>
      <c r="R1196" s="127">
        <f t="shared" si="254"/>
        <v>438210.43333333335</v>
      </c>
      <c r="S1196" s="315"/>
    </row>
    <row r="1197" spans="1:19" s="84" customFormat="1" ht="30">
      <c r="A1197" s="30"/>
      <c r="B1197" s="25" t="s">
        <v>3425</v>
      </c>
      <c r="C1197" s="26" t="s">
        <v>1350</v>
      </c>
      <c r="D1197" s="351"/>
      <c r="E1197" s="26"/>
      <c r="F1197" s="351">
        <v>2</v>
      </c>
      <c r="G1197" s="351" t="s">
        <v>3128</v>
      </c>
      <c r="H1197" s="351"/>
      <c r="I1197" s="351" t="s">
        <v>2596</v>
      </c>
      <c r="J1197" s="560" t="s">
        <v>2328</v>
      </c>
      <c r="K1197" s="311">
        <v>149548</v>
      </c>
      <c r="L1197" s="311">
        <v>0</v>
      </c>
      <c r="M1197" s="311">
        <v>120203.75</v>
      </c>
      <c r="N1197" s="311">
        <v>24357.5</v>
      </c>
      <c r="O1197" s="311">
        <v>17050.25</v>
      </c>
      <c r="P1197" s="68">
        <f t="shared" si="252"/>
        <v>311159.5</v>
      </c>
      <c r="Q1197" s="68">
        <f t="shared" si="253"/>
        <v>0</v>
      </c>
      <c r="R1197" s="127">
        <f t="shared" si="254"/>
        <v>622319</v>
      </c>
      <c r="S1197" s="315"/>
    </row>
    <row r="1198" spans="1:19" s="84" customFormat="1" ht="30">
      <c r="A1198" s="30"/>
      <c r="B1198" s="25" t="s">
        <v>3426</v>
      </c>
      <c r="C1198" s="26" t="s">
        <v>1350</v>
      </c>
      <c r="D1198" s="351"/>
      <c r="E1198" s="26"/>
      <c r="F1198" s="351">
        <v>1</v>
      </c>
      <c r="G1198" s="351" t="s">
        <v>3128</v>
      </c>
      <c r="H1198" s="351"/>
      <c r="I1198" s="351" t="s">
        <v>2596</v>
      </c>
      <c r="J1198" s="560" t="s">
        <v>2328</v>
      </c>
      <c r="K1198" s="311">
        <v>150616.20000000001</v>
      </c>
      <c r="L1198" s="311">
        <v>0</v>
      </c>
      <c r="M1198" s="311">
        <v>121945.83333333333</v>
      </c>
      <c r="N1198" s="311">
        <v>24609.666666666668</v>
      </c>
      <c r="O1198" s="311">
        <v>17226.766666666666</v>
      </c>
      <c r="P1198" s="68">
        <f t="shared" si="252"/>
        <v>314398.46666666667</v>
      </c>
      <c r="Q1198" s="68">
        <f t="shared" si="253"/>
        <v>0</v>
      </c>
      <c r="R1198" s="127">
        <f t="shared" si="254"/>
        <v>314398.46666666667</v>
      </c>
      <c r="S1198" s="315"/>
    </row>
    <row r="1199" spans="1:19" s="84" customFormat="1" ht="30">
      <c r="A1199" s="30"/>
      <c r="B1199" s="25" t="s">
        <v>3424</v>
      </c>
      <c r="C1199" s="26" t="s">
        <v>1350</v>
      </c>
      <c r="D1199" s="351"/>
      <c r="E1199" s="26"/>
      <c r="F1199" s="351">
        <v>1</v>
      </c>
      <c r="G1199" s="351" t="s">
        <v>3128</v>
      </c>
      <c r="H1199" s="351"/>
      <c r="I1199" s="351" t="s">
        <v>2596</v>
      </c>
      <c r="J1199" s="560" t="s">
        <v>2328</v>
      </c>
      <c r="K1199" s="311">
        <v>162366.40000000002</v>
      </c>
      <c r="L1199" s="311">
        <v>0</v>
      </c>
      <c r="M1199" s="311">
        <v>217760.41666666669</v>
      </c>
      <c r="N1199" s="311">
        <v>34166.833333333336</v>
      </c>
      <c r="O1199" s="311">
        <v>23916.78333333334</v>
      </c>
      <c r="P1199" s="68">
        <f t="shared" si="252"/>
        <v>438210.43333333335</v>
      </c>
      <c r="Q1199" s="68">
        <f t="shared" si="253"/>
        <v>0</v>
      </c>
      <c r="R1199" s="127">
        <f t="shared" si="254"/>
        <v>438210.43333333335</v>
      </c>
      <c r="S1199" s="315"/>
    </row>
    <row r="1200" spans="1:19" s="84" customFormat="1" ht="30">
      <c r="A1200" s="26"/>
      <c r="B1200" s="25" t="s">
        <v>3427</v>
      </c>
      <c r="C1200" s="26" t="s">
        <v>1350</v>
      </c>
      <c r="D1200" s="351"/>
      <c r="E1200" s="26"/>
      <c r="F1200" s="351">
        <v>1</v>
      </c>
      <c r="G1200" s="351" t="s">
        <v>3128</v>
      </c>
      <c r="H1200" s="351"/>
      <c r="I1200" s="351" t="s">
        <v>2596</v>
      </c>
      <c r="J1200" s="560" t="s">
        <v>2328</v>
      </c>
      <c r="K1200" s="311">
        <v>128184.00000000001</v>
      </c>
      <c r="L1200" s="311">
        <v>0</v>
      </c>
      <c r="M1200" s="311">
        <v>104525.00000000001</v>
      </c>
      <c r="N1200" s="311">
        <v>21010</v>
      </c>
      <c r="O1200" s="311">
        <v>14707.000000000002</v>
      </c>
      <c r="P1200" s="68">
        <f t="shared" si="252"/>
        <v>268426.00000000006</v>
      </c>
      <c r="Q1200" s="68">
        <f t="shared" si="253"/>
        <v>0</v>
      </c>
      <c r="R1200" s="127">
        <f t="shared" si="254"/>
        <v>268426.00000000006</v>
      </c>
      <c r="S1200" s="315"/>
    </row>
    <row r="1201" spans="1:19" s="84" customFormat="1" ht="30">
      <c r="A1201" s="26"/>
      <c r="B1201" s="25" t="s">
        <v>3418</v>
      </c>
      <c r="C1201" s="26" t="s">
        <v>1350</v>
      </c>
      <c r="D1201" s="351"/>
      <c r="E1201" s="26"/>
      <c r="F1201" s="351">
        <v>150</v>
      </c>
      <c r="G1201" s="351" t="s">
        <v>3128</v>
      </c>
      <c r="H1201" s="351"/>
      <c r="I1201" s="351" t="s">
        <v>2596</v>
      </c>
      <c r="J1201" s="560" t="s">
        <v>2328</v>
      </c>
      <c r="K1201" s="311">
        <v>155957.20000000001</v>
      </c>
      <c r="L1201" s="311">
        <v>0</v>
      </c>
      <c r="M1201" s="311">
        <v>116719.58333333337</v>
      </c>
      <c r="N1201" s="311">
        <v>24637.166666666672</v>
      </c>
      <c r="O1201" s="311">
        <v>17246.01666666667</v>
      </c>
      <c r="P1201" s="68">
        <f t="shared" si="252"/>
        <v>314559.96666666673</v>
      </c>
      <c r="Q1201" s="68">
        <f t="shared" si="253"/>
        <v>0</v>
      </c>
      <c r="R1201" s="127">
        <f t="shared" si="254"/>
        <v>47183995.000000007</v>
      </c>
      <c r="S1201" s="315"/>
    </row>
    <row r="1202" spans="1:19" s="84" customFormat="1" ht="30">
      <c r="A1202" s="26"/>
      <c r="B1202" s="25" t="s">
        <v>3428</v>
      </c>
      <c r="C1202" s="26" t="s">
        <v>1350</v>
      </c>
      <c r="D1202" s="351"/>
      <c r="E1202" s="26"/>
      <c r="F1202" s="351">
        <v>2</v>
      </c>
      <c r="G1202" s="351" t="s">
        <v>3128</v>
      </c>
      <c r="H1202" s="351"/>
      <c r="I1202" s="351" t="s">
        <v>2596</v>
      </c>
      <c r="J1202" s="560" t="s">
        <v>2328</v>
      </c>
      <c r="K1202" s="311">
        <v>206162.6</v>
      </c>
      <c r="L1202" s="311">
        <v>0</v>
      </c>
      <c r="M1202" s="311">
        <v>158529.58333333337</v>
      </c>
      <c r="N1202" s="311">
        <v>32943.166666666672</v>
      </c>
      <c r="O1202" s="311">
        <v>23060.216666666671</v>
      </c>
      <c r="P1202" s="68">
        <f t="shared" si="252"/>
        <v>420695.56666666671</v>
      </c>
      <c r="Q1202" s="68">
        <f t="shared" si="253"/>
        <v>0</v>
      </c>
      <c r="R1202" s="127">
        <f t="shared" si="254"/>
        <v>841391.13333333342</v>
      </c>
      <c r="S1202" s="315"/>
    </row>
    <row r="1203" spans="1:19" s="83" customFormat="1">
      <c r="A1203" s="24"/>
      <c r="B1203" s="27" t="s">
        <v>2002</v>
      </c>
      <c r="C1203" s="24"/>
      <c r="D1203" s="351"/>
      <c r="E1203" s="24"/>
      <c r="F1203" s="351"/>
      <c r="G1203" s="351"/>
      <c r="H1203" s="351"/>
      <c r="I1203" s="351"/>
      <c r="J1203" s="560"/>
      <c r="K1203" s="80"/>
      <c r="L1203" s="80"/>
      <c r="M1203" s="80"/>
      <c r="N1203" s="80"/>
      <c r="O1203" s="80"/>
      <c r="P1203" s="80"/>
      <c r="Q1203" s="80"/>
      <c r="R1203" s="80"/>
      <c r="S1203" s="28"/>
    </row>
    <row r="1204" spans="1:19" s="84" customFormat="1">
      <c r="A1204" s="26"/>
      <c r="B1204" s="25" t="s">
        <v>1414</v>
      </c>
      <c r="C1204" s="26" t="s">
        <v>117</v>
      </c>
      <c r="D1204" s="351"/>
      <c r="E1204" s="26"/>
      <c r="F1204" s="351">
        <v>36</v>
      </c>
      <c r="G1204" s="351" t="s">
        <v>3125</v>
      </c>
      <c r="H1204" s="351"/>
      <c r="I1204" s="351" t="s">
        <v>2596</v>
      </c>
      <c r="J1204" s="560" t="s">
        <v>2328</v>
      </c>
      <c r="K1204" s="311">
        <v>937879.60000000009</v>
      </c>
      <c r="L1204" s="311">
        <v>0</v>
      </c>
      <c r="M1204" s="311">
        <v>406800.00000000006</v>
      </c>
      <c r="N1204" s="311">
        <v>122044</v>
      </c>
      <c r="O1204" s="311">
        <v>85430.8</v>
      </c>
      <c r="P1204" s="68">
        <f>SUM(K1204:O1204)</f>
        <v>1552154.4000000001</v>
      </c>
      <c r="Q1204" s="68">
        <f>D1204*P1204</f>
        <v>0</v>
      </c>
      <c r="R1204" s="127">
        <f>F1204*P1204</f>
        <v>55877558.400000006</v>
      </c>
      <c r="S1204" s="30"/>
    </row>
    <row r="1205" spans="1:19" s="83" customFormat="1">
      <c r="A1205" s="24"/>
      <c r="B1205" s="27" t="s">
        <v>3437</v>
      </c>
      <c r="C1205" s="24"/>
      <c r="D1205" s="351"/>
      <c r="E1205" s="24"/>
      <c r="F1205" s="351"/>
      <c r="G1205" s="351"/>
      <c r="H1205" s="351"/>
      <c r="I1205" s="351"/>
      <c r="J1205" s="560"/>
      <c r="K1205" s="80"/>
      <c r="L1205" s="80"/>
      <c r="M1205" s="80"/>
      <c r="N1205" s="80"/>
      <c r="O1205" s="80"/>
      <c r="P1205" s="80"/>
      <c r="Q1205" s="80"/>
      <c r="R1205" s="80"/>
      <c r="S1205" s="28"/>
    </row>
    <row r="1206" spans="1:19" s="84" customFormat="1">
      <c r="A1206" s="26"/>
      <c r="B1206" s="25" t="s">
        <v>3438</v>
      </c>
      <c r="C1206" s="26" t="s">
        <v>1350</v>
      </c>
      <c r="D1206" s="351"/>
      <c r="E1206" s="26"/>
      <c r="F1206" s="351">
        <v>1</v>
      </c>
      <c r="G1206" s="351" t="s">
        <v>3125</v>
      </c>
      <c r="H1206" s="351"/>
      <c r="I1206" s="351" t="s">
        <v>2596</v>
      </c>
      <c r="J1206" s="560" t="s">
        <v>2328</v>
      </c>
      <c r="K1206" s="311">
        <v>382415.60000000003</v>
      </c>
      <c r="L1206" s="311">
        <v>0</v>
      </c>
      <c r="M1206" s="311">
        <v>132586.66666666669</v>
      </c>
      <c r="N1206" s="311">
        <v>46817.333333333343</v>
      </c>
      <c r="O1206" s="311">
        <v>32772.133333333339</v>
      </c>
      <c r="P1206" s="68">
        <f t="shared" ref="P1206:P1208" si="255">SUM(K1206:O1206)</f>
        <v>594591.7333333334</v>
      </c>
      <c r="Q1206" s="68">
        <f>D1206*P1206</f>
        <v>0</v>
      </c>
      <c r="R1206" s="127">
        <f>F1206*P1206</f>
        <v>594591.7333333334</v>
      </c>
      <c r="S1206" s="30"/>
    </row>
    <row r="1207" spans="1:19" s="84" customFormat="1">
      <c r="A1207" s="26"/>
      <c r="B1207" s="25" t="s">
        <v>3439</v>
      </c>
      <c r="C1207" s="26" t="s">
        <v>1350</v>
      </c>
      <c r="D1207" s="351"/>
      <c r="E1207" s="26"/>
      <c r="F1207" s="351">
        <v>20</v>
      </c>
      <c r="G1207" s="351" t="s">
        <v>3125</v>
      </c>
      <c r="H1207" s="351"/>
      <c r="I1207" s="351" t="s">
        <v>2596</v>
      </c>
      <c r="J1207" s="560" t="s">
        <v>2328</v>
      </c>
      <c r="K1207" s="311">
        <v>162366.40000000002</v>
      </c>
      <c r="L1207" s="311">
        <v>0</v>
      </c>
      <c r="M1207" s="311">
        <v>109986.66666666669</v>
      </c>
      <c r="N1207" s="311">
        <v>24629.333333333336</v>
      </c>
      <c r="O1207" s="311">
        <v>17240.533333333336</v>
      </c>
      <c r="P1207" s="68">
        <f t="shared" si="255"/>
        <v>314222.93333333335</v>
      </c>
      <c r="Q1207" s="68">
        <f>D1207*P1207</f>
        <v>0</v>
      </c>
      <c r="R1207" s="127">
        <f>F1207*P1207</f>
        <v>6284458.666666667</v>
      </c>
      <c r="S1207" s="30"/>
    </row>
    <row r="1208" spans="1:19" s="84" customFormat="1">
      <c r="A1208" s="26"/>
      <c r="B1208" s="25" t="s">
        <v>3440</v>
      </c>
      <c r="C1208" s="26" t="s">
        <v>1350</v>
      </c>
      <c r="D1208" s="351"/>
      <c r="E1208" s="26"/>
      <c r="F1208" s="351">
        <v>58</v>
      </c>
      <c r="G1208" s="351" t="s">
        <v>3125</v>
      </c>
      <c r="H1208" s="351"/>
      <c r="I1208" s="351" t="s">
        <v>2596</v>
      </c>
      <c r="J1208" s="560" t="s">
        <v>2328</v>
      </c>
      <c r="K1208" s="311">
        <v>195480.6</v>
      </c>
      <c r="L1208" s="311">
        <v>0</v>
      </c>
      <c r="M1208" s="311">
        <v>144640.00000000003</v>
      </c>
      <c r="N1208" s="311">
        <v>30734</v>
      </c>
      <c r="O1208" s="311">
        <v>21513.800000000003</v>
      </c>
      <c r="P1208" s="68">
        <f t="shared" si="255"/>
        <v>392368.4</v>
      </c>
      <c r="Q1208" s="68">
        <f>D1208*P1208</f>
        <v>0</v>
      </c>
      <c r="R1208" s="127">
        <f>F1208*P1208</f>
        <v>22757367.200000003</v>
      </c>
      <c r="S1208" s="30"/>
    </row>
    <row r="1209" spans="1:19">
      <c r="A1209" s="24"/>
      <c r="B1209" s="27" t="s">
        <v>1423</v>
      </c>
      <c r="C1209" s="24"/>
      <c r="D1209" s="351"/>
      <c r="E1209" s="26"/>
      <c r="F1209" s="351"/>
      <c r="G1209" s="15"/>
      <c r="H1209" s="15"/>
      <c r="I1209" s="15"/>
      <c r="J1209" s="572"/>
      <c r="K1209" s="66"/>
      <c r="L1209" s="66"/>
      <c r="M1209" s="66"/>
      <c r="N1209" s="66"/>
      <c r="O1209" s="66"/>
      <c r="P1209" s="66"/>
      <c r="Q1209" s="66"/>
      <c r="R1209" s="66"/>
      <c r="S1209" s="15"/>
    </row>
    <row r="1210" spans="1:19" ht="30">
      <c r="A1210" s="24"/>
      <c r="B1210" s="25" t="s">
        <v>1419</v>
      </c>
      <c r="C1210" s="26" t="s">
        <v>1350</v>
      </c>
      <c r="D1210" s="351"/>
      <c r="E1210" s="26"/>
      <c r="F1210" s="351">
        <v>1</v>
      </c>
      <c r="G1210" s="351" t="s">
        <v>3128</v>
      </c>
      <c r="H1210" s="351"/>
      <c r="I1210" s="351" t="s">
        <v>2596</v>
      </c>
      <c r="J1210" s="560" t="s">
        <v>2328</v>
      </c>
      <c r="K1210" s="311">
        <v>1872554.6</v>
      </c>
      <c r="L1210" s="311">
        <v>0</v>
      </c>
      <c r="M1210" s="311">
        <v>656765.41666666674</v>
      </c>
      <c r="N1210" s="311">
        <v>229914.83333333337</v>
      </c>
      <c r="O1210" s="311">
        <v>160940.38333333336</v>
      </c>
      <c r="P1210" s="68">
        <f>SUM(K1210:O1210)</f>
        <v>2920175.2333333334</v>
      </c>
      <c r="Q1210" s="68">
        <f>D1210*P1210</f>
        <v>0</v>
      </c>
      <c r="R1210" s="127">
        <f>F1210*P1210</f>
        <v>2920175.2333333334</v>
      </c>
      <c r="S1210" s="330"/>
    </row>
    <row r="1211" spans="1:19">
      <c r="A1211" s="24"/>
      <c r="B1211" s="27" t="s">
        <v>1424</v>
      </c>
      <c r="C1211" s="24"/>
      <c r="D1211" s="351"/>
      <c r="E1211" s="26"/>
      <c r="F1211" s="351"/>
      <c r="G1211" s="15"/>
      <c r="H1211" s="15"/>
      <c r="I1211" s="15"/>
      <c r="J1211" s="572"/>
      <c r="K1211" s="66"/>
      <c r="L1211" s="66"/>
      <c r="M1211" s="66"/>
      <c r="N1211" s="66"/>
      <c r="O1211" s="66"/>
      <c r="P1211" s="66"/>
      <c r="Q1211" s="66"/>
      <c r="R1211" s="66"/>
      <c r="S1211" s="15"/>
    </row>
    <row r="1212" spans="1:19" s="84" customFormat="1" ht="30">
      <c r="A1212" s="26"/>
      <c r="B1212" s="25" t="s">
        <v>3589</v>
      </c>
      <c r="C1212" s="26" t="s">
        <v>1350</v>
      </c>
      <c r="D1212" s="351"/>
      <c r="E1212" s="26"/>
      <c r="F1212" s="351">
        <v>1</v>
      </c>
      <c r="G1212" s="351" t="s">
        <v>3128</v>
      </c>
      <c r="H1212" s="351"/>
      <c r="I1212" s="351" t="s">
        <v>2596</v>
      </c>
      <c r="J1212" s="560" t="s">
        <v>2328</v>
      </c>
      <c r="K1212" s="311">
        <v>457189.60000000003</v>
      </c>
      <c r="L1212" s="311">
        <v>0</v>
      </c>
      <c r="M1212" s="311">
        <v>191629.16666666674</v>
      </c>
      <c r="N1212" s="311">
        <v>58902.333333333343</v>
      </c>
      <c r="O1212" s="311">
        <v>41231.633333333339</v>
      </c>
      <c r="P1212" s="68">
        <f t="shared" ref="P1212:P1221" si="256">SUM(K1212:O1212)</f>
        <v>748952.73333333351</v>
      </c>
      <c r="Q1212" s="68">
        <f t="shared" ref="Q1212:Q1221" si="257">D1212*P1212</f>
        <v>0</v>
      </c>
      <c r="R1212" s="127">
        <f t="shared" ref="R1212:R1221" si="258">F1212*P1212</f>
        <v>748952.73333333351</v>
      </c>
      <c r="S1212" s="315"/>
    </row>
    <row r="1213" spans="1:19" s="84" customFormat="1" ht="30">
      <c r="A1213" s="26"/>
      <c r="B1213" s="25" t="s">
        <v>3422</v>
      </c>
      <c r="C1213" s="26" t="s">
        <v>1350</v>
      </c>
      <c r="D1213" s="351"/>
      <c r="E1213" s="26"/>
      <c r="F1213" s="351">
        <v>1</v>
      </c>
      <c r="G1213" s="351" t="s">
        <v>3128</v>
      </c>
      <c r="H1213" s="351"/>
      <c r="I1213" s="351" t="s">
        <v>2596</v>
      </c>
      <c r="J1213" s="560" t="s">
        <v>2328</v>
      </c>
      <c r="K1213" s="311">
        <v>1893918.6</v>
      </c>
      <c r="L1213" s="311">
        <v>0</v>
      </c>
      <c r="M1213" s="311">
        <v>334480.00000000006</v>
      </c>
      <c r="N1213" s="311">
        <v>203354</v>
      </c>
      <c r="O1213" s="311">
        <v>142347.80000000002</v>
      </c>
      <c r="P1213" s="68">
        <f t="shared" si="256"/>
        <v>2574100.4</v>
      </c>
      <c r="Q1213" s="68">
        <f t="shared" si="257"/>
        <v>0</v>
      </c>
      <c r="R1213" s="127">
        <f t="shared" si="258"/>
        <v>2574100.4</v>
      </c>
      <c r="S1213" s="315"/>
    </row>
    <row r="1214" spans="1:19" s="84" customFormat="1" ht="30">
      <c r="A1214" s="26"/>
      <c r="B1214" s="25" t="s">
        <v>3423</v>
      </c>
      <c r="C1214" s="26" t="s">
        <v>1350</v>
      </c>
      <c r="D1214" s="351"/>
      <c r="E1214" s="26"/>
      <c r="F1214" s="351">
        <v>2</v>
      </c>
      <c r="G1214" s="351" t="s">
        <v>3128</v>
      </c>
      <c r="H1214" s="351"/>
      <c r="I1214" s="351" t="s">
        <v>2596</v>
      </c>
      <c r="J1214" s="560" t="s">
        <v>2328</v>
      </c>
      <c r="K1214" s="311">
        <v>1979374.6</v>
      </c>
      <c r="L1214" s="311">
        <v>0</v>
      </c>
      <c r="M1214" s="311">
        <v>365837.50000000006</v>
      </c>
      <c r="N1214" s="311">
        <v>213969</v>
      </c>
      <c r="O1214" s="311">
        <v>149778.30000000002</v>
      </c>
      <c r="P1214" s="68">
        <f t="shared" si="256"/>
        <v>2708959.4</v>
      </c>
      <c r="Q1214" s="68">
        <f t="shared" si="257"/>
        <v>0</v>
      </c>
      <c r="R1214" s="127">
        <f t="shared" si="258"/>
        <v>5417918.7999999998</v>
      </c>
      <c r="S1214" s="315"/>
    </row>
    <row r="1215" spans="1:19" s="84" customFormat="1" ht="30">
      <c r="A1215" s="26"/>
      <c r="B1215" s="25" t="s">
        <v>3424</v>
      </c>
      <c r="C1215" s="26" t="s">
        <v>1350</v>
      </c>
      <c r="D1215" s="351"/>
      <c r="E1215" s="26"/>
      <c r="F1215" s="351">
        <v>1</v>
      </c>
      <c r="G1215" s="351" t="s">
        <v>3128</v>
      </c>
      <c r="H1215" s="351"/>
      <c r="I1215" s="351" t="s">
        <v>2596</v>
      </c>
      <c r="J1215" s="560" t="s">
        <v>2328</v>
      </c>
      <c r="K1215" s="311">
        <v>162366.40000000002</v>
      </c>
      <c r="L1215" s="311">
        <v>0</v>
      </c>
      <c r="M1215" s="311">
        <v>217760.41666666669</v>
      </c>
      <c r="N1215" s="311">
        <v>34166.833333333336</v>
      </c>
      <c r="O1215" s="311">
        <v>23916.78333333334</v>
      </c>
      <c r="P1215" s="68">
        <f t="shared" si="256"/>
        <v>438210.43333333335</v>
      </c>
      <c r="Q1215" s="68">
        <f t="shared" si="257"/>
        <v>0</v>
      </c>
      <c r="R1215" s="127">
        <f t="shared" si="258"/>
        <v>438210.43333333335</v>
      </c>
      <c r="S1215" s="315"/>
    </row>
    <row r="1216" spans="1:19" s="84" customFormat="1" ht="30">
      <c r="A1216" s="26"/>
      <c r="B1216" s="25" t="s">
        <v>3425</v>
      </c>
      <c r="C1216" s="26" t="s">
        <v>1350</v>
      </c>
      <c r="D1216" s="351"/>
      <c r="E1216" s="26"/>
      <c r="F1216" s="351">
        <v>2</v>
      </c>
      <c r="G1216" s="351" t="s">
        <v>3128</v>
      </c>
      <c r="H1216" s="351"/>
      <c r="I1216" s="351" t="s">
        <v>2596</v>
      </c>
      <c r="J1216" s="560" t="s">
        <v>2328</v>
      </c>
      <c r="K1216" s="311">
        <v>149548</v>
      </c>
      <c r="L1216" s="311">
        <v>0</v>
      </c>
      <c r="M1216" s="311">
        <v>120203.75</v>
      </c>
      <c r="N1216" s="311">
        <v>24357.5</v>
      </c>
      <c r="O1216" s="311">
        <v>17050.25</v>
      </c>
      <c r="P1216" s="68">
        <f t="shared" si="256"/>
        <v>311159.5</v>
      </c>
      <c r="Q1216" s="68">
        <f t="shared" si="257"/>
        <v>0</v>
      </c>
      <c r="R1216" s="127">
        <f t="shared" si="258"/>
        <v>622319</v>
      </c>
      <c r="S1216" s="315"/>
    </row>
    <row r="1217" spans="1:19" s="84" customFormat="1" ht="30">
      <c r="A1217" s="26"/>
      <c r="B1217" s="25" t="s">
        <v>3426</v>
      </c>
      <c r="C1217" s="26" t="s">
        <v>1350</v>
      </c>
      <c r="D1217" s="351"/>
      <c r="E1217" s="26"/>
      <c r="F1217" s="351">
        <v>1</v>
      </c>
      <c r="G1217" s="351" t="s">
        <v>3128</v>
      </c>
      <c r="H1217" s="351"/>
      <c r="I1217" s="351" t="s">
        <v>2596</v>
      </c>
      <c r="J1217" s="560" t="s">
        <v>2328</v>
      </c>
      <c r="K1217" s="311">
        <v>150616.20000000001</v>
      </c>
      <c r="L1217" s="311">
        <v>0</v>
      </c>
      <c r="M1217" s="311">
        <v>121945.83333333333</v>
      </c>
      <c r="N1217" s="311">
        <v>24609.666666666668</v>
      </c>
      <c r="O1217" s="311">
        <v>17226.766666666666</v>
      </c>
      <c r="P1217" s="68">
        <f t="shared" si="256"/>
        <v>314398.46666666667</v>
      </c>
      <c r="Q1217" s="68">
        <f t="shared" si="257"/>
        <v>0</v>
      </c>
      <c r="R1217" s="127">
        <f t="shared" si="258"/>
        <v>314398.46666666667</v>
      </c>
      <c r="S1217" s="315"/>
    </row>
    <row r="1218" spans="1:19" s="84" customFormat="1" ht="30">
      <c r="A1218" s="26"/>
      <c r="B1218" s="25" t="s">
        <v>3590</v>
      </c>
      <c r="C1218" s="26" t="s">
        <v>1350</v>
      </c>
      <c r="D1218" s="351"/>
      <c r="E1218" s="26"/>
      <c r="F1218" s="351">
        <v>1</v>
      </c>
      <c r="G1218" s="351" t="s">
        <v>3128</v>
      </c>
      <c r="H1218" s="351"/>
      <c r="I1218" s="351" t="s">
        <v>2596</v>
      </c>
      <c r="J1218" s="560" t="s">
        <v>2328</v>
      </c>
      <c r="K1218" s="311">
        <v>162366.40000000002</v>
      </c>
      <c r="L1218" s="311">
        <v>0</v>
      </c>
      <c r="M1218" s="311">
        <v>217760.41666666669</v>
      </c>
      <c r="N1218" s="311">
        <v>34166.833333333336</v>
      </c>
      <c r="O1218" s="311">
        <v>23916.78333333334</v>
      </c>
      <c r="P1218" s="68">
        <f t="shared" si="256"/>
        <v>438210.43333333335</v>
      </c>
      <c r="Q1218" s="68">
        <f t="shared" si="257"/>
        <v>0</v>
      </c>
      <c r="R1218" s="127">
        <f t="shared" si="258"/>
        <v>438210.43333333335</v>
      </c>
      <c r="S1218" s="315"/>
    </row>
    <row r="1219" spans="1:19" s="84" customFormat="1" ht="30">
      <c r="A1219" s="26"/>
      <c r="B1219" s="25" t="s">
        <v>3427</v>
      </c>
      <c r="C1219" s="26" t="s">
        <v>1350</v>
      </c>
      <c r="D1219" s="351"/>
      <c r="E1219" s="26"/>
      <c r="F1219" s="351">
        <v>1</v>
      </c>
      <c r="G1219" s="351" t="s">
        <v>3128</v>
      </c>
      <c r="H1219" s="351"/>
      <c r="I1219" s="351" t="s">
        <v>2596</v>
      </c>
      <c r="J1219" s="560" t="s">
        <v>2328</v>
      </c>
      <c r="K1219" s="311">
        <v>128184.00000000001</v>
      </c>
      <c r="L1219" s="311">
        <v>0</v>
      </c>
      <c r="M1219" s="311">
        <v>104525.00000000001</v>
      </c>
      <c r="N1219" s="311">
        <v>21010</v>
      </c>
      <c r="O1219" s="311">
        <v>14707.000000000002</v>
      </c>
      <c r="P1219" s="68">
        <f t="shared" si="256"/>
        <v>268426.00000000006</v>
      </c>
      <c r="Q1219" s="68">
        <f t="shared" si="257"/>
        <v>0</v>
      </c>
      <c r="R1219" s="127">
        <f t="shared" si="258"/>
        <v>268426.00000000006</v>
      </c>
      <c r="S1219" s="315"/>
    </row>
    <row r="1220" spans="1:19" s="84" customFormat="1" ht="30">
      <c r="A1220" s="26"/>
      <c r="B1220" s="25" t="s">
        <v>3418</v>
      </c>
      <c r="C1220" s="26" t="s">
        <v>1350</v>
      </c>
      <c r="D1220" s="351"/>
      <c r="E1220" s="26"/>
      <c r="F1220" s="351">
        <v>150</v>
      </c>
      <c r="G1220" s="351" t="s">
        <v>3128</v>
      </c>
      <c r="H1220" s="351"/>
      <c r="I1220" s="351" t="s">
        <v>2596</v>
      </c>
      <c r="J1220" s="560" t="s">
        <v>2328</v>
      </c>
      <c r="K1220" s="311">
        <v>155957.20000000001</v>
      </c>
      <c r="L1220" s="311">
        <v>0</v>
      </c>
      <c r="M1220" s="311">
        <v>116719.58333333337</v>
      </c>
      <c r="N1220" s="311">
        <v>24637.166666666672</v>
      </c>
      <c r="O1220" s="311">
        <v>17246.01666666667</v>
      </c>
      <c r="P1220" s="68">
        <f t="shared" si="256"/>
        <v>314559.96666666673</v>
      </c>
      <c r="Q1220" s="68">
        <f t="shared" si="257"/>
        <v>0</v>
      </c>
      <c r="R1220" s="127">
        <f t="shared" si="258"/>
        <v>47183995.000000007</v>
      </c>
      <c r="S1220" s="315"/>
    </row>
    <row r="1221" spans="1:19" s="84" customFormat="1" ht="30">
      <c r="A1221" s="26"/>
      <c r="B1221" s="25" t="s">
        <v>3428</v>
      </c>
      <c r="C1221" s="26" t="s">
        <v>1350</v>
      </c>
      <c r="D1221" s="351"/>
      <c r="E1221" s="26"/>
      <c r="F1221" s="351">
        <v>2</v>
      </c>
      <c r="G1221" s="351" t="s">
        <v>3128</v>
      </c>
      <c r="H1221" s="351"/>
      <c r="I1221" s="351" t="s">
        <v>2596</v>
      </c>
      <c r="J1221" s="560" t="s">
        <v>2328</v>
      </c>
      <c r="K1221" s="311">
        <v>206162.6</v>
      </c>
      <c r="L1221" s="311">
        <v>0</v>
      </c>
      <c r="M1221" s="311">
        <v>158529.58333333337</v>
      </c>
      <c r="N1221" s="311">
        <v>32943.166666666672</v>
      </c>
      <c r="O1221" s="311">
        <v>23060.216666666671</v>
      </c>
      <c r="P1221" s="68">
        <f t="shared" si="256"/>
        <v>420695.56666666671</v>
      </c>
      <c r="Q1221" s="68">
        <f t="shared" si="257"/>
        <v>0</v>
      </c>
      <c r="R1221" s="127">
        <f t="shared" si="258"/>
        <v>841391.13333333342</v>
      </c>
      <c r="S1221" s="315"/>
    </row>
    <row r="1222" spans="1:19">
      <c r="A1222" s="24"/>
      <c r="B1222" s="27" t="s">
        <v>3591</v>
      </c>
      <c r="C1222" s="24"/>
      <c r="D1222" s="351"/>
      <c r="E1222" s="24"/>
      <c r="F1222" s="351"/>
      <c r="G1222" s="337"/>
      <c r="H1222" s="337"/>
      <c r="I1222" s="337"/>
      <c r="J1222" s="577"/>
      <c r="K1222" s="66"/>
      <c r="L1222" s="66"/>
      <c r="M1222" s="66"/>
      <c r="N1222" s="66"/>
      <c r="O1222" s="66"/>
      <c r="P1222" s="66"/>
      <c r="Q1222" s="66"/>
      <c r="R1222" s="66"/>
      <c r="S1222" s="337"/>
    </row>
    <row r="1223" spans="1:19" ht="30">
      <c r="A1223" s="26"/>
      <c r="B1223" s="25" t="s">
        <v>3430</v>
      </c>
      <c r="C1223" s="26" t="s">
        <v>1350</v>
      </c>
      <c r="D1223" s="351"/>
      <c r="E1223" s="26"/>
      <c r="F1223" s="351">
        <v>4</v>
      </c>
      <c r="G1223" s="351" t="s">
        <v>3147</v>
      </c>
      <c r="H1223" s="351"/>
      <c r="I1223" s="351" t="s">
        <v>2596</v>
      </c>
      <c r="J1223" s="560" t="s">
        <v>2328</v>
      </c>
      <c r="K1223" s="311">
        <v>4046341.6</v>
      </c>
      <c r="L1223" s="311">
        <v>0</v>
      </c>
      <c r="M1223" s="311">
        <v>324027.50000000006</v>
      </c>
      <c r="N1223" s="311">
        <v>399899</v>
      </c>
      <c r="O1223" s="311">
        <v>279929.30000000005</v>
      </c>
      <c r="P1223" s="68">
        <f t="shared" ref="P1223:P1230" si="259">SUM(K1223:O1223)</f>
        <v>5050197.4000000004</v>
      </c>
      <c r="Q1223" s="68">
        <f t="shared" ref="Q1223:Q1230" si="260">D1223*P1223</f>
        <v>0</v>
      </c>
      <c r="R1223" s="127">
        <f t="shared" ref="R1223:R1230" si="261">F1223*P1223</f>
        <v>20200789.600000001</v>
      </c>
      <c r="S1223" s="335"/>
    </row>
    <row r="1224" spans="1:19" ht="30">
      <c r="A1224" s="26"/>
      <c r="B1224" s="25" t="s">
        <v>3431</v>
      </c>
      <c r="C1224" s="26" t="s">
        <v>1350</v>
      </c>
      <c r="D1224" s="351"/>
      <c r="E1224" s="24"/>
      <c r="F1224" s="351">
        <v>1</v>
      </c>
      <c r="G1224" s="351" t="s">
        <v>3147</v>
      </c>
      <c r="H1224" s="351"/>
      <c r="I1224" s="351" t="s">
        <v>2596</v>
      </c>
      <c r="J1224" s="560" t="s">
        <v>2328</v>
      </c>
      <c r="K1224" s="311">
        <v>1411092.2000000002</v>
      </c>
      <c r="L1224" s="311">
        <v>0</v>
      </c>
      <c r="M1224" s="311">
        <v>287443.75000000006</v>
      </c>
      <c r="N1224" s="311">
        <v>154895.5</v>
      </c>
      <c r="O1224" s="311">
        <v>108426.85</v>
      </c>
      <c r="P1224" s="68">
        <f t="shared" si="259"/>
        <v>1961858.3000000003</v>
      </c>
      <c r="Q1224" s="68">
        <f t="shared" si="260"/>
        <v>0</v>
      </c>
      <c r="R1224" s="127">
        <f t="shared" si="261"/>
        <v>1961858.3000000003</v>
      </c>
      <c r="S1224" s="335"/>
    </row>
    <row r="1225" spans="1:19" ht="30">
      <c r="A1225" s="26"/>
      <c r="B1225" s="25" t="s">
        <v>3432</v>
      </c>
      <c r="C1225" s="26" t="s">
        <v>1350</v>
      </c>
      <c r="D1225" s="351"/>
      <c r="E1225" s="24"/>
      <c r="F1225" s="351">
        <v>1</v>
      </c>
      <c r="G1225" s="351" t="s">
        <v>3147</v>
      </c>
      <c r="H1225" s="351"/>
      <c r="I1225" s="351" t="s">
        <v>2596</v>
      </c>
      <c r="J1225" s="560" t="s">
        <v>2328</v>
      </c>
      <c r="K1225" s="311">
        <v>1381182.6</v>
      </c>
      <c r="L1225" s="311">
        <v>0</v>
      </c>
      <c r="M1225" s="311">
        <v>280475.41666666669</v>
      </c>
      <c r="N1225" s="311">
        <v>151534.83333333334</v>
      </c>
      <c r="O1225" s="311">
        <v>106074.38333333333</v>
      </c>
      <c r="P1225" s="68">
        <f t="shared" si="259"/>
        <v>1919267.2333333334</v>
      </c>
      <c r="Q1225" s="68">
        <f t="shared" si="260"/>
        <v>0</v>
      </c>
      <c r="R1225" s="127">
        <f t="shared" si="261"/>
        <v>1919267.2333333334</v>
      </c>
      <c r="S1225" s="335"/>
    </row>
    <row r="1226" spans="1:19" ht="30">
      <c r="A1226" s="26"/>
      <c r="B1226" s="25" t="s">
        <v>3433</v>
      </c>
      <c r="C1226" s="26" t="s">
        <v>1350</v>
      </c>
      <c r="D1226" s="351"/>
      <c r="E1226" s="26"/>
      <c r="F1226" s="351">
        <v>1</v>
      </c>
      <c r="G1226" s="351" t="s">
        <v>3147</v>
      </c>
      <c r="H1226" s="351"/>
      <c r="I1226" s="351" t="s">
        <v>2596</v>
      </c>
      <c r="J1226" s="560" t="s">
        <v>2328</v>
      </c>
      <c r="K1226" s="311">
        <v>709284.8</v>
      </c>
      <c r="L1226" s="311">
        <v>0</v>
      </c>
      <c r="M1226" s="311">
        <v>146335.00000000003</v>
      </c>
      <c r="N1226" s="311">
        <v>78022</v>
      </c>
      <c r="O1226" s="311">
        <v>54615.400000000009</v>
      </c>
      <c r="P1226" s="68">
        <f t="shared" si="259"/>
        <v>988257.20000000007</v>
      </c>
      <c r="Q1226" s="68">
        <f t="shared" si="260"/>
        <v>0</v>
      </c>
      <c r="R1226" s="127">
        <f t="shared" si="261"/>
        <v>988257.20000000007</v>
      </c>
      <c r="S1226" s="335"/>
    </row>
    <row r="1227" spans="1:19" ht="30">
      <c r="A1227" s="26"/>
      <c r="B1227" s="25" t="s">
        <v>3434</v>
      </c>
      <c r="C1227" s="26" t="s">
        <v>1350</v>
      </c>
      <c r="D1227" s="351"/>
      <c r="E1227" s="24"/>
      <c r="F1227" s="351">
        <v>1</v>
      </c>
      <c r="G1227" s="351" t="s">
        <v>3147</v>
      </c>
      <c r="H1227" s="351"/>
      <c r="I1227" s="351" t="s">
        <v>2596</v>
      </c>
      <c r="J1227" s="560" t="s">
        <v>2328</v>
      </c>
      <c r="K1227" s="311">
        <v>3764336.8000000003</v>
      </c>
      <c r="L1227" s="311">
        <v>0</v>
      </c>
      <c r="M1227" s="311">
        <v>773485.00000000023</v>
      </c>
      <c r="N1227" s="311">
        <v>413802</v>
      </c>
      <c r="O1227" s="311">
        <v>289661.40000000002</v>
      </c>
      <c r="P1227" s="68">
        <f t="shared" si="259"/>
        <v>5241285.2000000011</v>
      </c>
      <c r="Q1227" s="68">
        <f t="shared" si="260"/>
        <v>0</v>
      </c>
      <c r="R1227" s="127">
        <f t="shared" si="261"/>
        <v>5241285.2000000011</v>
      </c>
      <c r="S1227" s="335"/>
    </row>
    <row r="1228" spans="1:19" ht="30">
      <c r="A1228" s="26"/>
      <c r="B1228" s="25" t="s">
        <v>3435</v>
      </c>
      <c r="C1228" s="26" t="s">
        <v>1350</v>
      </c>
      <c r="D1228" s="351"/>
      <c r="E1228" s="24"/>
      <c r="F1228" s="351">
        <v>1</v>
      </c>
      <c r="G1228" s="351" t="s">
        <v>3147</v>
      </c>
      <c r="H1228" s="351"/>
      <c r="I1228" s="351" t="s">
        <v>2596</v>
      </c>
      <c r="J1228" s="560" t="s">
        <v>2328</v>
      </c>
      <c r="K1228" s="311">
        <v>4332619.2</v>
      </c>
      <c r="L1228" s="311">
        <v>0</v>
      </c>
      <c r="M1228" s="311">
        <v>890204.58333333349</v>
      </c>
      <c r="N1228" s="311">
        <v>476267.16666666674</v>
      </c>
      <c r="O1228" s="311">
        <v>333387.01666666672</v>
      </c>
      <c r="P1228" s="68">
        <f t="shared" si="259"/>
        <v>6032477.9666666668</v>
      </c>
      <c r="Q1228" s="68">
        <f t="shared" si="260"/>
        <v>0</v>
      </c>
      <c r="R1228" s="127">
        <f t="shared" si="261"/>
        <v>6032477.9666666668</v>
      </c>
      <c r="S1228" s="335"/>
    </row>
    <row r="1229" spans="1:19" s="84" customFormat="1" ht="30">
      <c r="A1229" s="30"/>
      <c r="B1229" s="25" t="s">
        <v>3436</v>
      </c>
      <c r="C1229" s="26" t="s">
        <v>1350</v>
      </c>
      <c r="D1229" s="351"/>
      <c r="E1229" s="26"/>
      <c r="F1229" s="351">
        <v>1</v>
      </c>
      <c r="G1229" s="351" t="s">
        <v>3147</v>
      </c>
      <c r="H1229" s="351"/>
      <c r="I1229" s="351" t="s">
        <v>2596</v>
      </c>
      <c r="J1229" s="560" t="s">
        <v>2328</v>
      </c>
      <c r="K1229" s="311">
        <v>294823.2</v>
      </c>
      <c r="L1229" s="311">
        <v>0</v>
      </c>
      <c r="M1229" s="311">
        <v>541787.91666666674</v>
      </c>
      <c r="N1229" s="311">
        <v>74993.833333333343</v>
      </c>
      <c r="O1229" s="311">
        <v>52495.683333333342</v>
      </c>
      <c r="P1229" s="68">
        <f t="shared" si="259"/>
        <v>964100.63333333342</v>
      </c>
      <c r="Q1229" s="68">
        <f t="shared" si="260"/>
        <v>0</v>
      </c>
      <c r="R1229" s="127">
        <f t="shared" si="261"/>
        <v>964100.63333333342</v>
      </c>
      <c r="S1229" s="509"/>
    </row>
    <row r="1230" spans="1:19">
      <c r="A1230" s="73"/>
      <c r="B1230" s="72" t="s">
        <v>1408</v>
      </c>
      <c r="C1230" s="26" t="s">
        <v>78</v>
      </c>
      <c r="D1230" s="351"/>
      <c r="E1230" s="24"/>
      <c r="F1230" s="351">
        <v>1</v>
      </c>
      <c r="G1230" s="351"/>
      <c r="H1230" s="351"/>
      <c r="I1230" s="351"/>
      <c r="J1230" s="560" t="s">
        <v>2381</v>
      </c>
      <c r="K1230" s="311">
        <v>22776512.220000003</v>
      </c>
      <c r="L1230" s="311">
        <v>0</v>
      </c>
      <c r="M1230" s="311">
        <v>10967355.125000006</v>
      </c>
      <c r="N1230" s="311">
        <v>2859649.7750000004</v>
      </c>
      <c r="O1230" s="311">
        <v>2001754.8425000005</v>
      </c>
      <c r="P1230" s="68">
        <f t="shared" si="259"/>
        <v>38605271.962500006</v>
      </c>
      <c r="Q1230" s="68">
        <f t="shared" si="260"/>
        <v>0</v>
      </c>
      <c r="R1230" s="127">
        <f t="shared" si="261"/>
        <v>38605271.962500006</v>
      </c>
      <c r="S1230" s="26"/>
    </row>
    <row r="1231" spans="1:19" ht="28.5">
      <c r="A1231" s="215" t="s">
        <v>2224</v>
      </c>
      <c r="B1231" s="216" t="s">
        <v>2225</v>
      </c>
      <c r="C1231" s="215"/>
      <c r="D1231" s="515"/>
      <c r="E1231" s="215"/>
      <c r="F1231" s="515"/>
      <c r="G1231" s="537"/>
      <c r="H1231" s="537"/>
      <c r="I1231" s="537"/>
      <c r="J1231" s="578"/>
      <c r="K1231" s="247"/>
      <c r="L1231" s="247"/>
      <c r="M1231" s="247"/>
      <c r="N1231" s="247"/>
      <c r="O1231" s="247"/>
      <c r="P1231" s="247"/>
      <c r="Q1231" s="247"/>
      <c r="R1231" s="247"/>
      <c r="S1231" s="537"/>
    </row>
    <row r="1232" spans="1:19">
      <c r="A1232" s="24"/>
      <c r="B1232" s="72" t="s">
        <v>3592</v>
      </c>
      <c r="C1232" s="24"/>
      <c r="D1232" s="351"/>
      <c r="E1232" s="24"/>
      <c r="F1232" s="351"/>
      <c r="G1232" s="338"/>
      <c r="H1232" s="338"/>
      <c r="I1232" s="338"/>
      <c r="J1232" s="579"/>
      <c r="K1232" s="127"/>
      <c r="L1232" s="127"/>
      <c r="M1232" s="127"/>
      <c r="N1232" s="127"/>
      <c r="O1232" s="127"/>
      <c r="P1232" s="127"/>
      <c r="Q1232" s="127"/>
      <c r="R1232" s="127"/>
      <c r="S1232" s="338"/>
    </row>
    <row r="1233" spans="1:19" ht="30">
      <c r="A1233" s="73"/>
      <c r="B1233" s="25" t="s">
        <v>1437</v>
      </c>
      <c r="C1233" s="26" t="s">
        <v>1336</v>
      </c>
      <c r="D1233" s="352"/>
      <c r="E1233" s="24"/>
      <c r="F1233" s="351">
        <v>5</v>
      </c>
      <c r="G1233" s="351" t="s">
        <v>3147</v>
      </c>
      <c r="H1233" s="351"/>
      <c r="I1233" s="351" t="s">
        <v>2596</v>
      </c>
      <c r="J1233" s="560" t="s">
        <v>2328</v>
      </c>
      <c r="K1233" s="311">
        <v>1831963.0000000002</v>
      </c>
      <c r="L1233" s="311">
        <v>0</v>
      </c>
      <c r="M1233" s="311">
        <v>470362.50000000012</v>
      </c>
      <c r="N1233" s="311">
        <v>209695</v>
      </c>
      <c r="O1233" s="311">
        <v>146786.5</v>
      </c>
      <c r="P1233" s="68">
        <f>SUM(K1233:O1233)</f>
        <v>2658807.0000000005</v>
      </c>
      <c r="Q1233" s="68">
        <f>D1233*P1233</f>
        <v>0</v>
      </c>
      <c r="R1233" s="127">
        <f>F1233*P1233</f>
        <v>13294035.000000002</v>
      </c>
      <c r="S1233" s="338"/>
    </row>
    <row r="1234" spans="1:19">
      <c r="A1234" s="24"/>
      <c r="B1234" s="72" t="s">
        <v>1334</v>
      </c>
      <c r="C1234" s="24"/>
      <c r="D1234" s="351"/>
      <c r="E1234" s="24"/>
      <c r="F1234" s="351"/>
      <c r="G1234" s="338"/>
      <c r="H1234" s="338"/>
      <c r="I1234" s="338"/>
      <c r="J1234" s="579"/>
      <c r="K1234" s="127"/>
      <c r="L1234" s="127"/>
      <c r="M1234" s="127"/>
      <c r="N1234" s="127"/>
      <c r="O1234" s="127"/>
      <c r="P1234" s="127"/>
      <c r="Q1234" s="127"/>
      <c r="R1234" s="127"/>
      <c r="S1234" s="338"/>
    </row>
    <row r="1235" spans="1:19" ht="30">
      <c r="A1235" s="73"/>
      <c r="B1235" s="25" t="s">
        <v>1383</v>
      </c>
      <c r="C1235" s="26" t="s">
        <v>1336</v>
      </c>
      <c r="D1235" s="352"/>
      <c r="E1235" s="24"/>
      <c r="F1235" s="351">
        <v>2</v>
      </c>
      <c r="G1235" s="351" t="s">
        <v>3123</v>
      </c>
      <c r="H1235" s="351"/>
      <c r="I1235" s="351" t="s">
        <v>2596</v>
      </c>
      <c r="J1235" s="560" t="s">
        <v>2328</v>
      </c>
      <c r="K1235" s="311">
        <v>951766.20000000007</v>
      </c>
      <c r="L1235" s="311">
        <v>0</v>
      </c>
      <c r="M1235" s="311">
        <v>296154.16666666669</v>
      </c>
      <c r="N1235" s="311">
        <v>113526.33333333333</v>
      </c>
      <c r="O1235" s="311">
        <v>79468.433333333334</v>
      </c>
      <c r="P1235" s="68">
        <f>SUM(K1235:O1235)</f>
        <v>1440915.1333333333</v>
      </c>
      <c r="Q1235" s="68">
        <f>D1235*P1235</f>
        <v>0</v>
      </c>
      <c r="R1235" s="127">
        <f>F1235*P1235</f>
        <v>2881830.2666666666</v>
      </c>
      <c r="S1235" s="338"/>
    </row>
    <row r="1236" spans="1:19">
      <c r="A1236" s="24"/>
      <c r="B1236" s="72" t="s">
        <v>1440</v>
      </c>
      <c r="C1236" s="24"/>
      <c r="D1236" s="351"/>
      <c r="E1236" s="24"/>
      <c r="F1236" s="351"/>
      <c r="G1236" s="338"/>
      <c r="H1236" s="338"/>
      <c r="I1236" s="338"/>
      <c r="J1236" s="579"/>
      <c r="K1236" s="127"/>
      <c r="L1236" s="127"/>
      <c r="M1236" s="127"/>
      <c r="N1236" s="127"/>
      <c r="O1236" s="127"/>
      <c r="P1236" s="127"/>
      <c r="Q1236" s="127"/>
      <c r="R1236" s="127"/>
      <c r="S1236" s="338"/>
    </row>
    <row r="1237" spans="1:19" ht="30">
      <c r="A1237" s="73"/>
      <c r="B1237" s="25" t="s">
        <v>1689</v>
      </c>
      <c r="C1237" s="26" t="s">
        <v>1336</v>
      </c>
      <c r="D1237" s="352"/>
      <c r="E1237" s="24"/>
      <c r="F1237" s="351">
        <v>5</v>
      </c>
      <c r="G1237" s="351" t="s">
        <v>3123</v>
      </c>
      <c r="H1237" s="351"/>
      <c r="I1237" s="351" t="s">
        <v>2596</v>
      </c>
      <c r="J1237" s="560" t="s">
        <v>2328</v>
      </c>
      <c r="K1237" s="311">
        <v>496713.00000000006</v>
      </c>
      <c r="L1237" s="311">
        <v>0</v>
      </c>
      <c r="M1237" s="311">
        <v>261312.50000000003</v>
      </c>
      <c r="N1237" s="311">
        <v>68695</v>
      </c>
      <c r="O1237" s="311">
        <v>48086.500000000007</v>
      </c>
      <c r="P1237" s="68">
        <f t="shared" ref="P1237:P1238" si="262">SUM(K1237:O1237)</f>
        <v>874807.00000000012</v>
      </c>
      <c r="Q1237" s="68">
        <f>D1237*P1237</f>
        <v>0</v>
      </c>
      <c r="R1237" s="127">
        <f>F1237*P1237</f>
        <v>4374035.0000000009</v>
      </c>
      <c r="S1237" s="338"/>
    </row>
    <row r="1238" spans="1:19" ht="30">
      <c r="A1238" s="73"/>
      <c r="B1238" s="25" t="s">
        <v>3593</v>
      </c>
      <c r="C1238" s="26" t="s">
        <v>1336</v>
      </c>
      <c r="D1238" s="352"/>
      <c r="E1238" s="24"/>
      <c r="F1238" s="351">
        <v>77</v>
      </c>
      <c r="G1238" s="351" t="s">
        <v>3123</v>
      </c>
      <c r="H1238" s="351"/>
      <c r="I1238" s="351" t="s">
        <v>2596</v>
      </c>
      <c r="J1238" s="560" t="s">
        <v>2328</v>
      </c>
      <c r="K1238" s="311">
        <v>463598.80000000005</v>
      </c>
      <c r="L1238" s="311">
        <v>0</v>
      </c>
      <c r="M1238" s="311">
        <v>243891.66666666666</v>
      </c>
      <c r="N1238" s="311">
        <v>64115.333333333328</v>
      </c>
      <c r="O1238" s="311">
        <v>44880.73333333333</v>
      </c>
      <c r="P1238" s="68">
        <f t="shared" si="262"/>
        <v>816486.53333333333</v>
      </c>
      <c r="Q1238" s="68">
        <f>D1238*P1238</f>
        <v>0</v>
      </c>
      <c r="R1238" s="127">
        <f>F1238*P1238</f>
        <v>62869463.066666663</v>
      </c>
      <c r="S1238" s="338"/>
    </row>
    <row r="1239" spans="1:19">
      <c r="A1239" s="24"/>
      <c r="B1239" s="27" t="s">
        <v>1352</v>
      </c>
      <c r="C1239" s="76"/>
      <c r="D1239" s="351"/>
      <c r="E1239" s="76"/>
      <c r="F1239" s="550"/>
      <c r="G1239" s="37"/>
      <c r="H1239" s="37"/>
      <c r="I1239" s="37"/>
      <c r="J1239" s="37"/>
      <c r="K1239" s="66"/>
      <c r="L1239" s="66"/>
      <c r="M1239" s="66"/>
      <c r="N1239" s="66"/>
      <c r="O1239" s="66"/>
      <c r="P1239" s="66"/>
      <c r="Q1239" s="66"/>
      <c r="R1239" s="66"/>
      <c r="S1239" s="37"/>
    </row>
    <row r="1240" spans="1:19" ht="30">
      <c r="A1240" s="642"/>
      <c r="B1240" s="641" t="s">
        <v>3441</v>
      </c>
      <c r="C1240" s="76" t="s">
        <v>1350</v>
      </c>
      <c r="D1240" s="351"/>
      <c r="E1240" s="76"/>
      <c r="F1240" s="550">
        <v>1</v>
      </c>
      <c r="G1240" s="37" t="s">
        <v>3123</v>
      </c>
      <c r="H1240" s="37"/>
      <c r="I1240" s="37" t="s">
        <v>2596</v>
      </c>
      <c r="J1240" s="334" t="s">
        <v>2328</v>
      </c>
      <c r="K1240" s="311">
        <v>710554.8898</v>
      </c>
      <c r="L1240" s="311">
        <v>0</v>
      </c>
      <c r="M1240" s="311">
        <v>275249.16666666669</v>
      </c>
      <c r="N1240" s="311">
        <v>89546.85533333334</v>
      </c>
      <c r="O1240" s="311">
        <v>62682.798733333337</v>
      </c>
      <c r="P1240" s="68">
        <f t="shared" ref="P1240:P1255" si="263">SUM(K1240:O1240)</f>
        <v>1138033.7105333335</v>
      </c>
      <c r="Q1240" s="68">
        <f t="shared" ref="Q1240:Q1255" si="264">D1240*P1240</f>
        <v>0</v>
      </c>
      <c r="R1240" s="127">
        <f t="shared" ref="R1240:R1255" si="265">F1240*P1240</f>
        <v>1138033.7105333335</v>
      </c>
      <c r="S1240" s="37"/>
    </row>
    <row r="1241" spans="1:19" ht="30">
      <c r="A1241" s="26"/>
      <c r="B1241" s="641" t="s">
        <v>3442</v>
      </c>
      <c r="C1241" s="76" t="s">
        <v>1350</v>
      </c>
      <c r="D1241" s="351"/>
      <c r="E1241" s="76"/>
      <c r="F1241" s="550">
        <v>1</v>
      </c>
      <c r="G1241" s="37" t="s">
        <v>3123</v>
      </c>
      <c r="H1241" s="37"/>
      <c r="I1241" s="37" t="s">
        <v>2596</v>
      </c>
      <c r="J1241" s="37" t="s">
        <v>2328</v>
      </c>
      <c r="K1241" s="311">
        <v>602897.42100000009</v>
      </c>
      <c r="L1241" s="311">
        <v>0</v>
      </c>
      <c r="M1241" s="311">
        <v>179434.58333333337</v>
      </c>
      <c r="N1241" s="311">
        <v>71190.856666666674</v>
      </c>
      <c r="O1241" s="311">
        <v>49833.599666666669</v>
      </c>
      <c r="P1241" s="68">
        <f t="shared" si="263"/>
        <v>903356.46066666686</v>
      </c>
      <c r="Q1241" s="68">
        <f t="shared" si="264"/>
        <v>0</v>
      </c>
      <c r="R1241" s="127">
        <f t="shared" si="265"/>
        <v>903356.46066666686</v>
      </c>
      <c r="S1241" s="37"/>
    </row>
    <row r="1242" spans="1:19" ht="30">
      <c r="A1242" s="26"/>
      <c r="B1242" s="25" t="s">
        <v>3443</v>
      </c>
      <c r="C1242" s="76" t="s">
        <v>1350</v>
      </c>
      <c r="D1242" s="351"/>
      <c r="E1242" s="76"/>
      <c r="F1242" s="550">
        <v>1</v>
      </c>
      <c r="G1242" s="37" t="s">
        <v>3123</v>
      </c>
      <c r="H1242" s="37"/>
      <c r="I1242" s="37" t="s">
        <v>2596</v>
      </c>
      <c r="J1242" s="37" t="s">
        <v>2328</v>
      </c>
      <c r="K1242" s="311">
        <v>268667.2548</v>
      </c>
      <c r="L1242" s="311">
        <v>0</v>
      </c>
      <c r="M1242" s="311">
        <v>106267.08333333334</v>
      </c>
      <c r="N1242" s="311">
        <v>34052.538666666667</v>
      </c>
      <c r="O1242" s="311">
        <v>23836.777066666669</v>
      </c>
      <c r="P1242" s="68">
        <f t="shared" si="263"/>
        <v>432823.65386666672</v>
      </c>
      <c r="Q1242" s="68">
        <f t="shared" si="264"/>
        <v>0</v>
      </c>
      <c r="R1242" s="127">
        <f t="shared" si="265"/>
        <v>432823.65386666672</v>
      </c>
      <c r="S1242" s="37"/>
    </row>
    <row r="1243" spans="1:19" ht="30">
      <c r="A1243" s="642"/>
      <c r="B1243" s="641" t="s">
        <v>3444</v>
      </c>
      <c r="C1243" s="76" t="s">
        <v>1350</v>
      </c>
      <c r="D1243" s="351"/>
      <c r="E1243" s="76"/>
      <c r="F1243" s="550">
        <v>1</v>
      </c>
      <c r="G1243" s="37" t="s">
        <v>3123</v>
      </c>
      <c r="H1243" s="37"/>
      <c r="I1243" s="37" t="s">
        <v>2596</v>
      </c>
      <c r="J1243" s="334" t="s">
        <v>2328</v>
      </c>
      <c r="K1243" s="311">
        <v>710554.8898</v>
      </c>
      <c r="L1243" s="311">
        <v>0</v>
      </c>
      <c r="M1243" s="311">
        <v>275249.16666666669</v>
      </c>
      <c r="N1243" s="311">
        <v>89546.85533333334</v>
      </c>
      <c r="O1243" s="311">
        <v>62682.798733333337</v>
      </c>
      <c r="P1243" s="68">
        <f t="shared" si="263"/>
        <v>1138033.7105333335</v>
      </c>
      <c r="Q1243" s="68">
        <f t="shared" si="264"/>
        <v>0</v>
      </c>
      <c r="R1243" s="127">
        <f t="shared" si="265"/>
        <v>1138033.7105333335</v>
      </c>
      <c r="S1243" s="37"/>
    </row>
    <row r="1244" spans="1:19" ht="30">
      <c r="A1244" s="26"/>
      <c r="B1244" s="641" t="s">
        <v>3445</v>
      </c>
      <c r="C1244" s="76" t="s">
        <v>1350</v>
      </c>
      <c r="D1244" s="351"/>
      <c r="E1244" s="76"/>
      <c r="F1244" s="550">
        <v>1</v>
      </c>
      <c r="G1244" s="37" t="s">
        <v>3123</v>
      </c>
      <c r="H1244" s="37"/>
      <c r="I1244" s="37" t="s">
        <v>2596</v>
      </c>
      <c r="J1244" s="37" t="s">
        <v>2328</v>
      </c>
      <c r="K1244" s="311">
        <v>602897.42100000009</v>
      </c>
      <c r="L1244" s="311">
        <v>0</v>
      </c>
      <c r="M1244" s="311">
        <v>179434.58333333337</v>
      </c>
      <c r="N1244" s="311">
        <v>71190.856666666674</v>
      </c>
      <c r="O1244" s="311">
        <v>49833.599666666669</v>
      </c>
      <c r="P1244" s="68">
        <f t="shared" si="263"/>
        <v>903356.46066666686</v>
      </c>
      <c r="Q1244" s="68">
        <f t="shared" si="264"/>
        <v>0</v>
      </c>
      <c r="R1244" s="127">
        <f t="shared" si="265"/>
        <v>903356.46066666686</v>
      </c>
      <c r="S1244" s="37"/>
    </row>
    <row r="1245" spans="1:19" ht="30">
      <c r="A1245" s="26"/>
      <c r="B1245" s="25" t="s">
        <v>3401</v>
      </c>
      <c r="C1245" s="76" t="s">
        <v>1350</v>
      </c>
      <c r="D1245" s="351"/>
      <c r="E1245" s="76"/>
      <c r="F1245" s="550">
        <v>1</v>
      </c>
      <c r="G1245" s="37" t="s">
        <v>3123</v>
      </c>
      <c r="H1245" s="37"/>
      <c r="I1245" s="37" t="s">
        <v>2596</v>
      </c>
      <c r="J1245" s="37" t="s">
        <v>2328</v>
      </c>
      <c r="K1245" s="311">
        <v>268667.2548</v>
      </c>
      <c r="L1245" s="311">
        <v>0</v>
      </c>
      <c r="M1245" s="311">
        <v>106267.08333333334</v>
      </c>
      <c r="N1245" s="311">
        <v>34052.538666666667</v>
      </c>
      <c r="O1245" s="311">
        <v>23836.777066666669</v>
      </c>
      <c r="P1245" s="68">
        <f t="shared" si="263"/>
        <v>432823.65386666672</v>
      </c>
      <c r="Q1245" s="68">
        <f t="shared" si="264"/>
        <v>0</v>
      </c>
      <c r="R1245" s="127">
        <f t="shared" si="265"/>
        <v>432823.65386666672</v>
      </c>
      <c r="S1245" s="37"/>
    </row>
    <row r="1246" spans="1:19" ht="30">
      <c r="A1246" s="642"/>
      <c r="B1246" s="641" t="s">
        <v>3446</v>
      </c>
      <c r="C1246" s="76" t="s">
        <v>1350</v>
      </c>
      <c r="D1246" s="351"/>
      <c r="E1246" s="76"/>
      <c r="F1246" s="550">
        <v>1</v>
      </c>
      <c r="G1246" s="37" t="s">
        <v>3123</v>
      </c>
      <c r="H1246" s="37"/>
      <c r="I1246" s="37" t="s">
        <v>2596</v>
      </c>
      <c r="J1246" s="334" t="s">
        <v>2328</v>
      </c>
      <c r="K1246" s="311">
        <v>710554.8898</v>
      </c>
      <c r="L1246" s="311">
        <v>0</v>
      </c>
      <c r="M1246" s="311">
        <v>275249.16666666669</v>
      </c>
      <c r="N1246" s="311">
        <v>89546.85533333334</v>
      </c>
      <c r="O1246" s="311">
        <v>62682.798733333337</v>
      </c>
      <c r="P1246" s="68">
        <f t="shared" si="263"/>
        <v>1138033.7105333335</v>
      </c>
      <c r="Q1246" s="68">
        <f t="shared" si="264"/>
        <v>0</v>
      </c>
      <c r="R1246" s="127">
        <f t="shared" si="265"/>
        <v>1138033.7105333335</v>
      </c>
      <c r="S1246" s="37"/>
    </row>
    <row r="1247" spans="1:19" ht="30">
      <c r="A1247" s="26"/>
      <c r="B1247" s="641" t="s">
        <v>3447</v>
      </c>
      <c r="C1247" s="76" t="s">
        <v>1350</v>
      </c>
      <c r="D1247" s="351"/>
      <c r="E1247" s="76"/>
      <c r="F1247" s="550">
        <v>1</v>
      </c>
      <c r="G1247" s="37" t="s">
        <v>3123</v>
      </c>
      <c r="H1247" s="37"/>
      <c r="I1247" s="37" t="s">
        <v>2596</v>
      </c>
      <c r="J1247" s="37" t="s">
        <v>2328</v>
      </c>
      <c r="K1247" s="311">
        <v>602897.42100000009</v>
      </c>
      <c r="L1247" s="311">
        <v>0</v>
      </c>
      <c r="M1247" s="311">
        <v>179434.58333333337</v>
      </c>
      <c r="N1247" s="311">
        <v>71190.856666666674</v>
      </c>
      <c r="O1247" s="311">
        <v>49833.599666666669</v>
      </c>
      <c r="P1247" s="68">
        <f t="shared" si="263"/>
        <v>903356.46066666686</v>
      </c>
      <c r="Q1247" s="68">
        <f t="shared" si="264"/>
        <v>0</v>
      </c>
      <c r="R1247" s="127">
        <f t="shared" si="265"/>
        <v>903356.46066666686</v>
      </c>
      <c r="S1247" s="37"/>
    </row>
    <row r="1248" spans="1:19" ht="30">
      <c r="A1248" s="26"/>
      <c r="B1248" s="25" t="s">
        <v>3448</v>
      </c>
      <c r="C1248" s="76" t="s">
        <v>1350</v>
      </c>
      <c r="D1248" s="351"/>
      <c r="E1248" s="76"/>
      <c r="F1248" s="550">
        <v>1</v>
      </c>
      <c r="G1248" s="37" t="s">
        <v>3123</v>
      </c>
      <c r="H1248" s="37"/>
      <c r="I1248" s="37" t="s">
        <v>2596</v>
      </c>
      <c r="J1248" s="37" t="s">
        <v>2328</v>
      </c>
      <c r="K1248" s="311">
        <v>268667.2548</v>
      </c>
      <c r="L1248" s="311">
        <v>0</v>
      </c>
      <c r="M1248" s="311">
        <v>106267.08333333334</v>
      </c>
      <c r="N1248" s="311">
        <v>34052.538666666667</v>
      </c>
      <c r="O1248" s="311">
        <v>23836.777066666669</v>
      </c>
      <c r="P1248" s="68">
        <f t="shared" si="263"/>
        <v>432823.65386666672</v>
      </c>
      <c r="Q1248" s="68">
        <f t="shared" si="264"/>
        <v>0</v>
      </c>
      <c r="R1248" s="127">
        <f t="shared" si="265"/>
        <v>432823.65386666672</v>
      </c>
      <c r="S1248" s="37"/>
    </row>
    <row r="1249" spans="1:19" ht="30">
      <c r="A1249" s="642"/>
      <c r="B1249" s="641" t="s">
        <v>3418</v>
      </c>
      <c r="C1249" s="76" t="s">
        <v>1350</v>
      </c>
      <c r="D1249" s="351"/>
      <c r="E1249" s="76"/>
      <c r="F1249" s="550">
        <v>1</v>
      </c>
      <c r="G1249" s="37" t="s">
        <v>3123</v>
      </c>
      <c r="H1249" s="37"/>
      <c r="I1249" s="37" t="s">
        <v>2596</v>
      </c>
      <c r="J1249" s="334" t="s">
        <v>2328</v>
      </c>
      <c r="K1249" s="311">
        <v>710554.8898</v>
      </c>
      <c r="L1249" s="311">
        <v>0</v>
      </c>
      <c r="M1249" s="311">
        <v>275249.16666666669</v>
      </c>
      <c r="N1249" s="311">
        <v>89546.85533333334</v>
      </c>
      <c r="O1249" s="311">
        <v>62682.798733333337</v>
      </c>
      <c r="P1249" s="68">
        <f t="shared" si="263"/>
        <v>1138033.7105333335</v>
      </c>
      <c r="Q1249" s="68">
        <f t="shared" si="264"/>
        <v>0</v>
      </c>
      <c r="R1249" s="127">
        <f t="shared" si="265"/>
        <v>1138033.7105333335</v>
      </c>
      <c r="S1249" s="37"/>
    </row>
    <row r="1250" spans="1:19" ht="30">
      <c r="A1250" s="26"/>
      <c r="B1250" s="641" t="s">
        <v>3449</v>
      </c>
      <c r="C1250" s="76" t="s">
        <v>1350</v>
      </c>
      <c r="D1250" s="351"/>
      <c r="E1250" s="76"/>
      <c r="F1250" s="550">
        <v>1</v>
      </c>
      <c r="G1250" s="37" t="s">
        <v>3123</v>
      </c>
      <c r="H1250" s="37"/>
      <c r="I1250" s="37" t="s">
        <v>2596</v>
      </c>
      <c r="J1250" s="37" t="s">
        <v>2328</v>
      </c>
      <c r="K1250" s="311">
        <v>602897.42100000009</v>
      </c>
      <c r="L1250" s="311">
        <v>0</v>
      </c>
      <c r="M1250" s="311">
        <v>179434.58333333337</v>
      </c>
      <c r="N1250" s="311">
        <v>71190.856666666674</v>
      </c>
      <c r="O1250" s="311">
        <v>49833.599666666669</v>
      </c>
      <c r="P1250" s="68">
        <f t="shared" si="263"/>
        <v>903356.46066666686</v>
      </c>
      <c r="Q1250" s="68">
        <f t="shared" si="264"/>
        <v>0</v>
      </c>
      <c r="R1250" s="127">
        <f t="shared" si="265"/>
        <v>903356.46066666686</v>
      </c>
      <c r="S1250" s="37"/>
    </row>
    <row r="1251" spans="1:19" ht="30">
      <c r="A1251" s="26"/>
      <c r="B1251" s="25" t="s">
        <v>3450</v>
      </c>
      <c r="C1251" s="76" t="s">
        <v>1350</v>
      </c>
      <c r="D1251" s="351"/>
      <c r="E1251" s="76"/>
      <c r="F1251" s="550">
        <v>1</v>
      </c>
      <c r="G1251" s="37" t="s">
        <v>3123</v>
      </c>
      <c r="H1251" s="37"/>
      <c r="I1251" s="37" t="s">
        <v>2596</v>
      </c>
      <c r="J1251" s="37" t="s">
        <v>2328</v>
      </c>
      <c r="K1251" s="311">
        <v>268667.2548</v>
      </c>
      <c r="L1251" s="311">
        <v>0</v>
      </c>
      <c r="M1251" s="311">
        <v>106267.08333333334</v>
      </c>
      <c r="N1251" s="311">
        <v>34052.538666666667</v>
      </c>
      <c r="O1251" s="311">
        <v>23836.777066666669</v>
      </c>
      <c r="P1251" s="68">
        <f t="shared" si="263"/>
        <v>432823.65386666672</v>
      </c>
      <c r="Q1251" s="68">
        <f t="shared" si="264"/>
        <v>0</v>
      </c>
      <c r="R1251" s="127">
        <f t="shared" si="265"/>
        <v>432823.65386666672</v>
      </c>
      <c r="S1251" s="37"/>
    </row>
    <row r="1252" spans="1:19" ht="30">
      <c r="A1252" s="26"/>
      <c r="B1252" s="25" t="s">
        <v>3451</v>
      </c>
      <c r="C1252" s="76" t="s">
        <v>1350</v>
      </c>
      <c r="D1252" s="351"/>
      <c r="E1252" s="76"/>
      <c r="F1252" s="550">
        <v>1</v>
      </c>
      <c r="G1252" s="37" t="s">
        <v>3123</v>
      </c>
      <c r="H1252" s="37"/>
      <c r="I1252" s="37" t="s">
        <v>2596</v>
      </c>
      <c r="J1252" s="37" t="s">
        <v>2328</v>
      </c>
      <c r="K1252" s="311">
        <v>268667.2548</v>
      </c>
      <c r="L1252" s="311">
        <v>0</v>
      </c>
      <c r="M1252" s="311">
        <v>106267.08333333334</v>
      </c>
      <c r="N1252" s="311">
        <v>34052.538666666667</v>
      </c>
      <c r="O1252" s="311">
        <v>23836.777066666669</v>
      </c>
      <c r="P1252" s="68">
        <f t="shared" si="263"/>
        <v>432823.65386666672</v>
      </c>
      <c r="Q1252" s="68">
        <f t="shared" si="264"/>
        <v>0</v>
      </c>
      <c r="R1252" s="127">
        <f t="shared" si="265"/>
        <v>432823.65386666672</v>
      </c>
      <c r="S1252" s="37"/>
    </row>
    <row r="1253" spans="1:19" ht="30">
      <c r="A1253" s="642"/>
      <c r="B1253" s="641" t="s">
        <v>3452</v>
      </c>
      <c r="C1253" s="76" t="s">
        <v>1350</v>
      </c>
      <c r="D1253" s="351"/>
      <c r="E1253" s="76"/>
      <c r="F1253" s="550">
        <v>1</v>
      </c>
      <c r="G1253" s="37" t="s">
        <v>3123</v>
      </c>
      <c r="H1253" s="37"/>
      <c r="I1253" s="37" t="s">
        <v>2596</v>
      </c>
      <c r="J1253" s="334" t="s">
        <v>2328</v>
      </c>
      <c r="K1253" s="311">
        <v>710554.8898</v>
      </c>
      <c r="L1253" s="311">
        <v>0</v>
      </c>
      <c r="M1253" s="311">
        <v>275249.16666666669</v>
      </c>
      <c r="N1253" s="311">
        <v>89546.85533333334</v>
      </c>
      <c r="O1253" s="311">
        <v>62682.798733333337</v>
      </c>
      <c r="P1253" s="68">
        <f t="shared" si="263"/>
        <v>1138033.7105333335</v>
      </c>
      <c r="Q1253" s="68">
        <f t="shared" si="264"/>
        <v>0</v>
      </c>
      <c r="R1253" s="127">
        <f t="shared" si="265"/>
        <v>1138033.7105333335</v>
      </c>
      <c r="S1253" s="37"/>
    </row>
    <row r="1254" spans="1:19" ht="30">
      <c r="A1254" s="26"/>
      <c r="B1254" s="641" t="s">
        <v>3453</v>
      </c>
      <c r="C1254" s="76" t="s">
        <v>1350</v>
      </c>
      <c r="D1254" s="351"/>
      <c r="E1254" s="76"/>
      <c r="F1254" s="550">
        <v>1</v>
      </c>
      <c r="G1254" s="37" t="s">
        <v>3123</v>
      </c>
      <c r="H1254" s="37"/>
      <c r="I1254" s="37" t="s">
        <v>2596</v>
      </c>
      <c r="J1254" s="37" t="s">
        <v>2328</v>
      </c>
      <c r="K1254" s="311">
        <v>602897.42100000009</v>
      </c>
      <c r="L1254" s="311">
        <v>0</v>
      </c>
      <c r="M1254" s="311">
        <v>179434.58333333337</v>
      </c>
      <c r="N1254" s="311">
        <v>71190.856666666674</v>
      </c>
      <c r="O1254" s="311">
        <v>49833.599666666669</v>
      </c>
      <c r="P1254" s="68">
        <f t="shared" si="263"/>
        <v>903356.46066666686</v>
      </c>
      <c r="Q1254" s="68">
        <f t="shared" si="264"/>
        <v>0</v>
      </c>
      <c r="R1254" s="127">
        <f t="shared" si="265"/>
        <v>903356.46066666686</v>
      </c>
      <c r="S1254" s="37"/>
    </row>
    <row r="1255" spans="1:19" ht="30">
      <c r="A1255" s="26"/>
      <c r="B1255" s="25" t="s">
        <v>3454</v>
      </c>
      <c r="C1255" s="76" t="s">
        <v>1350</v>
      </c>
      <c r="D1255" s="351"/>
      <c r="E1255" s="76"/>
      <c r="F1255" s="550">
        <v>1</v>
      </c>
      <c r="G1255" s="37" t="s">
        <v>3123</v>
      </c>
      <c r="H1255" s="37"/>
      <c r="I1255" s="37" t="s">
        <v>2596</v>
      </c>
      <c r="J1255" s="37" t="s">
        <v>2328</v>
      </c>
      <c r="K1255" s="311">
        <v>268667.2548</v>
      </c>
      <c r="L1255" s="311">
        <v>0</v>
      </c>
      <c r="M1255" s="311">
        <v>106267.08333333334</v>
      </c>
      <c r="N1255" s="311">
        <v>34052.538666666667</v>
      </c>
      <c r="O1255" s="311">
        <v>23836.777066666669</v>
      </c>
      <c r="P1255" s="68">
        <f t="shared" si="263"/>
        <v>432823.65386666672</v>
      </c>
      <c r="Q1255" s="68">
        <f t="shared" si="264"/>
        <v>0</v>
      </c>
      <c r="R1255" s="127">
        <f t="shared" si="265"/>
        <v>432823.65386666672</v>
      </c>
      <c r="S1255" s="37"/>
    </row>
    <row r="1256" spans="1:19">
      <c r="A1256" s="73"/>
      <c r="B1256" s="27" t="s">
        <v>1460</v>
      </c>
      <c r="C1256" s="24"/>
      <c r="D1256" s="351"/>
      <c r="E1256" s="26"/>
      <c r="F1256" s="351"/>
      <c r="G1256" s="37"/>
      <c r="H1256" s="37"/>
      <c r="I1256" s="37"/>
      <c r="J1256" s="583"/>
      <c r="K1256" s="66"/>
      <c r="L1256" s="66"/>
      <c r="M1256" s="66"/>
      <c r="N1256" s="66"/>
      <c r="O1256" s="66"/>
      <c r="P1256" s="66"/>
      <c r="Q1256" s="66"/>
      <c r="R1256" s="66"/>
      <c r="S1256" s="37"/>
    </row>
    <row r="1257" spans="1:19" ht="30">
      <c r="A1257" s="73"/>
      <c r="B1257" s="25" t="s">
        <v>3455</v>
      </c>
      <c r="C1257" s="26" t="s">
        <v>1350</v>
      </c>
      <c r="D1257" s="351"/>
      <c r="E1257" s="26"/>
      <c r="F1257" s="351">
        <v>2</v>
      </c>
      <c r="G1257" s="351" t="s">
        <v>3128</v>
      </c>
      <c r="H1257" s="351"/>
      <c r="I1257" s="351" t="s">
        <v>2596</v>
      </c>
      <c r="J1257" s="560" t="s">
        <v>2328</v>
      </c>
      <c r="K1257" s="311">
        <v>879128.60000000009</v>
      </c>
      <c r="L1257" s="311">
        <v>0</v>
      </c>
      <c r="M1257" s="311">
        <v>191629.16666666674</v>
      </c>
      <c r="N1257" s="311">
        <v>97612.333333333343</v>
      </c>
      <c r="O1257" s="311">
        <v>68328.633333333346</v>
      </c>
      <c r="P1257" s="68">
        <f t="shared" ref="P1257:P1274" si="266">SUM(K1257:O1257)</f>
        <v>1236698.7333333334</v>
      </c>
      <c r="Q1257" s="68">
        <f t="shared" ref="Q1257:Q1274" si="267">D1257*P1257</f>
        <v>0</v>
      </c>
      <c r="R1257" s="127">
        <f t="shared" ref="R1257:R1274" si="268">F1257*P1257</f>
        <v>2473397.4666666668</v>
      </c>
      <c r="S1257" s="37"/>
    </row>
    <row r="1258" spans="1:19" ht="30">
      <c r="A1258" s="73"/>
      <c r="B1258" s="25" t="s">
        <v>3456</v>
      </c>
      <c r="C1258" s="26" t="s">
        <v>1350</v>
      </c>
      <c r="D1258" s="351"/>
      <c r="E1258" s="26"/>
      <c r="F1258" s="351">
        <v>2</v>
      </c>
      <c r="G1258" s="351" t="s">
        <v>3128</v>
      </c>
      <c r="H1258" s="351"/>
      <c r="I1258" s="351" t="s">
        <v>2596</v>
      </c>
      <c r="J1258" s="560" t="s">
        <v>2328</v>
      </c>
      <c r="K1258" s="311">
        <v>860969.20000000007</v>
      </c>
      <c r="L1258" s="311">
        <v>0</v>
      </c>
      <c r="M1258" s="311">
        <v>200339.58333333334</v>
      </c>
      <c r="N1258" s="311">
        <v>96717.166666666672</v>
      </c>
      <c r="O1258" s="311">
        <v>67702.016666666677</v>
      </c>
      <c r="P1258" s="68">
        <f t="shared" si="266"/>
        <v>1225727.9666666668</v>
      </c>
      <c r="Q1258" s="68">
        <f t="shared" si="267"/>
        <v>0</v>
      </c>
      <c r="R1258" s="127">
        <f t="shared" si="268"/>
        <v>2451455.9333333336</v>
      </c>
      <c r="S1258" s="36"/>
    </row>
    <row r="1259" spans="1:19" ht="30">
      <c r="A1259" s="73"/>
      <c r="B1259" s="25" t="s">
        <v>3457</v>
      </c>
      <c r="C1259" s="26" t="s">
        <v>1350</v>
      </c>
      <c r="D1259" s="351"/>
      <c r="E1259" s="26"/>
      <c r="F1259" s="351">
        <v>2</v>
      </c>
      <c r="G1259" s="351" t="s">
        <v>3128</v>
      </c>
      <c r="H1259" s="351"/>
      <c r="I1259" s="351" t="s">
        <v>2596</v>
      </c>
      <c r="J1259" s="560" t="s">
        <v>2328</v>
      </c>
      <c r="K1259" s="311">
        <v>1576663.2000000002</v>
      </c>
      <c r="L1259" s="311">
        <v>0</v>
      </c>
      <c r="M1259" s="311">
        <v>296154.16666666669</v>
      </c>
      <c r="N1259" s="311">
        <v>170856.33333333334</v>
      </c>
      <c r="O1259" s="311">
        <v>119599.43333333333</v>
      </c>
      <c r="P1259" s="68">
        <f t="shared" si="266"/>
        <v>2163273.1333333333</v>
      </c>
      <c r="Q1259" s="68">
        <f t="shared" si="267"/>
        <v>0</v>
      </c>
      <c r="R1259" s="127">
        <f t="shared" si="268"/>
        <v>4326546.2666666666</v>
      </c>
      <c r="S1259" s="15"/>
    </row>
    <row r="1260" spans="1:19" s="84" customFormat="1" ht="30">
      <c r="A1260" s="211"/>
      <c r="B1260" s="25" t="s">
        <v>3458</v>
      </c>
      <c r="C1260" s="26" t="s">
        <v>1350</v>
      </c>
      <c r="D1260" s="351"/>
      <c r="E1260" s="30"/>
      <c r="F1260" s="351">
        <v>2</v>
      </c>
      <c r="G1260" s="351" t="s">
        <v>3128</v>
      </c>
      <c r="H1260" s="351"/>
      <c r="I1260" s="351" t="s">
        <v>2596</v>
      </c>
      <c r="J1260" s="560" t="s">
        <v>2328</v>
      </c>
      <c r="K1260" s="311">
        <v>1559572</v>
      </c>
      <c r="L1260" s="311">
        <v>0</v>
      </c>
      <c r="M1260" s="311">
        <v>365837.50000000006</v>
      </c>
      <c r="N1260" s="311">
        <v>175455</v>
      </c>
      <c r="O1260" s="311">
        <v>122818.50000000001</v>
      </c>
      <c r="P1260" s="68">
        <f t="shared" si="266"/>
        <v>2223683</v>
      </c>
      <c r="Q1260" s="68">
        <f t="shared" si="267"/>
        <v>0</v>
      </c>
      <c r="R1260" s="127">
        <f t="shared" si="268"/>
        <v>4447366</v>
      </c>
      <c r="S1260" s="335"/>
    </row>
    <row r="1261" spans="1:19" s="84" customFormat="1" ht="30">
      <c r="A1261" s="211"/>
      <c r="B1261" s="25" t="s">
        <v>3459</v>
      </c>
      <c r="C1261" s="26" t="s">
        <v>1350</v>
      </c>
      <c r="D1261" s="351"/>
      <c r="E1261" s="30"/>
      <c r="F1261" s="351">
        <v>2</v>
      </c>
      <c r="G1261" s="351" t="s">
        <v>3128</v>
      </c>
      <c r="H1261" s="351"/>
      <c r="I1261" s="351" t="s">
        <v>2596</v>
      </c>
      <c r="J1261" s="560" t="s">
        <v>2328</v>
      </c>
      <c r="K1261" s="311">
        <v>1157928.8</v>
      </c>
      <c r="L1261" s="311">
        <v>0</v>
      </c>
      <c r="M1261" s="311">
        <v>270022.91666666669</v>
      </c>
      <c r="N1261" s="311">
        <v>130127.83333333333</v>
      </c>
      <c r="O1261" s="311">
        <v>91089.483333333337</v>
      </c>
      <c r="P1261" s="68">
        <f t="shared" si="266"/>
        <v>1649169.0333333334</v>
      </c>
      <c r="Q1261" s="68">
        <f t="shared" si="267"/>
        <v>0</v>
      </c>
      <c r="R1261" s="127">
        <f t="shared" si="268"/>
        <v>3298338.0666666669</v>
      </c>
      <c r="S1261" s="330"/>
    </row>
    <row r="1262" spans="1:19" s="84" customFormat="1" ht="30">
      <c r="A1262" s="211"/>
      <c r="B1262" s="25" t="s">
        <v>3460</v>
      </c>
      <c r="C1262" s="26" t="s">
        <v>1350</v>
      </c>
      <c r="D1262" s="351"/>
      <c r="E1262" s="30"/>
      <c r="F1262" s="351">
        <v>1</v>
      </c>
      <c r="G1262" s="351" t="s">
        <v>3128</v>
      </c>
      <c r="H1262" s="351"/>
      <c r="I1262" s="351" t="s">
        <v>2596</v>
      </c>
      <c r="J1262" s="560" t="s">
        <v>2328</v>
      </c>
      <c r="K1262" s="311">
        <v>396302.2</v>
      </c>
      <c r="L1262" s="311">
        <v>0</v>
      </c>
      <c r="M1262" s="311">
        <v>273507.08333333337</v>
      </c>
      <c r="N1262" s="311">
        <v>60562.166666666679</v>
      </c>
      <c r="O1262" s="311">
        <v>42393.516666666677</v>
      </c>
      <c r="P1262" s="68">
        <f t="shared" si="266"/>
        <v>772764.96666666679</v>
      </c>
      <c r="Q1262" s="68">
        <f t="shared" si="267"/>
        <v>0</v>
      </c>
      <c r="R1262" s="127">
        <f t="shared" si="268"/>
        <v>772764.96666666679</v>
      </c>
      <c r="S1262" s="330"/>
    </row>
    <row r="1263" spans="1:19" s="84" customFormat="1" ht="30">
      <c r="A1263" s="211"/>
      <c r="B1263" s="25" t="s">
        <v>3461</v>
      </c>
      <c r="C1263" s="26" t="s">
        <v>1350</v>
      </c>
      <c r="D1263" s="351"/>
      <c r="E1263" s="30"/>
      <c r="F1263" s="351">
        <v>1</v>
      </c>
      <c r="G1263" s="351" t="s">
        <v>3128</v>
      </c>
      <c r="H1263" s="351"/>
      <c r="I1263" s="351" t="s">
        <v>2596</v>
      </c>
      <c r="J1263" s="560" t="s">
        <v>2328</v>
      </c>
      <c r="K1263" s="311">
        <v>572555.20000000007</v>
      </c>
      <c r="L1263" s="311">
        <v>0</v>
      </c>
      <c r="M1263" s="311">
        <v>240407.5</v>
      </c>
      <c r="N1263" s="311">
        <v>73803</v>
      </c>
      <c r="O1263" s="311">
        <v>51662.100000000006</v>
      </c>
      <c r="P1263" s="68">
        <f t="shared" si="266"/>
        <v>938427.8</v>
      </c>
      <c r="Q1263" s="68">
        <f t="shared" si="267"/>
        <v>0</v>
      </c>
      <c r="R1263" s="127">
        <f t="shared" si="268"/>
        <v>938427.8</v>
      </c>
      <c r="S1263" s="335"/>
    </row>
    <row r="1264" spans="1:19" ht="30">
      <c r="A1264" s="73"/>
      <c r="B1264" s="25" t="s">
        <v>3462</v>
      </c>
      <c r="C1264" s="26" t="s">
        <v>1350</v>
      </c>
      <c r="D1264" s="351"/>
      <c r="E1264" s="26"/>
      <c r="F1264" s="351">
        <v>2</v>
      </c>
      <c r="G1264" s="351" t="s">
        <v>3128</v>
      </c>
      <c r="H1264" s="351"/>
      <c r="I1264" s="351" t="s">
        <v>2596</v>
      </c>
      <c r="J1264" s="560" t="s">
        <v>2328</v>
      </c>
      <c r="K1264" s="311">
        <v>1912078.0000000002</v>
      </c>
      <c r="L1264" s="311">
        <v>0</v>
      </c>
      <c r="M1264" s="311">
        <v>365837.50000000006</v>
      </c>
      <c r="N1264" s="311">
        <v>207795</v>
      </c>
      <c r="O1264" s="311">
        <v>145456.5</v>
      </c>
      <c r="P1264" s="68">
        <f t="shared" si="266"/>
        <v>2631167.0000000005</v>
      </c>
      <c r="Q1264" s="68">
        <f t="shared" si="267"/>
        <v>0</v>
      </c>
      <c r="R1264" s="127">
        <f t="shared" si="268"/>
        <v>5262334.0000000009</v>
      </c>
      <c r="S1264" s="37"/>
    </row>
    <row r="1265" spans="1:19" s="84" customFormat="1" ht="30">
      <c r="A1265" s="211"/>
      <c r="B1265" s="25" t="s">
        <v>3463</v>
      </c>
      <c r="C1265" s="26" t="s">
        <v>1350</v>
      </c>
      <c r="D1265" s="351"/>
      <c r="E1265" s="30"/>
      <c r="F1265" s="351">
        <v>2</v>
      </c>
      <c r="G1265" s="351" t="s">
        <v>3128</v>
      </c>
      <c r="H1265" s="351"/>
      <c r="I1265" s="351" t="s">
        <v>2596</v>
      </c>
      <c r="J1265" s="560" t="s">
        <v>2328</v>
      </c>
      <c r="K1265" s="311">
        <v>844946.20000000007</v>
      </c>
      <c r="L1265" s="311">
        <v>0</v>
      </c>
      <c r="M1265" s="311">
        <v>226470.83333333337</v>
      </c>
      <c r="N1265" s="311">
        <v>97559.666666666686</v>
      </c>
      <c r="O1265" s="311">
        <v>68291.766666666677</v>
      </c>
      <c r="P1265" s="68">
        <f t="shared" si="266"/>
        <v>1237268.4666666668</v>
      </c>
      <c r="Q1265" s="68">
        <f t="shared" si="267"/>
        <v>0</v>
      </c>
      <c r="R1265" s="127">
        <f t="shared" si="268"/>
        <v>2474536.9333333336</v>
      </c>
      <c r="S1265" s="330"/>
    </row>
    <row r="1266" spans="1:19" s="84" customFormat="1" ht="30">
      <c r="A1266" s="211"/>
      <c r="B1266" s="25" t="s">
        <v>3464</v>
      </c>
      <c r="C1266" s="26" t="s">
        <v>1350</v>
      </c>
      <c r="D1266" s="351"/>
      <c r="E1266" s="30"/>
      <c r="F1266" s="351">
        <v>2</v>
      </c>
      <c r="G1266" s="351" t="s">
        <v>3128</v>
      </c>
      <c r="H1266" s="351"/>
      <c r="I1266" s="351" t="s">
        <v>2596</v>
      </c>
      <c r="J1266" s="560" t="s">
        <v>2328</v>
      </c>
      <c r="K1266" s="311">
        <v>1171815.4000000001</v>
      </c>
      <c r="L1266" s="311">
        <v>0</v>
      </c>
      <c r="M1266" s="311">
        <v>261312.50000000003</v>
      </c>
      <c r="N1266" s="311">
        <v>130631</v>
      </c>
      <c r="O1266" s="311">
        <v>91441.700000000012</v>
      </c>
      <c r="P1266" s="68">
        <f t="shared" si="266"/>
        <v>1655200.6</v>
      </c>
      <c r="Q1266" s="68">
        <f t="shared" si="267"/>
        <v>0</v>
      </c>
      <c r="R1266" s="127">
        <f t="shared" si="268"/>
        <v>3310401.2</v>
      </c>
      <c r="S1266" s="330"/>
    </row>
    <row r="1267" spans="1:19" s="84" customFormat="1" ht="30">
      <c r="A1267" s="211"/>
      <c r="B1267" s="25" t="s">
        <v>3465</v>
      </c>
      <c r="C1267" s="26" t="s">
        <v>1350</v>
      </c>
      <c r="D1267" s="351"/>
      <c r="E1267" s="30"/>
      <c r="F1267" s="351">
        <v>1</v>
      </c>
      <c r="G1267" s="351" t="s">
        <v>3128</v>
      </c>
      <c r="H1267" s="351"/>
      <c r="I1267" s="351" t="s">
        <v>2596</v>
      </c>
      <c r="J1267" s="560" t="s">
        <v>2328</v>
      </c>
      <c r="K1267" s="311">
        <v>416598.00000000006</v>
      </c>
      <c r="L1267" s="311">
        <v>0</v>
      </c>
      <c r="M1267" s="311">
        <v>270022.91666666669</v>
      </c>
      <c r="N1267" s="311">
        <v>62115.833333333343</v>
      </c>
      <c r="O1267" s="311">
        <v>43481.083333333343</v>
      </c>
      <c r="P1267" s="68">
        <f t="shared" si="266"/>
        <v>792217.83333333349</v>
      </c>
      <c r="Q1267" s="68">
        <f t="shared" si="267"/>
        <v>0</v>
      </c>
      <c r="R1267" s="127">
        <f t="shared" si="268"/>
        <v>792217.83333333349</v>
      </c>
      <c r="S1267" s="335"/>
    </row>
    <row r="1268" spans="1:19" ht="30">
      <c r="A1268" s="73"/>
      <c r="B1268" s="25" t="s">
        <v>3466</v>
      </c>
      <c r="C1268" s="26" t="s">
        <v>1350</v>
      </c>
      <c r="D1268" s="351"/>
      <c r="E1268" s="26"/>
      <c r="F1268" s="351">
        <v>1</v>
      </c>
      <c r="G1268" s="351" t="s">
        <v>3128</v>
      </c>
      <c r="H1268" s="351"/>
      <c r="I1268" s="351" t="s">
        <v>2596</v>
      </c>
      <c r="J1268" s="560" t="s">
        <v>2328</v>
      </c>
      <c r="K1268" s="311">
        <v>106820.00000000001</v>
      </c>
      <c r="L1268" s="311">
        <v>0</v>
      </c>
      <c r="M1268" s="311">
        <v>85362.083333333343</v>
      </c>
      <c r="N1268" s="311">
        <v>17354.166666666668</v>
      </c>
      <c r="O1268" s="311">
        <v>12147.91666666667</v>
      </c>
      <c r="P1268" s="68">
        <f t="shared" si="266"/>
        <v>221684.16666666669</v>
      </c>
      <c r="Q1268" s="68">
        <f t="shared" si="267"/>
        <v>0</v>
      </c>
      <c r="R1268" s="127">
        <f t="shared" si="268"/>
        <v>221684.16666666669</v>
      </c>
      <c r="S1268" s="37"/>
    </row>
    <row r="1269" spans="1:19" ht="30">
      <c r="A1269" s="73"/>
      <c r="B1269" s="25" t="s">
        <v>3467</v>
      </c>
      <c r="C1269" s="26" t="s">
        <v>1350</v>
      </c>
      <c r="D1269" s="351"/>
      <c r="E1269" s="26"/>
      <c r="F1269" s="351">
        <v>1</v>
      </c>
      <c r="G1269" s="351" t="s">
        <v>3128</v>
      </c>
      <c r="H1269" s="351"/>
      <c r="I1269" s="351" t="s">
        <v>2596</v>
      </c>
      <c r="J1269" s="560" t="s">
        <v>2328</v>
      </c>
      <c r="K1269" s="311">
        <v>176253</v>
      </c>
      <c r="L1269" s="311">
        <v>0</v>
      </c>
      <c r="M1269" s="311">
        <v>236923.33333333337</v>
      </c>
      <c r="N1269" s="311">
        <v>37136.666666666672</v>
      </c>
      <c r="O1269" s="311">
        <v>25995.666666666672</v>
      </c>
      <c r="P1269" s="68">
        <f t="shared" si="266"/>
        <v>476308.66666666674</v>
      </c>
      <c r="Q1269" s="68">
        <f t="shared" si="267"/>
        <v>0</v>
      </c>
      <c r="R1269" s="127">
        <f t="shared" si="268"/>
        <v>476308.66666666674</v>
      </c>
      <c r="S1269" s="36"/>
    </row>
    <row r="1270" spans="1:19" ht="30">
      <c r="A1270" s="73"/>
      <c r="B1270" s="25" t="s">
        <v>3468</v>
      </c>
      <c r="C1270" s="26" t="s">
        <v>1350</v>
      </c>
      <c r="D1270" s="351"/>
      <c r="E1270" s="26"/>
      <c r="F1270" s="351">
        <v>1</v>
      </c>
      <c r="G1270" s="351" t="s">
        <v>3128</v>
      </c>
      <c r="H1270" s="351"/>
      <c r="I1270" s="351" t="s">
        <v>2596</v>
      </c>
      <c r="J1270" s="560" t="s">
        <v>2328</v>
      </c>
      <c r="K1270" s="311">
        <v>112161.00000000001</v>
      </c>
      <c r="L1270" s="311">
        <v>0</v>
      </c>
      <c r="M1270" s="311">
        <v>90588.333333333343</v>
      </c>
      <c r="N1270" s="311">
        <v>18306.666666666668</v>
      </c>
      <c r="O1270" s="311">
        <v>12814.66666666667</v>
      </c>
      <c r="P1270" s="68">
        <f t="shared" si="266"/>
        <v>233870.66666666669</v>
      </c>
      <c r="Q1270" s="68">
        <f t="shared" si="267"/>
        <v>0</v>
      </c>
      <c r="R1270" s="127">
        <f t="shared" si="268"/>
        <v>233870.66666666669</v>
      </c>
      <c r="S1270" s="15"/>
    </row>
    <row r="1271" spans="1:19" s="84" customFormat="1" ht="30">
      <c r="A1271" s="211"/>
      <c r="B1271" s="25" t="s">
        <v>3469</v>
      </c>
      <c r="C1271" s="26" t="s">
        <v>1350</v>
      </c>
      <c r="D1271" s="351"/>
      <c r="E1271" s="30"/>
      <c r="F1271" s="351">
        <v>2</v>
      </c>
      <c r="G1271" s="351" t="s">
        <v>3128</v>
      </c>
      <c r="H1271" s="351"/>
      <c r="I1271" s="351" t="s">
        <v>2596</v>
      </c>
      <c r="J1271" s="560" t="s">
        <v>2328</v>
      </c>
      <c r="K1271" s="311">
        <v>232867.6</v>
      </c>
      <c r="L1271" s="311">
        <v>0</v>
      </c>
      <c r="M1271" s="311">
        <v>280475.41666666669</v>
      </c>
      <c r="N1271" s="311">
        <v>46184.833333333343</v>
      </c>
      <c r="O1271" s="311">
        <v>32329.383333333339</v>
      </c>
      <c r="P1271" s="68">
        <f t="shared" si="266"/>
        <v>591857.2333333334</v>
      </c>
      <c r="Q1271" s="68">
        <f t="shared" si="267"/>
        <v>0</v>
      </c>
      <c r="R1271" s="127">
        <f t="shared" si="268"/>
        <v>1183714.4666666668</v>
      </c>
      <c r="S1271" s="335"/>
    </row>
    <row r="1272" spans="1:19" s="84" customFormat="1" ht="30">
      <c r="A1272" s="211"/>
      <c r="B1272" s="25" t="s">
        <v>3470</v>
      </c>
      <c r="C1272" s="26" t="s">
        <v>1350</v>
      </c>
      <c r="D1272" s="351"/>
      <c r="E1272" s="30"/>
      <c r="F1272" s="351">
        <v>1</v>
      </c>
      <c r="G1272" s="351" t="s">
        <v>3128</v>
      </c>
      <c r="H1272" s="351"/>
      <c r="I1272" s="351" t="s">
        <v>2596</v>
      </c>
      <c r="J1272" s="560" t="s">
        <v>2328</v>
      </c>
      <c r="K1272" s="311">
        <v>1103450.6000000001</v>
      </c>
      <c r="L1272" s="311">
        <v>0</v>
      </c>
      <c r="M1272" s="311">
        <v>465136.25000000006</v>
      </c>
      <c r="N1272" s="311">
        <v>142396.5</v>
      </c>
      <c r="O1272" s="311">
        <v>99677.55</v>
      </c>
      <c r="P1272" s="68">
        <f t="shared" si="266"/>
        <v>1810660.9000000001</v>
      </c>
      <c r="Q1272" s="68">
        <f t="shared" si="267"/>
        <v>0</v>
      </c>
      <c r="R1272" s="127">
        <f t="shared" si="268"/>
        <v>1810660.9000000001</v>
      </c>
      <c r="S1272" s="330"/>
    </row>
    <row r="1273" spans="1:19" s="84" customFormat="1" ht="30">
      <c r="A1273" s="211"/>
      <c r="B1273" s="25" t="s">
        <v>3471</v>
      </c>
      <c r="C1273" s="26" t="s">
        <v>1350</v>
      </c>
      <c r="D1273" s="351"/>
      <c r="E1273" s="30"/>
      <c r="F1273" s="351">
        <v>2</v>
      </c>
      <c r="G1273" s="351" t="s">
        <v>3128</v>
      </c>
      <c r="H1273" s="351"/>
      <c r="I1273" s="351" t="s">
        <v>2596</v>
      </c>
      <c r="J1273" s="560" t="s">
        <v>2328</v>
      </c>
      <c r="K1273" s="311">
        <v>1930237.4000000001</v>
      </c>
      <c r="L1273" s="311">
        <v>0</v>
      </c>
      <c r="M1273" s="311">
        <v>811810.83333333349</v>
      </c>
      <c r="N1273" s="311">
        <v>248927.66666666672</v>
      </c>
      <c r="O1273" s="311">
        <v>174249.3666666667</v>
      </c>
      <c r="P1273" s="68">
        <f t="shared" si="266"/>
        <v>3165225.2666666666</v>
      </c>
      <c r="Q1273" s="68">
        <f t="shared" si="267"/>
        <v>0</v>
      </c>
      <c r="R1273" s="127">
        <f t="shared" si="268"/>
        <v>6330450.5333333332</v>
      </c>
      <c r="S1273" s="330"/>
    </row>
    <row r="1274" spans="1:19" s="84" customFormat="1" ht="30">
      <c r="A1274" s="211"/>
      <c r="B1274" s="25" t="s">
        <v>3472</v>
      </c>
      <c r="C1274" s="26" t="s">
        <v>1350</v>
      </c>
      <c r="D1274" s="351"/>
      <c r="E1274" s="30"/>
      <c r="F1274" s="351">
        <v>1</v>
      </c>
      <c r="G1274" s="351" t="s">
        <v>3128</v>
      </c>
      <c r="H1274" s="351"/>
      <c r="I1274" s="351" t="s">
        <v>2596</v>
      </c>
      <c r="J1274" s="560" t="s">
        <v>2328</v>
      </c>
      <c r="K1274" s="311">
        <v>2917254.2</v>
      </c>
      <c r="L1274" s="311">
        <v>0</v>
      </c>
      <c r="M1274" s="311">
        <v>1228168.7500000002</v>
      </c>
      <c r="N1274" s="311">
        <v>376325.5</v>
      </c>
      <c r="O1274" s="311">
        <v>263427.85000000003</v>
      </c>
      <c r="P1274" s="68">
        <f t="shared" si="266"/>
        <v>4785176.3</v>
      </c>
      <c r="Q1274" s="68">
        <f t="shared" si="267"/>
        <v>0</v>
      </c>
      <c r="R1274" s="127">
        <f t="shared" si="268"/>
        <v>4785176.3</v>
      </c>
      <c r="S1274" s="335"/>
    </row>
    <row r="1275" spans="1:19" s="84" customFormat="1">
      <c r="A1275" s="217"/>
      <c r="B1275" s="27" t="s">
        <v>1349</v>
      </c>
      <c r="C1275" s="26"/>
      <c r="D1275" s="351"/>
      <c r="E1275" s="26"/>
      <c r="F1275" s="351"/>
      <c r="G1275" s="30"/>
      <c r="H1275" s="30"/>
      <c r="I1275" s="30"/>
      <c r="J1275" s="571"/>
      <c r="K1275" s="127"/>
      <c r="L1275" s="127"/>
      <c r="M1275" s="127"/>
      <c r="N1275" s="127"/>
      <c r="O1275" s="127"/>
      <c r="P1275" s="127"/>
      <c r="Q1275" s="127"/>
      <c r="R1275" s="127"/>
      <c r="S1275" s="30"/>
    </row>
    <row r="1276" spans="1:19" s="84" customFormat="1" ht="30">
      <c r="A1276" s="217"/>
      <c r="B1276" s="25" t="s">
        <v>1435</v>
      </c>
      <c r="C1276" s="26" t="s">
        <v>1350</v>
      </c>
      <c r="D1276" s="351"/>
      <c r="E1276" s="26"/>
      <c r="F1276" s="351">
        <v>3</v>
      </c>
      <c r="G1276" s="351" t="s">
        <v>3123</v>
      </c>
      <c r="H1276" s="351"/>
      <c r="I1276" s="351" t="s">
        <v>2596</v>
      </c>
      <c r="J1276" s="560" t="s">
        <v>2328</v>
      </c>
      <c r="K1276" s="311">
        <v>464667.00000000006</v>
      </c>
      <c r="L1276" s="311">
        <v>0</v>
      </c>
      <c r="M1276" s="311">
        <v>153303.33333333337</v>
      </c>
      <c r="N1276" s="311">
        <v>56196.666666666679</v>
      </c>
      <c r="O1276" s="311">
        <v>39337.666666666679</v>
      </c>
      <c r="P1276" s="68">
        <f t="shared" ref="P1276:P1280" si="269">SUM(K1276:O1276)</f>
        <v>713504.66666666674</v>
      </c>
      <c r="Q1276" s="68">
        <f>D1276*P1276</f>
        <v>0</v>
      </c>
      <c r="R1276" s="127">
        <f>F1276*P1276</f>
        <v>2140514</v>
      </c>
      <c r="S1276" s="30"/>
    </row>
    <row r="1277" spans="1:19" s="84" customFormat="1" ht="30">
      <c r="A1277" s="217"/>
      <c r="B1277" s="25" t="s">
        <v>1438</v>
      </c>
      <c r="C1277" s="26" t="s">
        <v>1350</v>
      </c>
      <c r="D1277" s="351"/>
      <c r="E1277" s="26"/>
      <c r="F1277" s="351">
        <v>10</v>
      </c>
      <c r="G1277" s="351" t="s">
        <v>3123</v>
      </c>
      <c r="H1277" s="351"/>
      <c r="I1277" s="351" t="s">
        <v>2596</v>
      </c>
      <c r="J1277" s="560" t="s">
        <v>2328</v>
      </c>
      <c r="K1277" s="311">
        <v>2649136</v>
      </c>
      <c r="L1277" s="311">
        <v>0</v>
      </c>
      <c r="M1277" s="311">
        <v>872783.75000000012</v>
      </c>
      <c r="N1277" s="311">
        <v>320277.5</v>
      </c>
      <c r="O1277" s="311">
        <v>224194.25000000003</v>
      </c>
      <c r="P1277" s="68">
        <f t="shared" si="269"/>
        <v>4066391.5</v>
      </c>
      <c r="Q1277" s="68">
        <f>D1277*P1277</f>
        <v>0</v>
      </c>
      <c r="R1277" s="127">
        <f>F1277*P1277</f>
        <v>40663915</v>
      </c>
      <c r="S1277" s="30"/>
    </row>
    <row r="1278" spans="1:19" s="84" customFormat="1" ht="30">
      <c r="A1278" s="217"/>
      <c r="B1278" s="25" t="s">
        <v>1341</v>
      </c>
      <c r="C1278" s="26" t="s">
        <v>1350</v>
      </c>
      <c r="D1278" s="351"/>
      <c r="E1278" s="26"/>
      <c r="F1278" s="351">
        <v>2</v>
      </c>
      <c r="G1278" s="351" t="s">
        <v>3123</v>
      </c>
      <c r="H1278" s="351"/>
      <c r="I1278" s="351" t="s">
        <v>2596</v>
      </c>
      <c r="J1278" s="560" t="s">
        <v>2328</v>
      </c>
      <c r="K1278" s="311">
        <v>4085865.0000000005</v>
      </c>
      <c r="L1278" s="311">
        <v>0</v>
      </c>
      <c r="M1278" s="311">
        <v>1341404.166666667</v>
      </c>
      <c r="N1278" s="311">
        <v>493558.33333333343</v>
      </c>
      <c r="O1278" s="311">
        <v>345490.83333333343</v>
      </c>
      <c r="P1278" s="68">
        <f t="shared" si="269"/>
        <v>6266318.333333334</v>
      </c>
      <c r="Q1278" s="68">
        <f>D1278*P1278</f>
        <v>0</v>
      </c>
      <c r="R1278" s="127">
        <f>F1278*P1278</f>
        <v>12532636.666666668</v>
      </c>
      <c r="S1278" s="30"/>
    </row>
    <row r="1279" spans="1:19" s="84" customFormat="1" ht="30">
      <c r="A1279" s="217"/>
      <c r="B1279" s="25" t="s">
        <v>1384</v>
      </c>
      <c r="C1279" s="26" t="s">
        <v>1350</v>
      </c>
      <c r="D1279" s="351"/>
      <c r="E1279" s="26"/>
      <c r="F1279" s="351">
        <v>1</v>
      </c>
      <c r="G1279" s="351" t="s">
        <v>3123</v>
      </c>
      <c r="H1279" s="351"/>
      <c r="I1279" s="351" t="s">
        <v>2596</v>
      </c>
      <c r="J1279" s="560" t="s">
        <v>2328</v>
      </c>
      <c r="K1279" s="311">
        <v>1461297.6</v>
      </c>
      <c r="L1279" s="311">
        <v>0</v>
      </c>
      <c r="M1279" s="311">
        <v>480815</v>
      </c>
      <c r="N1279" s="311">
        <v>176614</v>
      </c>
      <c r="O1279" s="311">
        <v>123629.80000000002</v>
      </c>
      <c r="P1279" s="68">
        <f t="shared" si="269"/>
        <v>2242356.4</v>
      </c>
      <c r="Q1279" s="68">
        <f>D1279*P1279</f>
        <v>0</v>
      </c>
      <c r="R1279" s="127">
        <f>F1279*P1279</f>
        <v>2242356.4</v>
      </c>
      <c r="S1279" s="30"/>
    </row>
    <row r="1280" spans="1:19" s="84" customFormat="1" ht="30">
      <c r="A1280" s="217"/>
      <c r="B1280" s="25" t="s">
        <v>1575</v>
      </c>
      <c r="C1280" s="26" t="s">
        <v>1350</v>
      </c>
      <c r="D1280" s="351"/>
      <c r="E1280" s="26"/>
      <c r="F1280" s="351">
        <v>3</v>
      </c>
      <c r="G1280" s="351" t="s">
        <v>3123</v>
      </c>
      <c r="H1280" s="351"/>
      <c r="I1280" s="351" t="s">
        <v>2596</v>
      </c>
      <c r="J1280" s="560" t="s">
        <v>2328</v>
      </c>
      <c r="K1280" s="311">
        <v>664420.4</v>
      </c>
      <c r="L1280" s="311">
        <v>0</v>
      </c>
      <c r="M1280" s="311">
        <v>219502.50000000003</v>
      </c>
      <c r="N1280" s="311">
        <v>80381</v>
      </c>
      <c r="O1280" s="311">
        <v>56266.700000000004</v>
      </c>
      <c r="P1280" s="68">
        <f t="shared" si="269"/>
        <v>1020570.6</v>
      </c>
      <c r="Q1280" s="68">
        <f>D1280*P1280</f>
        <v>0</v>
      </c>
      <c r="R1280" s="127">
        <f>F1280*P1280</f>
        <v>3061711.8</v>
      </c>
      <c r="S1280" s="30"/>
    </row>
    <row r="1281" spans="1:19" s="84" customFormat="1">
      <c r="A1281" s="217"/>
      <c r="B1281" s="27" t="s">
        <v>3597</v>
      </c>
      <c r="C1281" s="26"/>
      <c r="D1281" s="351"/>
      <c r="E1281" s="26"/>
      <c r="F1281" s="351"/>
      <c r="G1281" s="30"/>
      <c r="H1281" s="30"/>
      <c r="I1281" s="30"/>
      <c r="J1281" s="571"/>
      <c r="K1281" s="127"/>
      <c r="L1281" s="127"/>
      <c r="M1281" s="127"/>
      <c r="N1281" s="127"/>
      <c r="O1281" s="127"/>
      <c r="P1281" s="127"/>
      <c r="Q1281" s="127"/>
      <c r="R1281" s="127"/>
      <c r="S1281" s="30"/>
    </row>
    <row r="1282" spans="1:19" s="84" customFormat="1" ht="30">
      <c r="A1282" s="217"/>
      <c r="B1282" s="25" t="s">
        <v>3598</v>
      </c>
      <c r="C1282" s="26" t="s">
        <v>1350</v>
      </c>
      <c r="D1282" s="351"/>
      <c r="E1282" s="26"/>
      <c r="F1282" s="351">
        <v>1</v>
      </c>
      <c r="G1282" s="351" t="s">
        <v>3123</v>
      </c>
      <c r="H1282" s="351"/>
      <c r="I1282" s="351" t="s">
        <v>2596</v>
      </c>
      <c r="J1282" s="560" t="s">
        <v>2328</v>
      </c>
      <c r="K1282" s="311">
        <v>561873.20000000007</v>
      </c>
      <c r="L1282" s="311">
        <v>0</v>
      </c>
      <c r="M1282" s="311">
        <v>222986.66666666669</v>
      </c>
      <c r="N1282" s="311">
        <v>71281.333333333343</v>
      </c>
      <c r="O1282" s="311">
        <v>49896.933333333342</v>
      </c>
      <c r="P1282" s="68">
        <f t="shared" ref="P1282:P1296" si="270">SUM(K1282:O1282)</f>
        <v>906038.13333333342</v>
      </c>
      <c r="Q1282" s="68">
        <f t="shared" ref="Q1282:Q1296" si="271">D1282*P1282</f>
        <v>0</v>
      </c>
      <c r="R1282" s="127">
        <f t="shared" ref="R1282:R1296" si="272">F1282*P1282</f>
        <v>906038.13333333342</v>
      </c>
      <c r="S1282" s="30"/>
    </row>
    <row r="1283" spans="1:19" s="84" customFormat="1" ht="30">
      <c r="A1283" s="217"/>
      <c r="B1283" s="25" t="s">
        <v>3599</v>
      </c>
      <c r="C1283" s="26" t="s">
        <v>1350</v>
      </c>
      <c r="D1283" s="351"/>
      <c r="E1283" s="26"/>
      <c r="F1283" s="351">
        <v>1</v>
      </c>
      <c r="G1283" s="351" t="s">
        <v>3123</v>
      </c>
      <c r="H1283" s="351"/>
      <c r="I1283" s="351" t="s">
        <v>2596</v>
      </c>
      <c r="J1283" s="560" t="s">
        <v>2328</v>
      </c>
      <c r="K1283" s="311">
        <v>597123.80000000005</v>
      </c>
      <c r="L1283" s="311">
        <v>0</v>
      </c>
      <c r="M1283" s="311">
        <v>236923.33333333337</v>
      </c>
      <c r="N1283" s="311">
        <v>75748.666666666672</v>
      </c>
      <c r="O1283" s="311">
        <v>53024.06666666668</v>
      </c>
      <c r="P1283" s="68">
        <f t="shared" si="270"/>
        <v>962819.8666666667</v>
      </c>
      <c r="Q1283" s="68">
        <f t="shared" si="271"/>
        <v>0</v>
      </c>
      <c r="R1283" s="127">
        <f t="shared" si="272"/>
        <v>962819.8666666667</v>
      </c>
      <c r="S1283" s="30"/>
    </row>
    <row r="1284" spans="1:19" s="84" customFormat="1" ht="30">
      <c r="A1284" s="217"/>
      <c r="B1284" s="25" t="s">
        <v>3441</v>
      </c>
      <c r="C1284" s="26" t="s">
        <v>1350</v>
      </c>
      <c r="D1284" s="351"/>
      <c r="E1284" s="26"/>
      <c r="F1284" s="351">
        <v>2</v>
      </c>
      <c r="G1284" s="351" t="s">
        <v>3123</v>
      </c>
      <c r="H1284" s="351"/>
      <c r="I1284" s="351" t="s">
        <v>2596</v>
      </c>
      <c r="J1284" s="560" t="s">
        <v>2328</v>
      </c>
      <c r="K1284" s="311">
        <v>2128922.6</v>
      </c>
      <c r="L1284" s="311">
        <v>0</v>
      </c>
      <c r="M1284" s="311">
        <v>252602.08333333337</v>
      </c>
      <c r="N1284" s="311">
        <v>217668.16666666666</v>
      </c>
      <c r="O1284" s="311">
        <v>152367.71666666667</v>
      </c>
      <c r="P1284" s="68">
        <f t="shared" si="270"/>
        <v>2751560.5666666669</v>
      </c>
      <c r="Q1284" s="68">
        <f t="shared" si="271"/>
        <v>0</v>
      </c>
      <c r="R1284" s="127">
        <f t="shared" si="272"/>
        <v>5503121.1333333338</v>
      </c>
      <c r="S1284" s="30"/>
    </row>
    <row r="1285" spans="1:19" s="84" customFormat="1" ht="30">
      <c r="A1285" s="217"/>
      <c r="B1285" s="25" t="s">
        <v>3442</v>
      </c>
      <c r="C1285" s="26" t="s">
        <v>1350</v>
      </c>
      <c r="D1285" s="351"/>
      <c r="E1285" s="26"/>
      <c r="F1285" s="351">
        <v>4</v>
      </c>
      <c r="G1285" s="351" t="s">
        <v>3123</v>
      </c>
      <c r="H1285" s="351"/>
      <c r="I1285" s="351" t="s">
        <v>2596</v>
      </c>
      <c r="J1285" s="560" t="s">
        <v>2328</v>
      </c>
      <c r="K1285" s="311">
        <v>2066967.0000000002</v>
      </c>
      <c r="L1285" s="311">
        <v>0</v>
      </c>
      <c r="M1285" s="311">
        <v>252602.08333333337</v>
      </c>
      <c r="N1285" s="311">
        <v>211984.16666666666</v>
      </c>
      <c r="O1285" s="311">
        <v>148388.91666666666</v>
      </c>
      <c r="P1285" s="68">
        <f t="shared" si="270"/>
        <v>2679942.1666666665</v>
      </c>
      <c r="Q1285" s="68">
        <f t="shared" si="271"/>
        <v>0</v>
      </c>
      <c r="R1285" s="127">
        <f t="shared" si="272"/>
        <v>10719768.666666666</v>
      </c>
      <c r="S1285" s="30"/>
    </row>
    <row r="1286" spans="1:19" s="84" customFormat="1" ht="30">
      <c r="A1286" s="217"/>
      <c r="B1286" s="25" t="s">
        <v>3443</v>
      </c>
      <c r="C1286" s="26" t="s">
        <v>1350</v>
      </c>
      <c r="D1286" s="351"/>
      <c r="E1286" s="26"/>
      <c r="F1286" s="351">
        <v>3</v>
      </c>
      <c r="G1286" s="351" t="s">
        <v>3123</v>
      </c>
      <c r="H1286" s="351"/>
      <c r="I1286" s="351" t="s">
        <v>2596</v>
      </c>
      <c r="J1286" s="560" t="s">
        <v>2328</v>
      </c>
      <c r="K1286" s="311">
        <v>230731.2</v>
      </c>
      <c r="L1286" s="311">
        <v>0</v>
      </c>
      <c r="M1286" s="311">
        <v>271765</v>
      </c>
      <c r="N1286" s="311">
        <v>45218</v>
      </c>
      <c r="O1286" s="311">
        <v>31652.600000000002</v>
      </c>
      <c r="P1286" s="68">
        <f t="shared" si="270"/>
        <v>579366.79999999993</v>
      </c>
      <c r="Q1286" s="68">
        <f t="shared" si="271"/>
        <v>0</v>
      </c>
      <c r="R1286" s="127">
        <f t="shared" si="272"/>
        <v>1738100.4</v>
      </c>
      <c r="S1286" s="30"/>
    </row>
    <row r="1287" spans="1:19" s="84" customFormat="1" ht="30">
      <c r="A1287" s="217"/>
      <c r="B1287" s="25" t="s">
        <v>3444</v>
      </c>
      <c r="C1287" s="26" t="s">
        <v>1350</v>
      </c>
      <c r="D1287" s="351"/>
      <c r="E1287" s="26"/>
      <c r="F1287" s="351">
        <v>1</v>
      </c>
      <c r="G1287" s="351" t="s">
        <v>3123</v>
      </c>
      <c r="H1287" s="351"/>
      <c r="I1287" s="351" t="s">
        <v>2596</v>
      </c>
      <c r="J1287" s="560" t="s">
        <v>2328</v>
      </c>
      <c r="K1287" s="311">
        <v>199753.40000000002</v>
      </c>
      <c r="L1287" s="311">
        <v>0</v>
      </c>
      <c r="M1287" s="311">
        <v>214276.25000000003</v>
      </c>
      <c r="N1287" s="311">
        <v>37288.5</v>
      </c>
      <c r="O1287" s="311">
        <v>26101.95</v>
      </c>
      <c r="P1287" s="68">
        <f t="shared" si="270"/>
        <v>477420.10000000003</v>
      </c>
      <c r="Q1287" s="68">
        <f t="shared" si="271"/>
        <v>0</v>
      </c>
      <c r="R1287" s="127">
        <f t="shared" si="272"/>
        <v>477420.10000000003</v>
      </c>
      <c r="S1287" s="30"/>
    </row>
    <row r="1288" spans="1:19" s="84" customFormat="1" ht="30">
      <c r="A1288" s="217"/>
      <c r="B1288" s="25" t="s">
        <v>3445</v>
      </c>
      <c r="C1288" s="26" t="s">
        <v>1350</v>
      </c>
      <c r="D1288" s="351"/>
      <c r="E1288" s="26"/>
      <c r="F1288" s="351">
        <v>3</v>
      </c>
      <c r="G1288" s="351" t="s">
        <v>3123</v>
      </c>
      <c r="H1288" s="351"/>
      <c r="I1288" s="351" t="s">
        <v>2596</v>
      </c>
      <c r="J1288" s="560" t="s">
        <v>2328</v>
      </c>
      <c r="K1288" s="311">
        <v>200821.6</v>
      </c>
      <c r="L1288" s="311">
        <v>0</v>
      </c>
      <c r="M1288" s="311">
        <v>235181.25000000006</v>
      </c>
      <c r="N1288" s="311">
        <v>39236.5</v>
      </c>
      <c r="O1288" s="311">
        <v>27465.550000000003</v>
      </c>
      <c r="P1288" s="68">
        <f t="shared" si="270"/>
        <v>502704.90000000008</v>
      </c>
      <c r="Q1288" s="68">
        <f t="shared" si="271"/>
        <v>0</v>
      </c>
      <c r="R1288" s="127">
        <f t="shared" si="272"/>
        <v>1508114.7000000002</v>
      </c>
      <c r="S1288" s="30"/>
    </row>
    <row r="1289" spans="1:19" s="84" customFormat="1" ht="30">
      <c r="A1289" s="217"/>
      <c r="B1289" s="25" t="s">
        <v>3401</v>
      </c>
      <c r="C1289" s="26" t="s">
        <v>1350</v>
      </c>
      <c r="D1289" s="351"/>
      <c r="E1289" s="26"/>
      <c r="F1289" s="351">
        <v>2</v>
      </c>
      <c r="G1289" s="351" t="s">
        <v>3123</v>
      </c>
      <c r="H1289" s="351"/>
      <c r="I1289" s="351" t="s">
        <v>2596</v>
      </c>
      <c r="J1289" s="560" t="s">
        <v>2328</v>
      </c>
      <c r="K1289" s="311">
        <v>139934.20000000001</v>
      </c>
      <c r="L1289" s="311">
        <v>0</v>
      </c>
      <c r="M1289" s="311">
        <v>114977.50000000001</v>
      </c>
      <c r="N1289" s="311">
        <v>23013</v>
      </c>
      <c r="O1289" s="311">
        <v>16109.100000000002</v>
      </c>
      <c r="P1289" s="68">
        <f t="shared" si="270"/>
        <v>294033.8</v>
      </c>
      <c r="Q1289" s="68">
        <f t="shared" si="271"/>
        <v>0</v>
      </c>
      <c r="R1289" s="127">
        <f t="shared" si="272"/>
        <v>588067.6</v>
      </c>
      <c r="S1289" s="30"/>
    </row>
    <row r="1290" spans="1:19" s="84" customFormat="1" ht="30">
      <c r="A1290" s="217"/>
      <c r="B1290" s="25" t="s">
        <v>3446</v>
      </c>
      <c r="C1290" s="26" t="s">
        <v>1350</v>
      </c>
      <c r="D1290" s="351"/>
      <c r="E1290" s="26"/>
      <c r="F1290" s="351">
        <v>1</v>
      </c>
      <c r="G1290" s="351" t="s">
        <v>3123</v>
      </c>
      <c r="H1290" s="351"/>
      <c r="I1290" s="351" t="s">
        <v>2596</v>
      </c>
      <c r="J1290" s="560" t="s">
        <v>2328</v>
      </c>
      <c r="K1290" s="311">
        <v>153820.80000000002</v>
      </c>
      <c r="L1290" s="311">
        <v>0</v>
      </c>
      <c r="M1290" s="311">
        <v>116719.58333333337</v>
      </c>
      <c r="N1290" s="311">
        <v>24441.166666666672</v>
      </c>
      <c r="O1290" s="311">
        <v>17108.816666666669</v>
      </c>
      <c r="P1290" s="68">
        <f t="shared" si="270"/>
        <v>312090.36666666676</v>
      </c>
      <c r="Q1290" s="68">
        <f t="shared" si="271"/>
        <v>0</v>
      </c>
      <c r="R1290" s="127">
        <f t="shared" si="272"/>
        <v>312090.36666666676</v>
      </c>
      <c r="S1290" s="30"/>
    </row>
    <row r="1291" spans="1:19" s="84" customFormat="1" ht="30">
      <c r="A1291" s="217"/>
      <c r="B1291" s="25" t="s">
        <v>3447</v>
      </c>
      <c r="C1291" s="26" t="s">
        <v>1350</v>
      </c>
      <c r="D1291" s="351"/>
      <c r="E1291" s="26"/>
      <c r="F1291" s="351">
        <v>1</v>
      </c>
      <c r="G1291" s="351" t="s">
        <v>3123</v>
      </c>
      <c r="H1291" s="351"/>
      <c r="I1291" s="351" t="s">
        <v>2596</v>
      </c>
      <c r="J1291" s="560" t="s">
        <v>2328</v>
      </c>
      <c r="K1291" s="311">
        <v>193344.2</v>
      </c>
      <c r="L1291" s="311">
        <v>0</v>
      </c>
      <c r="M1291" s="311">
        <v>226470.83333333337</v>
      </c>
      <c r="N1291" s="311">
        <v>37779.666666666672</v>
      </c>
      <c r="O1291" s="311">
        <v>26445.76666666667</v>
      </c>
      <c r="P1291" s="68">
        <f t="shared" si="270"/>
        <v>484040.46666666673</v>
      </c>
      <c r="Q1291" s="68">
        <f t="shared" si="271"/>
        <v>0</v>
      </c>
      <c r="R1291" s="127">
        <f t="shared" si="272"/>
        <v>484040.46666666673</v>
      </c>
      <c r="S1291" s="30"/>
    </row>
    <row r="1292" spans="1:19" s="84" customFormat="1" ht="30">
      <c r="A1292" s="217"/>
      <c r="B1292" s="25" t="s">
        <v>3448</v>
      </c>
      <c r="C1292" s="26" t="s">
        <v>1350</v>
      </c>
      <c r="D1292" s="351"/>
      <c r="E1292" s="26"/>
      <c r="F1292" s="351">
        <v>9</v>
      </c>
      <c r="G1292" s="351" t="s">
        <v>3123</v>
      </c>
      <c r="H1292" s="351"/>
      <c r="I1292" s="351" t="s">
        <v>2596</v>
      </c>
      <c r="J1292" s="560" t="s">
        <v>2328</v>
      </c>
      <c r="K1292" s="311">
        <v>270254.60000000003</v>
      </c>
      <c r="L1292" s="311">
        <v>0</v>
      </c>
      <c r="M1292" s="311">
        <v>299638.33333333337</v>
      </c>
      <c r="N1292" s="311">
        <v>51310.666666666672</v>
      </c>
      <c r="O1292" s="311">
        <v>35917.466666666674</v>
      </c>
      <c r="P1292" s="68">
        <f t="shared" si="270"/>
        <v>657121.06666666665</v>
      </c>
      <c r="Q1292" s="68">
        <f t="shared" si="271"/>
        <v>0</v>
      </c>
      <c r="R1292" s="127">
        <f t="shared" si="272"/>
        <v>5914089.5999999996</v>
      </c>
      <c r="S1292" s="30"/>
    </row>
    <row r="1293" spans="1:19" s="84" customFormat="1" ht="30">
      <c r="A1293" s="217"/>
      <c r="B1293" s="25" t="s">
        <v>3418</v>
      </c>
      <c r="C1293" s="26" t="s">
        <v>1350</v>
      </c>
      <c r="D1293" s="351"/>
      <c r="E1293" s="26"/>
      <c r="F1293" s="351">
        <v>1</v>
      </c>
      <c r="G1293" s="351" t="s">
        <v>3123</v>
      </c>
      <c r="H1293" s="351"/>
      <c r="I1293" s="351" t="s">
        <v>2596</v>
      </c>
      <c r="J1293" s="560" t="s">
        <v>2328</v>
      </c>
      <c r="K1293" s="311">
        <v>166639.20000000001</v>
      </c>
      <c r="L1293" s="311">
        <v>0</v>
      </c>
      <c r="M1293" s="311">
        <v>116719.58333333337</v>
      </c>
      <c r="N1293" s="311">
        <v>25617.166666666672</v>
      </c>
      <c r="O1293" s="311">
        <v>17932.01666666667</v>
      </c>
      <c r="P1293" s="68">
        <f t="shared" si="270"/>
        <v>326907.96666666673</v>
      </c>
      <c r="Q1293" s="68">
        <f t="shared" si="271"/>
        <v>0</v>
      </c>
      <c r="R1293" s="127">
        <f t="shared" si="272"/>
        <v>326907.96666666673</v>
      </c>
      <c r="S1293" s="30"/>
    </row>
    <row r="1294" spans="1:19" s="84" customFormat="1" ht="30">
      <c r="A1294" s="217"/>
      <c r="B1294" s="25" t="s">
        <v>3449</v>
      </c>
      <c r="C1294" s="26" t="s">
        <v>1350</v>
      </c>
      <c r="D1294" s="351"/>
      <c r="E1294" s="26"/>
      <c r="F1294" s="351">
        <v>1</v>
      </c>
      <c r="G1294" s="351" t="s">
        <v>3123</v>
      </c>
      <c r="H1294" s="351"/>
      <c r="I1294" s="351" t="s">
        <v>2596</v>
      </c>
      <c r="J1294" s="560" t="s">
        <v>2328</v>
      </c>
      <c r="K1294" s="311">
        <v>1383319</v>
      </c>
      <c r="L1294" s="311">
        <v>0</v>
      </c>
      <c r="M1294" s="311">
        <v>621923.75000000012</v>
      </c>
      <c r="N1294" s="311">
        <v>181947.5</v>
      </c>
      <c r="O1294" s="311">
        <v>127363.25000000001</v>
      </c>
      <c r="P1294" s="68">
        <f t="shared" si="270"/>
        <v>2314553.5</v>
      </c>
      <c r="Q1294" s="68">
        <f t="shared" si="271"/>
        <v>0</v>
      </c>
      <c r="R1294" s="127">
        <f t="shared" si="272"/>
        <v>2314553.5</v>
      </c>
      <c r="S1294" s="30"/>
    </row>
    <row r="1295" spans="1:19" s="84" customFormat="1" ht="30">
      <c r="A1295" s="217"/>
      <c r="B1295" s="25" t="s">
        <v>3450</v>
      </c>
      <c r="C1295" s="26" t="s">
        <v>1350</v>
      </c>
      <c r="D1295" s="351"/>
      <c r="E1295" s="26"/>
      <c r="F1295" s="351">
        <v>1</v>
      </c>
      <c r="G1295" s="351" t="s">
        <v>3123</v>
      </c>
      <c r="H1295" s="351"/>
      <c r="I1295" s="351" t="s">
        <v>2596</v>
      </c>
      <c r="J1295" s="560" t="s">
        <v>2328</v>
      </c>
      <c r="K1295" s="311">
        <v>1808462.6</v>
      </c>
      <c r="L1295" s="311">
        <v>0</v>
      </c>
      <c r="M1295" s="311">
        <v>714254.16666666663</v>
      </c>
      <c r="N1295" s="311">
        <v>229122.33333333331</v>
      </c>
      <c r="O1295" s="311">
        <v>160385.63333333333</v>
      </c>
      <c r="P1295" s="68">
        <f t="shared" si="270"/>
        <v>2912224.7333333334</v>
      </c>
      <c r="Q1295" s="68">
        <f t="shared" si="271"/>
        <v>0</v>
      </c>
      <c r="R1295" s="127">
        <f t="shared" si="272"/>
        <v>2912224.7333333334</v>
      </c>
      <c r="S1295" s="30"/>
    </row>
    <row r="1296" spans="1:19" s="84" customFormat="1" ht="30">
      <c r="A1296" s="217"/>
      <c r="B1296" s="25" t="s">
        <v>3453</v>
      </c>
      <c r="C1296" s="26" t="s">
        <v>1350</v>
      </c>
      <c r="D1296" s="351"/>
      <c r="E1296" s="26"/>
      <c r="F1296" s="351">
        <v>1</v>
      </c>
      <c r="G1296" s="351" t="s">
        <v>3123</v>
      </c>
      <c r="H1296" s="351"/>
      <c r="I1296" s="351" t="s">
        <v>2596</v>
      </c>
      <c r="J1296" s="560" t="s">
        <v>2328</v>
      </c>
      <c r="K1296" s="311">
        <v>426211.80000000005</v>
      </c>
      <c r="L1296" s="311">
        <v>0</v>
      </c>
      <c r="M1296" s="311">
        <v>168982.08333333337</v>
      </c>
      <c r="N1296" s="311">
        <v>54056.166666666679</v>
      </c>
      <c r="O1296" s="311">
        <v>37839.316666666673</v>
      </c>
      <c r="P1296" s="68">
        <f t="shared" si="270"/>
        <v>687089.3666666667</v>
      </c>
      <c r="Q1296" s="68">
        <f t="shared" si="271"/>
        <v>0</v>
      </c>
      <c r="R1296" s="127">
        <f t="shared" si="272"/>
        <v>687089.3666666667</v>
      </c>
      <c r="S1296" s="30"/>
    </row>
    <row r="1297" spans="1:19">
      <c r="A1297" s="73"/>
      <c r="B1297" s="27" t="s">
        <v>1459</v>
      </c>
      <c r="C1297" s="24"/>
      <c r="D1297" s="351"/>
      <c r="E1297" s="26"/>
      <c r="F1297" s="351"/>
      <c r="G1297" s="329"/>
      <c r="H1297" s="329"/>
      <c r="I1297" s="329"/>
      <c r="J1297" s="582"/>
      <c r="K1297" s="65"/>
      <c r="L1297" s="65"/>
      <c r="M1297" s="65"/>
      <c r="N1297" s="65"/>
      <c r="O1297" s="65"/>
      <c r="P1297" s="65"/>
      <c r="Q1297" s="65"/>
      <c r="R1297" s="65"/>
      <c r="S1297" s="329"/>
    </row>
    <row r="1298" spans="1:19" ht="30">
      <c r="A1298" s="73"/>
      <c r="B1298" s="25" t="s">
        <v>1385</v>
      </c>
      <c r="C1298" s="26" t="s">
        <v>1350</v>
      </c>
      <c r="D1298" s="351"/>
      <c r="E1298" s="26"/>
      <c r="F1298" s="351">
        <v>1</v>
      </c>
      <c r="G1298" s="351" t="s">
        <v>3128</v>
      </c>
      <c r="H1298" s="351"/>
      <c r="I1298" s="351" t="s">
        <v>2596</v>
      </c>
      <c r="J1298" s="560" t="s">
        <v>2328</v>
      </c>
      <c r="K1298" s="311">
        <v>1498684.6</v>
      </c>
      <c r="L1298" s="311">
        <v>0</v>
      </c>
      <c r="M1298" s="311">
        <v>526109.16666666674</v>
      </c>
      <c r="N1298" s="311">
        <v>184052.33333333337</v>
      </c>
      <c r="O1298" s="311">
        <v>128836.63333333336</v>
      </c>
      <c r="P1298" s="68">
        <f t="shared" ref="P1298:P1304" si="273">SUM(K1298:O1298)</f>
        <v>2337682.7333333334</v>
      </c>
      <c r="Q1298" s="68">
        <f t="shared" ref="Q1298:Q1304" si="274">D1298*P1298</f>
        <v>0</v>
      </c>
      <c r="R1298" s="127">
        <f t="shared" ref="R1298:R1304" si="275">F1298*P1298</f>
        <v>2337682.7333333334</v>
      </c>
      <c r="S1298" s="15"/>
    </row>
    <row r="1299" spans="1:19" ht="30">
      <c r="A1299" s="73"/>
      <c r="B1299" s="25" t="s">
        <v>3600</v>
      </c>
      <c r="C1299" s="26" t="s">
        <v>1350</v>
      </c>
      <c r="D1299" s="351"/>
      <c r="E1299" s="26"/>
      <c r="F1299" s="351">
        <v>1</v>
      </c>
      <c r="G1299" s="351" t="s">
        <v>3128</v>
      </c>
      <c r="H1299" s="351"/>
      <c r="I1299" s="351" t="s">
        <v>2596</v>
      </c>
      <c r="J1299" s="560" t="s">
        <v>2328</v>
      </c>
      <c r="K1299" s="311">
        <v>292686.80000000005</v>
      </c>
      <c r="L1299" s="311">
        <v>0</v>
      </c>
      <c r="M1299" s="311">
        <v>102782.91666666669</v>
      </c>
      <c r="N1299" s="311">
        <v>35947.833333333336</v>
      </c>
      <c r="O1299" s="311">
        <v>25163.483333333337</v>
      </c>
      <c r="P1299" s="68">
        <f t="shared" si="273"/>
        <v>456581.03333333338</v>
      </c>
      <c r="Q1299" s="68">
        <f t="shared" si="274"/>
        <v>0</v>
      </c>
      <c r="R1299" s="127">
        <f t="shared" si="275"/>
        <v>456581.03333333338</v>
      </c>
      <c r="S1299" s="15"/>
    </row>
    <row r="1300" spans="1:19" ht="30">
      <c r="A1300" s="73"/>
      <c r="B1300" s="25" t="s">
        <v>1475</v>
      </c>
      <c r="C1300" s="26" t="s">
        <v>1350</v>
      </c>
      <c r="D1300" s="351"/>
      <c r="E1300" s="26"/>
      <c r="F1300" s="351">
        <v>1</v>
      </c>
      <c r="G1300" s="351" t="s">
        <v>3128</v>
      </c>
      <c r="H1300" s="351"/>
      <c r="I1300" s="351" t="s">
        <v>2596</v>
      </c>
      <c r="J1300" s="560" t="s">
        <v>2328</v>
      </c>
      <c r="K1300" s="311">
        <v>5417910.4000000004</v>
      </c>
      <c r="L1300" s="311">
        <v>0</v>
      </c>
      <c r="M1300" s="311">
        <v>1888418.3333333337</v>
      </c>
      <c r="N1300" s="311">
        <v>664172.66666666674</v>
      </c>
      <c r="O1300" s="311">
        <v>464920.86666666676</v>
      </c>
      <c r="P1300" s="68">
        <f t="shared" si="273"/>
        <v>8435422.2666666675</v>
      </c>
      <c r="Q1300" s="68">
        <f t="shared" si="274"/>
        <v>0</v>
      </c>
      <c r="R1300" s="127">
        <f t="shared" si="275"/>
        <v>8435422.2666666675</v>
      </c>
      <c r="S1300" s="15"/>
    </row>
    <row r="1301" spans="1:19" ht="30">
      <c r="A1301" s="73"/>
      <c r="B1301" s="25" t="s">
        <v>3593</v>
      </c>
      <c r="C1301" s="26" t="s">
        <v>1350</v>
      </c>
      <c r="D1301" s="351"/>
      <c r="E1301" s="26"/>
      <c r="F1301" s="351">
        <v>36</v>
      </c>
      <c r="G1301" s="351" t="s">
        <v>3128</v>
      </c>
      <c r="H1301" s="351"/>
      <c r="I1301" s="351" t="s">
        <v>2596</v>
      </c>
      <c r="J1301" s="560" t="s">
        <v>2328</v>
      </c>
      <c r="K1301" s="311">
        <v>382415.60000000003</v>
      </c>
      <c r="L1301" s="311">
        <v>0</v>
      </c>
      <c r="M1301" s="311">
        <v>134140.41666666669</v>
      </c>
      <c r="N1301" s="311">
        <v>46954.833333333343</v>
      </c>
      <c r="O1301" s="311">
        <v>32868.383333333339</v>
      </c>
      <c r="P1301" s="68">
        <f t="shared" si="273"/>
        <v>596379.2333333334</v>
      </c>
      <c r="Q1301" s="68">
        <f t="shared" si="274"/>
        <v>0</v>
      </c>
      <c r="R1301" s="127">
        <f t="shared" si="275"/>
        <v>21469652.400000002</v>
      </c>
      <c r="S1301" s="37"/>
    </row>
    <row r="1302" spans="1:19" s="84" customFormat="1" ht="30">
      <c r="A1302" s="211"/>
      <c r="B1302" s="25" t="s">
        <v>3601</v>
      </c>
      <c r="C1302" s="26" t="s">
        <v>1350</v>
      </c>
      <c r="D1302" s="351"/>
      <c r="E1302" s="26"/>
      <c r="F1302" s="351">
        <v>1</v>
      </c>
      <c r="G1302" s="351" t="s">
        <v>3128</v>
      </c>
      <c r="H1302" s="351"/>
      <c r="I1302" s="351" t="s">
        <v>2596</v>
      </c>
      <c r="J1302" s="560" t="s">
        <v>2328</v>
      </c>
      <c r="K1302" s="311">
        <v>1326704.4000000001</v>
      </c>
      <c r="L1302" s="311">
        <v>0</v>
      </c>
      <c r="M1302" s="311">
        <v>465136.25000000006</v>
      </c>
      <c r="N1302" s="311">
        <v>162878.5</v>
      </c>
      <c r="O1302" s="311">
        <v>114014.95000000001</v>
      </c>
      <c r="P1302" s="68">
        <f t="shared" si="273"/>
        <v>2068734.1</v>
      </c>
      <c r="Q1302" s="68">
        <f t="shared" si="274"/>
        <v>0</v>
      </c>
      <c r="R1302" s="127">
        <f t="shared" si="275"/>
        <v>2068734.1</v>
      </c>
      <c r="S1302" s="331"/>
    </row>
    <row r="1303" spans="1:19" s="84" customFormat="1" ht="30">
      <c r="A1303" s="211"/>
      <c r="B1303" s="25" t="s">
        <v>1417</v>
      </c>
      <c r="C1303" s="26" t="s">
        <v>1350</v>
      </c>
      <c r="D1303" s="351"/>
      <c r="E1303" s="26"/>
      <c r="F1303" s="351">
        <v>1</v>
      </c>
      <c r="G1303" s="351" t="s">
        <v>3128</v>
      </c>
      <c r="H1303" s="351"/>
      <c r="I1303" s="351" t="s">
        <v>2596</v>
      </c>
      <c r="J1303" s="560" t="s">
        <v>2328</v>
      </c>
      <c r="K1303" s="311">
        <v>2056285.0000000002</v>
      </c>
      <c r="L1303" s="311">
        <v>0</v>
      </c>
      <c r="M1303" s="311">
        <v>721222.5</v>
      </c>
      <c r="N1303" s="311">
        <v>252475</v>
      </c>
      <c r="O1303" s="311">
        <v>176732.50000000003</v>
      </c>
      <c r="P1303" s="68">
        <f t="shared" si="273"/>
        <v>3206715</v>
      </c>
      <c r="Q1303" s="68">
        <f t="shared" si="274"/>
        <v>0</v>
      </c>
      <c r="R1303" s="127">
        <f t="shared" si="275"/>
        <v>3206715</v>
      </c>
      <c r="S1303" s="333"/>
    </row>
    <row r="1304" spans="1:19" s="84" customFormat="1" ht="30">
      <c r="A1304" s="211"/>
      <c r="B1304" s="25" t="s">
        <v>1449</v>
      </c>
      <c r="C1304" s="26" t="s">
        <v>1350</v>
      </c>
      <c r="D1304" s="351"/>
      <c r="E1304" s="26"/>
      <c r="F1304" s="351">
        <v>1</v>
      </c>
      <c r="G1304" s="351" t="s">
        <v>3128</v>
      </c>
      <c r="H1304" s="351"/>
      <c r="I1304" s="351" t="s">
        <v>2596</v>
      </c>
      <c r="J1304" s="560" t="s">
        <v>2328</v>
      </c>
      <c r="K1304" s="311">
        <v>1420706</v>
      </c>
      <c r="L1304" s="311">
        <v>0</v>
      </c>
      <c r="M1304" s="311">
        <v>498235.83333333343</v>
      </c>
      <c r="N1304" s="311">
        <v>174431.66666666669</v>
      </c>
      <c r="O1304" s="311">
        <v>122102.16666666669</v>
      </c>
      <c r="P1304" s="68">
        <f t="shared" si="273"/>
        <v>2215475.666666667</v>
      </c>
      <c r="Q1304" s="68">
        <f t="shared" si="274"/>
        <v>0</v>
      </c>
      <c r="R1304" s="127">
        <f t="shared" si="275"/>
        <v>2215475.666666667</v>
      </c>
      <c r="S1304" s="333"/>
    </row>
    <row r="1305" spans="1:19">
      <c r="A1305" s="73"/>
      <c r="B1305" s="27" t="s">
        <v>1460</v>
      </c>
      <c r="C1305" s="24"/>
      <c r="D1305" s="351"/>
      <c r="E1305" s="26"/>
      <c r="F1305" s="351"/>
      <c r="G1305" s="37"/>
      <c r="H1305" s="37"/>
      <c r="I1305" s="37"/>
      <c r="J1305" s="583"/>
      <c r="K1305" s="66"/>
      <c r="L1305" s="66"/>
      <c r="M1305" s="66"/>
      <c r="N1305" s="66"/>
      <c r="O1305" s="66"/>
      <c r="P1305" s="66"/>
      <c r="Q1305" s="66"/>
      <c r="R1305" s="66"/>
      <c r="S1305" s="37"/>
    </row>
    <row r="1306" spans="1:19" ht="30">
      <c r="A1306" s="73"/>
      <c r="B1306" s="25" t="s">
        <v>3455</v>
      </c>
      <c r="C1306" s="26" t="s">
        <v>1350</v>
      </c>
      <c r="D1306" s="351"/>
      <c r="E1306" s="26"/>
      <c r="F1306" s="351">
        <v>2</v>
      </c>
      <c r="G1306" s="351" t="s">
        <v>3128</v>
      </c>
      <c r="H1306" s="351"/>
      <c r="I1306" s="351" t="s">
        <v>2596</v>
      </c>
      <c r="J1306" s="560" t="s">
        <v>2328</v>
      </c>
      <c r="K1306" s="311">
        <v>879128.60000000009</v>
      </c>
      <c r="L1306" s="311">
        <v>0</v>
      </c>
      <c r="M1306" s="311">
        <v>191629.16666666674</v>
      </c>
      <c r="N1306" s="311">
        <v>97612.333333333343</v>
      </c>
      <c r="O1306" s="311">
        <v>68328.633333333346</v>
      </c>
      <c r="P1306" s="68">
        <f t="shared" ref="P1306:P1323" si="276">SUM(K1306:O1306)</f>
        <v>1236698.7333333334</v>
      </c>
      <c r="Q1306" s="68">
        <f t="shared" ref="Q1306:Q1323" si="277">D1306*P1306</f>
        <v>0</v>
      </c>
      <c r="R1306" s="127">
        <f t="shared" ref="R1306:R1323" si="278">F1306*P1306</f>
        <v>2473397.4666666668</v>
      </c>
      <c r="S1306" s="37"/>
    </row>
    <row r="1307" spans="1:19" ht="30">
      <c r="A1307" s="73"/>
      <c r="B1307" s="25" t="s">
        <v>3456</v>
      </c>
      <c r="C1307" s="26" t="s">
        <v>1350</v>
      </c>
      <c r="D1307" s="351"/>
      <c r="E1307" s="26"/>
      <c r="F1307" s="351">
        <v>2</v>
      </c>
      <c r="G1307" s="351" t="s">
        <v>3128</v>
      </c>
      <c r="H1307" s="351"/>
      <c r="I1307" s="351" t="s">
        <v>2596</v>
      </c>
      <c r="J1307" s="560" t="s">
        <v>2328</v>
      </c>
      <c r="K1307" s="311">
        <v>860969.20000000007</v>
      </c>
      <c r="L1307" s="311">
        <v>0</v>
      </c>
      <c r="M1307" s="311">
        <v>200339.58333333334</v>
      </c>
      <c r="N1307" s="311">
        <v>96717.166666666672</v>
      </c>
      <c r="O1307" s="311">
        <v>67702.016666666677</v>
      </c>
      <c r="P1307" s="68">
        <f t="shared" si="276"/>
        <v>1225727.9666666668</v>
      </c>
      <c r="Q1307" s="68">
        <f t="shared" si="277"/>
        <v>0</v>
      </c>
      <c r="R1307" s="127">
        <f t="shared" si="278"/>
        <v>2451455.9333333336</v>
      </c>
      <c r="S1307" s="36"/>
    </row>
    <row r="1308" spans="1:19" ht="30">
      <c r="A1308" s="73"/>
      <c r="B1308" s="25" t="s">
        <v>3457</v>
      </c>
      <c r="C1308" s="26" t="s">
        <v>1350</v>
      </c>
      <c r="D1308" s="351"/>
      <c r="E1308" s="26"/>
      <c r="F1308" s="351">
        <v>2</v>
      </c>
      <c r="G1308" s="351" t="s">
        <v>3128</v>
      </c>
      <c r="H1308" s="351"/>
      <c r="I1308" s="351" t="s">
        <v>2596</v>
      </c>
      <c r="J1308" s="560" t="s">
        <v>2328</v>
      </c>
      <c r="K1308" s="311">
        <v>1576663.2000000002</v>
      </c>
      <c r="L1308" s="311">
        <v>0</v>
      </c>
      <c r="M1308" s="311">
        <v>296154.16666666669</v>
      </c>
      <c r="N1308" s="311">
        <v>170856.33333333334</v>
      </c>
      <c r="O1308" s="311">
        <v>119599.43333333333</v>
      </c>
      <c r="P1308" s="68">
        <f t="shared" si="276"/>
        <v>2163273.1333333333</v>
      </c>
      <c r="Q1308" s="68">
        <f t="shared" si="277"/>
        <v>0</v>
      </c>
      <c r="R1308" s="127">
        <f t="shared" si="278"/>
        <v>4326546.2666666666</v>
      </c>
      <c r="S1308" s="15"/>
    </row>
    <row r="1309" spans="1:19" s="84" customFormat="1" ht="30">
      <c r="A1309" s="211"/>
      <c r="B1309" s="25" t="s">
        <v>3458</v>
      </c>
      <c r="C1309" s="26" t="s">
        <v>1350</v>
      </c>
      <c r="D1309" s="351"/>
      <c r="E1309" s="26"/>
      <c r="F1309" s="351">
        <v>2</v>
      </c>
      <c r="G1309" s="351" t="s">
        <v>3128</v>
      </c>
      <c r="H1309" s="351"/>
      <c r="I1309" s="351" t="s">
        <v>2596</v>
      </c>
      <c r="J1309" s="560" t="s">
        <v>2328</v>
      </c>
      <c r="K1309" s="311">
        <v>1559572</v>
      </c>
      <c r="L1309" s="311">
        <v>0</v>
      </c>
      <c r="M1309" s="311">
        <v>365837.50000000006</v>
      </c>
      <c r="N1309" s="311">
        <v>175455</v>
      </c>
      <c r="O1309" s="311">
        <v>122818.50000000001</v>
      </c>
      <c r="P1309" s="68">
        <f t="shared" si="276"/>
        <v>2223683</v>
      </c>
      <c r="Q1309" s="68">
        <f t="shared" si="277"/>
        <v>0</v>
      </c>
      <c r="R1309" s="127">
        <f t="shared" si="278"/>
        <v>4447366</v>
      </c>
      <c r="S1309" s="335"/>
    </row>
    <row r="1310" spans="1:19" s="84" customFormat="1" ht="30">
      <c r="A1310" s="211"/>
      <c r="B1310" s="25" t="s">
        <v>3459</v>
      </c>
      <c r="C1310" s="26" t="s">
        <v>1350</v>
      </c>
      <c r="D1310" s="351"/>
      <c r="E1310" s="26"/>
      <c r="F1310" s="351">
        <v>2</v>
      </c>
      <c r="G1310" s="351" t="s">
        <v>3128</v>
      </c>
      <c r="H1310" s="351"/>
      <c r="I1310" s="351" t="s">
        <v>2596</v>
      </c>
      <c r="J1310" s="560" t="s">
        <v>2328</v>
      </c>
      <c r="K1310" s="311">
        <v>1157928.8</v>
      </c>
      <c r="L1310" s="311">
        <v>0</v>
      </c>
      <c r="M1310" s="311">
        <v>270022.91666666669</v>
      </c>
      <c r="N1310" s="311">
        <v>130127.83333333333</v>
      </c>
      <c r="O1310" s="311">
        <v>91089.483333333337</v>
      </c>
      <c r="P1310" s="68">
        <f t="shared" si="276"/>
        <v>1649169.0333333334</v>
      </c>
      <c r="Q1310" s="68">
        <f t="shared" si="277"/>
        <v>0</v>
      </c>
      <c r="R1310" s="127">
        <f t="shared" si="278"/>
        <v>3298338.0666666669</v>
      </c>
      <c r="S1310" s="330"/>
    </row>
    <row r="1311" spans="1:19" s="84" customFormat="1" ht="30">
      <c r="A1311" s="211"/>
      <c r="B1311" s="25" t="s">
        <v>3460</v>
      </c>
      <c r="C1311" s="26" t="s">
        <v>1350</v>
      </c>
      <c r="D1311" s="351"/>
      <c r="E1311" s="26"/>
      <c r="F1311" s="351">
        <v>1</v>
      </c>
      <c r="G1311" s="351" t="s">
        <v>3128</v>
      </c>
      <c r="H1311" s="351"/>
      <c r="I1311" s="351" t="s">
        <v>2596</v>
      </c>
      <c r="J1311" s="560" t="s">
        <v>2328</v>
      </c>
      <c r="K1311" s="311">
        <v>396302.2</v>
      </c>
      <c r="L1311" s="311">
        <v>0</v>
      </c>
      <c r="M1311" s="311">
        <v>273507.08333333337</v>
      </c>
      <c r="N1311" s="311">
        <v>60562.166666666679</v>
      </c>
      <c r="O1311" s="311">
        <v>42393.516666666677</v>
      </c>
      <c r="P1311" s="68">
        <f t="shared" si="276"/>
        <v>772764.96666666679</v>
      </c>
      <c r="Q1311" s="68">
        <f t="shared" si="277"/>
        <v>0</v>
      </c>
      <c r="R1311" s="127">
        <f t="shared" si="278"/>
        <v>772764.96666666679</v>
      </c>
      <c r="S1311" s="330"/>
    </row>
    <row r="1312" spans="1:19" s="84" customFormat="1" ht="30">
      <c r="A1312" s="211"/>
      <c r="B1312" s="25" t="s">
        <v>3461</v>
      </c>
      <c r="C1312" s="26" t="s">
        <v>1350</v>
      </c>
      <c r="D1312" s="351"/>
      <c r="E1312" s="26"/>
      <c r="F1312" s="351">
        <v>1</v>
      </c>
      <c r="G1312" s="351" t="s">
        <v>3128</v>
      </c>
      <c r="H1312" s="351"/>
      <c r="I1312" s="351" t="s">
        <v>2596</v>
      </c>
      <c r="J1312" s="560" t="s">
        <v>2328</v>
      </c>
      <c r="K1312" s="311">
        <v>572555.20000000007</v>
      </c>
      <c r="L1312" s="311">
        <v>0</v>
      </c>
      <c r="M1312" s="311">
        <v>240407.5</v>
      </c>
      <c r="N1312" s="311">
        <v>73803</v>
      </c>
      <c r="O1312" s="311">
        <v>51662.100000000006</v>
      </c>
      <c r="P1312" s="68">
        <f t="shared" si="276"/>
        <v>938427.8</v>
      </c>
      <c r="Q1312" s="68">
        <f t="shared" si="277"/>
        <v>0</v>
      </c>
      <c r="R1312" s="127">
        <f t="shared" si="278"/>
        <v>938427.8</v>
      </c>
      <c r="S1312" s="335"/>
    </row>
    <row r="1313" spans="1:19" ht="30">
      <c r="A1313" s="73"/>
      <c r="B1313" s="25" t="s">
        <v>3462</v>
      </c>
      <c r="C1313" s="26" t="s">
        <v>1350</v>
      </c>
      <c r="D1313" s="351"/>
      <c r="E1313" s="26"/>
      <c r="F1313" s="351">
        <v>2</v>
      </c>
      <c r="G1313" s="351" t="s">
        <v>3128</v>
      </c>
      <c r="H1313" s="351"/>
      <c r="I1313" s="351" t="s">
        <v>2596</v>
      </c>
      <c r="J1313" s="560" t="s">
        <v>2328</v>
      </c>
      <c r="K1313" s="311">
        <v>1912078.0000000002</v>
      </c>
      <c r="L1313" s="311">
        <v>0</v>
      </c>
      <c r="M1313" s="311">
        <v>365837.50000000006</v>
      </c>
      <c r="N1313" s="311">
        <v>207795</v>
      </c>
      <c r="O1313" s="311">
        <v>145456.5</v>
      </c>
      <c r="P1313" s="68">
        <f t="shared" si="276"/>
        <v>2631167.0000000005</v>
      </c>
      <c r="Q1313" s="68">
        <f t="shared" si="277"/>
        <v>0</v>
      </c>
      <c r="R1313" s="127">
        <f t="shared" si="278"/>
        <v>5262334.0000000009</v>
      </c>
      <c r="S1313" s="37"/>
    </row>
    <row r="1314" spans="1:19" ht="30">
      <c r="A1314" s="73"/>
      <c r="B1314" s="25" t="s">
        <v>3463</v>
      </c>
      <c r="C1314" s="26" t="s">
        <v>1350</v>
      </c>
      <c r="D1314" s="351"/>
      <c r="E1314" s="26"/>
      <c r="F1314" s="351">
        <v>2</v>
      </c>
      <c r="G1314" s="351" t="s">
        <v>3128</v>
      </c>
      <c r="H1314" s="351"/>
      <c r="I1314" s="351" t="s">
        <v>2596</v>
      </c>
      <c r="J1314" s="560" t="s">
        <v>2328</v>
      </c>
      <c r="K1314" s="311">
        <v>844946.20000000007</v>
      </c>
      <c r="L1314" s="311">
        <v>0</v>
      </c>
      <c r="M1314" s="311">
        <v>226470.83333333337</v>
      </c>
      <c r="N1314" s="311">
        <v>97559.666666666686</v>
      </c>
      <c r="O1314" s="311">
        <v>68291.766666666677</v>
      </c>
      <c r="P1314" s="68">
        <f t="shared" si="276"/>
        <v>1237268.4666666668</v>
      </c>
      <c r="Q1314" s="68">
        <f t="shared" si="277"/>
        <v>0</v>
      </c>
      <c r="R1314" s="127">
        <f t="shared" si="278"/>
        <v>2474536.9333333336</v>
      </c>
      <c r="S1314" s="36"/>
    </row>
    <row r="1315" spans="1:19" ht="30">
      <c r="A1315" s="73"/>
      <c r="B1315" s="25" t="s">
        <v>3464</v>
      </c>
      <c r="C1315" s="26" t="s">
        <v>1350</v>
      </c>
      <c r="D1315" s="351"/>
      <c r="E1315" s="26"/>
      <c r="F1315" s="351">
        <v>2</v>
      </c>
      <c r="G1315" s="351" t="s">
        <v>3128</v>
      </c>
      <c r="H1315" s="351"/>
      <c r="I1315" s="351" t="s">
        <v>2596</v>
      </c>
      <c r="J1315" s="560" t="s">
        <v>2328</v>
      </c>
      <c r="K1315" s="311">
        <v>1171815.4000000001</v>
      </c>
      <c r="L1315" s="311">
        <v>0</v>
      </c>
      <c r="M1315" s="311">
        <v>261312.50000000003</v>
      </c>
      <c r="N1315" s="311">
        <v>130631</v>
      </c>
      <c r="O1315" s="311">
        <v>91441.700000000012</v>
      </c>
      <c r="P1315" s="68">
        <f t="shared" si="276"/>
        <v>1655200.6</v>
      </c>
      <c r="Q1315" s="68">
        <f t="shared" si="277"/>
        <v>0</v>
      </c>
      <c r="R1315" s="127">
        <f t="shared" si="278"/>
        <v>3310401.2</v>
      </c>
      <c r="S1315" s="15"/>
    </row>
    <row r="1316" spans="1:19" s="84" customFormat="1" ht="30">
      <c r="A1316" s="211"/>
      <c r="B1316" s="25" t="s">
        <v>3465</v>
      </c>
      <c r="C1316" s="26" t="s">
        <v>1350</v>
      </c>
      <c r="D1316" s="351"/>
      <c r="E1316" s="26"/>
      <c r="F1316" s="351">
        <v>1</v>
      </c>
      <c r="G1316" s="351" t="s">
        <v>3128</v>
      </c>
      <c r="H1316" s="351"/>
      <c r="I1316" s="351" t="s">
        <v>2596</v>
      </c>
      <c r="J1316" s="560" t="s">
        <v>2328</v>
      </c>
      <c r="K1316" s="311">
        <v>416598.00000000006</v>
      </c>
      <c r="L1316" s="311">
        <v>0</v>
      </c>
      <c r="M1316" s="311">
        <v>270022.91666666669</v>
      </c>
      <c r="N1316" s="311">
        <v>62115.833333333343</v>
      </c>
      <c r="O1316" s="311">
        <v>43481.083333333343</v>
      </c>
      <c r="P1316" s="68">
        <f t="shared" si="276"/>
        <v>792217.83333333349</v>
      </c>
      <c r="Q1316" s="68">
        <f t="shared" si="277"/>
        <v>0</v>
      </c>
      <c r="R1316" s="127">
        <f t="shared" si="278"/>
        <v>792217.83333333349</v>
      </c>
      <c r="S1316" s="335"/>
    </row>
    <row r="1317" spans="1:19" s="84" customFormat="1" ht="30">
      <c r="A1317" s="211"/>
      <c r="B1317" s="25" t="s">
        <v>3466</v>
      </c>
      <c r="C1317" s="26" t="s">
        <v>1350</v>
      </c>
      <c r="D1317" s="351"/>
      <c r="E1317" s="26"/>
      <c r="F1317" s="351">
        <v>1</v>
      </c>
      <c r="G1317" s="351" t="s">
        <v>3128</v>
      </c>
      <c r="H1317" s="351"/>
      <c r="I1317" s="351" t="s">
        <v>2596</v>
      </c>
      <c r="J1317" s="560" t="s">
        <v>2328</v>
      </c>
      <c r="K1317" s="311">
        <v>106820.00000000001</v>
      </c>
      <c r="L1317" s="311">
        <v>0</v>
      </c>
      <c r="M1317" s="311">
        <v>85362.083333333343</v>
      </c>
      <c r="N1317" s="311">
        <v>17354.166666666668</v>
      </c>
      <c r="O1317" s="311">
        <v>12147.91666666667</v>
      </c>
      <c r="P1317" s="68">
        <f t="shared" si="276"/>
        <v>221684.16666666669</v>
      </c>
      <c r="Q1317" s="68">
        <f t="shared" si="277"/>
        <v>0</v>
      </c>
      <c r="R1317" s="127">
        <f t="shared" si="278"/>
        <v>221684.16666666669</v>
      </c>
      <c r="S1317" s="330"/>
    </row>
    <row r="1318" spans="1:19" s="84" customFormat="1" ht="30">
      <c r="A1318" s="211"/>
      <c r="B1318" s="25" t="s">
        <v>3467</v>
      </c>
      <c r="C1318" s="26" t="s">
        <v>1350</v>
      </c>
      <c r="D1318" s="351"/>
      <c r="E1318" s="26"/>
      <c r="F1318" s="351">
        <v>1</v>
      </c>
      <c r="G1318" s="351" t="s">
        <v>3128</v>
      </c>
      <c r="H1318" s="351"/>
      <c r="I1318" s="351" t="s">
        <v>2596</v>
      </c>
      <c r="J1318" s="560" t="s">
        <v>2328</v>
      </c>
      <c r="K1318" s="311">
        <v>176253</v>
      </c>
      <c r="L1318" s="311">
        <v>0</v>
      </c>
      <c r="M1318" s="311">
        <v>236923.33333333337</v>
      </c>
      <c r="N1318" s="311">
        <v>37136.666666666672</v>
      </c>
      <c r="O1318" s="311">
        <v>25995.666666666672</v>
      </c>
      <c r="P1318" s="68">
        <f t="shared" si="276"/>
        <v>476308.66666666674</v>
      </c>
      <c r="Q1318" s="68">
        <f t="shared" si="277"/>
        <v>0</v>
      </c>
      <c r="R1318" s="127">
        <f t="shared" si="278"/>
        <v>476308.66666666674</v>
      </c>
      <c r="S1318" s="330"/>
    </row>
    <row r="1319" spans="1:19" s="84" customFormat="1" ht="30">
      <c r="A1319" s="211"/>
      <c r="B1319" s="25" t="s">
        <v>3468</v>
      </c>
      <c r="C1319" s="26" t="s">
        <v>1350</v>
      </c>
      <c r="D1319" s="351"/>
      <c r="E1319" s="26"/>
      <c r="F1319" s="351">
        <v>1</v>
      </c>
      <c r="G1319" s="351" t="s">
        <v>3128</v>
      </c>
      <c r="H1319" s="351"/>
      <c r="I1319" s="351" t="s">
        <v>2596</v>
      </c>
      <c r="J1319" s="560" t="s">
        <v>2328</v>
      </c>
      <c r="K1319" s="311">
        <v>112161.00000000001</v>
      </c>
      <c r="L1319" s="311">
        <v>0</v>
      </c>
      <c r="M1319" s="311">
        <v>90588.333333333343</v>
      </c>
      <c r="N1319" s="311">
        <v>18306.666666666668</v>
      </c>
      <c r="O1319" s="311">
        <v>12814.66666666667</v>
      </c>
      <c r="P1319" s="68">
        <f t="shared" si="276"/>
        <v>233870.66666666669</v>
      </c>
      <c r="Q1319" s="68">
        <f t="shared" si="277"/>
        <v>0</v>
      </c>
      <c r="R1319" s="127">
        <f t="shared" si="278"/>
        <v>233870.66666666669</v>
      </c>
      <c r="S1319" s="335"/>
    </row>
    <row r="1320" spans="1:19" ht="30">
      <c r="A1320" s="73"/>
      <c r="B1320" s="25" t="s">
        <v>3469</v>
      </c>
      <c r="C1320" s="26" t="s">
        <v>1350</v>
      </c>
      <c r="D1320" s="351"/>
      <c r="E1320" s="26"/>
      <c r="F1320" s="351">
        <v>2</v>
      </c>
      <c r="G1320" s="351" t="s">
        <v>3128</v>
      </c>
      <c r="H1320" s="351"/>
      <c r="I1320" s="351" t="s">
        <v>2596</v>
      </c>
      <c r="J1320" s="560" t="s">
        <v>2328</v>
      </c>
      <c r="K1320" s="311">
        <v>232867.6</v>
      </c>
      <c r="L1320" s="311">
        <v>0</v>
      </c>
      <c r="M1320" s="311">
        <v>280475.41666666669</v>
      </c>
      <c r="N1320" s="311">
        <v>46184.833333333343</v>
      </c>
      <c r="O1320" s="311">
        <v>32329.383333333339</v>
      </c>
      <c r="P1320" s="68">
        <f t="shared" si="276"/>
        <v>591857.2333333334</v>
      </c>
      <c r="Q1320" s="68">
        <f t="shared" si="277"/>
        <v>0</v>
      </c>
      <c r="R1320" s="127">
        <f t="shared" si="278"/>
        <v>1183714.4666666668</v>
      </c>
      <c r="S1320" s="37"/>
    </row>
    <row r="1321" spans="1:19" ht="30">
      <c r="A1321" s="73"/>
      <c r="B1321" s="25" t="s">
        <v>3470</v>
      </c>
      <c r="C1321" s="26" t="s">
        <v>1350</v>
      </c>
      <c r="D1321" s="351"/>
      <c r="E1321" s="26"/>
      <c r="F1321" s="351">
        <v>1</v>
      </c>
      <c r="G1321" s="351" t="s">
        <v>3128</v>
      </c>
      <c r="H1321" s="351"/>
      <c r="I1321" s="351" t="s">
        <v>2596</v>
      </c>
      <c r="J1321" s="560" t="s">
        <v>2328</v>
      </c>
      <c r="K1321" s="311">
        <v>1103450.6000000001</v>
      </c>
      <c r="L1321" s="311">
        <v>0</v>
      </c>
      <c r="M1321" s="311">
        <v>465136.25000000006</v>
      </c>
      <c r="N1321" s="311">
        <v>142396.5</v>
      </c>
      <c r="O1321" s="311">
        <v>99677.55</v>
      </c>
      <c r="P1321" s="68">
        <f t="shared" si="276"/>
        <v>1810660.9000000001</v>
      </c>
      <c r="Q1321" s="68">
        <f t="shared" si="277"/>
        <v>0</v>
      </c>
      <c r="R1321" s="127">
        <f t="shared" si="278"/>
        <v>1810660.9000000001</v>
      </c>
      <c r="S1321" s="36"/>
    </row>
    <row r="1322" spans="1:19" ht="30">
      <c r="A1322" s="73"/>
      <c r="B1322" s="25" t="s">
        <v>3471</v>
      </c>
      <c r="C1322" s="26" t="s">
        <v>1350</v>
      </c>
      <c r="D1322" s="351"/>
      <c r="E1322" s="26"/>
      <c r="F1322" s="351">
        <v>2</v>
      </c>
      <c r="G1322" s="351" t="s">
        <v>3128</v>
      </c>
      <c r="H1322" s="351"/>
      <c r="I1322" s="351" t="s">
        <v>2596</v>
      </c>
      <c r="J1322" s="560" t="s">
        <v>2328</v>
      </c>
      <c r="K1322" s="311">
        <v>1930237.4000000001</v>
      </c>
      <c r="L1322" s="311">
        <v>0</v>
      </c>
      <c r="M1322" s="311">
        <v>811810.83333333349</v>
      </c>
      <c r="N1322" s="311">
        <v>248927.66666666672</v>
      </c>
      <c r="O1322" s="311">
        <v>174249.3666666667</v>
      </c>
      <c r="P1322" s="68">
        <f t="shared" si="276"/>
        <v>3165225.2666666666</v>
      </c>
      <c r="Q1322" s="68">
        <f t="shared" si="277"/>
        <v>0</v>
      </c>
      <c r="R1322" s="127">
        <f t="shared" si="278"/>
        <v>6330450.5333333332</v>
      </c>
      <c r="S1322" s="15"/>
    </row>
    <row r="1323" spans="1:19" s="84" customFormat="1" ht="30">
      <c r="A1323" s="211"/>
      <c r="B1323" s="25" t="s">
        <v>3472</v>
      </c>
      <c r="C1323" s="26" t="s">
        <v>1350</v>
      </c>
      <c r="D1323" s="351"/>
      <c r="E1323" s="26"/>
      <c r="F1323" s="351">
        <v>1</v>
      </c>
      <c r="G1323" s="351" t="s">
        <v>3128</v>
      </c>
      <c r="H1323" s="351"/>
      <c r="I1323" s="351" t="s">
        <v>2596</v>
      </c>
      <c r="J1323" s="560" t="s">
        <v>2328</v>
      </c>
      <c r="K1323" s="311">
        <v>2917254.2</v>
      </c>
      <c r="L1323" s="311">
        <v>0</v>
      </c>
      <c r="M1323" s="311">
        <v>1228168.7500000002</v>
      </c>
      <c r="N1323" s="311">
        <v>376325.5</v>
      </c>
      <c r="O1323" s="311">
        <v>263427.85000000003</v>
      </c>
      <c r="P1323" s="68">
        <f t="shared" si="276"/>
        <v>4785176.3</v>
      </c>
      <c r="Q1323" s="68">
        <f t="shared" si="277"/>
        <v>0</v>
      </c>
      <c r="R1323" s="127">
        <f t="shared" si="278"/>
        <v>4785176.3</v>
      </c>
      <c r="S1323" s="335"/>
    </row>
    <row r="1324" spans="1:19">
      <c r="A1324" s="73"/>
      <c r="B1324" s="27" t="s">
        <v>1429</v>
      </c>
      <c r="C1324" s="24"/>
      <c r="D1324" s="351"/>
      <c r="E1324" s="26"/>
      <c r="F1324" s="351"/>
      <c r="G1324" s="37"/>
      <c r="H1324" s="37"/>
      <c r="I1324" s="37"/>
      <c r="J1324" s="583"/>
      <c r="K1324" s="66"/>
      <c r="L1324" s="66"/>
      <c r="M1324" s="66"/>
      <c r="N1324" s="66"/>
      <c r="O1324" s="66"/>
      <c r="P1324" s="66"/>
      <c r="Q1324" s="66"/>
      <c r="R1324" s="66"/>
      <c r="S1324" s="37"/>
    </row>
    <row r="1325" spans="1:19" ht="30">
      <c r="A1325" s="73"/>
      <c r="B1325" s="25" t="s">
        <v>3602</v>
      </c>
      <c r="C1325" s="26" t="s">
        <v>1350</v>
      </c>
      <c r="D1325" s="351"/>
      <c r="E1325" s="26"/>
      <c r="F1325" s="351">
        <v>1</v>
      </c>
      <c r="G1325" s="351" t="s">
        <v>3150</v>
      </c>
      <c r="H1325" s="351"/>
      <c r="I1325" s="351" t="s">
        <v>2596</v>
      </c>
      <c r="J1325" s="560" t="s">
        <v>2328</v>
      </c>
      <c r="K1325" s="311">
        <v>487099.2</v>
      </c>
      <c r="L1325" s="311">
        <v>0</v>
      </c>
      <c r="M1325" s="311">
        <v>241707</v>
      </c>
      <c r="N1325" s="311">
        <v>66078</v>
      </c>
      <c r="O1325" s="311">
        <v>46254.600000000006</v>
      </c>
      <c r="P1325" s="68">
        <f t="shared" ref="P1325:P1330" si="279">SUM(K1325:O1325)</f>
        <v>841138.79999999993</v>
      </c>
      <c r="Q1325" s="68">
        <f t="shared" ref="Q1325:Q1330" si="280">D1325*P1325</f>
        <v>0</v>
      </c>
      <c r="R1325" s="127">
        <f t="shared" ref="R1325:R1330" si="281">F1325*P1325</f>
        <v>841138.79999999993</v>
      </c>
      <c r="S1325" s="36"/>
    </row>
    <row r="1326" spans="1:19" ht="30">
      <c r="A1326" s="73"/>
      <c r="B1326" s="25" t="s">
        <v>1474</v>
      </c>
      <c r="C1326" s="26" t="s">
        <v>1350</v>
      </c>
      <c r="D1326" s="351"/>
      <c r="E1326" s="26"/>
      <c r="F1326" s="351">
        <v>36</v>
      </c>
      <c r="G1326" s="351" t="s">
        <v>3603</v>
      </c>
      <c r="H1326" s="351"/>
      <c r="I1326" s="351" t="s">
        <v>2596</v>
      </c>
      <c r="J1326" s="560" t="s">
        <v>2328</v>
      </c>
      <c r="K1326" s="311">
        <v>88660.6</v>
      </c>
      <c r="L1326" s="311">
        <v>0</v>
      </c>
      <c r="M1326" s="311">
        <v>20566.000000000004</v>
      </c>
      <c r="N1326" s="311">
        <v>9954</v>
      </c>
      <c r="O1326" s="311">
        <v>6967.8000000000011</v>
      </c>
      <c r="P1326" s="68">
        <f t="shared" si="279"/>
        <v>126148.40000000001</v>
      </c>
      <c r="Q1326" s="68">
        <f t="shared" si="280"/>
        <v>0</v>
      </c>
      <c r="R1326" s="127">
        <f t="shared" si="281"/>
        <v>4541342.4000000004</v>
      </c>
      <c r="S1326" s="37"/>
    </row>
    <row r="1327" spans="1:19" ht="30">
      <c r="A1327" s="73"/>
      <c r="B1327" s="25" t="s">
        <v>1475</v>
      </c>
      <c r="C1327" s="26" t="s">
        <v>1350</v>
      </c>
      <c r="D1327" s="351"/>
      <c r="E1327" s="26"/>
      <c r="F1327" s="351">
        <v>1</v>
      </c>
      <c r="G1327" s="351" t="s">
        <v>3604</v>
      </c>
      <c r="H1327" s="351"/>
      <c r="I1327" s="351" t="s">
        <v>2596</v>
      </c>
      <c r="J1327" s="560" t="s">
        <v>2328</v>
      </c>
      <c r="K1327" s="311">
        <v>2032784.6</v>
      </c>
      <c r="L1327" s="311">
        <v>0</v>
      </c>
      <c r="M1327" s="311">
        <v>979936.00000000012</v>
      </c>
      <c r="N1327" s="311">
        <v>273214</v>
      </c>
      <c r="O1327" s="311">
        <v>191249.80000000002</v>
      </c>
      <c r="P1327" s="68">
        <f t="shared" si="279"/>
        <v>3477184.4</v>
      </c>
      <c r="Q1327" s="68">
        <f t="shared" si="280"/>
        <v>0</v>
      </c>
      <c r="R1327" s="127">
        <f t="shared" si="281"/>
        <v>3477184.4</v>
      </c>
      <c r="S1327" s="37"/>
    </row>
    <row r="1328" spans="1:19" ht="30">
      <c r="A1328" s="73"/>
      <c r="B1328" s="25" t="s">
        <v>2129</v>
      </c>
      <c r="C1328" s="26" t="s">
        <v>1350</v>
      </c>
      <c r="D1328" s="351"/>
      <c r="E1328" s="26"/>
      <c r="F1328" s="351">
        <v>1</v>
      </c>
      <c r="G1328" s="351" t="s">
        <v>3150</v>
      </c>
      <c r="H1328" s="351"/>
      <c r="I1328" s="351" t="s">
        <v>2596</v>
      </c>
      <c r="J1328" s="560" t="s">
        <v>2328</v>
      </c>
      <c r="K1328" s="311">
        <v>1166474.4000000001</v>
      </c>
      <c r="L1328" s="311">
        <v>0</v>
      </c>
      <c r="M1328" s="311">
        <v>560480</v>
      </c>
      <c r="N1328" s="311">
        <v>156616</v>
      </c>
      <c r="O1328" s="311">
        <v>109631.20000000001</v>
      </c>
      <c r="P1328" s="68">
        <f t="shared" si="279"/>
        <v>1993201.6</v>
      </c>
      <c r="Q1328" s="68">
        <f t="shared" si="280"/>
        <v>0</v>
      </c>
      <c r="R1328" s="127">
        <f t="shared" si="281"/>
        <v>1993201.6</v>
      </c>
      <c r="S1328" s="37"/>
    </row>
    <row r="1329" spans="1:19" s="84" customFormat="1" ht="30">
      <c r="A1329" s="211"/>
      <c r="B1329" s="25" t="s">
        <v>1417</v>
      </c>
      <c r="C1329" s="26" t="s">
        <v>1350</v>
      </c>
      <c r="D1329" s="351"/>
      <c r="E1329" s="26"/>
      <c r="F1329" s="351">
        <v>1</v>
      </c>
      <c r="G1329" s="351" t="s">
        <v>3150</v>
      </c>
      <c r="H1329" s="26"/>
      <c r="I1329" s="351" t="s">
        <v>2596</v>
      </c>
      <c r="J1329" s="560" t="s">
        <v>2328</v>
      </c>
      <c r="K1329" s="311">
        <v>809695.60000000009</v>
      </c>
      <c r="L1329" s="311">
        <v>0</v>
      </c>
      <c r="M1329" s="311">
        <v>362560.50000000006</v>
      </c>
      <c r="N1329" s="311">
        <v>106369</v>
      </c>
      <c r="O1329" s="311">
        <v>74458.3</v>
      </c>
      <c r="P1329" s="68">
        <f t="shared" si="279"/>
        <v>1353083.4000000001</v>
      </c>
      <c r="Q1329" s="68">
        <f t="shared" si="280"/>
        <v>0</v>
      </c>
      <c r="R1329" s="127">
        <f t="shared" si="281"/>
        <v>1353083.4000000001</v>
      </c>
      <c r="S1329" s="26"/>
    </row>
    <row r="1330" spans="1:19" s="84" customFormat="1" ht="30">
      <c r="A1330" s="211"/>
      <c r="B1330" s="25" t="s">
        <v>1421</v>
      </c>
      <c r="C1330" s="26" t="s">
        <v>1350</v>
      </c>
      <c r="D1330" s="351"/>
      <c r="E1330" s="26"/>
      <c r="F1330" s="351">
        <v>1</v>
      </c>
      <c r="G1330" s="351" t="s">
        <v>3150</v>
      </c>
      <c r="H1330" s="26"/>
      <c r="I1330" s="351" t="s">
        <v>2596</v>
      </c>
      <c r="J1330" s="560" t="s">
        <v>2328</v>
      </c>
      <c r="K1330" s="311">
        <v>1242316.6000000001</v>
      </c>
      <c r="L1330" s="311">
        <v>0</v>
      </c>
      <c r="M1330" s="311">
        <v>602516.00000000012</v>
      </c>
      <c r="N1330" s="311">
        <v>167294</v>
      </c>
      <c r="O1330" s="311">
        <v>117105.80000000002</v>
      </c>
      <c r="P1330" s="68">
        <f t="shared" si="279"/>
        <v>2129232.4</v>
      </c>
      <c r="Q1330" s="68">
        <f t="shared" si="280"/>
        <v>0</v>
      </c>
      <c r="R1330" s="127">
        <f t="shared" si="281"/>
        <v>2129232.4</v>
      </c>
      <c r="S1330" s="26"/>
    </row>
    <row r="1331" spans="1:19">
      <c r="A1331" s="73"/>
      <c r="B1331" s="72" t="s">
        <v>1466</v>
      </c>
      <c r="C1331" s="24"/>
      <c r="D1331" s="351"/>
      <c r="E1331" s="24"/>
      <c r="F1331" s="351"/>
      <c r="G1331" s="37"/>
      <c r="H1331" s="37"/>
      <c r="I1331" s="37"/>
      <c r="J1331" s="583"/>
      <c r="K1331" s="66"/>
      <c r="L1331" s="66"/>
      <c r="M1331" s="66"/>
      <c r="N1331" s="66"/>
      <c r="O1331" s="66"/>
      <c r="P1331" s="66"/>
      <c r="Q1331" s="66"/>
      <c r="R1331" s="66"/>
      <c r="S1331" s="37"/>
    </row>
    <row r="1332" spans="1:19" ht="30">
      <c r="A1332" s="73"/>
      <c r="B1332" s="25" t="s">
        <v>3473</v>
      </c>
      <c r="C1332" s="26" t="s">
        <v>1350</v>
      </c>
      <c r="D1332" s="351"/>
      <c r="E1332" s="24"/>
      <c r="F1332" s="351">
        <v>9</v>
      </c>
      <c r="G1332" s="351" t="s">
        <v>3124</v>
      </c>
      <c r="H1332" s="351"/>
      <c r="I1332" s="351" t="s">
        <v>2596</v>
      </c>
      <c r="J1332" s="560" t="s">
        <v>2328</v>
      </c>
      <c r="K1332" s="311">
        <v>1056210</v>
      </c>
      <c r="L1332" s="311">
        <v>0</v>
      </c>
      <c r="M1332" s="311">
        <v>384087.00000000006</v>
      </c>
      <c r="N1332" s="311">
        <v>130890</v>
      </c>
      <c r="O1332" s="311">
        <v>91623.000000000015</v>
      </c>
      <c r="P1332" s="68">
        <f>SUM(K1332:O1332)</f>
        <v>1662810</v>
      </c>
      <c r="Q1332" s="68">
        <f>D1332*P1332</f>
        <v>0</v>
      </c>
      <c r="R1332" s="127">
        <f>F1332*P1332</f>
        <v>14965290</v>
      </c>
      <c r="S1332" s="37"/>
    </row>
    <row r="1333" spans="1:19">
      <c r="A1333" s="73"/>
      <c r="B1333" s="72" t="s">
        <v>1471</v>
      </c>
      <c r="C1333" s="24"/>
      <c r="D1333" s="351"/>
      <c r="E1333" s="24"/>
      <c r="F1333" s="351"/>
      <c r="G1333" s="38"/>
      <c r="H1333" s="38"/>
      <c r="I1333" s="38"/>
      <c r="J1333" s="585"/>
      <c r="K1333" s="65"/>
      <c r="L1333" s="65"/>
      <c r="M1333" s="65"/>
      <c r="N1333" s="65"/>
      <c r="O1333" s="65"/>
      <c r="P1333" s="65"/>
      <c r="Q1333" s="65"/>
      <c r="R1333" s="65"/>
      <c r="S1333" s="38"/>
    </row>
    <row r="1334" spans="1:19" ht="30">
      <c r="A1334" s="73"/>
      <c r="B1334" s="25" t="s">
        <v>1433</v>
      </c>
      <c r="C1334" s="26" t="s">
        <v>1350</v>
      </c>
      <c r="D1334" s="351"/>
      <c r="E1334" s="24"/>
      <c r="F1334" s="351">
        <v>6</v>
      </c>
      <c r="G1334" s="351" t="s">
        <v>3351</v>
      </c>
      <c r="H1334" s="351"/>
      <c r="I1334" s="351" t="s">
        <v>2596</v>
      </c>
      <c r="J1334" s="560" t="s">
        <v>2328</v>
      </c>
      <c r="K1334" s="311">
        <v>4135002.2</v>
      </c>
      <c r="L1334" s="311">
        <v>0</v>
      </c>
      <c r="M1334" s="311">
        <v>172551.00000000003</v>
      </c>
      <c r="N1334" s="311">
        <v>394628</v>
      </c>
      <c r="O1334" s="311">
        <v>276239.60000000003</v>
      </c>
      <c r="P1334" s="68">
        <f t="shared" ref="P1334:P1339" si="282">SUM(K1334:O1334)</f>
        <v>4978420.8</v>
      </c>
      <c r="Q1334" s="68">
        <f t="shared" ref="Q1334:Q1339" si="283">D1334*P1334</f>
        <v>0</v>
      </c>
      <c r="R1334" s="127">
        <f t="shared" ref="R1334:R1339" si="284">F1334*P1334</f>
        <v>29870524.799999997</v>
      </c>
      <c r="S1334" s="36"/>
    </row>
    <row r="1335" spans="1:19" s="84" customFormat="1" ht="30">
      <c r="A1335" s="211"/>
      <c r="B1335" s="25" t="s">
        <v>1386</v>
      </c>
      <c r="C1335" s="26" t="s">
        <v>1350</v>
      </c>
      <c r="D1335" s="351"/>
      <c r="E1335" s="24"/>
      <c r="F1335" s="351">
        <v>1</v>
      </c>
      <c r="G1335" s="351" t="s">
        <v>3351</v>
      </c>
      <c r="H1335" s="333"/>
      <c r="I1335" s="351" t="s">
        <v>2596</v>
      </c>
      <c r="J1335" s="560" t="s">
        <v>2328</v>
      </c>
      <c r="K1335" s="311">
        <v>4287754.8000000007</v>
      </c>
      <c r="L1335" s="311">
        <v>0</v>
      </c>
      <c r="M1335" s="311">
        <v>172551.00000000003</v>
      </c>
      <c r="N1335" s="311">
        <v>408642</v>
      </c>
      <c r="O1335" s="311">
        <v>286049.40000000002</v>
      </c>
      <c r="P1335" s="68">
        <f t="shared" si="282"/>
        <v>5154997.2000000011</v>
      </c>
      <c r="Q1335" s="68">
        <f t="shared" si="283"/>
        <v>0</v>
      </c>
      <c r="R1335" s="127">
        <f t="shared" si="284"/>
        <v>5154997.2000000011</v>
      </c>
      <c r="S1335" s="333"/>
    </row>
    <row r="1336" spans="1:19" s="84" customFormat="1" ht="30">
      <c r="A1336" s="211"/>
      <c r="B1336" s="25" t="s">
        <v>3605</v>
      </c>
      <c r="C1336" s="26" t="s">
        <v>1350</v>
      </c>
      <c r="D1336" s="351"/>
      <c r="E1336" s="24"/>
      <c r="F1336" s="351">
        <v>1</v>
      </c>
      <c r="G1336" s="351" t="s">
        <v>3351</v>
      </c>
      <c r="H1336" s="330"/>
      <c r="I1336" s="351" t="s">
        <v>2596</v>
      </c>
      <c r="J1336" s="560" t="s">
        <v>2328</v>
      </c>
      <c r="K1336" s="311">
        <v>3396876.0000000005</v>
      </c>
      <c r="L1336" s="311">
        <v>0</v>
      </c>
      <c r="M1336" s="311">
        <v>172551.00000000003</v>
      </c>
      <c r="N1336" s="311">
        <v>326910</v>
      </c>
      <c r="O1336" s="311">
        <v>228837.00000000003</v>
      </c>
      <c r="P1336" s="68">
        <f t="shared" si="282"/>
        <v>4125174.0000000005</v>
      </c>
      <c r="Q1336" s="68">
        <f t="shared" si="283"/>
        <v>0</v>
      </c>
      <c r="R1336" s="127">
        <f t="shared" si="284"/>
        <v>4125174.0000000005</v>
      </c>
      <c r="S1336" s="330"/>
    </row>
    <row r="1337" spans="1:19" s="84" customFormat="1" ht="30">
      <c r="A1337" s="211"/>
      <c r="B1337" s="25" t="s">
        <v>1438</v>
      </c>
      <c r="C1337" s="26" t="s">
        <v>1350</v>
      </c>
      <c r="D1337" s="351"/>
      <c r="E1337" s="24"/>
      <c r="F1337" s="351">
        <v>1</v>
      </c>
      <c r="G1337" s="351" t="s">
        <v>3351</v>
      </c>
      <c r="H1337" s="331"/>
      <c r="I1337" s="351" t="s">
        <v>2596</v>
      </c>
      <c r="J1337" s="560" t="s">
        <v>2328</v>
      </c>
      <c r="K1337" s="311">
        <v>4833605</v>
      </c>
      <c r="L1337" s="311">
        <v>0</v>
      </c>
      <c r="M1337" s="311">
        <v>208146.00000000003</v>
      </c>
      <c r="N1337" s="311">
        <v>461870</v>
      </c>
      <c r="O1337" s="311">
        <v>323309.00000000006</v>
      </c>
      <c r="P1337" s="68">
        <f t="shared" si="282"/>
        <v>5826930</v>
      </c>
      <c r="Q1337" s="68">
        <f t="shared" si="283"/>
        <v>0</v>
      </c>
      <c r="R1337" s="127">
        <f t="shared" si="284"/>
        <v>5826930</v>
      </c>
      <c r="S1337" s="331"/>
    </row>
    <row r="1338" spans="1:19" s="84" customFormat="1" ht="30">
      <c r="A1338" s="211"/>
      <c r="B1338" s="25" t="s">
        <v>1419</v>
      </c>
      <c r="C1338" s="26" t="s">
        <v>1350</v>
      </c>
      <c r="D1338" s="351"/>
      <c r="E1338" s="24"/>
      <c r="F1338" s="351">
        <v>2</v>
      </c>
      <c r="G1338" s="351" t="s">
        <v>3351</v>
      </c>
      <c r="H1338" s="334"/>
      <c r="I1338" s="351" t="s">
        <v>2596</v>
      </c>
      <c r="J1338" s="560" t="s">
        <v>2328</v>
      </c>
      <c r="K1338" s="311">
        <v>3948067.2</v>
      </c>
      <c r="L1338" s="311">
        <v>0</v>
      </c>
      <c r="M1338" s="311">
        <v>172551.00000000003</v>
      </c>
      <c r="N1338" s="311">
        <v>377478</v>
      </c>
      <c r="O1338" s="311">
        <v>264234.60000000003</v>
      </c>
      <c r="P1338" s="68">
        <f t="shared" si="282"/>
        <v>4762330.8</v>
      </c>
      <c r="Q1338" s="68">
        <f t="shared" si="283"/>
        <v>0</v>
      </c>
      <c r="R1338" s="127">
        <f t="shared" si="284"/>
        <v>9524661.5999999996</v>
      </c>
      <c r="S1338" s="334"/>
    </row>
    <row r="1339" spans="1:19" s="84" customFormat="1" ht="30">
      <c r="A1339" s="211"/>
      <c r="B1339" s="25" t="s">
        <v>1447</v>
      </c>
      <c r="C1339" s="26" t="s">
        <v>1350</v>
      </c>
      <c r="D1339" s="351"/>
      <c r="E1339" s="24"/>
      <c r="F1339" s="351">
        <v>1</v>
      </c>
      <c r="G1339" s="351" t="s">
        <v>3351</v>
      </c>
      <c r="H1339" s="335"/>
      <c r="I1339" s="351" t="s">
        <v>2596</v>
      </c>
      <c r="J1339" s="560" t="s">
        <v>2328</v>
      </c>
      <c r="K1339" s="311">
        <v>3325306.6</v>
      </c>
      <c r="L1339" s="311">
        <v>0</v>
      </c>
      <c r="M1339" s="311">
        <v>172551.00000000003</v>
      </c>
      <c r="N1339" s="311">
        <v>320344</v>
      </c>
      <c r="O1339" s="311">
        <v>224240.80000000002</v>
      </c>
      <c r="P1339" s="68">
        <f t="shared" si="282"/>
        <v>4042442.4</v>
      </c>
      <c r="Q1339" s="68">
        <f t="shared" si="283"/>
        <v>0</v>
      </c>
      <c r="R1339" s="127">
        <f t="shared" si="284"/>
        <v>4042442.4</v>
      </c>
      <c r="S1339" s="335"/>
    </row>
    <row r="1340" spans="1:19" ht="28.5">
      <c r="A1340" s="73"/>
      <c r="B1340" s="72" t="s">
        <v>1479</v>
      </c>
      <c r="C1340" s="24"/>
      <c r="D1340" s="351"/>
      <c r="E1340" s="24"/>
      <c r="F1340" s="351"/>
      <c r="G1340" s="15"/>
      <c r="H1340" s="15"/>
      <c r="I1340" s="15"/>
      <c r="J1340" s="572"/>
      <c r="K1340" s="66"/>
      <c r="L1340" s="66"/>
      <c r="M1340" s="66"/>
      <c r="N1340" s="66"/>
      <c r="O1340" s="66"/>
      <c r="P1340" s="66"/>
      <c r="Q1340" s="66"/>
      <c r="R1340" s="66"/>
      <c r="S1340" s="15"/>
    </row>
    <row r="1341" spans="1:19">
      <c r="A1341" s="73"/>
      <c r="B1341" s="25" t="s">
        <v>3606</v>
      </c>
      <c r="C1341" s="26" t="s">
        <v>1350</v>
      </c>
      <c r="D1341" s="351"/>
      <c r="E1341" s="24"/>
      <c r="F1341" s="351">
        <v>1</v>
      </c>
      <c r="G1341" s="351" t="s">
        <v>3163</v>
      </c>
      <c r="H1341" s="351"/>
      <c r="I1341" s="351" t="s">
        <v>2596</v>
      </c>
      <c r="J1341" s="560" t="s">
        <v>2328</v>
      </c>
      <c r="K1341" s="311">
        <v>1324350</v>
      </c>
      <c r="L1341" s="311">
        <v>0</v>
      </c>
      <c r="M1341" s="311">
        <v>223966.00000000003</v>
      </c>
      <c r="N1341" s="311">
        <v>141320</v>
      </c>
      <c r="O1341" s="311">
        <v>98924.000000000015</v>
      </c>
      <c r="P1341" s="68">
        <f t="shared" ref="P1341:P1344" si="285">SUM(K1341:O1341)</f>
        <v>1788560</v>
      </c>
      <c r="Q1341" s="68">
        <f>D1341*P1341</f>
        <v>0</v>
      </c>
      <c r="R1341" s="127">
        <f>F1341*P1341</f>
        <v>1788560</v>
      </c>
      <c r="S1341" s="15"/>
    </row>
    <row r="1342" spans="1:19">
      <c r="A1342" s="73"/>
      <c r="B1342" s="25" t="s">
        <v>1455</v>
      </c>
      <c r="C1342" s="26" t="s">
        <v>1350</v>
      </c>
      <c r="D1342" s="351"/>
      <c r="E1342" s="24"/>
      <c r="F1342" s="351">
        <v>1</v>
      </c>
      <c r="G1342" s="351" t="s">
        <v>3163</v>
      </c>
      <c r="H1342" s="351"/>
      <c r="I1342" s="351" t="s">
        <v>2596</v>
      </c>
      <c r="J1342" s="560" t="s">
        <v>2328</v>
      </c>
      <c r="K1342" s="311">
        <v>735750</v>
      </c>
      <c r="L1342" s="311">
        <v>0</v>
      </c>
      <c r="M1342" s="311">
        <v>127577.00000000001</v>
      </c>
      <c r="N1342" s="311">
        <v>78790</v>
      </c>
      <c r="O1342" s="311">
        <v>55153.000000000007</v>
      </c>
      <c r="P1342" s="68">
        <f t="shared" si="285"/>
        <v>997270</v>
      </c>
      <c r="Q1342" s="68">
        <f>D1342*P1342</f>
        <v>0</v>
      </c>
      <c r="R1342" s="127">
        <f>F1342*P1342</f>
        <v>997270</v>
      </c>
      <c r="S1342" s="15"/>
    </row>
    <row r="1343" spans="1:19" s="84" customFormat="1">
      <c r="A1343" s="211"/>
      <c r="B1343" s="25" t="s">
        <v>1387</v>
      </c>
      <c r="C1343" s="26" t="s">
        <v>1350</v>
      </c>
      <c r="D1343" s="351"/>
      <c r="E1343" s="24"/>
      <c r="F1343" s="351">
        <v>3</v>
      </c>
      <c r="G1343" s="351" t="s">
        <v>3163</v>
      </c>
      <c r="H1343" s="351"/>
      <c r="I1343" s="351" t="s">
        <v>2596</v>
      </c>
      <c r="J1343" s="560" t="s">
        <v>2328</v>
      </c>
      <c r="K1343" s="311">
        <v>706320</v>
      </c>
      <c r="L1343" s="311">
        <v>0</v>
      </c>
      <c r="M1343" s="311">
        <v>143736.00000000003</v>
      </c>
      <c r="N1343" s="311">
        <v>77520</v>
      </c>
      <c r="O1343" s="311">
        <v>54264.000000000007</v>
      </c>
      <c r="P1343" s="68">
        <f t="shared" si="285"/>
        <v>981840</v>
      </c>
      <c r="Q1343" s="68">
        <f>D1343*P1343</f>
        <v>0</v>
      </c>
      <c r="R1343" s="127">
        <f>F1343*P1343</f>
        <v>2945520</v>
      </c>
      <c r="S1343" s="26"/>
    </row>
    <row r="1344" spans="1:19">
      <c r="A1344" s="73"/>
      <c r="B1344" s="25" t="s">
        <v>1445</v>
      </c>
      <c r="C1344" s="26" t="s">
        <v>1350</v>
      </c>
      <c r="D1344" s="351"/>
      <c r="E1344" s="24"/>
      <c r="F1344" s="351">
        <v>1</v>
      </c>
      <c r="G1344" s="351" t="s">
        <v>3163</v>
      </c>
      <c r="H1344" s="351"/>
      <c r="I1344" s="351" t="s">
        <v>2596</v>
      </c>
      <c r="J1344" s="560" t="s">
        <v>2328</v>
      </c>
      <c r="K1344" s="311">
        <v>368420</v>
      </c>
      <c r="L1344" s="311">
        <v>0</v>
      </c>
      <c r="M1344" s="311">
        <v>95824.000000000015</v>
      </c>
      <c r="N1344" s="311">
        <v>42280</v>
      </c>
      <c r="O1344" s="311">
        <v>29596.000000000004</v>
      </c>
      <c r="P1344" s="68">
        <f t="shared" si="285"/>
        <v>536120</v>
      </c>
      <c r="Q1344" s="68">
        <f>D1344*P1344</f>
        <v>0</v>
      </c>
      <c r="R1344" s="127">
        <f>F1344*P1344</f>
        <v>536120</v>
      </c>
      <c r="S1344" s="15"/>
    </row>
    <row r="1345" spans="1:19" s="84" customFormat="1">
      <c r="A1345" s="73"/>
      <c r="B1345" s="27" t="s">
        <v>2002</v>
      </c>
      <c r="C1345" s="26"/>
      <c r="D1345" s="351"/>
      <c r="E1345" s="26"/>
      <c r="F1345" s="351"/>
      <c r="G1345" s="30"/>
      <c r="H1345" s="30"/>
      <c r="I1345" s="30"/>
      <c r="J1345" s="571"/>
      <c r="K1345" s="127"/>
      <c r="L1345" s="127"/>
      <c r="M1345" s="127"/>
      <c r="N1345" s="127"/>
      <c r="O1345" s="127"/>
      <c r="P1345" s="127"/>
      <c r="Q1345" s="127"/>
      <c r="R1345" s="127"/>
      <c r="S1345" s="30"/>
    </row>
    <row r="1346" spans="1:19" s="84" customFormat="1">
      <c r="A1346" s="73"/>
      <c r="B1346" s="25" t="s">
        <v>2128</v>
      </c>
      <c r="C1346" s="26" t="s">
        <v>117</v>
      </c>
      <c r="D1346" s="351"/>
      <c r="E1346" s="26"/>
      <c r="F1346" s="351">
        <v>14</v>
      </c>
      <c r="G1346" s="351" t="s">
        <v>3125</v>
      </c>
      <c r="H1346" s="351"/>
      <c r="I1346" s="351" t="s">
        <v>2596</v>
      </c>
      <c r="J1346" s="560" t="s">
        <v>2328</v>
      </c>
      <c r="K1346" s="311">
        <v>1458093</v>
      </c>
      <c r="L1346" s="311">
        <v>0</v>
      </c>
      <c r="M1346" s="311">
        <v>613025.00000000012</v>
      </c>
      <c r="N1346" s="311">
        <v>188020</v>
      </c>
      <c r="O1346" s="311">
        <v>131614</v>
      </c>
      <c r="P1346" s="68">
        <f t="shared" ref="P1346:P1360" si="286">SUM(K1346:O1346)</f>
        <v>2390752</v>
      </c>
      <c r="Q1346" s="68">
        <f t="shared" ref="Q1346:Q1360" si="287">D1346*P1346</f>
        <v>0</v>
      </c>
      <c r="R1346" s="127">
        <f t="shared" ref="R1346:R1360" si="288">F1346*P1346</f>
        <v>33470528</v>
      </c>
      <c r="S1346" s="26"/>
    </row>
    <row r="1347" spans="1:19" s="84" customFormat="1">
      <c r="A1347" s="73"/>
      <c r="B1347" s="25" t="s">
        <v>3594</v>
      </c>
      <c r="C1347" s="26" t="s">
        <v>117</v>
      </c>
      <c r="D1347" s="351"/>
      <c r="E1347" s="26"/>
      <c r="F1347" s="351">
        <v>24</v>
      </c>
      <c r="G1347" s="351" t="s">
        <v>3125</v>
      </c>
      <c r="H1347" s="351"/>
      <c r="I1347" s="351" t="s">
        <v>2596</v>
      </c>
      <c r="J1347" s="560" t="s">
        <v>2328</v>
      </c>
      <c r="K1347" s="311">
        <v>1354477.6</v>
      </c>
      <c r="L1347" s="311">
        <v>0</v>
      </c>
      <c r="M1347" s="311">
        <v>569237.5</v>
      </c>
      <c r="N1347" s="311">
        <v>174639</v>
      </c>
      <c r="O1347" s="311">
        <v>122247.30000000002</v>
      </c>
      <c r="P1347" s="68">
        <f t="shared" si="286"/>
        <v>2220601.4</v>
      </c>
      <c r="Q1347" s="68">
        <f t="shared" si="287"/>
        <v>0</v>
      </c>
      <c r="R1347" s="127">
        <f t="shared" si="288"/>
        <v>53294433.599999994</v>
      </c>
      <c r="S1347" s="26"/>
    </row>
    <row r="1348" spans="1:19" s="84" customFormat="1">
      <c r="A1348" s="73"/>
      <c r="B1348" s="25" t="s">
        <v>3595</v>
      </c>
      <c r="C1348" s="26" t="s">
        <v>117</v>
      </c>
      <c r="D1348" s="351"/>
      <c r="E1348" s="26"/>
      <c r="F1348" s="351">
        <v>24</v>
      </c>
      <c r="G1348" s="351" t="s">
        <v>3125</v>
      </c>
      <c r="H1348" s="351"/>
      <c r="I1348" s="351" t="s">
        <v>2596</v>
      </c>
      <c r="J1348" s="560" t="s">
        <v>2328</v>
      </c>
      <c r="K1348" s="311">
        <v>1110928</v>
      </c>
      <c r="L1348" s="311">
        <v>0</v>
      </c>
      <c r="M1348" s="311">
        <v>467066.66666666674</v>
      </c>
      <c r="N1348" s="311">
        <v>143253.33333333334</v>
      </c>
      <c r="O1348" s="311">
        <v>100277.33333333336</v>
      </c>
      <c r="P1348" s="68">
        <f t="shared" si="286"/>
        <v>1821525.3333333333</v>
      </c>
      <c r="Q1348" s="68">
        <f t="shared" si="287"/>
        <v>0</v>
      </c>
      <c r="R1348" s="127">
        <f t="shared" si="288"/>
        <v>43716608</v>
      </c>
      <c r="S1348" s="26"/>
    </row>
    <row r="1349" spans="1:19" s="84" customFormat="1">
      <c r="A1349" s="73"/>
      <c r="B1349" s="25" t="s">
        <v>2129</v>
      </c>
      <c r="C1349" s="26" t="s">
        <v>117</v>
      </c>
      <c r="D1349" s="351"/>
      <c r="E1349" s="26"/>
      <c r="F1349" s="351">
        <v>20</v>
      </c>
      <c r="G1349" s="351" t="s">
        <v>3125</v>
      </c>
      <c r="H1349" s="351"/>
      <c r="I1349" s="351" t="s">
        <v>2596</v>
      </c>
      <c r="J1349" s="560" t="s">
        <v>2328</v>
      </c>
      <c r="K1349" s="311">
        <v>1180361</v>
      </c>
      <c r="L1349" s="311">
        <v>0</v>
      </c>
      <c r="M1349" s="311">
        <v>496258.33333333343</v>
      </c>
      <c r="N1349" s="311">
        <v>152206.66666666669</v>
      </c>
      <c r="O1349" s="311">
        <v>106544.66666666669</v>
      </c>
      <c r="P1349" s="68">
        <f t="shared" si="286"/>
        <v>1935370.666666667</v>
      </c>
      <c r="Q1349" s="68">
        <f t="shared" si="287"/>
        <v>0</v>
      </c>
      <c r="R1349" s="127">
        <f t="shared" si="288"/>
        <v>38707413.333333343</v>
      </c>
      <c r="S1349" s="329"/>
    </row>
    <row r="1350" spans="1:19" s="84" customFormat="1">
      <c r="A1350" s="73"/>
      <c r="B1350" s="25" t="s">
        <v>2091</v>
      </c>
      <c r="C1350" s="26" t="s">
        <v>117</v>
      </c>
      <c r="D1350" s="351"/>
      <c r="E1350" s="26"/>
      <c r="F1350" s="351">
        <v>17</v>
      </c>
      <c r="G1350" s="351" t="s">
        <v>3125</v>
      </c>
      <c r="H1350" s="351"/>
      <c r="I1350" s="351" t="s">
        <v>2596</v>
      </c>
      <c r="J1350" s="560" t="s">
        <v>2328</v>
      </c>
      <c r="K1350" s="311">
        <v>1076745.6000000001</v>
      </c>
      <c r="L1350" s="311">
        <v>0</v>
      </c>
      <c r="M1350" s="311">
        <v>452470.83333333343</v>
      </c>
      <c r="N1350" s="311">
        <v>138825.66666666669</v>
      </c>
      <c r="O1350" s="311">
        <v>97177.966666666674</v>
      </c>
      <c r="P1350" s="68">
        <f t="shared" si="286"/>
        <v>1765220.0666666669</v>
      </c>
      <c r="Q1350" s="68">
        <f t="shared" si="287"/>
        <v>0</v>
      </c>
      <c r="R1350" s="127">
        <f t="shared" si="288"/>
        <v>30008741.133333337</v>
      </c>
      <c r="S1350" s="36"/>
    </row>
    <row r="1351" spans="1:19" s="84" customFormat="1">
      <c r="A1351" s="73"/>
      <c r="B1351" s="25" t="s">
        <v>1435</v>
      </c>
      <c r="C1351" s="26" t="s">
        <v>117</v>
      </c>
      <c r="D1351" s="351"/>
      <c r="E1351" s="26"/>
      <c r="F1351" s="351">
        <v>1</v>
      </c>
      <c r="G1351" s="351" t="s">
        <v>3125</v>
      </c>
      <c r="H1351" s="351"/>
      <c r="I1351" s="351" t="s">
        <v>2596</v>
      </c>
      <c r="J1351" s="560" t="s">
        <v>2328</v>
      </c>
      <c r="K1351" s="311">
        <v>486031.00000000006</v>
      </c>
      <c r="L1351" s="311">
        <v>0</v>
      </c>
      <c r="M1351" s="311">
        <v>184566.66666666669</v>
      </c>
      <c r="N1351" s="311">
        <v>60923.333333333343</v>
      </c>
      <c r="O1351" s="311">
        <v>42646.333333333343</v>
      </c>
      <c r="P1351" s="68">
        <f t="shared" si="286"/>
        <v>774167.33333333349</v>
      </c>
      <c r="Q1351" s="68">
        <f t="shared" si="287"/>
        <v>0</v>
      </c>
      <c r="R1351" s="127">
        <f t="shared" si="288"/>
        <v>774167.33333333349</v>
      </c>
      <c r="S1351" s="15"/>
    </row>
    <row r="1352" spans="1:19" s="84" customFormat="1">
      <c r="A1352" s="73"/>
      <c r="B1352" s="25" t="s">
        <v>1416</v>
      </c>
      <c r="C1352" s="26" t="s">
        <v>117</v>
      </c>
      <c r="D1352" s="351"/>
      <c r="E1352" s="26"/>
      <c r="F1352" s="351">
        <v>30</v>
      </c>
      <c r="G1352" s="351" t="s">
        <v>3125</v>
      </c>
      <c r="H1352" s="351"/>
      <c r="I1352" s="351" t="s">
        <v>2596</v>
      </c>
      <c r="J1352" s="560" t="s">
        <v>2328</v>
      </c>
      <c r="K1352" s="311">
        <v>972062.00000000012</v>
      </c>
      <c r="L1352" s="311">
        <v>0</v>
      </c>
      <c r="M1352" s="311">
        <v>408683.33333333337</v>
      </c>
      <c r="N1352" s="311">
        <v>125346.66666666669</v>
      </c>
      <c r="O1352" s="311">
        <v>87742.666666666686</v>
      </c>
      <c r="P1352" s="68">
        <f t="shared" si="286"/>
        <v>1593834.666666667</v>
      </c>
      <c r="Q1352" s="68">
        <f t="shared" si="287"/>
        <v>0</v>
      </c>
      <c r="R1352" s="127">
        <f t="shared" si="288"/>
        <v>47815040.000000007</v>
      </c>
      <c r="S1352" s="18"/>
    </row>
    <row r="1353" spans="1:19" s="84" customFormat="1">
      <c r="A1353" s="73"/>
      <c r="B1353" s="25" t="s">
        <v>2093</v>
      </c>
      <c r="C1353" s="26" t="s">
        <v>117</v>
      </c>
      <c r="D1353" s="351"/>
      <c r="E1353" s="26"/>
      <c r="F1353" s="351">
        <v>78</v>
      </c>
      <c r="G1353" s="351" t="s">
        <v>3125</v>
      </c>
      <c r="H1353" s="351"/>
      <c r="I1353" s="351" t="s">
        <v>2596</v>
      </c>
      <c r="J1353" s="560" t="s">
        <v>2328</v>
      </c>
      <c r="K1353" s="311">
        <v>833196.00000000012</v>
      </c>
      <c r="L1353" s="311">
        <v>0</v>
      </c>
      <c r="M1353" s="311">
        <v>339000.00000000006</v>
      </c>
      <c r="N1353" s="311">
        <v>106440</v>
      </c>
      <c r="O1353" s="311">
        <v>74508</v>
      </c>
      <c r="P1353" s="68">
        <f t="shared" si="286"/>
        <v>1353144.0000000002</v>
      </c>
      <c r="Q1353" s="68">
        <f t="shared" si="287"/>
        <v>0</v>
      </c>
      <c r="R1353" s="127">
        <f t="shared" si="288"/>
        <v>105545232.00000001</v>
      </c>
      <c r="S1353" s="15"/>
    </row>
    <row r="1354" spans="1:19" s="84" customFormat="1">
      <c r="A1354" s="73"/>
      <c r="B1354" s="25" t="s">
        <v>3596</v>
      </c>
      <c r="C1354" s="26" t="s">
        <v>117</v>
      </c>
      <c r="D1354" s="351"/>
      <c r="E1354" s="26"/>
      <c r="F1354" s="351">
        <v>27</v>
      </c>
      <c r="G1354" s="351" t="s">
        <v>3125</v>
      </c>
      <c r="H1354" s="351"/>
      <c r="I1354" s="351" t="s">
        <v>2596</v>
      </c>
      <c r="J1354" s="560" t="s">
        <v>2328</v>
      </c>
      <c r="K1354" s="311">
        <v>763763</v>
      </c>
      <c r="L1354" s="311">
        <v>0</v>
      </c>
      <c r="M1354" s="311">
        <v>310750.00000000006</v>
      </c>
      <c r="N1354" s="311">
        <v>97570</v>
      </c>
      <c r="O1354" s="311">
        <v>68299</v>
      </c>
      <c r="P1354" s="68">
        <f t="shared" si="286"/>
        <v>1240382</v>
      </c>
      <c r="Q1354" s="68">
        <f t="shared" si="287"/>
        <v>0</v>
      </c>
      <c r="R1354" s="127">
        <f t="shared" si="288"/>
        <v>33490314</v>
      </c>
      <c r="S1354" s="15"/>
    </row>
    <row r="1355" spans="1:19" s="84" customFormat="1">
      <c r="A1355" s="73"/>
      <c r="B1355" s="25" t="s">
        <v>1435</v>
      </c>
      <c r="C1355" s="26" t="s">
        <v>117</v>
      </c>
      <c r="D1355" s="351"/>
      <c r="E1355" s="26"/>
      <c r="F1355" s="351">
        <v>18</v>
      </c>
      <c r="G1355" s="351" t="s">
        <v>3125</v>
      </c>
      <c r="H1355" s="351"/>
      <c r="I1355" s="351" t="s">
        <v>2596</v>
      </c>
      <c r="J1355" s="560" t="s">
        <v>2328</v>
      </c>
      <c r="K1355" s="311">
        <v>486031.00000000006</v>
      </c>
      <c r="L1355" s="311">
        <v>0</v>
      </c>
      <c r="M1355" s="311">
        <v>184566.66666666669</v>
      </c>
      <c r="N1355" s="311">
        <v>60923.333333333343</v>
      </c>
      <c r="O1355" s="311">
        <v>42646.333333333343</v>
      </c>
      <c r="P1355" s="68">
        <f t="shared" si="286"/>
        <v>774167.33333333349</v>
      </c>
      <c r="Q1355" s="68">
        <f t="shared" si="287"/>
        <v>0</v>
      </c>
      <c r="R1355" s="127">
        <f t="shared" si="288"/>
        <v>13935012.000000004</v>
      </c>
      <c r="S1355" s="15"/>
    </row>
    <row r="1356" spans="1:19" s="84" customFormat="1">
      <c r="A1356" s="26"/>
      <c r="B1356" s="25" t="s">
        <v>2087</v>
      </c>
      <c r="C1356" s="26" t="s">
        <v>117</v>
      </c>
      <c r="D1356" s="351"/>
      <c r="E1356" s="26"/>
      <c r="F1356" s="351">
        <v>24</v>
      </c>
      <c r="G1356" s="351" t="s">
        <v>3125</v>
      </c>
      <c r="H1356" s="351"/>
      <c r="I1356" s="351" t="s">
        <v>2596</v>
      </c>
      <c r="J1356" s="560" t="s">
        <v>2328</v>
      </c>
      <c r="K1356" s="311">
        <v>1458093</v>
      </c>
      <c r="L1356" s="311">
        <v>0</v>
      </c>
      <c r="M1356" s="311">
        <v>613025.00000000012</v>
      </c>
      <c r="N1356" s="311">
        <v>188020</v>
      </c>
      <c r="O1356" s="311">
        <v>131614</v>
      </c>
      <c r="P1356" s="68">
        <f t="shared" si="286"/>
        <v>2390752</v>
      </c>
      <c r="Q1356" s="68">
        <f t="shared" si="287"/>
        <v>0</v>
      </c>
      <c r="R1356" s="127">
        <f t="shared" si="288"/>
        <v>57378048</v>
      </c>
      <c r="S1356" s="15"/>
    </row>
    <row r="1357" spans="1:19" s="84" customFormat="1">
      <c r="A1357" s="26"/>
      <c r="B1357" s="25" t="s">
        <v>2088</v>
      </c>
      <c r="C1357" s="26" t="s">
        <v>117</v>
      </c>
      <c r="D1357" s="351"/>
      <c r="E1357" s="26"/>
      <c r="F1357" s="351">
        <v>20</v>
      </c>
      <c r="G1357" s="351" t="s">
        <v>3125</v>
      </c>
      <c r="H1357" s="351"/>
      <c r="I1357" s="351" t="s">
        <v>2596</v>
      </c>
      <c r="J1357" s="560" t="s">
        <v>2328</v>
      </c>
      <c r="K1357" s="311">
        <v>1319227</v>
      </c>
      <c r="L1357" s="311">
        <v>0</v>
      </c>
      <c r="M1357" s="311">
        <v>554641.66666666674</v>
      </c>
      <c r="N1357" s="311">
        <v>170113.33333333337</v>
      </c>
      <c r="O1357" s="311">
        <v>119079.33333333336</v>
      </c>
      <c r="P1357" s="68">
        <f t="shared" si="286"/>
        <v>2163061.3333333335</v>
      </c>
      <c r="Q1357" s="68">
        <f t="shared" si="287"/>
        <v>0</v>
      </c>
      <c r="R1357" s="127">
        <f t="shared" si="288"/>
        <v>43261226.666666672</v>
      </c>
      <c r="S1357" s="37"/>
    </row>
    <row r="1358" spans="1:19" s="84" customFormat="1">
      <c r="A1358" s="26"/>
      <c r="B1358" s="25" t="s">
        <v>1335</v>
      </c>
      <c r="C1358" s="26" t="s">
        <v>117</v>
      </c>
      <c r="D1358" s="351"/>
      <c r="E1358" s="26"/>
      <c r="F1358" s="351">
        <v>10</v>
      </c>
      <c r="G1358" s="351" t="s">
        <v>3125</v>
      </c>
      <c r="H1358" s="351"/>
      <c r="I1358" s="351" t="s">
        <v>2596</v>
      </c>
      <c r="J1358" s="560" t="s">
        <v>2328</v>
      </c>
      <c r="K1358" s="311">
        <v>624897</v>
      </c>
      <c r="L1358" s="311">
        <v>0</v>
      </c>
      <c r="M1358" s="311">
        <v>254250.00000000003</v>
      </c>
      <c r="N1358" s="311">
        <v>79830</v>
      </c>
      <c r="O1358" s="311">
        <v>55881.000000000007</v>
      </c>
      <c r="P1358" s="68">
        <f t="shared" si="286"/>
        <v>1014858</v>
      </c>
      <c r="Q1358" s="68">
        <f t="shared" si="287"/>
        <v>0</v>
      </c>
      <c r="R1358" s="127">
        <f t="shared" si="288"/>
        <v>10148580</v>
      </c>
      <c r="S1358" s="37"/>
    </row>
    <row r="1359" spans="1:19" s="84" customFormat="1">
      <c r="A1359" s="26"/>
      <c r="B1359" s="25" t="s">
        <v>1414</v>
      </c>
      <c r="C1359" s="26" t="s">
        <v>117</v>
      </c>
      <c r="D1359" s="351"/>
      <c r="E1359" s="26"/>
      <c r="F1359" s="351">
        <v>24</v>
      </c>
      <c r="G1359" s="351" t="s">
        <v>3125</v>
      </c>
      <c r="H1359" s="351"/>
      <c r="I1359" s="351" t="s">
        <v>2596</v>
      </c>
      <c r="J1359" s="560" t="s">
        <v>2328</v>
      </c>
      <c r="K1359" s="311">
        <v>937879.60000000009</v>
      </c>
      <c r="L1359" s="311">
        <v>0</v>
      </c>
      <c r="M1359" s="311">
        <v>394087.50000000006</v>
      </c>
      <c r="N1359" s="311">
        <v>120919</v>
      </c>
      <c r="O1359" s="311">
        <v>84643.3</v>
      </c>
      <c r="P1359" s="68">
        <f t="shared" si="286"/>
        <v>1537529.4000000001</v>
      </c>
      <c r="Q1359" s="68">
        <f t="shared" si="287"/>
        <v>0</v>
      </c>
      <c r="R1359" s="127">
        <f t="shared" si="288"/>
        <v>36900705.600000001</v>
      </c>
      <c r="S1359" s="37"/>
    </row>
    <row r="1360" spans="1:19" s="84" customFormat="1">
      <c r="A1360" s="26"/>
      <c r="B1360" s="25" t="s">
        <v>2094</v>
      </c>
      <c r="C1360" s="26" t="s">
        <v>117</v>
      </c>
      <c r="D1360" s="351"/>
      <c r="E1360" s="26"/>
      <c r="F1360" s="351">
        <v>30</v>
      </c>
      <c r="G1360" s="351" t="s">
        <v>3125</v>
      </c>
      <c r="H1360" s="351"/>
      <c r="I1360" s="351" t="s">
        <v>2596</v>
      </c>
      <c r="J1360" s="560" t="s">
        <v>2328</v>
      </c>
      <c r="K1360" s="311">
        <v>763763</v>
      </c>
      <c r="L1360" s="311">
        <v>0</v>
      </c>
      <c r="M1360" s="311">
        <v>290033.33333333337</v>
      </c>
      <c r="N1360" s="311">
        <v>95736.666666666686</v>
      </c>
      <c r="O1360" s="311">
        <v>67015.666666666672</v>
      </c>
      <c r="P1360" s="68">
        <f t="shared" si="286"/>
        <v>1216548.666666667</v>
      </c>
      <c r="Q1360" s="68">
        <f t="shared" si="287"/>
        <v>0</v>
      </c>
      <c r="R1360" s="127">
        <f t="shared" si="288"/>
        <v>36496460.000000007</v>
      </c>
      <c r="S1360" s="37"/>
    </row>
    <row r="1361" spans="1:19" s="84" customFormat="1">
      <c r="A1361" s="645"/>
      <c r="B1361" s="27" t="s">
        <v>3500</v>
      </c>
      <c r="C1361" s="30"/>
      <c r="D1361" s="352"/>
      <c r="E1361" s="30"/>
      <c r="F1361" s="352"/>
      <c r="G1361" s="30"/>
      <c r="H1361" s="30"/>
      <c r="I1361" s="30"/>
      <c r="J1361" s="571"/>
      <c r="K1361" s="127"/>
      <c r="L1361" s="127"/>
      <c r="M1361" s="127"/>
      <c r="N1361" s="127"/>
      <c r="O1361" s="127"/>
      <c r="P1361" s="127"/>
      <c r="Q1361" s="127"/>
      <c r="R1361" s="127"/>
      <c r="S1361" s="30"/>
    </row>
    <row r="1362" spans="1:19" s="84" customFormat="1">
      <c r="A1362" s="73"/>
      <c r="B1362" s="25" t="s">
        <v>3501</v>
      </c>
      <c r="C1362" s="26" t="s">
        <v>1350</v>
      </c>
      <c r="D1362" s="352"/>
      <c r="E1362" s="30"/>
      <c r="F1362" s="351">
        <v>1</v>
      </c>
      <c r="G1362" s="351" t="s">
        <v>3125</v>
      </c>
      <c r="H1362" s="351"/>
      <c r="I1362" s="351" t="s">
        <v>2596</v>
      </c>
      <c r="J1362" s="560" t="s">
        <v>2328</v>
      </c>
      <c r="K1362" s="311">
        <v>1865077.2000000002</v>
      </c>
      <c r="L1362" s="311">
        <v>0</v>
      </c>
      <c r="M1362" s="311">
        <v>435426.66666666674</v>
      </c>
      <c r="N1362" s="311">
        <v>209641.33333333337</v>
      </c>
      <c r="O1362" s="311">
        <v>146748.93333333335</v>
      </c>
      <c r="P1362" s="68">
        <f t="shared" ref="P1362:P1363" si="289">SUM(K1362:O1362)</f>
        <v>2656894.1333333338</v>
      </c>
      <c r="Q1362" s="68">
        <f>D1362*P1362</f>
        <v>0</v>
      </c>
      <c r="R1362" s="127">
        <f>F1362*P1362</f>
        <v>2656894.1333333338</v>
      </c>
      <c r="S1362" s="26"/>
    </row>
    <row r="1363" spans="1:19" s="84" customFormat="1">
      <c r="A1363" s="73"/>
      <c r="B1363" s="25" t="s">
        <v>3502</v>
      </c>
      <c r="C1363" s="26" t="s">
        <v>1350</v>
      </c>
      <c r="D1363" s="352"/>
      <c r="E1363" s="30"/>
      <c r="F1363" s="351">
        <v>2</v>
      </c>
      <c r="G1363" s="351" t="s">
        <v>3125</v>
      </c>
      <c r="H1363" s="351"/>
      <c r="I1363" s="351" t="s">
        <v>2596</v>
      </c>
      <c r="J1363" s="560" t="s">
        <v>2328</v>
      </c>
      <c r="K1363" s="311">
        <v>1677074.0000000002</v>
      </c>
      <c r="L1363" s="311">
        <v>0</v>
      </c>
      <c r="M1363" s="311">
        <v>343519.99999999994</v>
      </c>
      <c r="N1363" s="311">
        <v>184260</v>
      </c>
      <c r="O1363" s="311">
        <v>128982.00000000001</v>
      </c>
      <c r="P1363" s="68">
        <f t="shared" si="289"/>
        <v>2333836</v>
      </c>
      <c r="Q1363" s="68">
        <f>D1363*P1363</f>
        <v>0</v>
      </c>
      <c r="R1363" s="127">
        <f>F1363*P1363</f>
        <v>4667672</v>
      </c>
      <c r="S1363" s="26"/>
    </row>
    <row r="1364" spans="1:19" s="84" customFormat="1">
      <c r="A1364" s="645"/>
      <c r="B1364" s="27" t="s">
        <v>3499</v>
      </c>
      <c r="C1364" s="30"/>
      <c r="D1364" s="352"/>
      <c r="E1364" s="30"/>
      <c r="F1364" s="352"/>
      <c r="G1364" s="30"/>
      <c r="H1364" s="30"/>
      <c r="I1364" s="30"/>
      <c r="J1364" s="571"/>
      <c r="K1364" s="127"/>
      <c r="L1364" s="127"/>
      <c r="M1364" s="127"/>
      <c r="N1364" s="127"/>
      <c r="O1364" s="127"/>
      <c r="P1364" s="127"/>
      <c r="Q1364" s="127"/>
      <c r="R1364" s="127"/>
      <c r="S1364" s="30"/>
    </row>
    <row r="1365" spans="1:19" s="84" customFormat="1">
      <c r="A1365" s="73"/>
      <c r="B1365" s="25" t="s">
        <v>3474</v>
      </c>
      <c r="C1365" s="26" t="s">
        <v>1350</v>
      </c>
      <c r="D1365" s="352"/>
      <c r="E1365" s="30"/>
      <c r="F1365" s="351">
        <v>1</v>
      </c>
      <c r="G1365" s="351" t="s">
        <v>3125</v>
      </c>
      <c r="H1365" s="351"/>
      <c r="I1365" s="351" t="s">
        <v>2596</v>
      </c>
      <c r="J1365" s="560" t="s">
        <v>2328</v>
      </c>
      <c r="K1365" s="311">
        <v>537304.60000000009</v>
      </c>
      <c r="L1365" s="311">
        <v>0</v>
      </c>
      <c r="M1365" s="311">
        <v>304346.66666666674</v>
      </c>
      <c r="N1365" s="311">
        <v>76227.333333333343</v>
      </c>
      <c r="O1365" s="311">
        <v>53359.133333333339</v>
      </c>
      <c r="P1365" s="68">
        <f t="shared" ref="P1365:P1391" si="290">SUM(K1365:O1365)</f>
        <v>971237.73333333351</v>
      </c>
      <c r="Q1365" s="68">
        <f t="shared" ref="Q1365:Q1391" si="291">D1365*P1365</f>
        <v>0</v>
      </c>
      <c r="R1365" s="127">
        <f t="shared" ref="R1365:R1391" si="292">F1365*P1365</f>
        <v>971237.73333333351</v>
      </c>
      <c r="S1365" s="26"/>
    </row>
    <row r="1366" spans="1:19" s="84" customFormat="1">
      <c r="A1366" s="73"/>
      <c r="B1366" s="25" t="s">
        <v>3475</v>
      </c>
      <c r="C1366" s="26" t="s">
        <v>1350</v>
      </c>
      <c r="D1366" s="352"/>
      <c r="E1366" s="30"/>
      <c r="F1366" s="351">
        <v>1</v>
      </c>
      <c r="G1366" s="351" t="s">
        <v>3125</v>
      </c>
      <c r="H1366" s="351"/>
      <c r="I1366" s="351" t="s">
        <v>2596</v>
      </c>
      <c r="J1366" s="560" t="s">
        <v>2328</v>
      </c>
      <c r="K1366" s="311">
        <v>470008.00000000006</v>
      </c>
      <c r="L1366" s="311">
        <v>0</v>
      </c>
      <c r="M1366" s="311">
        <v>263666.66666666669</v>
      </c>
      <c r="N1366" s="311">
        <v>66453.333333333343</v>
      </c>
      <c r="O1366" s="311">
        <v>46517.333333333343</v>
      </c>
      <c r="P1366" s="68">
        <f t="shared" si="290"/>
        <v>846645.33333333349</v>
      </c>
      <c r="Q1366" s="68">
        <f t="shared" si="291"/>
        <v>0</v>
      </c>
      <c r="R1366" s="127">
        <f t="shared" si="292"/>
        <v>846645.33333333349</v>
      </c>
      <c r="S1366" s="26"/>
    </row>
    <row r="1367" spans="1:19" s="84" customFormat="1">
      <c r="A1367" s="73"/>
      <c r="B1367" s="25" t="s">
        <v>3476</v>
      </c>
      <c r="C1367" s="26" t="s">
        <v>1350</v>
      </c>
      <c r="D1367" s="352"/>
      <c r="E1367" s="30"/>
      <c r="F1367" s="351">
        <v>1</v>
      </c>
      <c r="G1367" s="351" t="s">
        <v>3125</v>
      </c>
      <c r="H1367" s="351"/>
      <c r="I1367" s="351" t="s">
        <v>2596</v>
      </c>
      <c r="J1367" s="560" t="s">
        <v>2328</v>
      </c>
      <c r="K1367" s="311">
        <v>535168.20000000007</v>
      </c>
      <c r="L1367" s="311">
        <v>0</v>
      </c>
      <c r="M1367" s="311">
        <v>307360.00000000006</v>
      </c>
      <c r="N1367" s="311">
        <v>76298</v>
      </c>
      <c r="O1367" s="311">
        <v>53408.600000000006</v>
      </c>
      <c r="P1367" s="68">
        <f t="shared" si="290"/>
        <v>972234.80000000016</v>
      </c>
      <c r="Q1367" s="68">
        <f t="shared" si="291"/>
        <v>0</v>
      </c>
      <c r="R1367" s="127">
        <f t="shared" si="292"/>
        <v>972234.80000000016</v>
      </c>
      <c r="S1367" s="26"/>
    </row>
    <row r="1368" spans="1:19" s="84" customFormat="1">
      <c r="A1368" s="73"/>
      <c r="B1368" s="25" t="s">
        <v>3477</v>
      </c>
      <c r="C1368" s="26" t="s">
        <v>1350</v>
      </c>
      <c r="D1368" s="352"/>
      <c r="E1368" s="30"/>
      <c r="F1368" s="351">
        <v>1</v>
      </c>
      <c r="G1368" s="351" t="s">
        <v>3125</v>
      </c>
      <c r="H1368" s="351"/>
      <c r="I1368" s="351" t="s">
        <v>2596</v>
      </c>
      <c r="J1368" s="560" t="s">
        <v>2328</v>
      </c>
      <c r="K1368" s="311">
        <v>482826.4</v>
      </c>
      <c r="L1368" s="311">
        <v>0</v>
      </c>
      <c r="M1368" s="311">
        <v>271200</v>
      </c>
      <c r="N1368" s="311">
        <v>68296</v>
      </c>
      <c r="O1368" s="311">
        <v>47807.200000000004</v>
      </c>
      <c r="P1368" s="68">
        <f t="shared" si="290"/>
        <v>870129.6</v>
      </c>
      <c r="Q1368" s="68">
        <f t="shared" si="291"/>
        <v>0</v>
      </c>
      <c r="R1368" s="127">
        <f t="shared" si="292"/>
        <v>870129.6</v>
      </c>
      <c r="S1368" s="329"/>
    </row>
    <row r="1369" spans="1:19" s="84" customFormat="1">
      <c r="A1369" s="73"/>
      <c r="B1369" s="25" t="s">
        <v>3478</v>
      </c>
      <c r="C1369" s="26" t="s">
        <v>1350</v>
      </c>
      <c r="D1369" s="352"/>
      <c r="E1369" s="30"/>
      <c r="F1369" s="351">
        <v>1</v>
      </c>
      <c r="G1369" s="351" t="s">
        <v>3125</v>
      </c>
      <c r="H1369" s="351"/>
      <c r="I1369" s="351" t="s">
        <v>2596</v>
      </c>
      <c r="J1369" s="560" t="s">
        <v>2328</v>
      </c>
      <c r="K1369" s="311">
        <v>392029.4</v>
      </c>
      <c r="L1369" s="311">
        <v>0</v>
      </c>
      <c r="M1369" s="311">
        <v>135600</v>
      </c>
      <c r="N1369" s="311">
        <v>47966</v>
      </c>
      <c r="O1369" s="311">
        <v>33576.200000000004</v>
      </c>
      <c r="P1369" s="68">
        <f t="shared" si="290"/>
        <v>609171.6</v>
      </c>
      <c r="Q1369" s="68">
        <f t="shared" si="291"/>
        <v>0</v>
      </c>
      <c r="R1369" s="127">
        <f t="shared" si="292"/>
        <v>609171.6</v>
      </c>
      <c r="S1369" s="36"/>
    </row>
    <row r="1370" spans="1:19" s="84" customFormat="1">
      <c r="A1370" s="73"/>
      <c r="B1370" s="25" t="s">
        <v>3479</v>
      </c>
      <c r="C1370" s="26" t="s">
        <v>1350</v>
      </c>
      <c r="D1370" s="352"/>
      <c r="E1370" s="30"/>
      <c r="F1370" s="351">
        <v>1</v>
      </c>
      <c r="G1370" s="351" t="s">
        <v>3125</v>
      </c>
      <c r="H1370" s="351"/>
      <c r="I1370" s="351" t="s">
        <v>2596</v>
      </c>
      <c r="J1370" s="560" t="s">
        <v>2328</v>
      </c>
      <c r="K1370" s="311">
        <v>300164.2</v>
      </c>
      <c r="L1370" s="311">
        <v>0</v>
      </c>
      <c r="M1370" s="311">
        <v>103960</v>
      </c>
      <c r="N1370" s="311">
        <v>36738</v>
      </c>
      <c r="O1370" s="311">
        <v>25716.600000000002</v>
      </c>
      <c r="P1370" s="68">
        <f t="shared" si="290"/>
        <v>466578.8</v>
      </c>
      <c r="Q1370" s="68">
        <f t="shared" si="291"/>
        <v>0</v>
      </c>
      <c r="R1370" s="127">
        <f t="shared" si="292"/>
        <v>466578.8</v>
      </c>
      <c r="S1370" s="15"/>
    </row>
    <row r="1371" spans="1:19" s="84" customFormat="1">
      <c r="A1371" s="73"/>
      <c r="B1371" s="25" t="s">
        <v>3480</v>
      </c>
      <c r="C1371" s="26" t="s">
        <v>1350</v>
      </c>
      <c r="D1371" s="352"/>
      <c r="E1371" s="30"/>
      <c r="F1371" s="351">
        <v>1</v>
      </c>
      <c r="G1371" s="351" t="s">
        <v>3125</v>
      </c>
      <c r="H1371" s="351"/>
      <c r="I1371" s="351" t="s">
        <v>2596</v>
      </c>
      <c r="J1371" s="560" t="s">
        <v>2328</v>
      </c>
      <c r="K1371" s="311">
        <v>346096.80000000005</v>
      </c>
      <c r="L1371" s="311">
        <v>0</v>
      </c>
      <c r="M1371" s="311">
        <v>195866.66666666669</v>
      </c>
      <c r="N1371" s="311">
        <v>49085.333333333343</v>
      </c>
      <c r="O1371" s="311">
        <v>34359.733333333337</v>
      </c>
      <c r="P1371" s="68">
        <f t="shared" si="290"/>
        <v>625408.53333333344</v>
      </c>
      <c r="Q1371" s="68">
        <f t="shared" si="291"/>
        <v>0</v>
      </c>
      <c r="R1371" s="127">
        <f t="shared" si="292"/>
        <v>625408.53333333344</v>
      </c>
      <c r="S1371" s="18"/>
    </row>
    <row r="1372" spans="1:19" s="84" customFormat="1">
      <c r="A1372" s="73"/>
      <c r="B1372" s="25" t="s">
        <v>3481</v>
      </c>
      <c r="C1372" s="26" t="s">
        <v>1350</v>
      </c>
      <c r="D1372" s="352"/>
      <c r="E1372" s="30"/>
      <c r="F1372" s="351">
        <v>1</v>
      </c>
      <c r="G1372" s="351" t="s">
        <v>3125</v>
      </c>
      <c r="H1372" s="351"/>
      <c r="I1372" s="351" t="s">
        <v>2596</v>
      </c>
      <c r="J1372" s="560" t="s">
        <v>2328</v>
      </c>
      <c r="K1372" s="311">
        <v>383483.80000000005</v>
      </c>
      <c r="L1372" s="311">
        <v>0</v>
      </c>
      <c r="M1372" s="311">
        <v>132586.66666666669</v>
      </c>
      <c r="N1372" s="311">
        <v>46915.333333333343</v>
      </c>
      <c r="O1372" s="311">
        <v>32840.733333333337</v>
      </c>
      <c r="P1372" s="68">
        <f t="shared" si="290"/>
        <v>595826.53333333344</v>
      </c>
      <c r="Q1372" s="68">
        <f t="shared" si="291"/>
        <v>0</v>
      </c>
      <c r="R1372" s="127">
        <f t="shared" si="292"/>
        <v>595826.53333333344</v>
      </c>
      <c r="S1372" s="15"/>
    </row>
    <row r="1373" spans="1:19" s="84" customFormat="1">
      <c r="A1373" s="73"/>
      <c r="B1373" s="25" t="s">
        <v>3482</v>
      </c>
      <c r="C1373" s="26" t="s">
        <v>1350</v>
      </c>
      <c r="D1373" s="352"/>
      <c r="E1373" s="30"/>
      <c r="F1373" s="351">
        <v>1</v>
      </c>
      <c r="G1373" s="351" t="s">
        <v>3125</v>
      </c>
      <c r="H1373" s="351"/>
      <c r="I1373" s="351" t="s">
        <v>2596</v>
      </c>
      <c r="J1373" s="560" t="s">
        <v>2328</v>
      </c>
      <c r="K1373" s="311">
        <v>315119</v>
      </c>
      <c r="L1373" s="311">
        <v>0</v>
      </c>
      <c r="M1373" s="311">
        <v>109986.66666666669</v>
      </c>
      <c r="N1373" s="311">
        <v>38643.333333333336</v>
      </c>
      <c r="O1373" s="311">
        <v>27050.333333333339</v>
      </c>
      <c r="P1373" s="68">
        <f t="shared" si="290"/>
        <v>490799.33333333331</v>
      </c>
      <c r="Q1373" s="68">
        <f t="shared" si="291"/>
        <v>0</v>
      </c>
      <c r="R1373" s="127">
        <f t="shared" si="292"/>
        <v>490799.33333333331</v>
      </c>
      <c r="S1373" s="15"/>
    </row>
    <row r="1374" spans="1:19" s="84" customFormat="1">
      <c r="A1374" s="73"/>
      <c r="B1374" s="25" t="s">
        <v>3483</v>
      </c>
      <c r="C1374" s="26" t="s">
        <v>1350</v>
      </c>
      <c r="D1374" s="352"/>
      <c r="E1374" s="30"/>
      <c r="F1374" s="351">
        <v>1</v>
      </c>
      <c r="G1374" s="351" t="s">
        <v>3125</v>
      </c>
      <c r="H1374" s="351"/>
      <c r="I1374" s="351" t="s">
        <v>2596</v>
      </c>
      <c r="J1374" s="560" t="s">
        <v>2328</v>
      </c>
      <c r="K1374" s="311">
        <v>374938.2</v>
      </c>
      <c r="L1374" s="311">
        <v>0</v>
      </c>
      <c r="M1374" s="311">
        <v>212440.00000000003</v>
      </c>
      <c r="N1374" s="311">
        <v>53198</v>
      </c>
      <c r="O1374" s="311">
        <v>37238.600000000006</v>
      </c>
      <c r="P1374" s="68">
        <f t="shared" si="290"/>
        <v>677814.8</v>
      </c>
      <c r="Q1374" s="68">
        <f t="shared" si="291"/>
        <v>0</v>
      </c>
      <c r="R1374" s="127">
        <f t="shared" si="292"/>
        <v>677814.8</v>
      </c>
      <c r="S1374" s="15"/>
    </row>
    <row r="1375" spans="1:19" s="84" customFormat="1">
      <c r="A1375" s="73"/>
      <c r="B1375" s="25" t="s">
        <v>3479</v>
      </c>
      <c r="C1375" s="26" t="s">
        <v>1350</v>
      </c>
      <c r="D1375" s="352"/>
      <c r="E1375" s="30"/>
      <c r="F1375" s="351">
        <v>1</v>
      </c>
      <c r="G1375" s="351" t="s">
        <v>3125</v>
      </c>
      <c r="H1375" s="351"/>
      <c r="I1375" s="351" t="s">
        <v>2596</v>
      </c>
      <c r="J1375" s="560" t="s">
        <v>2328</v>
      </c>
      <c r="K1375" s="311">
        <v>300164.2</v>
      </c>
      <c r="L1375" s="311">
        <v>0</v>
      </c>
      <c r="M1375" s="311">
        <v>103960</v>
      </c>
      <c r="N1375" s="311">
        <v>36738</v>
      </c>
      <c r="O1375" s="311">
        <v>25716.600000000002</v>
      </c>
      <c r="P1375" s="68">
        <f t="shared" si="290"/>
        <v>466578.8</v>
      </c>
      <c r="Q1375" s="68">
        <f t="shared" si="291"/>
        <v>0</v>
      </c>
      <c r="R1375" s="127">
        <f t="shared" si="292"/>
        <v>466578.8</v>
      </c>
      <c r="S1375" s="26"/>
    </row>
    <row r="1376" spans="1:19" s="84" customFormat="1">
      <c r="A1376" s="73"/>
      <c r="B1376" s="25" t="s">
        <v>3484</v>
      </c>
      <c r="C1376" s="26" t="s">
        <v>1350</v>
      </c>
      <c r="D1376" s="352"/>
      <c r="E1376" s="30"/>
      <c r="F1376" s="351">
        <v>1</v>
      </c>
      <c r="G1376" s="351" t="s">
        <v>3125</v>
      </c>
      <c r="H1376" s="351"/>
      <c r="I1376" s="351" t="s">
        <v>2596</v>
      </c>
      <c r="J1376" s="560" t="s">
        <v>2328</v>
      </c>
      <c r="K1376" s="311">
        <v>264913.60000000003</v>
      </c>
      <c r="L1376" s="311">
        <v>0</v>
      </c>
      <c r="M1376" s="311">
        <v>91906.666666666686</v>
      </c>
      <c r="N1376" s="311">
        <v>32437.333333333339</v>
      </c>
      <c r="O1376" s="311">
        <v>22706.133333333339</v>
      </c>
      <c r="P1376" s="68">
        <f t="shared" si="290"/>
        <v>411963.7333333334</v>
      </c>
      <c r="Q1376" s="68">
        <f t="shared" si="291"/>
        <v>0</v>
      </c>
      <c r="R1376" s="127">
        <f t="shared" si="292"/>
        <v>411963.7333333334</v>
      </c>
      <c r="S1376" s="26"/>
    </row>
    <row r="1377" spans="1:19" s="84" customFormat="1">
      <c r="A1377" s="73"/>
      <c r="B1377" s="25" t="s">
        <v>3485</v>
      </c>
      <c r="C1377" s="26" t="s">
        <v>1350</v>
      </c>
      <c r="D1377" s="352"/>
      <c r="E1377" s="30"/>
      <c r="F1377" s="351">
        <v>1</v>
      </c>
      <c r="G1377" s="351" t="s">
        <v>3125</v>
      </c>
      <c r="H1377" s="351"/>
      <c r="I1377" s="351" t="s">
        <v>2596</v>
      </c>
      <c r="J1377" s="560" t="s">
        <v>2328</v>
      </c>
      <c r="K1377" s="311">
        <v>436893.80000000005</v>
      </c>
      <c r="L1377" s="311">
        <v>0</v>
      </c>
      <c r="M1377" s="311">
        <v>245586.66666666666</v>
      </c>
      <c r="N1377" s="311">
        <v>61815.333333333328</v>
      </c>
      <c r="O1377" s="311">
        <v>43270.73333333333</v>
      </c>
      <c r="P1377" s="68">
        <f t="shared" si="290"/>
        <v>787566.53333333333</v>
      </c>
      <c r="Q1377" s="68">
        <f t="shared" si="291"/>
        <v>0</v>
      </c>
      <c r="R1377" s="127">
        <f t="shared" si="292"/>
        <v>787566.53333333333</v>
      </c>
      <c r="S1377" s="26"/>
    </row>
    <row r="1378" spans="1:19" s="84" customFormat="1">
      <c r="A1378" s="73"/>
      <c r="B1378" s="25" t="s">
        <v>3486</v>
      </c>
      <c r="C1378" s="26" t="s">
        <v>1350</v>
      </c>
      <c r="D1378" s="352"/>
      <c r="E1378" s="30"/>
      <c r="F1378" s="351">
        <v>1</v>
      </c>
      <c r="G1378" s="351" t="s">
        <v>3125</v>
      </c>
      <c r="H1378" s="351"/>
      <c r="I1378" s="351" t="s">
        <v>2596</v>
      </c>
      <c r="J1378" s="560" t="s">
        <v>2328</v>
      </c>
      <c r="K1378" s="311">
        <v>376006.40000000002</v>
      </c>
      <c r="L1378" s="311">
        <v>0</v>
      </c>
      <c r="M1378" s="311">
        <v>131080</v>
      </c>
      <c r="N1378" s="311">
        <v>46096</v>
      </c>
      <c r="O1378" s="311">
        <v>32267.200000000004</v>
      </c>
      <c r="P1378" s="68">
        <f t="shared" si="290"/>
        <v>585449.6</v>
      </c>
      <c r="Q1378" s="68">
        <f t="shared" si="291"/>
        <v>0</v>
      </c>
      <c r="R1378" s="127">
        <f t="shared" si="292"/>
        <v>585449.6</v>
      </c>
      <c r="S1378" s="329"/>
    </row>
    <row r="1379" spans="1:19" s="84" customFormat="1">
      <c r="A1379" s="73"/>
      <c r="B1379" s="25" t="s">
        <v>3487</v>
      </c>
      <c r="C1379" s="26" t="s">
        <v>1350</v>
      </c>
      <c r="D1379" s="352"/>
      <c r="E1379" s="30"/>
      <c r="F1379" s="351">
        <v>1</v>
      </c>
      <c r="G1379" s="351" t="s">
        <v>3125</v>
      </c>
      <c r="H1379" s="351"/>
      <c r="I1379" s="351" t="s">
        <v>2596</v>
      </c>
      <c r="J1379" s="560" t="s">
        <v>2328</v>
      </c>
      <c r="K1379" s="311">
        <v>379211</v>
      </c>
      <c r="L1379" s="311">
        <v>0</v>
      </c>
      <c r="M1379" s="311">
        <v>132586.66666666669</v>
      </c>
      <c r="N1379" s="311">
        <v>46523.333333333343</v>
      </c>
      <c r="O1379" s="311">
        <v>32566.333333333339</v>
      </c>
      <c r="P1379" s="68">
        <f t="shared" si="290"/>
        <v>590887.33333333337</v>
      </c>
      <c r="Q1379" s="68">
        <f t="shared" si="291"/>
        <v>0</v>
      </c>
      <c r="R1379" s="127">
        <f t="shared" si="292"/>
        <v>590887.33333333337</v>
      </c>
      <c r="S1379" s="36"/>
    </row>
    <row r="1380" spans="1:19" s="84" customFormat="1">
      <c r="A1380" s="73"/>
      <c r="B1380" s="25" t="s">
        <v>3488</v>
      </c>
      <c r="C1380" s="26" t="s">
        <v>1350</v>
      </c>
      <c r="D1380" s="352"/>
      <c r="E1380" s="30"/>
      <c r="F1380" s="351">
        <v>1</v>
      </c>
      <c r="G1380" s="351" t="s">
        <v>3125</v>
      </c>
      <c r="H1380" s="351"/>
      <c r="I1380" s="351" t="s">
        <v>2596</v>
      </c>
      <c r="J1380" s="560" t="s">
        <v>2328</v>
      </c>
      <c r="K1380" s="311">
        <v>353574.2</v>
      </c>
      <c r="L1380" s="311">
        <v>0</v>
      </c>
      <c r="M1380" s="311">
        <v>123546.66666666669</v>
      </c>
      <c r="N1380" s="311">
        <v>43371.333333333343</v>
      </c>
      <c r="O1380" s="311">
        <v>30359.933333333338</v>
      </c>
      <c r="P1380" s="68">
        <f t="shared" si="290"/>
        <v>550852.13333333342</v>
      </c>
      <c r="Q1380" s="68">
        <f t="shared" si="291"/>
        <v>0</v>
      </c>
      <c r="R1380" s="127">
        <f t="shared" si="292"/>
        <v>550852.13333333342</v>
      </c>
      <c r="S1380" s="15"/>
    </row>
    <row r="1381" spans="1:19" s="84" customFormat="1">
      <c r="A1381" s="73"/>
      <c r="B1381" s="25" t="s">
        <v>3489</v>
      </c>
      <c r="C1381" s="26" t="s">
        <v>1350</v>
      </c>
      <c r="D1381" s="352"/>
      <c r="E1381" s="30"/>
      <c r="F1381" s="351">
        <v>1</v>
      </c>
      <c r="G1381" s="351" t="s">
        <v>3125</v>
      </c>
      <c r="H1381" s="351"/>
      <c r="I1381" s="351" t="s">
        <v>2596</v>
      </c>
      <c r="J1381" s="560" t="s">
        <v>2328</v>
      </c>
      <c r="K1381" s="311">
        <v>336483</v>
      </c>
      <c r="L1381" s="311">
        <v>0</v>
      </c>
      <c r="M1381" s="311">
        <v>117520.00000000001</v>
      </c>
      <c r="N1381" s="311">
        <v>41270</v>
      </c>
      <c r="O1381" s="311">
        <v>28889.000000000004</v>
      </c>
      <c r="P1381" s="68">
        <f t="shared" si="290"/>
        <v>524162</v>
      </c>
      <c r="Q1381" s="68">
        <f t="shared" si="291"/>
        <v>0</v>
      </c>
      <c r="R1381" s="127">
        <f t="shared" si="292"/>
        <v>524162</v>
      </c>
      <c r="S1381" s="18"/>
    </row>
    <row r="1382" spans="1:19" s="84" customFormat="1">
      <c r="A1382" s="73"/>
      <c r="B1382" s="25" t="s">
        <v>3490</v>
      </c>
      <c r="C1382" s="26" t="s">
        <v>1350</v>
      </c>
      <c r="D1382" s="352"/>
      <c r="E1382" s="30"/>
      <c r="F1382" s="351">
        <v>1</v>
      </c>
      <c r="G1382" s="351" t="s">
        <v>3125</v>
      </c>
      <c r="H1382" s="351"/>
      <c r="I1382" s="351" t="s">
        <v>2596</v>
      </c>
      <c r="J1382" s="560" t="s">
        <v>2328</v>
      </c>
      <c r="K1382" s="311">
        <v>301232.40000000002</v>
      </c>
      <c r="L1382" s="311">
        <v>0</v>
      </c>
      <c r="M1382" s="311">
        <v>105466.66666666669</v>
      </c>
      <c r="N1382" s="311">
        <v>36969.333333333336</v>
      </c>
      <c r="O1382" s="311">
        <v>25878.53333333334</v>
      </c>
      <c r="P1382" s="68">
        <f t="shared" si="290"/>
        <v>469546.93333333335</v>
      </c>
      <c r="Q1382" s="68">
        <f t="shared" si="291"/>
        <v>0</v>
      </c>
      <c r="R1382" s="127">
        <f t="shared" si="292"/>
        <v>469546.93333333335</v>
      </c>
      <c r="S1382" s="15"/>
    </row>
    <row r="1383" spans="1:19" s="84" customFormat="1">
      <c r="A1383" s="73"/>
      <c r="B1383" s="25" t="s">
        <v>3491</v>
      </c>
      <c r="C1383" s="26" t="s">
        <v>1350</v>
      </c>
      <c r="D1383" s="352"/>
      <c r="E1383" s="30"/>
      <c r="F1383" s="351">
        <v>1</v>
      </c>
      <c r="G1383" s="351" t="s">
        <v>3125</v>
      </c>
      <c r="H1383" s="351"/>
      <c r="I1383" s="351" t="s">
        <v>2596</v>
      </c>
      <c r="J1383" s="560" t="s">
        <v>2328</v>
      </c>
      <c r="K1383" s="311">
        <v>384552</v>
      </c>
      <c r="L1383" s="311">
        <v>0</v>
      </c>
      <c r="M1383" s="311">
        <v>215453.33333333337</v>
      </c>
      <c r="N1383" s="311">
        <v>54346.666666666679</v>
      </c>
      <c r="O1383" s="311">
        <v>38042.666666666679</v>
      </c>
      <c r="P1383" s="68">
        <f t="shared" si="290"/>
        <v>692394.66666666663</v>
      </c>
      <c r="Q1383" s="68">
        <f t="shared" si="291"/>
        <v>0</v>
      </c>
      <c r="R1383" s="127">
        <f t="shared" si="292"/>
        <v>692394.66666666663</v>
      </c>
      <c r="S1383" s="15"/>
    </row>
    <row r="1384" spans="1:19" s="84" customFormat="1">
      <c r="A1384" s="73"/>
      <c r="B1384" s="25" t="s">
        <v>3492</v>
      </c>
      <c r="C1384" s="26" t="s">
        <v>1350</v>
      </c>
      <c r="D1384" s="352"/>
      <c r="E1384" s="30"/>
      <c r="F1384" s="351">
        <v>1</v>
      </c>
      <c r="G1384" s="351" t="s">
        <v>3125</v>
      </c>
      <c r="H1384" s="351"/>
      <c r="I1384" s="351" t="s">
        <v>2596</v>
      </c>
      <c r="J1384" s="560" t="s">
        <v>2328</v>
      </c>
      <c r="K1384" s="311">
        <v>300164.2</v>
      </c>
      <c r="L1384" s="311">
        <v>0</v>
      </c>
      <c r="M1384" s="311">
        <v>103960</v>
      </c>
      <c r="N1384" s="311">
        <v>36738</v>
      </c>
      <c r="O1384" s="311">
        <v>25716.600000000002</v>
      </c>
      <c r="P1384" s="68">
        <f t="shared" si="290"/>
        <v>466578.8</v>
      </c>
      <c r="Q1384" s="68">
        <f t="shared" si="291"/>
        <v>0</v>
      </c>
      <c r="R1384" s="127">
        <f t="shared" si="292"/>
        <v>466578.8</v>
      </c>
      <c r="S1384" s="15"/>
    </row>
    <row r="1385" spans="1:19" s="84" customFormat="1">
      <c r="A1385" s="26"/>
      <c r="B1385" s="25" t="s">
        <v>3493</v>
      </c>
      <c r="C1385" s="26" t="s">
        <v>1350</v>
      </c>
      <c r="D1385" s="352"/>
      <c r="E1385" s="30"/>
      <c r="F1385" s="351">
        <v>1</v>
      </c>
      <c r="G1385" s="351" t="s">
        <v>3125</v>
      </c>
      <c r="H1385" s="351"/>
      <c r="I1385" s="351" t="s">
        <v>2596</v>
      </c>
      <c r="J1385" s="560" t="s">
        <v>2328</v>
      </c>
      <c r="K1385" s="311">
        <v>275595.60000000003</v>
      </c>
      <c r="L1385" s="311">
        <v>0</v>
      </c>
      <c r="M1385" s="311">
        <v>96426.666666666686</v>
      </c>
      <c r="N1385" s="311">
        <v>33817.333333333336</v>
      </c>
      <c r="O1385" s="311">
        <v>23672.133333333339</v>
      </c>
      <c r="P1385" s="68">
        <f t="shared" si="290"/>
        <v>429511.7333333334</v>
      </c>
      <c r="Q1385" s="68">
        <f t="shared" si="291"/>
        <v>0</v>
      </c>
      <c r="R1385" s="127">
        <f t="shared" si="292"/>
        <v>429511.7333333334</v>
      </c>
      <c r="S1385" s="15"/>
    </row>
    <row r="1386" spans="1:19" s="84" customFormat="1">
      <c r="A1386" s="26"/>
      <c r="B1386" s="25" t="s">
        <v>3494</v>
      </c>
      <c r="C1386" s="26" t="s">
        <v>1350</v>
      </c>
      <c r="D1386" s="352"/>
      <c r="E1386" s="30"/>
      <c r="F1386" s="351">
        <v>3</v>
      </c>
      <c r="G1386" s="351" t="s">
        <v>3125</v>
      </c>
      <c r="H1386" s="351"/>
      <c r="I1386" s="351" t="s">
        <v>2596</v>
      </c>
      <c r="J1386" s="560" t="s">
        <v>2328</v>
      </c>
      <c r="K1386" s="311">
        <v>327937.40000000002</v>
      </c>
      <c r="L1386" s="311">
        <v>0</v>
      </c>
      <c r="M1386" s="311">
        <v>114506.66666666669</v>
      </c>
      <c r="N1386" s="311">
        <v>40219.333333333343</v>
      </c>
      <c r="O1386" s="311">
        <v>28153.53333333334</v>
      </c>
      <c r="P1386" s="68">
        <f t="shared" si="290"/>
        <v>510816.93333333335</v>
      </c>
      <c r="Q1386" s="68">
        <f t="shared" si="291"/>
        <v>0</v>
      </c>
      <c r="R1386" s="127">
        <f t="shared" si="292"/>
        <v>1532450.8</v>
      </c>
      <c r="S1386" s="37"/>
    </row>
    <row r="1387" spans="1:19" s="84" customFormat="1">
      <c r="A1387" s="26"/>
      <c r="B1387" s="25" t="s">
        <v>3495</v>
      </c>
      <c r="C1387" s="26" t="s">
        <v>1350</v>
      </c>
      <c r="D1387" s="352"/>
      <c r="E1387" s="30"/>
      <c r="F1387" s="351">
        <v>1</v>
      </c>
      <c r="G1387" s="351" t="s">
        <v>3125</v>
      </c>
      <c r="H1387" s="351"/>
      <c r="I1387" s="351" t="s">
        <v>2596</v>
      </c>
      <c r="J1387" s="560" t="s">
        <v>2328</v>
      </c>
      <c r="K1387" s="311">
        <v>307641.60000000003</v>
      </c>
      <c r="L1387" s="311">
        <v>0</v>
      </c>
      <c r="M1387" s="311">
        <v>106973.33333333334</v>
      </c>
      <c r="N1387" s="311">
        <v>37690.666666666672</v>
      </c>
      <c r="O1387" s="311">
        <v>26383.466666666671</v>
      </c>
      <c r="P1387" s="68">
        <f t="shared" si="290"/>
        <v>478689.06666666671</v>
      </c>
      <c r="Q1387" s="68">
        <f t="shared" si="291"/>
        <v>0</v>
      </c>
      <c r="R1387" s="127">
        <f t="shared" si="292"/>
        <v>478689.06666666671</v>
      </c>
      <c r="S1387" s="37"/>
    </row>
    <row r="1388" spans="1:19" s="84" customFormat="1">
      <c r="A1388" s="26"/>
      <c r="B1388" s="25" t="s">
        <v>3496</v>
      </c>
      <c r="C1388" s="26" t="s">
        <v>1350</v>
      </c>
      <c r="D1388" s="352"/>
      <c r="E1388" s="30"/>
      <c r="F1388" s="351">
        <v>1</v>
      </c>
      <c r="G1388" s="351" t="s">
        <v>3125</v>
      </c>
      <c r="H1388" s="351"/>
      <c r="I1388" s="351" t="s">
        <v>2596</v>
      </c>
      <c r="J1388" s="560" t="s">
        <v>2328</v>
      </c>
      <c r="K1388" s="311">
        <v>301232.40000000002</v>
      </c>
      <c r="L1388" s="311">
        <v>0</v>
      </c>
      <c r="M1388" s="311">
        <v>105466.66666666669</v>
      </c>
      <c r="N1388" s="311">
        <v>36969.333333333336</v>
      </c>
      <c r="O1388" s="311">
        <v>25878.53333333334</v>
      </c>
      <c r="P1388" s="68">
        <f t="shared" si="290"/>
        <v>469546.93333333335</v>
      </c>
      <c r="Q1388" s="68">
        <f t="shared" si="291"/>
        <v>0</v>
      </c>
      <c r="R1388" s="127">
        <f t="shared" si="292"/>
        <v>469546.93333333335</v>
      </c>
      <c r="S1388" s="37"/>
    </row>
    <row r="1389" spans="1:19" s="84" customFormat="1">
      <c r="A1389" s="26"/>
      <c r="B1389" s="25" t="s">
        <v>3497</v>
      </c>
      <c r="C1389" s="26" t="s">
        <v>1350</v>
      </c>
      <c r="D1389" s="352"/>
      <c r="E1389" s="30"/>
      <c r="F1389" s="351">
        <v>1</v>
      </c>
      <c r="G1389" s="351" t="s">
        <v>3125</v>
      </c>
      <c r="H1389" s="351"/>
      <c r="I1389" s="351" t="s">
        <v>2596</v>
      </c>
      <c r="J1389" s="560" t="s">
        <v>2328</v>
      </c>
      <c r="K1389" s="311">
        <v>275595.60000000003</v>
      </c>
      <c r="L1389" s="311">
        <v>0</v>
      </c>
      <c r="M1389" s="311">
        <v>94920.000000000015</v>
      </c>
      <c r="N1389" s="311">
        <v>33684</v>
      </c>
      <c r="O1389" s="311">
        <v>23578.800000000003</v>
      </c>
      <c r="P1389" s="68">
        <f t="shared" si="290"/>
        <v>427778.4</v>
      </c>
      <c r="Q1389" s="68">
        <f t="shared" si="291"/>
        <v>0</v>
      </c>
      <c r="R1389" s="127">
        <f t="shared" si="292"/>
        <v>427778.4</v>
      </c>
      <c r="S1389" s="37"/>
    </row>
    <row r="1390" spans="1:19" s="84" customFormat="1">
      <c r="A1390" s="26"/>
      <c r="B1390" s="25" t="s">
        <v>3498</v>
      </c>
      <c r="C1390" s="26" t="s">
        <v>1350</v>
      </c>
      <c r="D1390" s="352"/>
      <c r="E1390" s="30"/>
      <c r="F1390" s="351">
        <v>1</v>
      </c>
      <c r="G1390" s="351" t="s">
        <v>3125</v>
      </c>
      <c r="H1390" s="351"/>
      <c r="I1390" s="351" t="s">
        <v>2596</v>
      </c>
      <c r="J1390" s="560" t="s">
        <v>2328</v>
      </c>
      <c r="K1390" s="311">
        <v>228594.80000000002</v>
      </c>
      <c r="L1390" s="311">
        <v>0</v>
      </c>
      <c r="M1390" s="311">
        <v>79853.333333333343</v>
      </c>
      <c r="N1390" s="311">
        <v>28038.666666666672</v>
      </c>
      <c r="O1390" s="311">
        <v>19627.066666666669</v>
      </c>
      <c r="P1390" s="68">
        <f t="shared" si="290"/>
        <v>356113.8666666667</v>
      </c>
      <c r="Q1390" s="68">
        <f t="shared" si="291"/>
        <v>0</v>
      </c>
      <c r="R1390" s="127">
        <f t="shared" si="292"/>
        <v>356113.8666666667</v>
      </c>
      <c r="S1390" s="37"/>
    </row>
    <row r="1391" spans="1:19">
      <c r="A1391" s="73"/>
      <c r="B1391" s="72" t="s">
        <v>1408</v>
      </c>
      <c r="C1391" s="26" t="s">
        <v>78</v>
      </c>
      <c r="D1391" s="351"/>
      <c r="E1391" s="24"/>
      <c r="F1391" s="351">
        <v>1</v>
      </c>
      <c r="G1391" s="351"/>
      <c r="H1391" s="351"/>
      <c r="I1391" s="351"/>
      <c r="J1391" s="560" t="s">
        <v>2381</v>
      </c>
      <c r="K1391" s="311">
        <v>87403207.62684001</v>
      </c>
      <c r="L1391" s="311">
        <v>0</v>
      </c>
      <c r="M1391" s="311">
        <v>32805573.825000003</v>
      </c>
      <c r="N1391" s="311">
        <v>10187184.868799999</v>
      </c>
      <c r="O1391" s="311">
        <v>7131029.4081600001</v>
      </c>
      <c r="P1391" s="68">
        <f t="shared" si="290"/>
        <v>137526995.7288</v>
      </c>
      <c r="Q1391" s="68">
        <f t="shared" si="291"/>
        <v>0</v>
      </c>
      <c r="R1391" s="127">
        <f t="shared" si="292"/>
        <v>137526995.7288</v>
      </c>
      <c r="S1391" s="26"/>
    </row>
    <row r="1392" spans="1:19" s="538" customFormat="1">
      <c r="A1392" s="539" t="s">
        <v>114</v>
      </c>
      <c r="B1392" s="540" t="s">
        <v>2226</v>
      </c>
      <c r="C1392" s="539"/>
      <c r="D1392" s="349"/>
      <c r="E1392" s="539"/>
      <c r="F1392" s="349"/>
      <c r="G1392" s="286"/>
      <c r="H1392" s="286"/>
      <c r="I1392" s="286"/>
      <c r="J1392" s="586"/>
      <c r="K1392" s="222"/>
      <c r="L1392" s="222"/>
      <c r="M1392" s="222"/>
      <c r="N1392" s="222"/>
      <c r="O1392" s="222"/>
      <c r="P1392" s="222"/>
      <c r="Q1392" s="222"/>
      <c r="R1392" s="222"/>
      <c r="S1392" s="286"/>
    </row>
    <row r="1393" spans="1:19">
      <c r="A1393" s="215" t="s">
        <v>2227</v>
      </c>
      <c r="B1393" s="216" t="s">
        <v>2228</v>
      </c>
      <c r="C1393" s="24"/>
      <c r="D1393" s="351"/>
      <c r="E1393" s="24"/>
      <c r="F1393" s="351"/>
      <c r="G1393" s="37"/>
      <c r="H1393" s="37"/>
      <c r="I1393" s="37"/>
      <c r="J1393" s="583"/>
      <c r="K1393" s="66"/>
      <c r="L1393" s="66"/>
      <c r="M1393" s="66"/>
      <c r="N1393" s="66"/>
      <c r="O1393" s="66"/>
      <c r="P1393" s="66"/>
      <c r="Q1393" s="66"/>
      <c r="R1393" s="66"/>
      <c r="S1393" s="37"/>
    </row>
    <row r="1394" spans="1:19">
      <c r="A1394" s="24"/>
      <c r="B1394" s="27" t="s">
        <v>1495</v>
      </c>
      <c r="C1394" s="24"/>
      <c r="D1394" s="351"/>
      <c r="E1394" s="24"/>
      <c r="F1394" s="351"/>
      <c r="G1394" s="36"/>
      <c r="H1394" s="36"/>
      <c r="I1394" s="36"/>
      <c r="J1394" s="584"/>
      <c r="K1394" s="65"/>
      <c r="L1394" s="65"/>
      <c r="M1394" s="65"/>
      <c r="N1394" s="65"/>
      <c r="O1394" s="65"/>
      <c r="P1394" s="65"/>
      <c r="Q1394" s="65"/>
      <c r="R1394" s="65"/>
      <c r="S1394" s="36"/>
    </row>
    <row r="1395" spans="1:19">
      <c r="A1395" s="26"/>
      <c r="B1395" s="25" t="s">
        <v>3397</v>
      </c>
      <c r="C1395" s="26" t="s">
        <v>1350</v>
      </c>
      <c r="D1395" s="351"/>
      <c r="E1395" s="26"/>
      <c r="F1395" s="351">
        <v>8</v>
      </c>
      <c r="G1395" s="351" t="s">
        <v>3162</v>
      </c>
      <c r="H1395" s="351"/>
      <c r="I1395" s="351" t="s">
        <v>2596</v>
      </c>
      <c r="J1395" s="560" t="s">
        <v>2328</v>
      </c>
      <c r="K1395" s="311">
        <v>1648232.6</v>
      </c>
      <c r="L1395" s="311">
        <v>0</v>
      </c>
      <c r="M1395" s="311">
        <v>388720.00000000006</v>
      </c>
      <c r="N1395" s="311">
        <v>185614</v>
      </c>
      <c r="O1395" s="311">
        <v>129929.80000000002</v>
      </c>
      <c r="P1395" s="68">
        <f t="shared" ref="P1395:P1398" si="293">SUM(K1395:O1395)</f>
        <v>2352496.4</v>
      </c>
      <c r="Q1395" s="68">
        <f>D1395*P1395</f>
        <v>0</v>
      </c>
      <c r="R1395" s="127">
        <f>F1395*P1395</f>
        <v>18819971.199999999</v>
      </c>
      <c r="S1395" s="15"/>
    </row>
    <row r="1396" spans="1:19">
      <c r="A1396" s="26"/>
      <c r="B1396" s="25" t="s">
        <v>3395</v>
      </c>
      <c r="C1396" s="26" t="s">
        <v>1350</v>
      </c>
      <c r="D1396" s="351"/>
      <c r="E1396" s="26"/>
      <c r="F1396" s="351">
        <v>2</v>
      </c>
      <c r="G1396" s="351" t="s">
        <v>3162</v>
      </c>
      <c r="H1396" s="351"/>
      <c r="I1396" s="351" t="s">
        <v>2596</v>
      </c>
      <c r="J1396" s="560" t="s">
        <v>2328</v>
      </c>
      <c r="K1396" s="311">
        <v>2006079.6</v>
      </c>
      <c r="L1396" s="311">
        <v>0</v>
      </c>
      <c r="M1396" s="311">
        <v>533360</v>
      </c>
      <c r="N1396" s="311">
        <v>231244</v>
      </c>
      <c r="O1396" s="311">
        <v>161870.80000000002</v>
      </c>
      <c r="P1396" s="68">
        <f t="shared" si="293"/>
        <v>2932554.4</v>
      </c>
      <c r="Q1396" s="68">
        <f>D1396*P1396</f>
        <v>0</v>
      </c>
      <c r="R1396" s="127">
        <f>F1396*P1396</f>
        <v>5865108.7999999998</v>
      </c>
      <c r="S1396" s="18"/>
    </row>
    <row r="1397" spans="1:19">
      <c r="A1397" s="26"/>
      <c r="B1397" s="25" t="s">
        <v>3503</v>
      </c>
      <c r="C1397" s="26" t="s">
        <v>1350</v>
      </c>
      <c r="D1397" s="351"/>
      <c r="E1397" s="26"/>
      <c r="F1397" s="351">
        <v>2</v>
      </c>
      <c r="G1397" s="351" t="s">
        <v>3304</v>
      </c>
      <c r="H1397" s="351"/>
      <c r="I1397" s="351" t="s">
        <v>2596</v>
      </c>
      <c r="J1397" s="560" t="s">
        <v>2328</v>
      </c>
      <c r="K1397" s="311">
        <v>797945.4</v>
      </c>
      <c r="L1397" s="311">
        <v>0</v>
      </c>
      <c r="M1397" s="311">
        <v>306512.50000000006</v>
      </c>
      <c r="N1397" s="311">
        <v>100331</v>
      </c>
      <c r="O1397" s="311">
        <v>70231.700000000012</v>
      </c>
      <c r="P1397" s="68">
        <f t="shared" si="293"/>
        <v>1275020.6000000001</v>
      </c>
      <c r="Q1397" s="68">
        <f>D1397*P1397</f>
        <v>0</v>
      </c>
      <c r="R1397" s="127">
        <f>F1397*P1397</f>
        <v>2550041.2000000002</v>
      </c>
      <c r="S1397" s="15"/>
    </row>
    <row r="1398" spans="1:19">
      <c r="A1398" s="73"/>
      <c r="B1398" s="72" t="s">
        <v>1408</v>
      </c>
      <c r="C1398" s="26" t="s">
        <v>78</v>
      </c>
      <c r="D1398" s="351"/>
      <c r="E1398" s="24"/>
      <c r="F1398" s="351">
        <v>1</v>
      </c>
      <c r="G1398" s="351"/>
      <c r="H1398" s="351"/>
      <c r="I1398" s="351"/>
      <c r="J1398" s="560" t="s">
        <v>2381</v>
      </c>
      <c r="K1398" s="311">
        <v>3051855.24</v>
      </c>
      <c r="L1398" s="311">
        <v>0</v>
      </c>
      <c r="M1398" s="311">
        <v>750214.50000000012</v>
      </c>
      <c r="N1398" s="311">
        <v>322209.30000000005</v>
      </c>
      <c r="O1398" s="311">
        <v>225546.51</v>
      </c>
      <c r="P1398" s="68">
        <f t="shared" si="293"/>
        <v>4349825.55</v>
      </c>
      <c r="Q1398" s="68">
        <f>D1398*P1398</f>
        <v>0</v>
      </c>
      <c r="R1398" s="127">
        <f>F1398*P1398</f>
        <v>4349825.55</v>
      </c>
      <c r="S1398" s="26"/>
    </row>
    <row r="1399" spans="1:19" s="538" customFormat="1" ht="28.5">
      <c r="A1399" s="215" t="s">
        <v>2229</v>
      </c>
      <c r="B1399" s="544" t="s">
        <v>2230</v>
      </c>
      <c r="C1399" s="24"/>
      <c r="D1399" s="351"/>
      <c r="E1399" s="24"/>
      <c r="F1399" s="351"/>
      <c r="G1399" s="37"/>
      <c r="H1399" s="37"/>
      <c r="I1399" s="37"/>
      <c r="J1399" s="583"/>
      <c r="K1399" s="66"/>
      <c r="L1399" s="66"/>
      <c r="M1399" s="66"/>
      <c r="N1399" s="66"/>
      <c r="O1399" s="66"/>
      <c r="P1399" s="66"/>
      <c r="Q1399" s="66"/>
      <c r="R1399" s="66"/>
      <c r="S1399" s="37"/>
    </row>
    <row r="1400" spans="1:19">
      <c r="A1400" s="24"/>
      <c r="B1400" s="27" t="s">
        <v>1495</v>
      </c>
      <c r="C1400" s="24"/>
      <c r="D1400" s="351"/>
      <c r="E1400" s="24"/>
      <c r="F1400" s="351"/>
      <c r="G1400" s="37"/>
      <c r="H1400" s="37"/>
      <c r="I1400" s="37"/>
      <c r="J1400" s="583"/>
      <c r="K1400" s="66"/>
      <c r="L1400" s="66"/>
      <c r="M1400" s="66"/>
      <c r="N1400" s="66"/>
      <c r="O1400" s="66"/>
      <c r="P1400" s="66"/>
      <c r="Q1400" s="66"/>
      <c r="R1400" s="66"/>
      <c r="S1400" s="37"/>
    </row>
    <row r="1401" spans="1:19">
      <c r="A1401" s="24"/>
      <c r="B1401" s="25" t="s">
        <v>3504</v>
      </c>
      <c r="C1401" s="26" t="s">
        <v>1350</v>
      </c>
      <c r="D1401" s="351"/>
      <c r="E1401" s="26"/>
      <c r="F1401" s="351">
        <v>1</v>
      </c>
      <c r="G1401" s="351" t="s">
        <v>3310</v>
      </c>
      <c r="H1401" s="351"/>
      <c r="I1401" s="351" t="s">
        <v>2596</v>
      </c>
      <c r="J1401" s="560" t="s">
        <v>2328</v>
      </c>
      <c r="K1401" s="311">
        <v>45932.600000000006</v>
      </c>
      <c r="L1401" s="311">
        <v>0</v>
      </c>
      <c r="M1401" s="311">
        <v>30321.666666666672</v>
      </c>
      <c r="N1401" s="311">
        <v>6897.3333333333348</v>
      </c>
      <c r="O1401" s="311">
        <v>4828.1333333333341</v>
      </c>
      <c r="P1401" s="68">
        <f t="shared" ref="P1401:P1435" si="294">SUM(K1401:O1401)</f>
        <v>87979.733333333337</v>
      </c>
      <c r="Q1401" s="68">
        <f t="shared" ref="Q1401:Q1435" si="295">D1401*P1401</f>
        <v>0</v>
      </c>
      <c r="R1401" s="127">
        <f t="shared" ref="R1401:R1435" si="296">F1401*P1401</f>
        <v>87979.733333333337</v>
      </c>
      <c r="S1401" s="37"/>
    </row>
    <row r="1402" spans="1:19">
      <c r="A1402" s="24"/>
      <c r="B1402" s="25" t="s">
        <v>3505</v>
      </c>
      <c r="C1402" s="26" t="s">
        <v>1350</v>
      </c>
      <c r="D1402" s="351"/>
      <c r="E1402" s="26"/>
      <c r="F1402" s="351">
        <v>1</v>
      </c>
      <c r="G1402" s="351" t="s">
        <v>3310</v>
      </c>
      <c r="H1402" s="351"/>
      <c r="I1402" s="351" t="s">
        <v>2596</v>
      </c>
      <c r="J1402" s="560" t="s">
        <v>2328</v>
      </c>
      <c r="K1402" s="311">
        <v>60887.4</v>
      </c>
      <c r="L1402" s="311">
        <v>0</v>
      </c>
      <c r="M1402" s="311">
        <v>39550.000000000007</v>
      </c>
      <c r="N1402" s="311">
        <v>9086</v>
      </c>
      <c r="O1402" s="311">
        <v>6360.2000000000007</v>
      </c>
      <c r="P1402" s="68">
        <f t="shared" si="294"/>
        <v>115883.6</v>
      </c>
      <c r="Q1402" s="68">
        <f t="shared" si="295"/>
        <v>0</v>
      </c>
      <c r="R1402" s="127">
        <f t="shared" si="296"/>
        <v>115883.6</v>
      </c>
      <c r="S1402" s="37"/>
    </row>
    <row r="1403" spans="1:19">
      <c r="A1403" s="26"/>
      <c r="B1403" s="25" t="s">
        <v>3506</v>
      </c>
      <c r="C1403" s="26" t="s">
        <v>1350</v>
      </c>
      <c r="D1403" s="351"/>
      <c r="E1403" s="26"/>
      <c r="F1403" s="351">
        <v>1</v>
      </c>
      <c r="G1403" s="351" t="s">
        <v>3310</v>
      </c>
      <c r="H1403" s="351"/>
      <c r="I1403" s="351" t="s">
        <v>2596</v>
      </c>
      <c r="J1403" s="560" t="s">
        <v>2328</v>
      </c>
      <c r="K1403" s="311">
        <v>42728</v>
      </c>
      <c r="L1403" s="311">
        <v>0</v>
      </c>
      <c r="M1403" s="311">
        <v>27685.000000000004</v>
      </c>
      <c r="N1403" s="311">
        <v>6370</v>
      </c>
      <c r="O1403" s="311">
        <v>4459</v>
      </c>
      <c r="P1403" s="68">
        <f t="shared" si="294"/>
        <v>81242</v>
      </c>
      <c r="Q1403" s="68">
        <f t="shared" si="295"/>
        <v>0</v>
      </c>
      <c r="R1403" s="127">
        <f t="shared" si="296"/>
        <v>81242</v>
      </c>
      <c r="S1403" s="37"/>
    </row>
    <row r="1404" spans="1:19">
      <c r="A1404" s="26"/>
      <c r="B1404" s="25" t="s">
        <v>3534</v>
      </c>
      <c r="C1404" s="26" t="s">
        <v>1350</v>
      </c>
      <c r="D1404" s="351"/>
      <c r="E1404" s="26"/>
      <c r="F1404" s="351">
        <v>1</v>
      </c>
      <c r="G1404" s="351" t="s">
        <v>3311</v>
      </c>
      <c r="H1404" s="351"/>
      <c r="I1404" s="351" t="s">
        <v>2596</v>
      </c>
      <c r="J1404" s="560" t="s">
        <v>2328</v>
      </c>
      <c r="K1404" s="311">
        <v>126047.6</v>
      </c>
      <c r="L1404" s="311">
        <v>0</v>
      </c>
      <c r="M1404" s="311">
        <v>73450.000000000015</v>
      </c>
      <c r="N1404" s="311">
        <v>18064</v>
      </c>
      <c r="O1404" s="311">
        <v>12644.800000000001</v>
      </c>
      <c r="P1404" s="68">
        <f t="shared" si="294"/>
        <v>230206.40000000002</v>
      </c>
      <c r="Q1404" s="68">
        <f t="shared" si="295"/>
        <v>0</v>
      </c>
      <c r="R1404" s="127">
        <f t="shared" si="296"/>
        <v>230206.40000000002</v>
      </c>
      <c r="S1404" s="38"/>
    </row>
    <row r="1405" spans="1:19">
      <c r="A1405" s="26"/>
      <c r="B1405" s="25" t="s">
        <v>3507</v>
      </c>
      <c r="C1405" s="26" t="s">
        <v>1350</v>
      </c>
      <c r="D1405" s="351"/>
      <c r="E1405" s="26"/>
      <c r="F1405" s="351">
        <v>1</v>
      </c>
      <c r="G1405" s="351" t="s">
        <v>3162</v>
      </c>
      <c r="H1405" s="351"/>
      <c r="I1405" s="351" t="s">
        <v>2596</v>
      </c>
      <c r="J1405" s="560" t="s">
        <v>2328</v>
      </c>
      <c r="K1405" s="311">
        <v>1321363.4000000001</v>
      </c>
      <c r="L1405" s="311">
        <v>0</v>
      </c>
      <c r="M1405" s="311">
        <v>354066.66666666674</v>
      </c>
      <c r="N1405" s="311">
        <v>152559.33333333334</v>
      </c>
      <c r="O1405" s="311">
        <v>106791.53333333335</v>
      </c>
      <c r="P1405" s="68">
        <f t="shared" si="294"/>
        <v>1934780.9333333336</v>
      </c>
      <c r="Q1405" s="68">
        <f t="shared" si="295"/>
        <v>0</v>
      </c>
      <c r="R1405" s="127">
        <f t="shared" si="296"/>
        <v>1934780.9333333336</v>
      </c>
      <c r="S1405" s="36"/>
    </row>
    <row r="1406" spans="1:19">
      <c r="A1406" s="26"/>
      <c r="B1406" s="25" t="s">
        <v>3508</v>
      </c>
      <c r="C1406" s="26" t="s">
        <v>1350</v>
      </c>
      <c r="D1406" s="351"/>
      <c r="E1406" s="26"/>
      <c r="F1406" s="351">
        <v>1</v>
      </c>
      <c r="G1406" s="351" t="s">
        <v>3162</v>
      </c>
      <c r="H1406" s="351"/>
      <c r="I1406" s="351" t="s">
        <v>2596</v>
      </c>
      <c r="J1406" s="560" t="s">
        <v>2328</v>
      </c>
      <c r="K1406" s="311">
        <v>615283.20000000007</v>
      </c>
      <c r="L1406" s="311">
        <v>0</v>
      </c>
      <c r="M1406" s="311">
        <v>257640.00000000003</v>
      </c>
      <c r="N1406" s="311">
        <v>79248</v>
      </c>
      <c r="O1406" s="311">
        <v>55473.600000000006</v>
      </c>
      <c r="P1406" s="68">
        <f t="shared" si="294"/>
        <v>1007644.8</v>
      </c>
      <c r="Q1406" s="68">
        <f t="shared" si="295"/>
        <v>0</v>
      </c>
      <c r="R1406" s="127">
        <f t="shared" si="296"/>
        <v>1007644.8</v>
      </c>
      <c r="S1406" s="15"/>
    </row>
    <row r="1407" spans="1:19">
      <c r="A1407" s="26"/>
      <c r="B1407" s="25" t="s">
        <v>3509</v>
      </c>
      <c r="C1407" s="26" t="s">
        <v>1350</v>
      </c>
      <c r="D1407" s="351"/>
      <c r="E1407" s="26"/>
      <c r="F1407" s="351">
        <v>1</v>
      </c>
      <c r="G1407" s="351" t="s">
        <v>3162</v>
      </c>
      <c r="H1407" s="351"/>
      <c r="I1407" s="351" t="s">
        <v>2596</v>
      </c>
      <c r="J1407" s="560" t="s">
        <v>2328</v>
      </c>
      <c r="K1407" s="311">
        <v>633442.60000000009</v>
      </c>
      <c r="L1407" s="311">
        <v>0</v>
      </c>
      <c r="M1407" s="311">
        <v>266680</v>
      </c>
      <c r="N1407" s="311">
        <v>81714</v>
      </c>
      <c r="O1407" s="311">
        <v>57199.8</v>
      </c>
      <c r="P1407" s="68">
        <f t="shared" si="294"/>
        <v>1039036.4000000001</v>
      </c>
      <c r="Q1407" s="68">
        <f t="shared" si="295"/>
        <v>0</v>
      </c>
      <c r="R1407" s="127">
        <f t="shared" si="296"/>
        <v>1039036.4000000001</v>
      </c>
      <c r="S1407" s="18"/>
    </row>
    <row r="1408" spans="1:19">
      <c r="A1408" s="26"/>
      <c r="B1408" s="25" t="s">
        <v>3510</v>
      </c>
      <c r="C1408" s="26" t="s">
        <v>1350</v>
      </c>
      <c r="D1408" s="351"/>
      <c r="E1408" s="26"/>
      <c r="F1408" s="351">
        <v>2</v>
      </c>
      <c r="G1408" s="351" t="s">
        <v>3311</v>
      </c>
      <c r="H1408" s="351"/>
      <c r="I1408" s="351" t="s">
        <v>2596</v>
      </c>
      <c r="J1408" s="560" t="s">
        <v>2328</v>
      </c>
      <c r="K1408" s="311">
        <v>64092.000000000007</v>
      </c>
      <c r="L1408" s="311">
        <v>0</v>
      </c>
      <c r="M1408" s="311">
        <v>72037.500000000015</v>
      </c>
      <c r="N1408" s="311">
        <v>12255</v>
      </c>
      <c r="O1408" s="311">
        <v>8578.5</v>
      </c>
      <c r="P1408" s="68">
        <f t="shared" si="294"/>
        <v>156963.00000000003</v>
      </c>
      <c r="Q1408" s="68">
        <f t="shared" si="295"/>
        <v>0</v>
      </c>
      <c r="R1408" s="127">
        <f t="shared" si="296"/>
        <v>313926.00000000006</v>
      </c>
      <c r="S1408" s="15"/>
    </row>
    <row r="1409" spans="1:19">
      <c r="A1409" s="26"/>
      <c r="B1409" s="25" t="s">
        <v>3511</v>
      </c>
      <c r="C1409" s="26" t="s">
        <v>1350</v>
      </c>
      <c r="D1409" s="351"/>
      <c r="E1409" s="26"/>
      <c r="F1409" s="351">
        <v>2</v>
      </c>
      <c r="G1409" s="351" t="s">
        <v>3304</v>
      </c>
      <c r="H1409" s="351"/>
      <c r="I1409" s="351" t="s">
        <v>2596</v>
      </c>
      <c r="J1409" s="560" t="s">
        <v>2328</v>
      </c>
      <c r="K1409" s="311">
        <v>86524.200000000012</v>
      </c>
      <c r="L1409" s="311">
        <v>0</v>
      </c>
      <c r="M1409" s="311">
        <v>9779.2083333333358</v>
      </c>
      <c r="N1409" s="311">
        <v>8803.4166666666679</v>
      </c>
      <c r="O1409" s="311">
        <v>6162.3916666666673</v>
      </c>
      <c r="P1409" s="68">
        <f t="shared" si="294"/>
        <v>111269.21666666669</v>
      </c>
      <c r="Q1409" s="68">
        <f t="shared" si="295"/>
        <v>0</v>
      </c>
      <c r="R1409" s="127">
        <f t="shared" si="296"/>
        <v>222538.43333333338</v>
      </c>
      <c r="S1409" s="15"/>
    </row>
    <row r="1410" spans="1:19">
      <c r="A1410" s="26"/>
      <c r="B1410" s="25" t="s">
        <v>3512</v>
      </c>
      <c r="C1410" s="26" t="s">
        <v>1350</v>
      </c>
      <c r="D1410" s="351"/>
      <c r="E1410" s="26"/>
      <c r="F1410" s="351">
        <v>1</v>
      </c>
      <c r="G1410" s="351" t="s">
        <v>3162</v>
      </c>
      <c r="H1410" s="351"/>
      <c r="I1410" s="351" t="s">
        <v>2596</v>
      </c>
      <c r="J1410" s="560" t="s">
        <v>2328</v>
      </c>
      <c r="K1410" s="311">
        <v>222185.60000000001</v>
      </c>
      <c r="L1410" s="311">
        <v>0</v>
      </c>
      <c r="M1410" s="311">
        <v>298320.00000000006</v>
      </c>
      <c r="N1410" s="311">
        <v>46784</v>
      </c>
      <c r="O1410" s="311">
        <v>32748.800000000003</v>
      </c>
      <c r="P1410" s="68">
        <f t="shared" si="294"/>
        <v>600038.40000000014</v>
      </c>
      <c r="Q1410" s="68">
        <f t="shared" si="295"/>
        <v>0</v>
      </c>
      <c r="R1410" s="127">
        <f t="shared" si="296"/>
        <v>600038.40000000014</v>
      </c>
      <c r="S1410" s="15"/>
    </row>
    <row r="1411" spans="1:19">
      <c r="A1411" s="24"/>
      <c r="B1411" s="25" t="s">
        <v>3513</v>
      </c>
      <c r="C1411" s="26" t="s">
        <v>1350</v>
      </c>
      <c r="D1411" s="351"/>
      <c r="E1411" s="26"/>
      <c r="F1411" s="351">
        <v>4</v>
      </c>
      <c r="G1411" s="351" t="s">
        <v>3310</v>
      </c>
      <c r="H1411" s="351"/>
      <c r="I1411" s="351" t="s">
        <v>2596</v>
      </c>
      <c r="J1411" s="560" t="s">
        <v>2328</v>
      </c>
      <c r="K1411" s="311">
        <v>38455.200000000004</v>
      </c>
      <c r="L1411" s="311">
        <v>0</v>
      </c>
      <c r="M1411" s="311">
        <v>27685.000000000004</v>
      </c>
      <c r="N1411" s="311">
        <v>5978</v>
      </c>
      <c r="O1411" s="311">
        <v>4184.6000000000004</v>
      </c>
      <c r="P1411" s="68">
        <f t="shared" si="294"/>
        <v>76302.800000000017</v>
      </c>
      <c r="Q1411" s="68">
        <f t="shared" si="295"/>
        <v>0</v>
      </c>
      <c r="R1411" s="127">
        <f t="shared" si="296"/>
        <v>305211.20000000007</v>
      </c>
      <c r="S1411" s="37"/>
    </row>
    <row r="1412" spans="1:19">
      <c r="A1412" s="24"/>
      <c r="B1412" s="25" t="s">
        <v>3514</v>
      </c>
      <c r="C1412" s="26" t="s">
        <v>1350</v>
      </c>
      <c r="D1412" s="351"/>
      <c r="E1412" s="26"/>
      <c r="F1412" s="351">
        <v>2</v>
      </c>
      <c r="G1412" s="351" t="s">
        <v>3310</v>
      </c>
      <c r="H1412" s="351"/>
      <c r="I1412" s="351" t="s">
        <v>2596</v>
      </c>
      <c r="J1412" s="560" t="s">
        <v>2328</v>
      </c>
      <c r="K1412" s="311">
        <v>38455.200000000004</v>
      </c>
      <c r="L1412" s="311">
        <v>0</v>
      </c>
      <c r="M1412" s="311">
        <v>5273.3333333333339</v>
      </c>
      <c r="N1412" s="311">
        <v>3994.6666666666665</v>
      </c>
      <c r="O1412" s="311">
        <v>2796.2666666666669</v>
      </c>
      <c r="P1412" s="68">
        <f t="shared" si="294"/>
        <v>50519.466666666674</v>
      </c>
      <c r="Q1412" s="68">
        <f t="shared" si="295"/>
        <v>0</v>
      </c>
      <c r="R1412" s="127">
        <f t="shared" si="296"/>
        <v>101038.93333333335</v>
      </c>
      <c r="S1412" s="37"/>
    </row>
    <row r="1413" spans="1:19">
      <c r="A1413" s="26"/>
      <c r="B1413" s="25" t="s">
        <v>3515</v>
      </c>
      <c r="C1413" s="26" t="s">
        <v>1350</v>
      </c>
      <c r="D1413" s="351"/>
      <c r="E1413" s="26"/>
      <c r="F1413" s="351">
        <v>2</v>
      </c>
      <c r="G1413" s="351" t="s">
        <v>3310</v>
      </c>
      <c r="H1413" s="351"/>
      <c r="I1413" s="351" t="s">
        <v>2596</v>
      </c>
      <c r="J1413" s="560" t="s">
        <v>2328</v>
      </c>
      <c r="K1413" s="311">
        <v>38455.200000000004</v>
      </c>
      <c r="L1413" s="311">
        <v>0</v>
      </c>
      <c r="M1413" s="311">
        <v>26366.666666666672</v>
      </c>
      <c r="N1413" s="311">
        <v>5861.3333333333339</v>
      </c>
      <c r="O1413" s="311">
        <v>4102.9333333333343</v>
      </c>
      <c r="P1413" s="68">
        <f t="shared" si="294"/>
        <v>74786.133333333346</v>
      </c>
      <c r="Q1413" s="68">
        <f t="shared" si="295"/>
        <v>0</v>
      </c>
      <c r="R1413" s="127">
        <f t="shared" si="296"/>
        <v>149572.26666666669</v>
      </c>
      <c r="S1413" s="37"/>
    </row>
    <row r="1414" spans="1:19">
      <c r="A1414" s="26"/>
      <c r="B1414" s="25" t="s">
        <v>3516</v>
      </c>
      <c r="C1414" s="26" t="s">
        <v>1350</v>
      </c>
      <c r="D1414" s="351"/>
      <c r="E1414" s="26"/>
      <c r="F1414" s="351">
        <v>2</v>
      </c>
      <c r="G1414" s="351" t="s">
        <v>3304</v>
      </c>
      <c r="H1414" s="351"/>
      <c r="I1414" s="351" t="s">
        <v>2596</v>
      </c>
      <c r="J1414" s="560" t="s">
        <v>2328</v>
      </c>
      <c r="K1414" s="311">
        <v>116433.8</v>
      </c>
      <c r="L1414" s="311">
        <v>0</v>
      </c>
      <c r="M1414" s="311">
        <v>183907.50000000003</v>
      </c>
      <c r="N1414" s="311">
        <v>26957</v>
      </c>
      <c r="O1414" s="311">
        <v>18869.900000000001</v>
      </c>
      <c r="P1414" s="68">
        <f t="shared" si="294"/>
        <v>346168.20000000007</v>
      </c>
      <c r="Q1414" s="68">
        <f t="shared" si="295"/>
        <v>0</v>
      </c>
      <c r="R1414" s="127">
        <f t="shared" si="296"/>
        <v>692336.40000000014</v>
      </c>
      <c r="S1414" s="38"/>
    </row>
    <row r="1415" spans="1:19">
      <c r="A1415" s="26"/>
      <c r="B1415" s="25" t="s">
        <v>3517</v>
      </c>
      <c r="C1415" s="26" t="s">
        <v>1350</v>
      </c>
      <c r="D1415" s="351"/>
      <c r="E1415" s="26"/>
      <c r="F1415" s="351">
        <v>1</v>
      </c>
      <c r="G1415" s="351" t="s">
        <v>3310</v>
      </c>
      <c r="H1415" s="351"/>
      <c r="I1415" s="351" t="s">
        <v>2596</v>
      </c>
      <c r="J1415" s="560" t="s">
        <v>2328</v>
      </c>
      <c r="K1415" s="311">
        <v>38455.200000000004</v>
      </c>
      <c r="L1415" s="311">
        <v>0</v>
      </c>
      <c r="M1415" s="311">
        <v>44823.333333333343</v>
      </c>
      <c r="N1415" s="311">
        <v>7494.6666666666679</v>
      </c>
      <c r="O1415" s="311">
        <v>5246.2666666666673</v>
      </c>
      <c r="P1415" s="68">
        <f t="shared" si="294"/>
        <v>96019.466666666689</v>
      </c>
      <c r="Q1415" s="68">
        <f t="shared" si="295"/>
        <v>0</v>
      </c>
      <c r="R1415" s="127">
        <f t="shared" si="296"/>
        <v>96019.466666666689</v>
      </c>
      <c r="S1415" s="36"/>
    </row>
    <row r="1416" spans="1:19">
      <c r="A1416" s="26"/>
      <c r="B1416" s="25" t="s">
        <v>3535</v>
      </c>
      <c r="C1416" s="26" t="s">
        <v>1350</v>
      </c>
      <c r="D1416" s="351"/>
      <c r="E1416" s="26"/>
      <c r="F1416" s="351">
        <v>1</v>
      </c>
      <c r="G1416" s="351" t="s">
        <v>3310</v>
      </c>
      <c r="H1416" s="351"/>
      <c r="I1416" s="351" t="s">
        <v>2596</v>
      </c>
      <c r="J1416" s="560" t="s">
        <v>2328</v>
      </c>
      <c r="K1416" s="311">
        <v>38455.200000000004</v>
      </c>
      <c r="L1416" s="311">
        <v>0</v>
      </c>
      <c r="M1416" s="311">
        <v>39550.000000000007</v>
      </c>
      <c r="N1416" s="311">
        <v>7028</v>
      </c>
      <c r="O1416" s="311">
        <v>4919.6000000000004</v>
      </c>
      <c r="P1416" s="68">
        <f t="shared" si="294"/>
        <v>89952.800000000017</v>
      </c>
      <c r="Q1416" s="68">
        <f t="shared" si="295"/>
        <v>0</v>
      </c>
      <c r="R1416" s="127">
        <f t="shared" si="296"/>
        <v>89952.800000000017</v>
      </c>
      <c r="S1416" s="15"/>
    </row>
    <row r="1417" spans="1:19">
      <c r="A1417" s="26"/>
      <c r="B1417" s="25" t="s">
        <v>3518</v>
      </c>
      <c r="C1417" s="26" t="s">
        <v>1350</v>
      </c>
      <c r="D1417" s="351"/>
      <c r="E1417" s="26"/>
      <c r="F1417" s="351">
        <v>60</v>
      </c>
      <c r="G1417" s="351" t="s">
        <v>3310</v>
      </c>
      <c r="H1417" s="351"/>
      <c r="I1417" s="351" t="s">
        <v>2596</v>
      </c>
      <c r="J1417" s="560" t="s">
        <v>2328</v>
      </c>
      <c r="K1417" s="311">
        <v>38455.200000000004</v>
      </c>
      <c r="L1417" s="311">
        <v>0</v>
      </c>
      <c r="M1417" s="311">
        <v>11865.000000000002</v>
      </c>
      <c r="N1417" s="311">
        <v>4578</v>
      </c>
      <c r="O1417" s="311">
        <v>3204.6000000000004</v>
      </c>
      <c r="P1417" s="68">
        <f t="shared" si="294"/>
        <v>58102.8</v>
      </c>
      <c r="Q1417" s="68">
        <f t="shared" si="295"/>
        <v>0</v>
      </c>
      <c r="R1417" s="127">
        <f t="shared" si="296"/>
        <v>3486168</v>
      </c>
      <c r="S1417" s="18"/>
    </row>
    <row r="1418" spans="1:19">
      <c r="A1418" s="26"/>
      <c r="B1418" s="25" t="s">
        <v>3519</v>
      </c>
      <c r="C1418" s="26" t="s">
        <v>1350</v>
      </c>
      <c r="D1418" s="351"/>
      <c r="E1418" s="26"/>
      <c r="F1418" s="351">
        <v>6</v>
      </c>
      <c r="G1418" s="351" t="s">
        <v>3310</v>
      </c>
      <c r="H1418" s="351"/>
      <c r="I1418" s="351" t="s">
        <v>2596</v>
      </c>
      <c r="J1418" s="560" t="s">
        <v>2328</v>
      </c>
      <c r="K1418" s="311">
        <v>38455.200000000004</v>
      </c>
      <c r="L1418" s="311">
        <v>0</v>
      </c>
      <c r="M1418" s="311">
        <v>6591.6666666666679</v>
      </c>
      <c r="N1418" s="311">
        <v>4111.3333333333339</v>
      </c>
      <c r="O1418" s="311">
        <v>2877.9333333333338</v>
      </c>
      <c r="P1418" s="68">
        <f t="shared" si="294"/>
        <v>52036.133333333339</v>
      </c>
      <c r="Q1418" s="68">
        <f t="shared" si="295"/>
        <v>0</v>
      </c>
      <c r="R1418" s="127">
        <f t="shared" si="296"/>
        <v>312216.80000000005</v>
      </c>
      <c r="S1418" s="15"/>
    </row>
    <row r="1419" spans="1:19">
      <c r="A1419" s="26"/>
      <c r="B1419" s="25" t="s">
        <v>3468</v>
      </c>
      <c r="C1419" s="26" t="s">
        <v>1350</v>
      </c>
      <c r="D1419" s="351"/>
      <c r="E1419" s="26"/>
      <c r="F1419" s="351">
        <v>2</v>
      </c>
      <c r="G1419" s="351" t="s">
        <v>3311</v>
      </c>
      <c r="H1419" s="351"/>
      <c r="I1419" s="351" t="s">
        <v>2596</v>
      </c>
      <c r="J1419" s="560" t="s">
        <v>2328</v>
      </c>
      <c r="K1419" s="311">
        <v>66228.400000000009</v>
      </c>
      <c r="L1419" s="311">
        <v>0</v>
      </c>
      <c r="M1419" s="311">
        <v>73450.000000000015</v>
      </c>
      <c r="N1419" s="311">
        <v>12576</v>
      </c>
      <c r="O1419" s="311">
        <v>8803.2000000000007</v>
      </c>
      <c r="P1419" s="68">
        <f t="shared" si="294"/>
        <v>161057.60000000003</v>
      </c>
      <c r="Q1419" s="68">
        <f t="shared" si="295"/>
        <v>0</v>
      </c>
      <c r="R1419" s="127">
        <f t="shared" si="296"/>
        <v>322115.20000000007</v>
      </c>
      <c r="S1419" s="15"/>
    </row>
    <row r="1420" spans="1:19">
      <c r="A1420" s="26"/>
      <c r="B1420" s="25" t="s">
        <v>3520</v>
      </c>
      <c r="C1420" s="26" t="s">
        <v>1350</v>
      </c>
      <c r="D1420" s="351"/>
      <c r="E1420" s="26"/>
      <c r="F1420" s="351">
        <v>1</v>
      </c>
      <c r="G1420" s="351" t="s">
        <v>3311</v>
      </c>
      <c r="H1420" s="351"/>
      <c r="I1420" s="351" t="s">
        <v>2596</v>
      </c>
      <c r="J1420" s="560" t="s">
        <v>2328</v>
      </c>
      <c r="K1420" s="311">
        <v>49137.200000000004</v>
      </c>
      <c r="L1420" s="311">
        <v>0</v>
      </c>
      <c r="M1420" s="311">
        <v>64975.000000000007</v>
      </c>
      <c r="N1420" s="311">
        <v>10258</v>
      </c>
      <c r="O1420" s="311">
        <v>7180.6</v>
      </c>
      <c r="P1420" s="68">
        <f t="shared" si="294"/>
        <v>131550.80000000002</v>
      </c>
      <c r="Q1420" s="68">
        <f t="shared" si="295"/>
        <v>0</v>
      </c>
      <c r="R1420" s="127">
        <f t="shared" si="296"/>
        <v>131550.80000000002</v>
      </c>
      <c r="S1420" s="15"/>
    </row>
    <row r="1421" spans="1:19">
      <c r="A1421" s="24"/>
      <c r="B1421" s="25" t="s">
        <v>3418</v>
      </c>
      <c r="C1421" s="26" t="s">
        <v>1350</v>
      </c>
      <c r="D1421" s="351"/>
      <c r="E1421" s="26"/>
      <c r="F1421" s="351">
        <v>5</v>
      </c>
      <c r="G1421" s="351" t="s">
        <v>3311</v>
      </c>
      <c r="H1421" s="351"/>
      <c r="I1421" s="351" t="s">
        <v>2596</v>
      </c>
      <c r="J1421" s="560" t="s">
        <v>2328</v>
      </c>
      <c r="K1421" s="311">
        <v>92933.400000000009</v>
      </c>
      <c r="L1421" s="311">
        <v>0</v>
      </c>
      <c r="M1421" s="311">
        <v>94637.500000000015</v>
      </c>
      <c r="N1421" s="311">
        <v>16901</v>
      </c>
      <c r="O1421" s="311">
        <v>11830.7</v>
      </c>
      <c r="P1421" s="68">
        <f t="shared" si="294"/>
        <v>216302.60000000003</v>
      </c>
      <c r="Q1421" s="68">
        <f t="shared" si="295"/>
        <v>0</v>
      </c>
      <c r="R1421" s="127">
        <f t="shared" si="296"/>
        <v>1081513.0000000002</v>
      </c>
      <c r="S1421" s="37"/>
    </row>
    <row r="1422" spans="1:19">
      <c r="A1422" s="24"/>
      <c r="B1422" s="25" t="s">
        <v>3521</v>
      </c>
      <c r="C1422" s="26" t="s">
        <v>1350</v>
      </c>
      <c r="D1422" s="351"/>
      <c r="E1422" s="26"/>
      <c r="F1422" s="351">
        <v>2</v>
      </c>
      <c r="G1422" s="351" t="s">
        <v>3310</v>
      </c>
      <c r="H1422" s="351"/>
      <c r="I1422" s="351" t="s">
        <v>2596</v>
      </c>
      <c r="J1422" s="560" t="s">
        <v>2328</v>
      </c>
      <c r="K1422" s="311">
        <v>38455.200000000004</v>
      </c>
      <c r="L1422" s="311">
        <v>0</v>
      </c>
      <c r="M1422" s="311">
        <v>40868.333333333343</v>
      </c>
      <c r="N1422" s="311">
        <v>7144.6666666666679</v>
      </c>
      <c r="O1422" s="311">
        <v>5001.2666666666673</v>
      </c>
      <c r="P1422" s="68">
        <f t="shared" si="294"/>
        <v>91469.466666666689</v>
      </c>
      <c r="Q1422" s="68">
        <f t="shared" si="295"/>
        <v>0</v>
      </c>
      <c r="R1422" s="127">
        <f t="shared" si="296"/>
        <v>182938.93333333338</v>
      </c>
      <c r="S1422" s="37"/>
    </row>
    <row r="1423" spans="1:19">
      <c r="A1423" s="26"/>
      <c r="B1423" s="25" t="s">
        <v>3522</v>
      </c>
      <c r="C1423" s="26" t="s">
        <v>1350</v>
      </c>
      <c r="D1423" s="351"/>
      <c r="E1423" s="26"/>
      <c r="F1423" s="351">
        <v>1</v>
      </c>
      <c r="G1423" s="351" t="s">
        <v>3310</v>
      </c>
      <c r="H1423" s="351"/>
      <c r="I1423" s="351" t="s">
        <v>2596</v>
      </c>
      <c r="J1423" s="560" t="s">
        <v>2328</v>
      </c>
      <c r="K1423" s="311">
        <v>38455.200000000004</v>
      </c>
      <c r="L1423" s="311">
        <v>0</v>
      </c>
      <c r="M1423" s="311">
        <v>43505.000000000007</v>
      </c>
      <c r="N1423" s="311">
        <v>7378</v>
      </c>
      <c r="O1423" s="311">
        <v>5164.6000000000004</v>
      </c>
      <c r="P1423" s="68">
        <f t="shared" si="294"/>
        <v>94502.800000000017</v>
      </c>
      <c r="Q1423" s="68">
        <f t="shared" si="295"/>
        <v>0</v>
      </c>
      <c r="R1423" s="127">
        <f t="shared" si="296"/>
        <v>94502.800000000017</v>
      </c>
      <c r="S1423" s="37"/>
    </row>
    <row r="1424" spans="1:19">
      <c r="A1424" s="26"/>
      <c r="B1424" s="25" t="s">
        <v>3523</v>
      </c>
      <c r="C1424" s="26" t="s">
        <v>1350</v>
      </c>
      <c r="D1424" s="351"/>
      <c r="E1424" s="26"/>
      <c r="F1424" s="351">
        <v>6</v>
      </c>
      <c r="G1424" s="351" t="s">
        <v>3310</v>
      </c>
      <c r="H1424" s="351"/>
      <c r="I1424" s="351" t="s">
        <v>2596</v>
      </c>
      <c r="J1424" s="560" t="s">
        <v>2328</v>
      </c>
      <c r="K1424" s="311">
        <v>38455.200000000004</v>
      </c>
      <c r="L1424" s="311">
        <v>0</v>
      </c>
      <c r="M1424" s="311">
        <v>35595</v>
      </c>
      <c r="N1424" s="311">
        <v>6678</v>
      </c>
      <c r="O1424" s="311">
        <v>4674.6000000000004</v>
      </c>
      <c r="P1424" s="68">
        <f t="shared" si="294"/>
        <v>85402.800000000017</v>
      </c>
      <c r="Q1424" s="68">
        <f t="shared" si="295"/>
        <v>0</v>
      </c>
      <c r="R1424" s="127">
        <f t="shared" si="296"/>
        <v>512416.8000000001</v>
      </c>
      <c r="S1424" s="38"/>
    </row>
    <row r="1425" spans="1:19">
      <c r="A1425" s="26"/>
      <c r="B1425" s="25" t="s">
        <v>3536</v>
      </c>
      <c r="C1425" s="26" t="s">
        <v>1350</v>
      </c>
      <c r="D1425" s="351"/>
      <c r="E1425" s="26"/>
      <c r="F1425" s="351">
        <v>1</v>
      </c>
      <c r="G1425" s="351" t="s">
        <v>3311</v>
      </c>
      <c r="H1425" s="351"/>
      <c r="I1425" s="351" t="s">
        <v>2596</v>
      </c>
      <c r="J1425" s="560" t="s">
        <v>2328</v>
      </c>
      <c r="K1425" s="311">
        <v>44864.4</v>
      </c>
      <c r="L1425" s="311">
        <v>0</v>
      </c>
      <c r="M1425" s="311">
        <v>60737.500000000007</v>
      </c>
      <c r="N1425" s="311">
        <v>9491</v>
      </c>
      <c r="O1425" s="311">
        <v>6643.7000000000007</v>
      </c>
      <c r="P1425" s="68">
        <f t="shared" si="294"/>
        <v>121736.6</v>
      </c>
      <c r="Q1425" s="68">
        <f t="shared" si="295"/>
        <v>0</v>
      </c>
      <c r="R1425" s="127">
        <f t="shared" si="296"/>
        <v>121736.6</v>
      </c>
      <c r="S1425" s="36"/>
    </row>
    <row r="1426" spans="1:19" ht="30">
      <c r="A1426" s="26"/>
      <c r="B1426" s="25" t="s">
        <v>3524</v>
      </c>
      <c r="C1426" s="26" t="s">
        <v>1350</v>
      </c>
      <c r="D1426" s="351"/>
      <c r="E1426" s="26"/>
      <c r="F1426" s="351">
        <v>2</v>
      </c>
      <c r="G1426" s="351" t="s">
        <v>3304</v>
      </c>
      <c r="H1426" s="351"/>
      <c r="I1426" s="351" t="s">
        <v>2596</v>
      </c>
      <c r="J1426" s="560" t="s">
        <v>2328</v>
      </c>
      <c r="K1426" s="311">
        <v>425143.60000000003</v>
      </c>
      <c r="L1426" s="311">
        <v>0</v>
      </c>
      <c r="M1426" s="311">
        <v>197043.75000000003</v>
      </c>
      <c r="N1426" s="311">
        <v>56441.5</v>
      </c>
      <c r="O1426" s="311">
        <v>39509.050000000003</v>
      </c>
      <c r="P1426" s="68">
        <f t="shared" si="294"/>
        <v>718137.90000000014</v>
      </c>
      <c r="Q1426" s="68">
        <f t="shared" si="295"/>
        <v>0</v>
      </c>
      <c r="R1426" s="127">
        <f t="shared" si="296"/>
        <v>1436275.8000000003</v>
      </c>
      <c r="S1426" s="15"/>
    </row>
    <row r="1427" spans="1:19" ht="30">
      <c r="A1427" s="26"/>
      <c r="B1427" s="25" t="s">
        <v>3525</v>
      </c>
      <c r="C1427" s="26" t="s">
        <v>1350</v>
      </c>
      <c r="D1427" s="351"/>
      <c r="E1427" s="26"/>
      <c r="F1427" s="351">
        <v>3</v>
      </c>
      <c r="G1427" s="351" t="s">
        <v>3310</v>
      </c>
      <c r="H1427" s="351"/>
      <c r="I1427" s="351" t="s">
        <v>2596</v>
      </c>
      <c r="J1427" s="560" t="s">
        <v>2328</v>
      </c>
      <c r="K1427" s="311">
        <v>65160.200000000004</v>
      </c>
      <c r="L1427" s="311">
        <v>0</v>
      </c>
      <c r="M1427" s="311">
        <v>35595</v>
      </c>
      <c r="N1427" s="311">
        <v>9128</v>
      </c>
      <c r="O1427" s="311">
        <v>6389.6</v>
      </c>
      <c r="P1427" s="68">
        <f t="shared" si="294"/>
        <v>116272.80000000002</v>
      </c>
      <c r="Q1427" s="68">
        <f t="shared" si="295"/>
        <v>0</v>
      </c>
      <c r="R1427" s="127">
        <f t="shared" si="296"/>
        <v>348818.4</v>
      </c>
      <c r="S1427" s="18"/>
    </row>
    <row r="1428" spans="1:19" ht="30">
      <c r="A1428" s="26"/>
      <c r="B1428" s="25" t="s">
        <v>3526</v>
      </c>
      <c r="C1428" s="26" t="s">
        <v>1350</v>
      </c>
      <c r="D1428" s="351"/>
      <c r="E1428" s="26"/>
      <c r="F1428" s="351">
        <v>2</v>
      </c>
      <c r="G1428" s="351" t="s">
        <v>3311</v>
      </c>
      <c r="H1428" s="351"/>
      <c r="I1428" s="351" t="s">
        <v>2596</v>
      </c>
      <c r="J1428" s="560" t="s">
        <v>2328</v>
      </c>
      <c r="K1428" s="311">
        <v>221117.40000000002</v>
      </c>
      <c r="L1428" s="311">
        <v>0</v>
      </c>
      <c r="M1428" s="311">
        <v>84750.000000000015</v>
      </c>
      <c r="N1428" s="311">
        <v>27786</v>
      </c>
      <c r="O1428" s="311">
        <v>19450.2</v>
      </c>
      <c r="P1428" s="68">
        <f t="shared" si="294"/>
        <v>353103.60000000003</v>
      </c>
      <c r="Q1428" s="68">
        <f t="shared" si="295"/>
        <v>0</v>
      </c>
      <c r="R1428" s="127">
        <f t="shared" si="296"/>
        <v>706207.20000000007</v>
      </c>
      <c r="S1428" s="15"/>
    </row>
    <row r="1429" spans="1:19" ht="30">
      <c r="A1429" s="26"/>
      <c r="B1429" s="25" t="s">
        <v>3527</v>
      </c>
      <c r="C1429" s="26" t="s">
        <v>1350</v>
      </c>
      <c r="D1429" s="351"/>
      <c r="E1429" s="26"/>
      <c r="F1429" s="351">
        <v>6</v>
      </c>
      <c r="G1429" s="351" t="s">
        <v>3310</v>
      </c>
      <c r="H1429" s="351"/>
      <c r="I1429" s="351" t="s">
        <v>2596</v>
      </c>
      <c r="J1429" s="560" t="s">
        <v>2328</v>
      </c>
      <c r="K1429" s="311">
        <v>79046.8</v>
      </c>
      <c r="L1429" s="311">
        <v>0</v>
      </c>
      <c r="M1429" s="311">
        <v>47460.000000000007</v>
      </c>
      <c r="N1429" s="311">
        <v>11452</v>
      </c>
      <c r="O1429" s="311">
        <v>8016.4000000000005</v>
      </c>
      <c r="P1429" s="68">
        <f t="shared" si="294"/>
        <v>145975.20000000001</v>
      </c>
      <c r="Q1429" s="68">
        <f t="shared" si="295"/>
        <v>0</v>
      </c>
      <c r="R1429" s="127">
        <f t="shared" si="296"/>
        <v>875851.20000000007</v>
      </c>
      <c r="S1429" s="15"/>
    </row>
    <row r="1430" spans="1:19" ht="30">
      <c r="A1430" s="26"/>
      <c r="B1430" s="25" t="s">
        <v>3528</v>
      </c>
      <c r="C1430" s="26" t="s">
        <v>1350</v>
      </c>
      <c r="D1430" s="351"/>
      <c r="E1430" s="26"/>
      <c r="F1430" s="351">
        <v>2</v>
      </c>
      <c r="G1430" s="351" t="s">
        <v>3310</v>
      </c>
      <c r="H1430" s="351"/>
      <c r="I1430" s="351" t="s">
        <v>2596</v>
      </c>
      <c r="J1430" s="560" t="s">
        <v>2328</v>
      </c>
      <c r="K1430" s="311">
        <v>69433</v>
      </c>
      <c r="L1430" s="311">
        <v>0</v>
      </c>
      <c r="M1430" s="311">
        <v>39550.000000000007</v>
      </c>
      <c r="N1430" s="311">
        <v>9870</v>
      </c>
      <c r="O1430" s="311">
        <v>6909.0000000000009</v>
      </c>
      <c r="P1430" s="68">
        <f t="shared" si="294"/>
        <v>125762</v>
      </c>
      <c r="Q1430" s="68">
        <f t="shared" si="295"/>
        <v>0</v>
      </c>
      <c r="R1430" s="127">
        <f t="shared" si="296"/>
        <v>251524</v>
      </c>
      <c r="S1430" s="15"/>
    </row>
    <row r="1431" spans="1:19" ht="30">
      <c r="A1431" s="24"/>
      <c r="B1431" s="25" t="s">
        <v>3529</v>
      </c>
      <c r="C1431" s="26" t="s">
        <v>1350</v>
      </c>
      <c r="D1431" s="351"/>
      <c r="E1431" s="26"/>
      <c r="F1431" s="351">
        <v>4</v>
      </c>
      <c r="G1431" s="351" t="s">
        <v>3310</v>
      </c>
      <c r="H1431" s="351"/>
      <c r="I1431" s="351" t="s">
        <v>2596</v>
      </c>
      <c r="J1431" s="560" t="s">
        <v>2328</v>
      </c>
      <c r="K1431" s="311">
        <v>73705.8</v>
      </c>
      <c r="L1431" s="311">
        <v>0</v>
      </c>
      <c r="M1431" s="311">
        <v>43505.000000000007</v>
      </c>
      <c r="N1431" s="311">
        <v>10612</v>
      </c>
      <c r="O1431" s="311">
        <v>7428.4000000000005</v>
      </c>
      <c r="P1431" s="68">
        <f t="shared" si="294"/>
        <v>135251.20000000001</v>
      </c>
      <c r="Q1431" s="68">
        <f t="shared" si="295"/>
        <v>0</v>
      </c>
      <c r="R1431" s="127">
        <f t="shared" si="296"/>
        <v>541004.80000000005</v>
      </c>
      <c r="S1431" s="37"/>
    </row>
    <row r="1432" spans="1:19" ht="30">
      <c r="A1432" s="24"/>
      <c r="B1432" s="25" t="s">
        <v>3530</v>
      </c>
      <c r="C1432" s="26" t="s">
        <v>1350</v>
      </c>
      <c r="D1432" s="351"/>
      <c r="E1432" s="26"/>
      <c r="F1432" s="351">
        <v>2</v>
      </c>
      <c r="G1432" s="351" t="s">
        <v>3310</v>
      </c>
      <c r="H1432" s="351"/>
      <c r="I1432" s="351" t="s">
        <v>2596</v>
      </c>
      <c r="J1432" s="560" t="s">
        <v>2328</v>
      </c>
      <c r="K1432" s="311">
        <v>107888.20000000001</v>
      </c>
      <c r="L1432" s="311">
        <v>0</v>
      </c>
      <c r="M1432" s="311">
        <v>55370.000000000007</v>
      </c>
      <c r="N1432" s="311">
        <v>14798</v>
      </c>
      <c r="O1432" s="311">
        <v>10358.6</v>
      </c>
      <c r="P1432" s="68">
        <f t="shared" si="294"/>
        <v>188414.80000000002</v>
      </c>
      <c r="Q1432" s="68">
        <f t="shared" si="295"/>
        <v>0</v>
      </c>
      <c r="R1432" s="127">
        <f t="shared" si="296"/>
        <v>376829.60000000003</v>
      </c>
      <c r="S1432" s="37"/>
    </row>
    <row r="1433" spans="1:19">
      <c r="A1433" s="26"/>
      <c r="B1433" s="25" t="s">
        <v>3531</v>
      </c>
      <c r="C1433" s="26" t="s">
        <v>1350</v>
      </c>
      <c r="D1433" s="351"/>
      <c r="E1433" s="26"/>
      <c r="F1433" s="351">
        <v>2</v>
      </c>
      <c r="G1433" s="351" t="s">
        <v>3162</v>
      </c>
      <c r="H1433" s="351"/>
      <c r="I1433" s="351" t="s">
        <v>2596</v>
      </c>
      <c r="J1433" s="560" t="s">
        <v>2328</v>
      </c>
      <c r="K1433" s="311">
        <v>1286112.8</v>
      </c>
      <c r="L1433" s="311">
        <v>0</v>
      </c>
      <c r="M1433" s="311">
        <v>346533.33333333337</v>
      </c>
      <c r="N1433" s="311">
        <v>148658.66666666669</v>
      </c>
      <c r="O1433" s="311">
        <v>104061.06666666668</v>
      </c>
      <c r="P1433" s="68">
        <f t="shared" si="294"/>
        <v>1885365.8666666667</v>
      </c>
      <c r="Q1433" s="68">
        <f t="shared" si="295"/>
        <v>0</v>
      </c>
      <c r="R1433" s="127">
        <f t="shared" si="296"/>
        <v>3770731.7333333334</v>
      </c>
      <c r="S1433" s="37"/>
    </row>
    <row r="1434" spans="1:19">
      <c r="A1434" s="26"/>
      <c r="B1434" s="25" t="s">
        <v>3532</v>
      </c>
      <c r="C1434" s="26" t="s">
        <v>1350</v>
      </c>
      <c r="D1434" s="351"/>
      <c r="E1434" s="26"/>
      <c r="F1434" s="351">
        <v>2</v>
      </c>
      <c r="G1434" s="351" t="s">
        <v>3310</v>
      </c>
      <c r="H1434" s="351"/>
      <c r="I1434" s="351" t="s">
        <v>2596</v>
      </c>
      <c r="J1434" s="560" t="s">
        <v>2328</v>
      </c>
      <c r="K1434" s="311">
        <v>174116.6</v>
      </c>
      <c r="L1434" s="311">
        <v>0</v>
      </c>
      <c r="M1434" s="311">
        <v>71190</v>
      </c>
      <c r="N1434" s="311">
        <v>22274</v>
      </c>
      <c r="O1434" s="311">
        <v>15591.800000000001</v>
      </c>
      <c r="P1434" s="68">
        <f t="shared" si="294"/>
        <v>283172.39999999997</v>
      </c>
      <c r="Q1434" s="68">
        <f t="shared" si="295"/>
        <v>0</v>
      </c>
      <c r="R1434" s="127">
        <f t="shared" si="296"/>
        <v>566344.79999999993</v>
      </c>
      <c r="S1434" s="38"/>
    </row>
    <row r="1435" spans="1:19">
      <c r="A1435" s="26"/>
      <c r="B1435" s="25" t="s">
        <v>3533</v>
      </c>
      <c r="C1435" s="26" t="s">
        <v>1350</v>
      </c>
      <c r="D1435" s="351"/>
      <c r="E1435" s="26"/>
      <c r="F1435" s="351">
        <v>1</v>
      </c>
      <c r="G1435" s="351" t="s">
        <v>3310</v>
      </c>
      <c r="H1435" s="351"/>
      <c r="I1435" s="351" t="s">
        <v>2596</v>
      </c>
      <c r="J1435" s="560" t="s">
        <v>2328</v>
      </c>
      <c r="K1435" s="311">
        <v>926129.4</v>
      </c>
      <c r="L1435" s="311">
        <v>0</v>
      </c>
      <c r="M1435" s="311">
        <v>498330.00000000006</v>
      </c>
      <c r="N1435" s="311">
        <v>129066</v>
      </c>
      <c r="O1435" s="311">
        <v>90346.200000000012</v>
      </c>
      <c r="P1435" s="68">
        <f t="shared" si="294"/>
        <v>1643871.6</v>
      </c>
      <c r="Q1435" s="68">
        <f t="shared" si="295"/>
        <v>0</v>
      </c>
      <c r="R1435" s="127">
        <f t="shared" si="296"/>
        <v>1643871.6</v>
      </c>
      <c r="S1435" s="36"/>
    </row>
    <row r="1436" spans="1:19">
      <c r="A1436" s="24"/>
      <c r="B1436" s="27" t="s">
        <v>1548</v>
      </c>
      <c r="C1436" s="24"/>
      <c r="D1436" s="351"/>
      <c r="E1436" s="24"/>
      <c r="F1436" s="351"/>
      <c r="G1436" s="37"/>
      <c r="H1436" s="37"/>
      <c r="I1436" s="37"/>
      <c r="J1436" s="583"/>
      <c r="K1436" s="66"/>
      <c r="L1436" s="66"/>
      <c r="M1436" s="66"/>
      <c r="N1436" s="66"/>
      <c r="O1436" s="66"/>
      <c r="P1436" s="66"/>
      <c r="Q1436" s="66"/>
      <c r="R1436" s="66"/>
      <c r="S1436" s="37"/>
    </row>
    <row r="1437" spans="1:19">
      <c r="A1437" s="24"/>
      <c r="B1437" s="25" t="s">
        <v>3607</v>
      </c>
      <c r="C1437" s="26" t="s">
        <v>1350</v>
      </c>
      <c r="D1437" s="351"/>
      <c r="E1437" s="26"/>
      <c r="F1437" s="351">
        <v>1</v>
      </c>
      <c r="G1437" s="351" t="s">
        <v>3304</v>
      </c>
      <c r="H1437" s="351"/>
      <c r="I1437" s="351" t="s">
        <v>2596</v>
      </c>
      <c r="J1437" s="560" t="s">
        <v>2328</v>
      </c>
      <c r="K1437" s="311">
        <v>1699506.2000000002</v>
      </c>
      <c r="L1437" s="311">
        <v>0</v>
      </c>
      <c r="M1437" s="311">
        <v>519611.66666666674</v>
      </c>
      <c r="N1437" s="311">
        <v>201901.33333333337</v>
      </c>
      <c r="O1437" s="311">
        <v>141330.93333333335</v>
      </c>
      <c r="P1437" s="68">
        <f t="shared" ref="P1437:P1439" si="297">SUM(K1437:O1437)</f>
        <v>2562350.1333333338</v>
      </c>
      <c r="Q1437" s="68">
        <f>D1437*P1437</f>
        <v>0</v>
      </c>
      <c r="R1437" s="127">
        <f>F1437*P1437</f>
        <v>2562350.1333333338</v>
      </c>
      <c r="S1437" s="37"/>
    </row>
    <row r="1438" spans="1:19">
      <c r="A1438" s="24"/>
      <c r="B1438" s="25" t="s">
        <v>3608</v>
      </c>
      <c r="C1438" s="26" t="s">
        <v>1350</v>
      </c>
      <c r="D1438" s="351"/>
      <c r="E1438" s="26"/>
      <c r="F1438" s="351">
        <v>1</v>
      </c>
      <c r="G1438" s="351" t="s">
        <v>3311</v>
      </c>
      <c r="H1438" s="351"/>
      <c r="I1438" s="351" t="s">
        <v>2596</v>
      </c>
      <c r="J1438" s="560" t="s">
        <v>2328</v>
      </c>
      <c r="K1438" s="311">
        <v>715694</v>
      </c>
      <c r="L1438" s="311">
        <v>0</v>
      </c>
      <c r="M1438" s="311">
        <v>289562.50000000006</v>
      </c>
      <c r="N1438" s="311">
        <v>91285</v>
      </c>
      <c r="O1438" s="311">
        <v>63899.500000000007</v>
      </c>
      <c r="P1438" s="68">
        <f t="shared" si="297"/>
        <v>1160441</v>
      </c>
      <c r="Q1438" s="68">
        <f>D1438*P1438</f>
        <v>0</v>
      </c>
      <c r="R1438" s="127">
        <f>F1438*P1438</f>
        <v>1160441</v>
      </c>
      <c r="S1438" s="37"/>
    </row>
    <row r="1439" spans="1:19">
      <c r="A1439" s="73"/>
      <c r="B1439" s="72" t="s">
        <v>1408</v>
      </c>
      <c r="C1439" s="26" t="s">
        <v>78</v>
      </c>
      <c r="D1439" s="351"/>
      <c r="E1439" s="24"/>
      <c r="F1439" s="351">
        <v>1</v>
      </c>
      <c r="G1439" s="351"/>
      <c r="H1439" s="351"/>
      <c r="I1439" s="351"/>
      <c r="J1439" s="560" t="s">
        <v>2381</v>
      </c>
      <c r="K1439" s="311">
        <v>2668855.5600000005</v>
      </c>
      <c r="L1439" s="311">
        <v>0</v>
      </c>
      <c r="M1439" s="311">
        <v>1164685.075</v>
      </c>
      <c r="N1439" s="311">
        <v>324876.32500000001</v>
      </c>
      <c r="O1439" s="311">
        <v>227413.42750000002</v>
      </c>
      <c r="P1439" s="68">
        <f t="shared" si="297"/>
        <v>4385830.3875000011</v>
      </c>
      <c r="Q1439" s="68">
        <f>D1439*P1439</f>
        <v>0</v>
      </c>
      <c r="R1439" s="127">
        <f>F1439*P1439</f>
        <v>4385830.3875000011</v>
      </c>
      <c r="S1439" s="26"/>
    </row>
    <row r="1440" spans="1:19">
      <c r="A1440" s="215">
        <v>3</v>
      </c>
      <c r="B1440" s="216" t="s">
        <v>2231</v>
      </c>
      <c r="C1440" s="24"/>
      <c r="D1440" s="351"/>
      <c r="E1440" s="24"/>
      <c r="F1440" s="351"/>
      <c r="G1440" s="26"/>
      <c r="H1440" s="26"/>
      <c r="I1440" s="26"/>
      <c r="J1440" s="559"/>
      <c r="K1440" s="66"/>
      <c r="L1440" s="66"/>
      <c r="M1440" s="66"/>
      <c r="N1440" s="66"/>
      <c r="O1440" s="66"/>
      <c r="P1440" s="66"/>
      <c r="Q1440" s="66"/>
      <c r="R1440" s="66"/>
      <c r="S1440" s="26"/>
    </row>
    <row r="1441" spans="1:19" ht="57">
      <c r="A1441" s="24"/>
      <c r="B1441" s="27" t="s">
        <v>1587</v>
      </c>
      <c r="C1441" s="24"/>
      <c r="D1441" s="351"/>
      <c r="E1441" s="24"/>
      <c r="F1441" s="351"/>
      <c r="G1441" s="26"/>
      <c r="H1441" s="26"/>
      <c r="I1441" s="26"/>
      <c r="J1441" s="559"/>
      <c r="K1441" s="66"/>
      <c r="L1441" s="66"/>
      <c r="M1441" s="66"/>
      <c r="N1441" s="66"/>
      <c r="O1441" s="66"/>
      <c r="P1441" s="66"/>
      <c r="Q1441" s="66"/>
      <c r="R1441" s="66"/>
      <c r="S1441" s="26"/>
    </row>
    <row r="1442" spans="1:19" ht="30">
      <c r="A1442" s="26"/>
      <c r="B1442" s="25" t="s">
        <v>3537</v>
      </c>
      <c r="C1442" s="26" t="s">
        <v>1350</v>
      </c>
      <c r="D1442" s="351"/>
      <c r="E1442" s="26"/>
      <c r="F1442" s="351">
        <v>77</v>
      </c>
      <c r="G1442" s="351" t="s">
        <v>3315</v>
      </c>
      <c r="H1442" s="351"/>
      <c r="I1442" s="351" t="s">
        <v>3340</v>
      </c>
      <c r="J1442" s="560" t="s">
        <v>3166</v>
      </c>
      <c r="K1442" s="311">
        <v>178673.11391999997</v>
      </c>
      <c r="L1442" s="311">
        <v>0</v>
      </c>
      <c r="M1442" s="311">
        <v>66105</v>
      </c>
      <c r="N1442" s="311">
        <v>22242.0288</v>
      </c>
      <c r="O1442" s="311">
        <v>15569.42016</v>
      </c>
      <c r="P1442" s="68">
        <f t="shared" ref="P1442:P1444" si="298">SUM(K1442:O1442)</f>
        <v>282589.56287999998</v>
      </c>
      <c r="Q1442" s="68">
        <f>D1442*P1442</f>
        <v>0</v>
      </c>
      <c r="R1442" s="127">
        <f>F1442*P1442</f>
        <v>21759396.341759998</v>
      </c>
      <c r="S1442" s="26"/>
    </row>
    <row r="1443" spans="1:19" ht="30">
      <c r="A1443" s="26"/>
      <c r="B1443" s="25" t="s">
        <v>3538</v>
      </c>
      <c r="C1443" s="26" t="s">
        <v>1350</v>
      </c>
      <c r="D1443" s="351"/>
      <c r="E1443" s="26"/>
      <c r="F1443" s="351">
        <v>304</v>
      </c>
      <c r="G1443" s="351" t="s">
        <v>3315</v>
      </c>
      <c r="H1443" s="351"/>
      <c r="I1443" s="351" t="s">
        <v>3340</v>
      </c>
      <c r="J1443" s="560" t="s">
        <v>3166</v>
      </c>
      <c r="K1443" s="311">
        <v>151030.66159999999</v>
      </c>
      <c r="L1443" s="311">
        <v>0</v>
      </c>
      <c r="M1443" s="311">
        <v>55087.500000000007</v>
      </c>
      <c r="N1443" s="311">
        <v>18731.024000000001</v>
      </c>
      <c r="O1443" s="311">
        <v>13111.7168</v>
      </c>
      <c r="P1443" s="68">
        <f t="shared" si="298"/>
        <v>237960.90239999999</v>
      </c>
      <c r="Q1443" s="68">
        <f>D1443*P1443</f>
        <v>0</v>
      </c>
      <c r="R1443" s="127">
        <f>F1443*P1443</f>
        <v>72340114.329599991</v>
      </c>
      <c r="S1443" s="26"/>
    </row>
    <row r="1444" spans="1:19" ht="30">
      <c r="A1444" s="26"/>
      <c r="B1444" s="25" t="s">
        <v>3539</v>
      </c>
      <c r="C1444" s="26" t="s">
        <v>1350</v>
      </c>
      <c r="D1444" s="351"/>
      <c r="E1444" s="26"/>
      <c r="F1444" s="351">
        <v>27</v>
      </c>
      <c r="G1444" s="351" t="s">
        <v>3315</v>
      </c>
      <c r="H1444" s="351"/>
      <c r="I1444" s="351" t="s">
        <v>3340</v>
      </c>
      <c r="J1444" s="560" t="s">
        <v>3166</v>
      </c>
      <c r="K1444" s="311">
        <v>225412.41856000002</v>
      </c>
      <c r="L1444" s="311">
        <v>0</v>
      </c>
      <c r="M1444" s="311">
        <v>88140.000000000015</v>
      </c>
      <c r="N1444" s="311">
        <v>28480.038399999998</v>
      </c>
      <c r="O1444" s="311">
        <v>19936.026879999998</v>
      </c>
      <c r="P1444" s="68">
        <f t="shared" si="298"/>
        <v>361968.48384000006</v>
      </c>
      <c r="Q1444" s="68">
        <f>D1444*P1444</f>
        <v>0</v>
      </c>
      <c r="R1444" s="127">
        <f>F1444*P1444</f>
        <v>9773149.0636800025</v>
      </c>
      <c r="S1444" s="26"/>
    </row>
    <row r="1445" spans="1:19">
      <c r="A1445" s="26"/>
      <c r="B1445" s="27" t="s">
        <v>3540</v>
      </c>
      <c r="C1445" s="26"/>
      <c r="D1445" s="351"/>
      <c r="E1445" s="26"/>
      <c r="F1445" s="351"/>
      <c r="G1445" s="351"/>
      <c r="H1445" s="351"/>
      <c r="I1445" s="351"/>
      <c r="J1445" s="560"/>
      <c r="K1445" s="311"/>
      <c r="L1445" s="311"/>
      <c r="M1445" s="311"/>
      <c r="N1445" s="311"/>
      <c r="O1445" s="311"/>
      <c r="P1445" s="68"/>
      <c r="Q1445" s="68"/>
      <c r="R1445" s="127"/>
      <c r="S1445" s="26"/>
    </row>
    <row r="1446" spans="1:19" ht="30">
      <c r="A1446" s="26"/>
      <c r="B1446" s="25" t="s">
        <v>3541</v>
      </c>
      <c r="C1446" s="26" t="s">
        <v>1350</v>
      </c>
      <c r="D1446" s="351"/>
      <c r="E1446" s="26"/>
      <c r="F1446" s="351">
        <v>59</v>
      </c>
      <c r="G1446" s="351" t="s">
        <v>3550</v>
      </c>
      <c r="H1446" s="351"/>
      <c r="I1446" s="351" t="s">
        <v>3340</v>
      </c>
      <c r="J1446" s="560" t="s">
        <v>3166</v>
      </c>
      <c r="K1446" s="311">
        <v>558451.11448000011</v>
      </c>
      <c r="L1446" s="311">
        <v>0</v>
      </c>
      <c r="M1446" s="311">
        <v>113894.58333333336</v>
      </c>
      <c r="N1446" s="311">
        <v>61313.213866666672</v>
      </c>
      <c r="O1446" s="311">
        <v>42919.249706666669</v>
      </c>
      <c r="P1446" s="68">
        <f t="shared" ref="P1446:P1451" si="299">SUM(K1446:O1446)</f>
        <v>776578.16138666682</v>
      </c>
      <c r="Q1446" s="68">
        <f t="shared" ref="Q1446:Q1451" si="300">D1446*P1446</f>
        <v>0</v>
      </c>
      <c r="R1446" s="127">
        <f t="shared" ref="R1446:R1451" si="301">F1446*P1446</f>
        <v>45818111.52181334</v>
      </c>
      <c r="S1446" s="26"/>
    </row>
    <row r="1447" spans="1:19" ht="30">
      <c r="A1447" s="26"/>
      <c r="B1447" s="25" t="s">
        <v>3542</v>
      </c>
      <c r="C1447" s="26" t="s">
        <v>1350</v>
      </c>
      <c r="D1447" s="351"/>
      <c r="E1447" s="26"/>
      <c r="F1447" s="351">
        <v>14</v>
      </c>
      <c r="G1447" s="351" t="s">
        <v>3323</v>
      </c>
      <c r="H1447" s="351"/>
      <c r="I1447" s="351" t="s">
        <v>3340</v>
      </c>
      <c r="J1447" s="560" t="s">
        <v>3166</v>
      </c>
      <c r="K1447" s="311">
        <v>1426789.6126399999</v>
      </c>
      <c r="L1447" s="311">
        <v>0</v>
      </c>
      <c r="M1447" s="311">
        <v>320355.00000000006</v>
      </c>
      <c r="N1447" s="311">
        <v>159248.12959999999</v>
      </c>
      <c r="O1447" s="311">
        <v>111473.69072</v>
      </c>
      <c r="P1447" s="68">
        <f t="shared" si="299"/>
        <v>2017866.4329600001</v>
      </c>
      <c r="Q1447" s="68">
        <f t="shared" si="300"/>
        <v>0</v>
      </c>
      <c r="R1447" s="127">
        <f t="shared" si="301"/>
        <v>28250130.061440002</v>
      </c>
      <c r="S1447" s="26"/>
    </row>
    <row r="1448" spans="1:19" ht="30">
      <c r="A1448" s="26"/>
      <c r="B1448" s="25" t="s">
        <v>3543</v>
      </c>
      <c r="C1448" s="26" t="s">
        <v>1350</v>
      </c>
      <c r="D1448" s="351"/>
      <c r="E1448" s="26"/>
      <c r="F1448" s="351">
        <v>42</v>
      </c>
      <c r="G1448" s="351" t="s">
        <v>3550</v>
      </c>
      <c r="H1448" s="351"/>
      <c r="I1448" s="351" t="s">
        <v>3340</v>
      </c>
      <c r="J1448" s="560" t="s">
        <v>3166</v>
      </c>
      <c r="K1448" s="311">
        <v>1153744.4469600001</v>
      </c>
      <c r="L1448" s="311">
        <v>0</v>
      </c>
      <c r="M1448" s="311">
        <v>276049.58333333337</v>
      </c>
      <c r="N1448" s="311">
        <v>130277.28106666669</v>
      </c>
      <c r="O1448" s="311">
        <v>91194.096746666692</v>
      </c>
      <c r="P1448" s="68">
        <f t="shared" si="299"/>
        <v>1651265.4081066665</v>
      </c>
      <c r="Q1448" s="68">
        <f t="shared" si="300"/>
        <v>0</v>
      </c>
      <c r="R1448" s="127">
        <f t="shared" si="301"/>
        <v>69353147.140479997</v>
      </c>
      <c r="S1448" s="26"/>
    </row>
    <row r="1449" spans="1:19" ht="30">
      <c r="A1449" s="26"/>
      <c r="B1449" s="25" t="s">
        <v>3544</v>
      </c>
      <c r="C1449" s="26" t="s">
        <v>1350</v>
      </c>
      <c r="D1449" s="351"/>
      <c r="E1449" s="26"/>
      <c r="F1449" s="351">
        <v>86</v>
      </c>
      <c r="G1449" s="351" t="s">
        <v>3550</v>
      </c>
      <c r="H1449" s="351"/>
      <c r="I1449" s="351" t="s">
        <v>3340</v>
      </c>
      <c r="J1449" s="560" t="s">
        <v>3166</v>
      </c>
      <c r="K1449" s="311">
        <v>1074174.2289600002</v>
      </c>
      <c r="L1449" s="311">
        <v>0</v>
      </c>
      <c r="M1449" s="311">
        <v>227789.16666666672</v>
      </c>
      <c r="N1449" s="311">
        <v>118706.42773333334</v>
      </c>
      <c r="O1449" s="311">
        <v>83094.499413333338</v>
      </c>
      <c r="P1449" s="68">
        <f t="shared" si="299"/>
        <v>1503764.3227733336</v>
      </c>
      <c r="Q1449" s="68">
        <f t="shared" si="300"/>
        <v>0</v>
      </c>
      <c r="R1449" s="127">
        <f t="shared" si="301"/>
        <v>129323731.75850669</v>
      </c>
      <c r="S1449" s="26"/>
    </row>
    <row r="1450" spans="1:19" ht="30">
      <c r="A1450" s="26"/>
      <c r="B1450" s="25" t="s">
        <v>3545</v>
      </c>
      <c r="C1450" s="26" t="s">
        <v>1350</v>
      </c>
      <c r="D1450" s="351"/>
      <c r="E1450" s="26"/>
      <c r="F1450" s="351">
        <v>8</v>
      </c>
      <c r="G1450" s="351" t="s">
        <v>3550</v>
      </c>
      <c r="H1450" s="351"/>
      <c r="I1450" s="351" t="s">
        <v>3340</v>
      </c>
      <c r="J1450" s="560" t="s">
        <v>3166</v>
      </c>
      <c r="K1450" s="311">
        <v>1093271.0812799998</v>
      </c>
      <c r="L1450" s="311">
        <v>0</v>
      </c>
      <c r="M1450" s="311">
        <v>239371.66666666672</v>
      </c>
      <c r="N1450" s="311">
        <v>121483.43253333331</v>
      </c>
      <c r="O1450" s="311">
        <v>85038.402773333321</v>
      </c>
      <c r="P1450" s="68">
        <f t="shared" si="299"/>
        <v>1539164.5832533331</v>
      </c>
      <c r="Q1450" s="68">
        <f t="shared" si="300"/>
        <v>0</v>
      </c>
      <c r="R1450" s="127">
        <f t="shared" si="301"/>
        <v>12313316.666026665</v>
      </c>
      <c r="S1450" s="26"/>
    </row>
    <row r="1451" spans="1:19" ht="30">
      <c r="A1451" s="26"/>
      <c r="B1451" s="25" t="s">
        <v>3546</v>
      </c>
      <c r="C1451" s="26" t="s">
        <v>1350</v>
      </c>
      <c r="D1451" s="351"/>
      <c r="E1451" s="26"/>
      <c r="F1451" s="351">
        <v>25</v>
      </c>
      <c r="G1451" s="351" t="s">
        <v>3550</v>
      </c>
      <c r="H1451" s="351"/>
      <c r="I1451" s="351" t="s">
        <v>3340</v>
      </c>
      <c r="J1451" s="560" t="s">
        <v>3166</v>
      </c>
      <c r="K1451" s="311">
        <v>1083722.65512</v>
      </c>
      <c r="L1451" s="311">
        <v>0</v>
      </c>
      <c r="M1451" s="311">
        <v>233580.41666666672</v>
      </c>
      <c r="N1451" s="311">
        <v>120094.93013333334</v>
      </c>
      <c r="O1451" s="311">
        <v>84066.451093333337</v>
      </c>
      <c r="P1451" s="68">
        <f t="shared" si="299"/>
        <v>1521464.4530133335</v>
      </c>
      <c r="Q1451" s="68">
        <f t="shared" si="300"/>
        <v>0</v>
      </c>
      <c r="R1451" s="127">
        <f t="shared" si="301"/>
        <v>38036611.325333335</v>
      </c>
      <c r="S1451" s="26"/>
    </row>
    <row r="1452" spans="1:19">
      <c r="A1452" s="26"/>
      <c r="B1452" s="27" t="s">
        <v>3547</v>
      </c>
      <c r="C1452" s="26"/>
      <c r="D1452" s="351"/>
      <c r="E1452" s="26"/>
      <c r="F1452" s="351"/>
      <c r="G1452" s="351"/>
      <c r="H1452" s="351"/>
      <c r="I1452" s="351"/>
      <c r="J1452" s="560"/>
      <c r="K1452" s="311"/>
      <c r="L1452" s="311"/>
      <c r="M1452" s="311"/>
      <c r="N1452" s="311"/>
      <c r="O1452" s="311"/>
      <c r="P1452" s="68"/>
      <c r="Q1452" s="68"/>
      <c r="R1452" s="127"/>
      <c r="S1452" s="26"/>
    </row>
    <row r="1453" spans="1:19" ht="30">
      <c r="A1453" s="26"/>
      <c r="B1453" s="25" t="s">
        <v>3548</v>
      </c>
      <c r="C1453" s="26" t="s">
        <v>1350</v>
      </c>
      <c r="D1453" s="351"/>
      <c r="E1453" s="26"/>
      <c r="F1453" s="351">
        <v>59</v>
      </c>
      <c r="G1453" s="351" t="s">
        <v>3550</v>
      </c>
      <c r="H1453" s="351"/>
      <c r="I1453" s="351" t="s">
        <v>3340</v>
      </c>
      <c r="J1453" s="560" t="s">
        <v>3166</v>
      </c>
      <c r="K1453" s="311">
        <v>1366295.31024</v>
      </c>
      <c r="L1453" s="311">
        <v>0</v>
      </c>
      <c r="M1453" s="311">
        <v>467160.83333333343</v>
      </c>
      <c r="N1453" s="311">
        <v>166689.86026666668</v>
      </c>
      <c r="O1453" s="311">
        <v>116682.90218666669</v>
      </c>
      <c r="P1453" s="68">
        <f t="shared" ref="P1453:P1455" si="302">SUM(K1453:O1453)</f>
        <v>2116828.906026667</v>
      </c>
      <c r="Q1453" s="68">
        <f>D1453*P1453</f>
        <v>0</v>
      </c>
      <c r="R1453" s="127">
        <f>F1453*P1453</f>
        <v>124892905.45557335</v>
      </c>
      <c r="S1453" s="26"/>
    </row>
    <row r="1454" spans="1:19" ht="30">
      <c r="A1454" s="26"/>
      <c r="B1454" s="25" t="s">
        <v>3549</v>
      </c>
      <c r="C1454" s="26" t="s">
        <v>1350</v>
      </c>
      <c r="D1454" s="351"/>
      <c r="E1454" s="26"/>
      <c r="F1454" s="351">
        <v>175</v>
      </c>
      <c r="G1454" s="351" t="s">
        <v>3323</v>
      </c>
      <c r="H1454" s="351"/>
      <c r="I1454" s="351" t="s">
        <v>3340</v>
      </c>
      <c r="J1454" s="560" t="s">
        <v>3166</v>
      </c>
      <c r="K1454" s="311">
        <v>1998888.4776000001</v>
      </c>
      <c r="L1454" s="311">
        <v>0</v>
      </c>
      <c r="M1454" s="311">
        <v>652575.00000000012</v>
      </c>
      <c r="N1454" s="311">
        <v>241134.26399999997</v>
      </c>
      <c r="O1454" s="311">
        <v>168793.98480000001</v>
      </c>
      <c r="P1454" s="68">
        <f t="shared" si="302"/>
        <v>3061391.7264000005</v>
      </c>
      <c r="Q1454" s="68">
        <f>D1454*P1454</f>
        <v>0</v>
      </c>
      <c r="R1454" s="127">
        <f>F1454*P1454</f>
        <v>535743552.12000006</v>
      </c>
      <c r="S1454" s="26"/>
    </row>
    <row r="1455" spans="1:19">
      <c r="A1455" s="73"/>
      <c r="B1455" s="72" t="s">
        <v>1408</v>
      </c>
      <c r="C1455" s="26" t="s">
        <v>78</v>
      </c>
      <c r="D1455" s="351"/>
      <c r="E1455" s="24"/>
      <c r="F1455" s="351">
        <v>1</v>
      </c>
      <c r="G1455" s="351"/>
      <c r="H1455" s="351"/>
      <c r="I1455" s="351"/>
      <c r="J1455" s="560" t="s">
        <v>2381</v>
      </c>
      <c r="K1455" s="311">
        <v>117854938.308576</v>
      </c>
      <c r="L1455" s="311">
        <v>0</v>
      </c>
      <c r="M1455" s="311">
        <v>33852857.750000007</v>
      </c>
      <c r="N1455" s="311">
        <v>12856592.886320001</v>
      </c>
      <c r="O1455" s="311">
        <v>8999615.0204240009</v>
      </c>
      <c r="P1455" s="68">
        <f t="shared" si="302"/>
        <v>173564003.96532002</v>
      </c>
      <c r="Q1455" s="68">
        <f>D1455*P1455</f>
        <v>0</v>
      </c>
      <c r="R1455" s="127">
        <f>F1455*P1455</f>
        <v>173564003.96532002</v>
      </c>
      <c r="S1455" s="26"/>
    </row>
    <row r="1456" spans="1:19">
      <c r="A1456" s="215">
        <v>4</v>
      </c>
      <c r="B1456" s="216" t="s">
        <v>2232</v>
      </c>
      <c r="C1456" s="24"/>
      <c r="D1456" s="351"/>
      <c r="E1456" s="24"/>
      <c r="F1456" s="351"/>
      <c r="G1456" s="26"/>
      <c r="H1456" s="26"/>
      <c r="I1456" s="26"/>
      <c r="J1456" s="559"/>
      <c r="K1456" s="66"/>
      <c r="L1456" s="66"/>
      <c r="M1456" s="66"/>
      <c r="N1456" s="66"/>
      <c r="O1456" s="66"/>
      <c r="P1456" s="66"/>
      <c r="Q1456" s="66"/>
      <c r="R1456" s="66"/>
      <c r="S1456" s="26"/>
    </row>
    <row r="1457" spans="1:19">
      <c r="A1457" s="24"/>
      <c r="B1457" s="27" t="s">
        <v>1483</v>
      </c>
      <c r="C1457" s="24"/>
      <c r="D1457" s="351"/>
      <c r="E1457" s="24"/>
      <c r="F1457" s="351"/>
      <c r="G1457" s="26"/>
      <c r="H1457" s="26"/>
      <c r="I1457" s="26"/>
      <c r="J1457" s="559"/>
      <c r="K1457" s="66"/>
      <c r="L1457" s="66"/>
      <c r="M1457" s="66"/>
      <c r="N1457" s="66"/>
      <c r="O1457" s="66"/>
      <c r="P1457" s="66"/>
      <c r="Q1457" s="66"/>
      <c r="R1457" s="66"/>
      <c r="S1457" s="26"/>
    </row>
    <row r="1458" spans="1:19">
      <c r="A1458" s="24"/>
      <c r="B1458" s="25" t="s">
        <v>1586</v>
      </c>
      <c r="C1458" s="26" t="s">
        <v>1336</v>
      </c>
      <c r="D1458" s="351"/>
      <c r="E1458" s="24"/>
      <c r="F1458" s="351">
        <v>3</v>
      </c>
      <c r="G1458" s="351" t="s">
        <v>3311</v>
      </c>
      <c r="H1458" s="351"/>
      <c r="I1458" s="351" t="s">
        <v>2596</v>
      </c>
      <c r="J1458" s="560" t="s">
        <v>2328</v>
      </c>
      <c r="K1458" s="311">
        <v>372801.80000000005</v>
      </c>
      <c r="L1458" s="311">
        <v>0</v>
      </c>
      <c r="M1458" s="311">
        <v>268375</v>
      </c>
      <c r="N1458" s="311">
        <v>57952</v>
      </c>
      <c r="O1458" s="311">
        <v>40566.400000000001</v>
      </c>
      <c r="P1458" s="68">
        <f>SUM(K1458:O1458)</f>
        <v>739695.20000000007</v>
      </c>
      <c r="Q1458" s="68">
        <f>D1458*P1458</f>
        <v>0</v>
      </c>
      <c r="R1458" s="127">
        <f>F1458*P1458</f>
        <v>2219085.6</v>
      </c>
      <c r="S1458" s="26"/>
    </row>
    <row r="1459" spans="1:19">
      <c r="A1459" s="24"/>
      <c r="B1459" s="27" t="s">
        <v>1494</v>
      </c>
      <c r="C1459" s="24"/>
      <c r="D1459" s="351"/>
      <c r="E1459" s="24"/>
      <c r="F1459" s="351"/>
      <c r="G1459" s="26"/>
      <c r="H1459" s="26"/>
      <c r="I1459" s="26"/>
      <c r="J1459" s="559"/>
      <c r="K1459" s="66"/>
      <c r="L1459" s="66"/>
      <c r="M1459" s="66"/>
      <c r="N1459" s="66"/>
      <c r="O1459" s="66"/>
      <c r="P1459" s="66"/>
      <c r="Q1459" s="66"/>
      <c r="R1459" s="66"/>
      <c r="S1459" s="26"/>
    </row>
    <row r="1460" spans="1:19">
      <c r="A1460" s="24"/>
      <c r="B1460" s="25" t="s">
        <v>1383</v>
      </c>
      <c r="C1460" s="26" t="s">
        <v>1350</v>
      </c>
      <c r="D1460" s="351"/>
      <c r="E1460" s="24"/>
      <c r="F1460" s="351">
        <v>2</v>
      </c>
      <c r="G1460" s="351" t="s">
        <v>3311</v>
      </c>
      <c r="H1460" s="351"/>
      <c r="I1460" s="351" t="s">
        <v>2596</v>
      </c>
      <c r="J1460" s="560" t="s">
        <v>2328</v>
      </c>
      <c r="K1460" s="311">
        <v>393097.60000000003</v>
      </c>
      <c r="L1460" s="311">
        <v>0</v>
      </c>
      <c r="M1460" s="311">
        <v>226000.00000000003</v>
      </c>
      <c r="N1460" s="311">
        <v>56064</v>
      </c>
      <c r="O1460" s="311">
        <v>39244.800000000003</v>
      </c>
      <c r="P1460" s="68">
        <f>SUM(K1460:O1460)</f>
        <v>714406.40000000014</v>
      </c>
      <c r="Q1460" s="68">
        <f>D1460*P1460</f>
        <v>0</v>
      </c>
      <c r="R1460" s="127">
        <f>F1460*P1460</f>
        <v>1428812.8000000003</v>
      </c>
      <c r="S1460" s="26"/>
    </row>
    <row r="1461" spans="1:19">
      <c r="A1461" s="24"/>
      <c r="B1461" s="27" t="s">
        <v>1495</v>
      </c>
      <c r="C1461" s="24"/>
      <c r="D1461" s="351"/>
      <c r="E1461" s="24"/>
      <c r="F1461" s="351"/>
      <c r="G1461" s="26"/>
      <c r="H1461" s="26"/>
      <c r="I1461" s="26"/>
      <c r="J1461" s="559"/>
      <c r="K1461" s="66"/>
      <c r="L1461" s="66"/>
      <c r="M1461" s="66"/>
      <c r="N1461" s="66"/>
      <c r="O1461" s="66"/>
      <c r="P1461" s="66"/>
      <c r="Q1461" s="66"/>
      <c r="R1461" s="66"/>
      <c r="S1461" s="26"/>
    </row>
    <row r="1462" spans="1:19">
      <c r="A1462" s="24"/>
      <c r="B1462" s="25" t="s">
        <v>3609</v>
      </c>
      <c r="C1462" s="26" t="s">
        <v>1350</v>
      </c>
      <c r="D1462" s="351"/>
      <c r="E1462" s="24"/>
      <c r="F1462" s="351">
        <v>1</v>
      </c>
      <c r="G1462" s="351" t="s">
        <v>3304</v>
      </c>
      <c r="H1462" s="351"/>
      <c r="I1462" s="351" t="s">
        <v>2596</v>
      </c>
      <c r="J1462" s="560" t="s">
        <v>2328</v>
      </c>
      <c r="K1462" s="311">
        <v>159161.80000000002</v>
      </c>
      <c r="L1462" s="311">
        <v>0</v>
      </c>
      <c r="M1462" s="311">
        <v>78817.500000000015</v>
      </c>
      <c r="N1462" s="311">
        <v>21577</v>
      </c>
      <c r="O1462" s="311">
        <v>15103.900000000001</v>
      </c>
      <c r="P1462" s="68">
        <f t="shared" ref="P1462:P1516" si="303">SUM(K1462:O1462)</f>
        <v>274660.20000000007</v>
      </c>
      <c r="Q1462" s="68">
        <f t="shared" ref="Q1462:Q1493" si="304">D1462*P1462</f>
        <v>0</v>
      </c>
      <c r="R1462" s="127">
        <f t="shared" ref="R1462:R1493" si="305">F1462*P1462</f>
        <v>274660.20000000007</v>
      </c>
      <c r="S1462" s="26"/>
    </row>
    <row r="1463" spans="1:19">
      <c r="A1463" s="24"/>
      <c r="B1463" s="25" t="s">
        <v>3610</v>
      </c>
      <c r="C1463" s="26" t="s">
        <v>1350</v>
      </c>
      <c r="D1463" s="351"/>
      <c r="E1463" s="24"/>
      <c r="F1463" s="351">
        <v>1</v>
      </c>
      <c r="G1463" s="351" t="s">
        <v>3304</v>
      </c>
      <c r="H1463" s="351"/>
      <c r="I1463" s="351" t="s">
        <v>2596</v>
      </c>
      <c r="J1463" s="560" t="s">
        <v>2328</v>
      </c>
      <c r="K1463" s="311">
        <v>181594</v>
      </c>
      <c r="L1463" s="311">
        <v>0</v>
      </c>
      <c r="M1463" s="311">
        <v>90494.166666666686</v>
      </c>
      <c r="N1463" s="311">
        <v>24668.333333333336</v>
      </c>
      <c r="O1463" s="311">
        <v>17267.833333333336</v>
      </c>
      <c r="P1463" s="68">
        <f t="shared" si="303"/>
        <v>314024.33333333331</v>
      </c>
      <c r="Q1463" s="68">
        <f t="shared" si="304"/>
        <v>0</v>
      </c>
      <c r="R1463" s="127">
        <f t="shared" si="305"/>
        <v>314024.33333333331</v>
      </c>
      <c r="S1463" s="26"/>
    </row>
    <row r="1464" spans="1:19">
      <c r="A1464" s="24"/>
      <c r="B1464" s="25" t="s">
        <v>3611</v>
      </c>
      <c r="C1464" s="26" t="s">
        <v>1350</v>
      </c>
      <c r="D1464" s="351"/>
      <c r="E1464" s="24"/>
      <c r="F1464" s="351">
        <v>1</v>
      </c>
      <c r="G1464" s="351" t="s">
        <v>3162</v>
      </c>
      <c r="H1464" s="351"/>
      <c r="I1464" s="351" t="s">
        <v>2596</v>
      </c>
      <c r="J1464" s="560" t="s">
        <v>2328</v>
      </c>
      <c r="K1464" s="311">
        <v>1273294.4000000001</v>
      </c>
      <c r="L1464" s="311">
        <v>0</v>
      </c>
      <c r="M1464" s="311">
        <v>354066.66666666674</v>
      </c>
      <c r="N1464" s="311">
        <v>148149.33333333334</v>
      </c>
      <c r="O1464" s="311">
        <v>103704.53333333335</v>
      </c>
      <c r="P1464" s="68">
        <f t="shared" si="303"/>
        <v>1879214.9333333336</v>
      </c>
      <c r="Q1464" s="68">
        <f t="shared" si="304"/>
        <v>0</v>
      </c>
      <c r="R1464" s="127">
        <f t="shared" si="305"/>
        <v>1879214.9333333336</v>
      </c>
      <c r="S1464" s="26"/>
    </row>
    <row r="1465" spans="1:19">
      <c r="A1465" s="24"/>
      <c r="B1465" s="25" t="s">
        <v>3612</v>
      </c>
      <c r="C1465" s="26" t="s">
        <v>1350</v>
      </c>
      <c r="D1465" s="351"/>
      <c r="E1465" s="24"/>
      <c r="F1465" s="351">
        <v>1</v>
      </c>
      <c r="G1465" s="351" t="s">
        <v>3311</v>
      </c>
      <c r="H1465" s="351"/>
      <c r="I1465" s="351" t="s">
        <v>2596</v>
      </c>
      <c r="J1465" s="560" t="s">
        <v>2328</v>
      </c>
      <c r="K1465" s="311">
        <v>137797.80000000002</v>
      </c>
      <c r="L1465" s="311">
        <v>0</v>
      </c>
      <c r="M1465" s="311">
        <v>79100.000000000029</v>
      </c>
      <c r="N1465" s="311">
        <v>19642</v>
      </c>
      <c r="O1465" s="311">
        <v>13749.400000000001</v>
      </c>
      <c r="P1465" s="68">
        <f t="shared" si="303"/>
        <v>250289.20000000004</v>
      </c>
      <c r="Q1465" s="68">
        <f t="shared" si="304"/>
        <v>0</v>
      </c>
      <c r="R1465" s="127">
        <f t="shared" si="305"/>
        <v>250289.20000000004</v>
      </c>
      <c r="S1465" s="26"/>
    </row>
    <row r="1466" spans="1:19">
      <c r="A1466" s="24"/>
      <c r="B1466" s="25" t="s">
        <v>3613</v>
      </c>
      <c r="C1466" s="26" t="s">
        <v>1350</v>
      </c>
      <c r="D1466" s="351"/>
      <c r="E1466" s="24"/>
      <c r="F1466" s="351">
        <v>1</v>
      </c>
      <c r="G1466" s="351" t="s">
        <v>3311</v>
      </c>
      <c r="H1466" s="351"/>
      <c r="I1466" s="351" t="s">
        <v>2596</v>
      </c>
      <c r="J1466" s="560" t="s">
        <v>2328</v>
      </c>
      <c r="K1466" s="311">
        <v>120706.6</v>
      </c>
      <c r="L1466" s="311">
        <v>0</v>
      </c>
      <c r="M1466" s="311">
        <v>69212.5</v>
      </c>
      <c r="N1466" s="311">
        <v>17199</v>
      </c>
      <c r="O1466" s="311">
        <v>12039.300000000001</v>
      </c>
      <c r="P1466" s="68">
        <f t="shared" si="303"/>
        <v>219157.4</v>
      </c>
      <c r="Q1466" s="68">
        <f t="shared" si="304"/>
        <v>0</v>
      </c>
      <c r="R1466" s="127">
        <f t="shared" si="305"/>
        <v>219157.4</v>
      </c>
      <c r="S1466" s="26"/>
    </row>
    <row r="1467" spans="1:19">
      <c r="A1467" s="24"/>
      <c r="B1467" s="25" t="s">
        <v>3614</v>
      </c>
      <c r="C1467" s="26" t="s">
        <v>1350</v>
      </c>
      <c r="D1467" s="351"/>
      <c r="E1467" s="24"/>
      <c r="F1467" s="351">
        <v>1</v>
      </c>
      <c r="G1467" s="351" t="s">
        <v>3311</v>
      </c>
      <c r="H1467" s="351"/>
      <c r="I1467" s="351" t="s">
        <v>2596</v>
      </c>
      <c r="J1467" s="560" t="s">
        <v>2328</v>
      </c>
      <c r="K1467" s="311">
        <v>127115.8</v>
      </c>
      <c r="L1467" s="311">
        <v>0</v>
      </c>
      <c r="M1467" s="311">
        <v>73450.000000000015</v>
      </c>
      <c r="N1467" s="311">
        <v>18162</v>
      </c>
      <c r="O1467" s="311">
        <v>12713.400000000001</v>
      </c>
      <c r="P1467" s="68">
        <f t="shared" si="303"/>
        <v>231441.2</v>
      </c>
      <c r="Q1467" s="68">
        <f t="shared" si="304"/>
        <v>0</v>
      </c>
      <c r="R1467" s="127">
        <f t="shared" si="305"/>
        <v>231441.2</v>
      </c>
      <c r="S1467" s="26"/>
    </row>
    <row r="1468" spans="1:19">
      <c r="A1468" s="24"/>
      <c r="B1468" s="25" t="s">
        <v>3615</v>
      </c>
      <c r="C1468" s="26" t="s">
        <v>1350</v>
      </c>
      <c r="D1468" s="351"/>
      <c r="E1468" s="24"/>
      <c r="F1468" s="351">
        <v>1</v>
      </c>
      <c r="G1468" s="351" t="s">
        <v>3310</v>
      </c>
      <c r="H1468" s="351"/>
      <c r="I1468" s="351" t="s">
        <v>2596</v>
      </c>
      <c r="J1468" s="560" t="s">
        <v>2328</v>
      </c>
      <c r="K1468" s="311">
        <v>107888.20000000001</v>
      </c>
      <c r="L1468" s="311">
        <v>0</v>
      </c>
      <c r="M1468" s="311">
        <v>58006.666666666679</v>
      </c>
      <c r="N1468" s="311">
        <v>15031.333333333336</v>
      </c>
      <c r="O1468" s="311">
        <v>10521.933333333334</v>
      </c>
      <c r="P1468" s="68">
        <f t="shared" si="303"/>
        <v>191448.13333333336</v>
      </c>
      <c r="Q1468" s="68">
        <f t="shared" si="304"/>
        <v>0</v>
      </c>
      <c r="R1468" s="127">
        <f t="shared" si="305"/>
        <v>191448.13333333336</v>
      </c>
      <c r="S1468" s="26"/>
    </row>
    <row r="1469" spans="1:19">
      <c r="A1469" s="24"/>
      <c r="B1469" s="25" t="s">
        <v>3616</v>
      </c>
      <c r="C1469" s="26" t="s">
        <v>1350</v>
      </c>
      <c r="D1469" s="351"/>
      <c r="E1469" s="24"/>
      <c r="F1469" s="351">
        <v>1</v>
      </c>
      <c r="G1469" s="351" t="s">
        <v>3310</v>
      </c>
      <c r="H1469" s="351"/>
      <c r="I1469" s="351" t="s">
        <v>2596</v>
      </c>
      <c r="J1469" s="560" t="s">
        <v>2328</v>
      </c>
      <c r="K1469" s="311">
        <v>64092.000000000007</v>
      </c>
      <c r="L1469" s="311">
        <v>0</v>
      </c>
      <c r="M1469" s="311">
        <v>42186.666666666672</v>
      </c>
      <c r="N1469" s="311">
        <v>9613.3333333333339</v>
      </c>
      <c r="O1469" s="311">
        <v>6729.3333333333348</v>
      </c>
      <c r="P1469" s="68">
        <f t="shared" si="303"/>
        <v>122621.33333333334</v>
      </c>
      <c r="Q1469" s="68">
        <f t="shared" si="304"/>
        <v>0</v>
      </c>
      <c r="R1469" s="127">
        <f t="shared" si="305"/>
        <v>122621.33333333334</v>
      </c>
      <c r="S1469" s="26"/>
    </row>
    <row r="1470" spans="1:19">
      <c r="A1470" s="24"/>
      <c r="B1470" s="25" t="s">
        <v>3623</v>
      </c>
      <c r="C1470" s="26" t="s">
        <v>1350</v>
      </c>
      <c r="D1470" s="351"/>
      <c r="E1470" s="24"/>
      <c r="F1470" s="351">
        <v>1</v>
      </c>
      <c r="G1470" s="351" t="s">
        <v>3310</v>
      </c>
      <c r="H1470" s="351"/>
      <c r="I1470" s="351" t="s">
        <v>2596</v>
      </c>
      <c r="J1470" s="560" t="s">
        <v>2328</v>
      </c>
      <c r="K1470" s="311">
        <v>85456</v>
      </c>
      <c r="L1470" s="311">
        <v>0</v>
      </c>
      <c r="M1470" s="311">
        <v>55370.000000000007</v>
      </c>
      <c r="N1470" s="311">
        <v>12740</v>
      </c>
      <c r="O1470" s="311">
        <v>8918</v>
      </c>
      <c r="P1470" s="68">
        <f t="shared" si="303"/>
        <v>162484</v>
      </c>
      <c r="Q1470" s="68">
        <f t="shared" si="304"/>
        <v>0</v>
      </c>
      <c r="R1470" s="127">
        <f t="shared" si="305"/>
        <v>162484</v>
      </c>
      <c r="S1470" s="26"/>
    </row>
    <row r="1471" spans="1:19">
      <c r="A1471" s="24"/>
      <c r="B1471" s="25" t="s">
        <v>3617</v>
      </c>
      <c r="C1471" s="26" t="s">
        <v>1350</v>
      </c>
      <c r="D1471" s="351"/>
      <c r="E1471" s="24"/>
      <c r="F1471" s="351">
        <v>1</v>
      </c>
      <c r="G1471" s="351" t="s">
        <v>3311</v>
      </c>
      <c r="H1471" s="351"/>
      <c r="I1471" s="351" t="s">
        <v>2596</v>
      </c>
      <c r="J1471" s="560" t="s">
        <v>2328</v>
      </c>
      <c r="K1471" s="311">
        <v>111092.8</v>
      </c>
      <c r="L1471" s="311">
        <v>0</v>
      </c>
      <c r="M1471" s="311">
        <v>63562.500000000007</v>
      </c>
      <c r="N1471" s="311">
        <v>15817</v>
      </c>
      <c r="O1471" s="311">
        <v>11071.900000000001</v>
      </c>
      <c r="P1471" s="68">
        <f t="shared" si="303"/>
        <v>201544.2</v>
      </c>
      <c r="Q1471" s="68">
        <f t="shared" si="304"/>
        <v>0</v>
      </c>
      <c r="R1471" s="127">
        <f t="shared" si="305"/>
        <v>201544.2</v>
      </c>
      <c r="S1471" s="26"/>
    </row>
    <row r="1472" spans="1:19">
      <c r="A1472" s="24"/>
      <c r="B1472" s="25" t="s">
        <v>3618</v>
      </c>
      <c r="C1472" s="26" t="s">
        <v>1350</v>
      </c>
      <c r="D1472" s="351"/>
      <c r="E1472" s="24"/>
      <c r="F1472" s="351">
        <v>4</v>
      </c>
      <c r="G1472" s="351" t="s">
        <v>3310</v>
      </c>
      <c r="H1472" s="351"/>
      <c r="I1472" s="351" t="s">
        <v>2596</v>
      </c>
      <c r="J1472" s="560" t="s">
        <v>2328</v>
      </c>
      <c r="K1472" s="311">
        <v>49137.200000000004</v>
      </c>
      <c r="L1472" s="311">
        <v>0</v>
      </c>
      <c r="M1472" s="311">
        <v>31640.000000000004</v>
      </c>
      <c r="N1472" s="311">
        <v>7308</v>
      </c>
      <c r="O1472" s="311">
        <v>5115.6000000000004</v>
      </c>
      <c r="P1472" s="68">
        <f t="shared" si="303"/>
        <v>93200.800000000017</v>
      </c>
      <c r="Q1472" s="68">
        <f t="shared" si="304"/>
        <v>0</v>
      </c>
      <c r="R1472" s="127">
        <f t="shared" si="305"/>
        <v>372803.20000000007</v>
      </c>
      <c r="S1472" s="26"/>
    </row>
    <row r="1473" spans="1:19">
      <c r="A1473" s="24"/>
      <c r="B1473" s="25" t="s">
        <v>3619</v>
      </c>
      <c r="C1473" s="26" t="s">
        <v>1350</v>
      </c>
      <c r="D1473" s="351"/>
      <c r="E1473" s="24"/>
      <c r="F1473" s="351">
        <v>1</v>
      </c>
      <c r="G1473" s="351" t="s">
        <v>3310</v>
      </c>
      <c r="H1473" s="351"/>
      <c r="I1473" s="351" t="s">
        <v>2596</v>
      </c>
      <c r="J1473" s="560" t="s">
        <v>2328</v>
      </c>
      <c r="K1473" s="311">
        <v>52341.8</v>
      </c>
      <c r="L1473" s="311">
        <v>0</v>
      </c>
      <c r="M1473" s="311">
        <v>34276.666666666672</v>
      </c>
      <c r="N1473" s="311">
        <v>7835.3333333333348</v>
      </c>
      <c r="O1473" s="311">
        <v>5484.7333333333345</v>
      </c>
      <c r="P1473" s="68">
        <f t="shared" si="303"/>
        <v>99938.53333333334</v>
      </c>
      <c r="Q1473" s="68">
        <f t="shared" si="304"/>
        <v>0</v>
      </c>
      <c r="R1473" s="127">
        <f t="shared" si="305"/>
        <v>99938.53333333334</v>
      </c>
      <c r="S1473" s="26"/>
    </row>
    <row r="1474" spans="1:19">
      <c r="A1474" s="24"/>
      <c r="B1474" s="25" t="s">
        <v>3620</v>
      </c>
      <c r="C1474" s="26" t="s">
        <v>1350</v>
      </c>
      <c r="D1474" s="351"/>
      <c r="E1474" s="24"/>
      <c r="F1474" s="351">
        <v>6</v>
      </c>
      <c r="G1474" s="351" t="s">
        <v>3310</v>
      </c>
      <c r="H1474" s="351"/>
      <c r="I1474" s="351" t="s">
        <v>2596</v>
      </c>
      <c r="J1474" s="560" t="s">
        <v>2328</v>
      </c>
      <c r="K1474" s="311">
        <v>48069</v>
      </c>
      <c r="L1474" s="311">
        <v>0</v>
      </c>
      <c r="M1474" s="311">
        <v>25048.333333333336</v>
      </c>
      <c r="N1474" s="311">
        <v>6626.6666666666679</v>
      </c>
      <c r="O1474" s="311">
        <v>4638.6666666666679</v>
      </c>
      <c r="P1474" s="68">
        <f t="shared" si="303"/>
        <v>84382.666666666686</v>
      </c>
      <c r="Q1474" s="68">
        <f t="shared" si="304"/>
        <v>0</v>
      </c>
      <c r="R1474" s="127">
        <f t="shared" si="305"/>
        <v>506296.00000000012</v>
      </c>
      <c r="S1474" s="26"/>
    </row>
    <row r="1475" spans="1:19">
      <c r="A1475" s="24"/>
      <c r="B1475" s="25" t="s">
        <v>3621</v>
      </c>
      <c r="C1475" s="26" t="s">
        <v>1350</v>
      </c>
      <c r="D1475" s="351"/>
      <c r="E1475" s="24"/>
      <c r="F1475" s="351">
        <v>7</v>
      </c>
      <c r="G1475" s="351" t="s">
        <v>3310</v>
      </c>
      <c r="H1475" s="351"/>
      <c r="I1475" s="351" t="s">
        <v>2596</v>
      </c>
      <c r="J1475" s="560" t="s">
        <v>2328</v>
      </c>
      <c r="K1475" s="311">
        <v>55546.400000000001</v>
      </c>
      <c r="L1475" s="311">
        <v>0</v>
      </c>
      <c r="M1475" s="311">
        <v>29003.333333333339</v>
      </c>
      <c r="N1475" s="311">
        <v>7662.6666666666679</v>
      </c>
      <c r="O1475" s="311">
        <v>5363.8666666666677</v>
      </c>
      <c r="P1475" s="68">
        <f t="shared" si="303"/>
        <v>97576.266666666677</v>
      </c>
      <c r="Q1475" s="68">
        <f t="shared" si="304"/>
        <v>0</v>
      </c>
      <c r="R1475" s="127">
        <f t="shared" si="305"/>
        <v>683033.8666666667</v>
      </c>
      <c r="S1475" s="26"/>
    </row>
    <row r="1476" spans="1:19">
      <c r="A1476" s="24"/>
      <c r="B1476" s="25" t="s">
        <v>3622</v>
      </c>
      <c r="C1476" s="26" t="s">
        <v>1350</v>
      </c>
      <c r="D1476" s="351"/>
      <c r="E1476" s="24"/>
      <c r="F1476" s="351">
        <v>1</v>
      </c>
      <c r="G1476" s="351" t="s">
        <v>3310</v>
      </c>
      <c r="H1476" s="351"/>
      <c r="I1476" s="351" t="s">
        <v>2596</v>
      </c>
      <c r="J1476" s="560" t="s">
        <v>2328</v>
      </c>
      <c r="K1476" s="311">
        <v>99342.6</v>
      </c>
      <c r="L1476" s="311">
        <v>0</v>
      </c>
      <c r="M1476" s="311">
        <v>54051.666666666672</v>
      </c>
      <c r="N1476" s="311">
        <v>13897.333333333336</v>
      </c>
      <c r="O1476" s="311">
        <v>9728.133333333335</v>
      </c>
      <c r="P1476" s="68">
        <f t="shared" si="303"/>
        <v>177019.73333333334</v>
      </c>
      <c r="Q1476" s="68">
        <f t="shared" si="304"/>
        <v>0</v>
      </c>
      <c r="R1476" s="127">
        <f t="shared" si="305"/>
        <v>177019.73333333334</v>
      </c>
      <c r="S1476" s="26"/>
    </row>
    <row r="1477" spans="1:19" ht="30">
      <c r="A1477" s="24"/>
      <c r="B1477" s="25" t="s">
        <v>3557</v>
      </c>
      <c r="C1477" s="26" t="s">
        <v>1350</v>
      </c>
      <c r="D1477" s="351"/>
      <c r="E1477" s="24"/>
      <c r="F1477" s="351">
        <v>2</v>
      </c>
      <c r="G1477" s="351" t="s">
        <v>3304</v>
      </c>
      <c r="H1477" s="351"/>
      <c r="I1477" s="351" t="s">
        <v>2596</v>
      </c>
      <c r="J1477" s="560" t="s">
        <v>2328</v>
      </c>
      <c r="K1477" s="311">
        <v>414461.60000000003</v>
      </c>
      <c r="L1477" s="311">
        <v>0</v>
      </c>
      <c r="M1477" s="311">
        <v>162013.75000000006</v>
      </c>
      <c r="N1477" s="311">
        <v>52361.5</v>
      </c>
      <c r="O1477" s="311">
        <v>36653.050000000003</v>
      </c>
      <c r="P1477" s="68">
        <f t="shared" si="303"/>
        <v>665489.90000000014</v>
      </c>
      <c r="Q1477" s="68">
        <f t="shared" si="304"/>
        <v>0</v>
      </c>
      <c r="R1477" s="127">
        <f t="shared" si="305"/>
        <v>1330979.8000000003</v>
      </c>
      <c r="S1477" s="26"/>
    </row>
    <row r="1478" spans="1:19" ht="30">
      <c r="A1478" s="24"/>
      <c r="B1478" s="25" t="s">
        <v>3558</v>
      </c>
      <c r="C1478" s="26" t="s">
        <v>1350</v>
      </c>
      <c r="D1478" s="351"/>
      <c r="E1478" s="24"/>
      <c r="F1478" s="351">
        <v>2</v>
      </c>
      <c r="G1478" s="351" t="s">
        <v>3311</v>
      </c>
      <c r="H1478" s="351"/>
      <c r="I1478" s="351" t="s">
        <v>2596</v>
      </c>
      <c r="J1478" s="560" t="s">
        <v>2328</v>
      </c>
      <c r="K1478" s="311">
        <v>137797.80000000002</v>
      </c>
      <c r="L1478" s="311">
        <v>0</v>
      </c>
      <c r="M1478" s="311">
        <v>62150.000000000007</v>
      </c>
      <c r="N1478" s="311">
        <v>18142</v>
      </c>
      <c r="O1478" s="311">
        <v>12699.400000000001</v>
      </c>
      <c r="P1478" s="68">
        <f t="shared" si="303"/>
        <v>230789.2</v>
      </c>
      <c r="Q1478" s="68">
        <f t="shared" si="304"/>
        <v>0</v>
      </c>
      <c r="R1478" s="127">
        <f t="shared" si="305"/>
        <v>461578.4</v>
      </c>
      <c r="S1478" s="26"/>
    </row>
    <row r="1479" spans="1:19" ht="30">
      <c r="A1479" s="24"/>
      <c r="B1479" s="25" t="s">
        <v>3559</v>
      </c>
      <c r="C1479" s="26" t="s">
        <v>1350</v>
      </c>
      <c r="D1479" s="351"/>
      <c r="E1479" s="24"/>
      <c r="F1479" s="351">
        <v>2</v>
      </c>
      <c r="G1479" s="351" t="s">
        <v>3311</v>
      </c>
      <c r="H1479" s="351"/>
      <c r="I1479" s="351" t="s">
        <v>2596</v>
      </c>
      <c r="J1479" s="560" t="s">
        <v>2328</v>
      </c>
      <c r="K1479" s="311">
        <v>145275.20000000001</v>
      </c>
      <c r="L1479" s="311">
        <v>0</v>
      </c>
      <c r="M1479" s="311">
        <v>64975.000000000007</v>
      </c>
      <c r="N1479" s="311">
        <v>19078</v>
      </c>
      <c r="O1479" s="311">
        <v>13354.6</v>
      </c>
      <c r="P1479" s="68">
        <f t="shared" si="303"/>
        <v>242682.80000000002</v>
      </c>
      <c r="Q1479" s="68">
        <f t="shared" si="304"/>
        <v>0</v>
      </c>
      <c r="R1479" s="127">
        <f t="shared" si="305"/>
        <v>485365.60000000003</v>
      </c>
      <c r="S1479" s="26"/>
    </row>
    <row r="1480" spans="1:19" ht="30">
      <c r="A1480" s="24"/>
      <c r="B1480" s="25" t="s">
        <v>3560</v>
      </c>
      <c r="C1480" s="26" t="s">
        <v>1350</v>
      </c>
      <c r="D1480" s="351"/>
      <c r="E1480" s="24"/>
      <c r="F1480" s="351">
        <v>2</v>
      </c>
      <c r="G1480" s="351" t="s">
        <v>3304</v>
      </c>
      <c r="H1480" s="351"/>
      <c r="I1480" s="351" t="s">
        <v>2596</v>
      </c>
      <c r="J1480" s="560" t="s">
        <v>2328</v>
      </c>
      <c r="K1480" s="311">
        <v>230731.2</v>
      </c>
      <c r="L1480" s="311">
        <v>0</v>
      </c>
      <c r="M1480" s="311">
        <v>89034.583333333343</v>
      </c>
      <c r="N1480" s="311">
        <v>29047.166666666672</v>
      </c>
      <c r="O1480" s="311">
        <v>20333.01666666667</v>
      </c>
      <c r="P1480" s="68">
        <f t="shared" si="303"/>
        <v>369145.96666666667</v>
      </c>
      <c r="Q1480" s="68">
        <f t="shared" si="304"/>
        <v>0</v>
      </c>
      <c r="R1480" s="127">
        <f t="shared" si="305"/>
        <v>738291.93333333335</v>
      </c>
      <c r="S1480" s="26"/>
    </row>
    <row r="1481" spans="1:19" ht="30">
      <c r="A1481" s="24"/>
      <c r="B1481" s="25" t="s">
        <v>3561</v>
      </c>
      <c r="C1481" s="26" t="s">
        <v>1350</v>
      </c>
      <c r="D1481" s="351"/>
      <c r="E1481" s="24"/>
      <c r="F1481" s="351">
        <v>1</v>
      </c>
      <c r="G1481" s="351" t="s">
        <v>3311</v>
      </c>
      <c r="H1481" s="351"/>
      <c r="I1481" s="351" t="s">
        <v>2596</v>
      </c>
      <c r="J1481" s="560" t="s">
        <v>2328</v>
      </c>
      <c r="K1481" s="311">
        <v>181594</v>
      </c>
      <c r="L1481" s="311">
        <v>0</v>
      </c>
      <c r="M1481" s="311">
        <v>81925.000000000015</v>
      </c>
      <c r="N1481" s="311">
        <v>23910</v>
      </c>
      <c r="O1481" s="311">
        <v>16737</v>
      </c>
      <c r="P1481" s="68">
        <f t="shared" si="303"/>
        <v>304166</v>
      </c>
      <c r="Q1481" s="68">
        <f t="shared" si="304"/>
        <v>0</v>
      </c>
      <c r="R1481" s="127">
        <f t="shared" si="305"/>
        <v>304166</v>
      </c>
      <c r="S1481" s="26"/>
    </row>
    <row r="1482" spans="1:19" ht="30">
      <c r="A1482" s="24"/>
      <c r="B1482" s="25" t="s">
        <v>3562</v>
      </c>
      <c r="C1482" s="26" t="s">
        <v>1350</v>
      </c>
      <c r="D1482" s="351"/>
      <c r="E1482" s="24"/>
      <c r="F1482" s="351">
        <v>4</v>
      </c>
      <c r="G1482" s="351" t="s">
        <v>3310</v>
      </c>
      <c r="H1482" s="351"/>
      <c r="I1482" s="351" t="s">
        <v>2596</v>
      </c>
      <c r="J1482" s="560" t="s">
        <v>2328</v>
      </c>
      <c r="K1482" s="311">
        <v>88660.6</v>
      </c>
      <c r="L1482" s="311">
        <v>0</v>
      </c>
      <c r="M1482" s="311">
        <v>44823.333333333343</v>
      </c>
      <c r="N1482" s="311">
        <v>12100.666666666668</v>
      </c>
      <c r="O1482" s="311">
        <v>8470.4666666666672</v>
      </c>
      <c r="P1482" s="68">
        <f t="shared" si="303"/>
        <v>154055.06666666668</v>
      </c>
      <c r="Q1482" s="68">
        <f t="shared" si="304"/>
        <v>0</v>
      </c>
      <c r="R1482" s="127">
        <f t="shared" si="305"/>
        <v>616220.26666666672</v>
      </c>
      <c r="S1482" s="26"/>
    </row>
    <row r="1483" spans="1:19" ht="30">
      <c r="A1483" s="24"/>
      <c r="B1483" s="25" t="s">
        <v>3563</v>
      </c>
      <c r="C1483" s="26" t="s">
        <v>1350</v>
      </c>
      <c r="D1483" s="351"/>
      <c r="E1483" s="24"/>
      <c r="F1483" s="351">
        <v>8</v>
      </c>
      <c r="G1483" s="351" t="s">
        <v>3310</v>
      </c>
      <c r="H1483" s="351"/>
      <c r="I1483" s="351" t="s">
        <v>2596</v>
      </c>
      <c r="J1483" s="560" t="s">
        <v>2328</v>
      </c>
      <c r="K1483" s="311">
        <v>119638.40000000001</v>
      </c>
      <c r="L1483" s="311">
        <v>0</v>
      </c>
      <c r="M1483" s="311">
        <v>50096.666666666672</v>
      </c>
      <c r="N1483" s="311">
        <v>15409.333333333336</v>
      </c>
      <c r="O1483" s="311">
        <v>10786.533333333335</v>
      </c>
      <c r="P1483" s="68">
        <f t="shared" si="303"/>
        <v>195930.93333333335</v>
      </c>
      <c r="Q1483" s="68">
        <f t="shared" si="304"/>
        <v>0</v>
      </c>
      <c r="R1483" s="127">
        <f t="shared" si="305"/>
        <v>1567447.4666666668</v>
      </c>
      <c r="S1483" s="26"/>
    </row>
    <row r="1484" spans="1:19" ht="30">
      <c r="A1484" s="24"/>
      <c r="B1484" s="25" t="s">
        <v>3564</v>
      </c>
      <c r="C1484" s="26" t="s">
        <v>1350</v>
      </c>
      <c r="D1484" s="351"/>
      <c r="E1484" s="24"/>
      <c r="F1484" s="351">
        <v>4</v>
      </c>
      <c r="G1484" s="351" t="s">
        <v>3310</v>
      </c>
      <c r="H1484" s="351"/>
      <c r="I1484" s="351" t="s">
        <v>2596</v>
      </c>
      <c r="J1484" s="560" t="s">
        <v>2328</v>
      </c>
      <c r="K1484" s="311">
        <v>71569.400000000009</v>
      </c>
      <c r="L1484" s="311">
        <v>0</v>
      </c>
      <c r="M1484" s="311">
        <v>36913.33333333335</v>
      </c>
      <c r="N1484" s="311">
        <v>9832.6666666666679</v>
      </c>
      <c r="O1484" s="311">
        <v>6882.8666666666677</v>
      </c>
      <c r="P1484" s="68">
        <f t="shared" si="303"/>
        <v>125198.26666666671</v>
      </c>
      <c r="Q1484" s="68">
        <f t="shared" si="304"/>
        <v>0</v>
      </c>
      <c r="R1484" s="127">
        <f t="shared" si="305"/>
        <v>500793.06666666683</v>
      </c>
      <c r="S1484" s="26"/>
    </row>
    <row r="1485" spans="1:19" ht="30">
      <c r="A1485" s="24"/>
      <c r="B1485" s="25" t="s">
        <v>3565</v>
      </c>
      <c r="C1485" s="26" t="s">
        <v>1350</v>
      </c>
      <c r="D1485" s="351"/>
      <c r="E1485" s="24"/>
      <c r="F1485" s="351">
        <v>8</v>
      </c>
      <c r="G1485" s="351" t="s">
        <v>3311</v>
      </c>
      <c r="H1485" s="351"/>
      <c r="I1485" s="351" t="s">
        <v>2596</v>
      </c>
      <c r="J1485" s="560" t="s">
        <v>2328</v>
      </c>
      <c r="K1485" s="311">
        <v>177321.2</v>
      </c>
      <c r="L1485" s="311">
        <v>0</v>
      </c>
      <c r="M1485" s="311">
        <v>80512.499999999985</v>
      </c>
      <c r="N1485" s="311">
        <v>23393</v>
      </c>
      <c r="O1485" s="311">
        <v>16375.100000000002</v>
      </c>
      <c r="P1485" s="68">
        <f t="shared" si="303"/>
        <v>297601.8</v>
      </c>
      <c r="Q1485" s="68">
        <f t="shared" si="304"/>
        <v>0</v>
      </c>
      <c r="R1485" s="127">
        <f t="shared" si="305"/>
        <v>2380814.4</v>
      </c>
      <c r="S1485" s="26"/>
    </row>
    <row r="1486" spans="1:19" ht="30">
      <c r="A1486" s="24"/>
      <c r="B1486" s="25" t="s">
        <v>3566</v>
      </c>
      <c r="C1486" s="26" t="s">
        <v>1350</v>
      </c>
      <c r="D1486" s="351"/>
      <c r="E1486" s="24"/>
      <c r="F1486" s="351">
        <v>6</v>
      </c>
      <c r="G1486" s="351" t="s">
        <v>3310</v>
      </c>
      <c r="H1486" s="351"/>
      <c r="I1486" s="351" t="s">
        <v>2596</v>
      </c>
      <c r="J1486" s="560" t="s">
        <v>2328</v>
      </c>
      <c r="K1486" s="311">
        <v>75842.200000000012</v>
      </c>
      <c r="L1486" s="311">
        <v>0</v>
      </c>
      <c r="M1486" s="311">
        <v>38231.666666666672</v>
      </c>
      <c r="N1486" s="311">
        <v>10341.333333333336</v>
      </c>
      <c r="O1486" s="311">
        <v>7238.9333333333343</v>
      </c>
      <c r="P1486" s="68">
        <f t="shared" si="303"/>
        <v>131654.13333333336</v>
      </c>
      <c r="Q1486" s="68">
        <f t="shared" si="304"/>
        <v>0</v>
      </c>
      <c r="R1486" s="127">
        <f t="shared" si="305"/>
        <v>789924.80000000016</v>
      </c>
      <c r="S1486" s="26"/>
    </row>
    <row r="1487" spans="1:19" ht="30">
      <c r="A1487" s="24"/>
      <c r="B1487" s="25" t="s">
        <v>3624</v>
      </c>
      <c r="C1487" s="26" t="s">
        <v>1350</v>
      </c>
      <c r="D1487" s="351"/>
      <c r="E1487" s="24"/>
      <c r="F1487" s="351">
        <v>0</v>
      </c>
      <c r="G1487" s="351" t="s">
        <v>3311</v>
      </c>
      <c r="H1487" s="351"/>
      <c r="I1487" s="351" t="s">
        <v>2596</v>
      </c>
      <c r="J1487" s="560" t="s">
        <v>2328</v>
      </c>
      <c r="K1487" s="311">
        <v>163434.6</v>
      </c>
      <c r="L1487" s="311">
        <v>0</v>
      </c>
      <c r="M1487" s="311">
        <v>73450.000000000015</v>
      </c>
      <c r="N1487" s="311">
        <v>21494</v>
      </c>
      <c r="O1487" s="311">
        <v>15045.800000000001</v>
      </c>
      <c r="P1487" s="68">
        <f t="shared" si="303"/>
        <v>273424.40000000002</v>
      </c>
      <c r="Q1487" s="68">
        <f t="shared" si="304"/>
        <v>0</v>
      </c>
      <c r="R1487" s="127">
        <f t="shared" si="305"/>
        <v>0</v>
      </c>
      <c r="S1487" s="26"/>
    </row>
    <row r="1488" spans="1:19">
      <c r="A1488" s="24"/>
      <c r="B1488" s="25" t="s">
        <v>3625</v>
      </c>
      <c r="C1488" s="26" t="s">
        <v>1350</v>
      </c>
      <c r="D1488" s="351"/>
      <c r="E1488" s="24"/>
      <c r="F1488" s="351">
        <v>11</v>
      </c>
      <c r="G1488" s="351" t="s">
        <v>3310</v>
      </c>
      <c r="H1488" s="351"/>
      <c r="I1488" s="351" t="s">
        <v>2596</v>
      </c>
      <c r="J1488" s="560" t="s">
        <v>2328</v>
      </c>
      <c r="K1488" s="311">
        <v>52341.8</v>
      </c>
      <c r="L1488" s="311">
        <v>0</v>
      </c>
      <c r="M1488" s="311">
        <v>26366.666666666672</v>
      </c>
      <c r="N1488" s="311">
        <v>7135.3333333333348</v>
      </c>
      <c r="O1488" s="311">
        <v>4994.7333333333345</v>
      </c>
      <c r="P1488" s="68">
        <f t="shared" si="303"/>
        <v>90838.53333333334</v>
      </c>
      <c r="Q1488" s="68">
        <f t="shared" si="304"/>
        <v>0</v>
      </c>
      <c r="R1488" s="127">
        <f t="shared" si="305"/>
        <v>999223.8666666667</v>
      </c>
      <c r="S1488" s="26"/>
    </row>
    <row r="1489" spans="1:19">
      <c r="A1489" s="24"/>
      <c r="B1489" s="25" t="s">
        <v>3626</v>
      </c>
      <c r="C1489" s="26" t="s">
        <v>1350</v>
      </c>
      <c r="D1489" s="351"/>
      <c r="E1489" s="24"/>
      <c r="F1489" s="351">
        <v>1</v>
      </c>
      <c r="G1489" s="351" t="s">
        <v>3310</v>
      </c>
      <c r="H1489" s="351"/>
      <c r="I1489" s="351" t="s">
        <v>2596</v>
      </c>
      <c r="J1489" s="560" t="s">
        <v>2328</v>
      </c>
      <c r="K1489" s="311">
        <v>54478.200000000004</v>
      </c>
      <c r="L1489" s="311">
        <v>0</v>
      </c>
      <c r="M1489" s="311">
        <v>35595</v>
      </c>
      <c r="N1489" s="311">
        <v>8148</v>
      </c>
      <c r="O1489" s="311">
        <v>5703.6</v>
      </c>
      <c r="P1489" s="68">
        <f t="shared" si="303"/>
        <v>103924.80000000002</v>
      </c>
      <c r="Q1489" s="68">
        <f t="shared" si="304"/>
        <v>0</v>
      </c>
      <c r="R1489" s="127">
        <f t="shared" si="305"/>
        <v>103924.80000000002</v>
      </c>
      <c r="S1489" s="26"/>
    </row>
    <row r="1490" spans="1:19">
      <c r="A1490" s="24"/>
      <c r="B1490" s="25" t="s">
        <v>3627</v>
      </c>
      <c r="C1490" s="26" t="s">
        <v>1350</v>
      </c>
      <c r="D1490" s="351"/>
      <c r="E1490" s="24"/>
      <c r="F1490" s="351">
        <v>19</v>
      </c>
      <c r="G1490" s="351" t="s">
        <v>3310</v>
      </c>
      <c r="H1490" s="351"/>
      <c r="I1490" s="351" t="s">
        <v>2596</v>
      </c>
      <c r="J1490" s="560" t="s">
        <v>2328</v>
      </c>
      <c r="K1490" s="311">
        <v>55546.400000000001</v>
      </c>
      <c r="L1490" s="311">
        <v>0</v>
      </c>
      <c r="M1490" s="311">
        <v>29003.333333333339</v>
      </c>
      <c r="N1490" s="311">
        <v>7662.6666666666679</v>
      </c>
      <c r="O1490" s="311">
        <v>5363.8666666666677</v>
      </c>
      <c r="P1490" s="68">
        <f t="shared" si="303"/>
        <v>97576.266666666677</v>
      </c>
      <c r="Q1490" s="68">
        <f t="shared" si="304"/>
        <v>0</v>
      </c>
      <c r="R1490" s="127">
        <f t="shared" si="305"/>
        <v>1853949.0666666669</v>
      </c>
      <c r="S1490" s="26"/>
    </row>
    <row r="1491" spans="1:19">
      <c r="A1491" s="24"/>
      <c r="B1491" s="25" t="s">
        <v>3628</v>
      </c>
      <c r="C1491" s="26" t="s">
        <v>1350</v>
      </c>
      <c r="D1491" s="351"/>
      <c r="E1491" s="24"/>
      <c r="F1491" s="351">
        <v>28</v>
      </c>
      <c r="G1491" s="351" t="s">
        <v>3310</v>
      </c>
      <c r="H1491" s="351"/>
      <c r="I1491" s="351" t="s">
        <v>2596</v>
      </c>
      <c r="J1491" s="560" t="s">
        <v>2328</v>
      </c>
      <c r="K1491" s="311">
        <v>52341.8</v>
      </c>
      <c r="L1491" s="311">
        <v>0</v>
      </c>
      <c r="M1491" s="311">
        <v>26366.666666666672</v>
      </c>
      <c r="N1491" s="311">
        <v>7135.3333333333348</v>
      </c>
      <c r="O1491" s="311">
        <v>4994.7333333333345</v>
      </c>
      <c r="P1491" s="68">
        <f t="shared" si="303"/>
        <v>90838.53333333334</v>
      </c>
      <c r="Q1491" s="68">
        <f t="shared" si="304"/>
        <v>0</v>
      </c>
      <c r="R1491" s="127">
        <f t="shared" si="305"/>
        <v>2543478.9333333336</v>
      </c>
      <c r="S1491" s="26"/>
    </row>
    <row r="1492" spans="1:19">
      <c r="A1492" s="24"/>
      <c r="B1492" s="25" t="s">
        <v>3629</v>
      </c>
      <c r="C1492" s="26" t="s">
        <v>1350</v>
      </c>
      <c r="D1492" s="351"/>
      <c r="E1492" s="24"/>
      <c r="F1492" s="351">
        <v>17</v>
      </c>
      <c r="G1492" s="351" t="s">
        <v>3310</v>
      </c>
      <c r="H1492" s="351"/>
      <c r="I1492" s="351" t="s">
        <v>2596</v>
      </c>
      <c r="J1492" s="560" t="s">
        <v>2328</v>
      </c>
      <c r="K1492" s="311">
        <v>69433</v>
      </c>
      <c r="L1492" s="311">
        <v>0</v>
      </c>
      <c r="M1492" s="311">
        <v>35595</v>
      </c>
      <c r="N1492" s="311">
        <v>9520</v>
      </c>
      <c r="O1492" s="311">
        <v>6664.0000000000009</v>
      </c>
      <c r="P1492" s="68">
        <f t="shared" si="303"/>
        <v>121212</v>
      </c>
      <c r="Q1492" s="68">
        <f t="shared" si="304"/>
        <v>0</v>
      </c>
      <c r="R1492" s="127">
        <f t="shared" si="305"/>
        <v>2060604</v>
      </c>
      <c r="S1492" s="26"/>
    </row>
    <row r="1493" spans="1:19">
      <c r="A1493" s="24"/>
      <c r="B1493" s="25" t="s">
        <v>3630</v>
      </c>
      <c r="C1493" s="26" t="s">
        <v>1350</v>
      </c>
      <c r="D1493" s="351"/>
      <c r="E1493" s="24"/>
      <c r="F1493" s="351">
        <v>19</v>
      </c>
      <c r="G1493" s="351" t="s">
        <v>3310</v>
      </c>
      <c r="H1493" s="351"/>
      <c r="I1493" s="351" t="s">
        <v>2596</v>
      </c>
      <c r="J1493" s="560" t="s">
        <v>2328</v>
      </c>
      <c r="K1493" s="311">
        <v>65160.200000000004</v>
      </c>
      <c r="L1493" s="311">
        <v>0</v>
      </c>
      <c r="M1493" s="311">
        <v>32958.333333333336</v>
      </c>
      <c r="N1493" s="311">
        <v>8894.6666666666679</v>
      </c>
      <c r="O1493" s="311">
        <v>6226.2666666666673</v>
      </c>
      <c r="P1493" s="68">
        <f t="shared" si="303"/>
        <v>113239.46666666667</v>
      </c>
      <c r="Q1493" s="68">
        <f t="shared" si="304"/>
        <v>0</v>
      </c>
      <c r="R1493" s="127">
        <f t="shared" si="305"/>
        <v>2151549.8666666667</v>
      </c>
      <c r="S1493" s="26"/>
    </row>
    <row r="1494" spans="1:19">
      <c r="A1494" s="24"/>
      <c r="B1494" s="25" t="s">
        <v>3631</v>
      </c>
      <c r="C1494" s="26" t="s">
        <v>1350</v>
      </c>
      <c r="D1494" s="351"/>
      <c r="E1494" s="24"/>
      <c r="F1494" s="351">
        <v>2</v>
      </c>
      <c r="G1494" s="351" t="s">
        <v>3310</v>
      </c>
      <c r="H1494" s="351"/>
      <c r="I1494" s="351" t="s">
        <v>2596</v>
      </c>
      <c r="J1494" s="560" t="s">
        <v>2328</v>
      </c>
      <c r="K1494" s="311">
        <v>61955.600000000006</v>
      </c>
      <c r="L1494" s="311">
        <v>0</v>
      </c>
      <c r="M1494" s="311">
        <v>31640.000000000004</v>
      </c>
      <c r="N1494" s="311">
        <v>8484</v>
      </c>
      <c r="O1494" s="311">
        <v>5938.8</v>
      </c>
      <c r="P1494" s="68">
        <f t="shared" si="303"/>
        <v>108018.40000000001</v>
      </c>
      <c r="Q1494" s="68">
        <f t="shared" ref="Q1494:Q1516" si="306">D1494*P1494</f>
        <v>0</v>
      </c>
      <c r="R1494" s="127">
        <f t="shared" ref="R1494:R1516" si="307">F1494*P1494</f>
        <v>216036.80000000002</v>
      </c>
      <c r="S1494" s="26"/>
    </row>
    <row r="1495" spans="1:19">
      <c r="A1495" s="24"/>
      <c r="B1495" s="25" t="s">
        <v>3632</v>
      </c>
      <c r="C1495" s="26" t="s">
        <v>1350</v>
      </c>
      <c r="D1495" s="351"/>
      <c r="E1495" s="24"/>
      <c r="F1495" s="351">
        <v>1</v>
      </c>
      <c r="G1495" s="351" t="s">
        <v>3310</v>
      </c>
      <c r="H1495" s="351"/>
      <c r="I1495" s="351" t="s">
        <v>2596</v>
      </c>
      <c r="J1495" s="560" t="s">
        <v>2328</v>
      </c>
      <c r="K1495" s="311">
        <v>38455.200000000004</v>
      </c>
      <c r="L1495" s="311">
        <v>0</v>
      </c>
      <c r="M1495" s="311">
        <v>19775.000000000004</v>
      </c>
      <c r="N1495" s="311">
        <v>5278</v>
      </c>
      <c r="O1495" s="311">
        <v>3694.6000000000004</v>
      </c>
      <c r="P1495" s="68">
        <f t="shared" si="303"/>
        <v>67202.800000000017</v>
      </c>
      <c r="Q1495" s="68">
        <f t="shared" si="306"/>
        <v>0</v>
      </c>
      <c r="R1495" s="127">
        <f t="shared" si="307"/>
        <v>67202.800000000017</v>
      </c>
      <c r="S1495" s="26"/>
    </row>
    <row r="1496" spans="1:19">
      <c r="A1496" s="24"/>
      <c r="B1496" s="25" t="s">
        <v>3633</v>
      </c>
      <c r="C1496" s="26" t="s">
        <v>1350</v>
      </c>
      <c r="D1496" s="351"/>
      <c r="E1496" s="24"/>
      <c r="F1496" s="351">
        <v>8</v>
      </c>
      <c r="G1496" s="351" t="s">
        <v>3310</v>
      </c>
      <c r="H1496" s="351"/>
      <c r="I1496" s="351" t="s">
        <v>2596</v>
      </c>
      <c r="J1496" s="560" t="s">
        <v>2328</v>
      </c>
      <c r="K1496" s="311">
        <v>41659.800000000003</v>
      </c>
      <c r="L1496" s="311">
        <v>0</v>
      </c>
      <c r="M1496" s="311">
        <v>21093.333333333336</v>
      </c>
      <c r="N1496" s="311">
        <v>5688.6666666666679</v>
      </c>
      <c r="O1496" s="311">
        <v>3982.0666666666675</v>
      </c>
      <c r="P1496" s="68">
        <f t="shared" si="303"/>
        <v>72423.866666666669</v>
      </c>
      <c r="Q1496" s="68">
        <f t="shared" si="306"/>
        <v>0</v>
      </c>
      <c r="R1496" s="127">
        <f t="shared" si="307"/>
        <v>579390.93333333335</v>
      </c>
      <c r="S1496" s="26"/>
    </row>
    <row r="1497" spans="1:19">
      <c r="A1497" s="24"/>
      <c r="B1497" s="25" t="s">
        <v>3633</v>
      </c>
      <c r="C1497" s="26" t="s">
        <v>1350</v>
      </c>
      <c r="D1497" s="351"/>
      <c r="E1497" s="24"/>
      <c r="F1497" s="351">
        <v>3</v>
      </c>
      <c r="G1497" s="351" t="s">
        <v>3310</v>
      </c>
      <c r="H1497" s="351"/>
      <c r="I1497" s="351" t="s">
        <v>2596</v>
      </c>
      <c r="J1497" s="560" t="s">
        <v>2328</v>
      </c>
      <c r="K1497" s="311">
        <v>41659.800000000003</v>
      </c>
      <c r="L1497" s="311">
        <v>0</v>
      </c>
      <c r="M1497" s="311">
        <v>21093.333333333336</v>
      </c>
      <c r="N1497" s="311">
        <v>5688.6666666666679</v>
      </c>
      <c r="O1497" s="311">
        <v>3982.0666666666675</v>
      </c>
      <c r="P1497" s="68">
        <f t="shared" si="303"/>
        <v>72423.866666666669</v>
      </c>
      <c r="Q1497" s="68">
        <f t="shared" si="306"/>
        <v>0</v>
      </c>
      <c r="R1497" s="127">
        <f t="shared" si="307"/>
        <v>217271.6</v>
      </c>
      <c r="S1497" s="26"/>
    </row>
    <row r="1498" spans="1:19">
      <c r="A1498" s="24"/>
      <c r="B1498" s="25" t="s">
        <v>3634</v>
      </c>
      <c r="C1498" s="26" t="s">
        <v>1350</v>
      </c>
      <c r="D1498" s="351"/>
      <c r="E1498" s="24"/>
      <c r="F1498" s="351">
        <v>1</v>
      </c>
      <c r="G1498" s="351" t="s">
        <v>3310</v>
      </c>
      <c r="H1498" s="351"/>
      <c r="I1498" s="351" t="s">
        <v>2596</v>
      </c>
      <c r="J1498" s="560" t="s">
        <v>2328</v>
      </c>
      <c r="K1498" s="311">
        <v>69433</v>
      </c>
      <c r="L1498" s="311">
        <v>0</v>
      </c>
      <c r="M1498" s="311">
        <v>35595</v>
      </c>
      <c r="N1498" s="311">
        <v>9520</v>
      </c>
      <c r="O1498" s="311">
        <v>6664.0000000000009</v>
      </c>
      <c r="P1498" s="68">
        <f t="shared" si="303"/>
        <v>121212</v>
      </c>
      <c r="Q1498" s="68">
        <f t="shared" si="306"/>
        <v>0</v>
      </c>
      <c r="R1498" s="127">
        <f t="shared" si="307"/>
        <v>121212</v>
      </c>
      <c r="S1498" s="26"/>
    </row>
    <row r="1499" spans="1:19">
      <c r="A1499" s="24"/>
      <c r="B1499" s="25" t="s">
        <v>3635</v>
      </c>
      <c r="C1499" s="26" t="s">
        <v>1350</v>
      </c>
      <c r="D1499" s="351"/>
      <c r="E1499" s="24"/>
      <c r="F1499" s="351">
        <v>22</v>
      </c>
      <c r="G1499" s="351" t="s">
        <v>3310</v>
      </c>
      <c r="H1499" s="351"/>
      <c r="I1499" s="351" t="s">
        <v>2596</v>
      </c>
      <c r="J1499" s="560" t="s">
        <v>2328</v>
      </c>
      <c r="K1499" s="311">
        <v>38455.200000000004</v>
      </c>
      <c r="L1499" s="311">
        <v>0</v>
      </c>
      <c r="M1499" s="311">
        <v>31640.000000000004</v>
      </c>
      <c r="N1499" s="311">
        <v>6328</v>
      </c>
      <c r="O1499" s="311">
        <v>4429.6000000000004</v>
      </c>
      <c r="P1499" s="68">
        <f t="shared" si="303"/>
        <v>80852.800000000017</v>
      </c>
      <c r="Q1499" s="68">
        <f t="shared" si="306"/>
        <v>0</v>
      </c>
      <c r="R1499" s="127">
        <f t="shared" si="307"/>
        <v>1778761.6000000003</v>
      </c>
      <c r="S1499" s="26"/>
    </row>
    <row r="1500" spans="1:19">
      <c r="A1500" s="24"/>
      <c r="B1500" s="25" t="s">
        <v>3523</v>
      </c>
      <c r="C1500" s="26" t="s">
        <v>1350</v>
      </c>
      <c r="D1500" s="351"/>
      <c r="E1500" s="24"/>
      <c r="F1500" s="351">
        <v>12</v>
      </c>
      <c r="G1500" s="351" t="s">
        <v>3310</v>
      </c>
      <c r="H1500" s="351"/>
      <c r="I1500" s="351" t="s">
        <v>2596</v>
      </c>
      <c r="J1500" s="560" t="s">
        <v>2328</v>
      </c>
      <c r="K1500" s="311">
        <v>38455.200000000004</v>
      </c>
      <c r="L1500" s="311">
        <v>0</v>
      </c>
      <c r="M1500" s="311">
        <v>35595</v>
      </c>
      <c r="N1500" s="311">
        <v>6678</v>
      </c>
      <c r="O1500" s="311">
        <v>4674.6000000000004</v>
      </c>
      <c r="P1500" s="68">
        <f t="shared" si="303"/>
        <v>85402.800000000017</v>
      </c>
      <c r="Q1500" s="68">
        <f t="shared" si="306"/>
        <v>0</v>
      </c>
      <c r="R1500" s="127">
        <f t="shared" si="307"/>
        <v>1024833.6000000002</v>
      </c>
      <c r="S1500" s="26"/>
    </row>
    <row r="1501" spans="1:19">
      <c r="A1501" s="24"/>
      <c r="B1501" s="25" t="s">
        <v>3636</v>
      </c>
      <c r="C1501" s="26" t="s">
        <v>1350</v>
      </c>
      <c r="D1501" s="351"/>
      <c r="E1501" s="24"/>
      <c r="F1501" s="351">
        <v>9</v>
      </c>
      <c r="G1501" s="351" t="s">
        <v>3310</v>
      </c>
      <c r="H1501" s="351"/>
      <c r="I1501" s="351" t="s">
        <v>2596</v>
      </c>
      <c r="J1501" s="560" t="s">
        <v>2328</v>
      </c>
      <c r="K1501" s="311">
        <v>48069</v>
      </c>
      <c r="L1501" s="311">
        <v>0</v>
      </c>
      <c r="M1501" s="311">
        <v>22411.666666666672</v>
      </c>
      <c r="N1501" s="311">
        <v>6393.3333333333339</v>
      </c>
      <c r="O1501" s="311">
        <v>4475.3333333333339</v>
      </c>
      <c r="P1501" s="68">
        <f t="shared" si="303"/>
        <v>81349.333333333328</v>
      </c>
      <c r="Q1501" s="68">
        <f t="shared" si="306"/>
        <v>0</v>
      </c>
      <c r="R1501" s="127">
        <f t="shared" si="307"/>
        <v>732144</v>
      </c>
      <c r="S1501" s="26"/>
    </row>
    <row r="1502" spans="1:19">
      <c r="A1502" s="24"/>
      <c r="B1502" s="25" t="s">
        <v>3637</v>
      </c>
      <c r="C1502" s="26" t="s">
        <v>1350</v>
      </c>
      <c r="D1502" s="351"/>
      <c r="E1502" s="24"/>
      <c r="F1502" s="351">
        <v>8</v>
      </c>
      <c r="G1502" s="351" t="s">
        <v>3310</v>
      </c>
      <c r="H1502" s="351"/>
      <c r="I1502" s="351" t="s">
        <v>2596</v>
      </c>
      <c r="J1502" s="560" t="s">
        <v>2328</v>
      </c>
      <c r="K1502" s="311">
        <v>38455.200000000004</v>
      </c>
      <c r="L1502" s="311">
        <v>0</v>
      </c>
      <c r="M1502" s="311">
        <v>43505.000000000007</v>
      </c>
      <c r="N1502" s="311">
        <v>7378</v>
      </c>
      <c r="O1502" s="311">
        <v>5164.6000000000004</v>
      </c>
      <c r="P1502" s="68">
        <f t="shared" si="303"/>
        <v>94502.800000000017</v>
      </c>
      <c r="Q1502" s="68">
        <f t="shared" si="306"/>
        <v>0</v>
      </c>
      <c r="R1502" s="127">
        <f t="shared" si="307"/>
        <v>756022.40000000014</v>
      </c>
      <c r="S1502" s="26"/>
    </row>
    <row r="1503" spans="1:19">
      <c r="A1503" s="24"/>
      <c r="B1503" s="25" t="s">
        <v>3638</v>
      </c>
      <c r="C1503" s="26" t="s">
        <v>1350</v>
      </c>
      <c r="D1503" s="351"/>
      <c r="E1503" s="24"/>
      <c r="F1503" s="351">
        <v>20</v>
      </c>
      <c r="G1503" s="351" t="s">
        <v>3310</v>
      </c>
      <c r="H1503" s="351"/>
      <c r="I1503" s="351" t="s">
        <v>2596</v>
      </c>
      <c r="J1503" s="560" t="s">
        <v>2328</v>
      </c>
      <c r="K1503" s="311">
        <v>38455.200000000004</v>
      </c>
      <c r="L1503" s="311">
        <v>0</v>
      </c>
      <c r="M1503" s="311">
        <v>39550.000000000007</v>
      </c>
      <c r="N1503" s="311">
        <v>7028</v>
      </c>
      <c r="O1503" s="311">
        <v>4919.6000000000004</v>
      </c>
      <c r="P1503" s="68">
        <f t="shared" si="303"/>
        <v>89952.800000000017</v>
      </c>
      <c r="Q1503" s="68">
        <f t="shared" si="306"/>
        <v>0</v>
      </c>
      <c r="R1503" s="127">
        <f t="shared" si="307"/>
        <v>1799056.0000000005</v>
      </c>
      <c r="S1503" s="26"/>
    </row>
    <row r="1504" spans="1:19">
      <c r="A1504" s="24"/>
      <c r="B1504" s="25" t="s">
        <v>3639</v>
      </c>
      <c r="C1504" s="26" t="s">
        <v>1350</v>
      </c>
      <c r="D1504" s="351"/>
      <c r="E1504" s="24"/>
      <c r="F1504" s="351">
        <v>1</v>
      </c>
      <c r="G1504" s="351" t="s">
        <v>3310</v>
      </c>
      <c r="H1504" s="351"/>
      <c r="I1504" s="351" t="s">
        <v>2596</v>
      </c>
      <c r="J1504" s="560" t="s">
        <v>2328</v>
      </c>
      <c r="K1504" s="311">
        <v>38455.200000000004</v>
      </c>
      <c r="L1504" s="311">
        <v>0</v>
      </c>
      <c r="M1504" s="311">
        <v>35595</v>
      </c>
      <c r="N1504" s="311">
        <v>6678</v>
      </c>
      <c r="O1504" s="311">
        <v>4674.6000000000004</v>
      </c>
      <c r="P1504" s="68">
        <f t="shared" si="303"/>
        <v>85402.800000000017</v>
      </c>
      <c r="Q1504" s="68">
        <f t="shared" si="306"/>
        <v>0</v>
      </c>
      <c r="R1504" s="127">
        <f t="shared" si="307"/>
        <v>85402.800000000017</v>
      </c>
      <c r="S1504" s="26"/>
    </row>
    <row r="1505" spans="1:19">
      <c r="A1505" s="24"/>
      <c r="B1505" s="25" t="s">
        <v>3640</v>
      </c>
      <c r="C1505" s="26" t="s">
        <v>1350</v>
      </c>
      <c r="D1505" s="351"/>
      <c r="E1505" s="24"/>
      <c r="F1505" s="351">
        <v>18</v>
      </c>
      <c r="G1505" s="351" t="s">
        <v>3310</v>
      </c>
      <c r="H1505" s="351"/>
      <c r="I1505" s="351" t="s">
        <v>2596</v>
      </c>
      <c r="J1505" s="560" t="s">
        <v>2328</v>
      </c>
      <c r="K1505" s="311">
        <v>38455.200000000004</v>
      </c>
      <c r="L1505" s="311">
        <v>0</v>
      </c>
      <c r="M1505" s="311">
        <v>26366.666666666672</v>
      </c>
      <c r="N1505" s="311">
        <v>5861.3333333333339</v>
      </c>
      <c r="O1505" s="311">
        <v>4102.9333333333343</v>
      </c>
      <c r="P1505" s="68">
        <f t="shared" si="303"/>
        <v>74786.133333333346</v>
      </c>
      <c r="Q1505" s="68">
        <f t="shared" si="306"/>
        <v>0</v>
      </c>
      <c r="R1505" s="127">
        <f t="shared" si="307"/>
        <v>1346150.4000000001</v>
      </c>
      <c r="S1505" s="26"/>
    </row>
    <row r="1506" spans="1:19">
      <c r="A1506" s="24"/>
      <c r="B1506" s="25" t="s">
        <v>3641</v>
      </c>
      <c r="C1506" s="26" t="s">
        <v>1350</v>
      </c>
      <c r="D1506" s="351"/>
      <c r="E1506" s="24"/>
      <c r="F1506" s="351">
        <v>1</v>
      </c>
      <c r="G1506" s="351" t="s">
        <v>3310</v>
      </c>
      <c r="H1506" s="351"/>
      <c r="I1506" s="351" t="s">
        <v>2596</v>
      </c>
      <c r="J1506" s="560" t="s">
        <v>2328</v>
      </c>
      <c r="K1506" s="311">
        <v>38455.200000000004</v>
      </c>
      <c r="L1506" s="311">
        <v>0</v>
      </c>
      <c r="M1506" s="311">
        <v>23730.000000000004</v>
      </c>
      <c r="N1506" s="311">
        <v>5628</v>
      </c>
      <c r="O1506" s="311">
        <v>3939.6000000000004</v>
      </c>
      <c r="P1506" s="68">
        <f t="shared" si="303"/>
        <v>71752.800000000017</v>
      </c>
      <c r="Q1506" s="68">
        <f t="shared" si="306"/>
        <v>0</v>
      </c>
      <c r="R1506" s="127">
        <f t="shared" si="307"/>
        <v>71752.800000000017</v>
      </c>
      <c r="S1506" s="26"/>
    </row>
    <row r="1507" spans="1:19">
      <c r="A1507" s="24"/>
      <c r="B1507" s="25" t="s">
        <v>3642</v>
      </c>
      <c r="C1507" s="26" t="s">
        <v>1350</v>
      </c>
      <c r="D1507" s="351"/>
      <c r="E1507" s="24"/>
      <c r="F1507" s="351">
        <v>2</v>
      </c>
      <c r="G1507" s="351" t="s">
        <v>3310</v>
      </c>
      <c r="H1507" s="351"/>
      <c r="I1507" s="351" t="s">
        <v>2596</v>
      </c>
      <c r="J1507" s="560" t="s">
        <v>2328</v>
      </c>
      <c r="K1507" s="311">
        <v>49137.200000000004</v>
      </c>
      <c r="L1507" s="311">
        <v>0</v>
      </c>
      <c r="M1507" s="311">
        <v>66387.5</v>
      </c>
      <c r="N1507" s="311">
        <v>10383</v>
      </c>
      <c r="O1507" s="311">
        <v>7268.1</v>
      </c>
      <c r="P1507" s="68">
        <f t="shared" si="303"/>
        <v>133175.80000000002</v>
      </c>
      <c r="Q1507" s="68">
        <f t="shared" si="306"/>
        <v>0</v>
      </c>
      <c r="R1507" s="127">
        <f t="shared" si="307"/>
        <v>266351.60000000003</v>
      </c>
      <c r="S1507" s="26"/>
    </row>
    <row r="1508" spans="1:19">
      <c r="A1508" s="24"/>
      <c r="B1508" s="25" t="s">
        <v>3643</v>
      </c>
      <c r="C1508" s="26" t="s">
        <v>1350</v>
      </c>
      <c r="D1508" s="351"/>
      <c r="E1508" s="24"/>
      <c r="F1508" s="351">
        <v>7</v>
      </c>
      <c r="G1508" s="351" t="s">
        <v>3310</v>
      </c>
      <c r="H1508" s="351"/>
      <c r="I1508" s="351" t="s">
        <v>2596</v>
      </c>
      <c r="J1508" s="560" t="s">
        <v>2328</v>
      </c>
      <c r="K1508" s="311">
        <v>38455.200000000004</v>
      </c>
      <c r="L1508" s="311">
        <v>0</v>
      </c>
      <c r="M1508" s="311">
        <v>43505.000000000007</v>
      </c>
      <c r="N1508" s="311">
        <v>7378</v>
      </c>
      <c r="O1508" s="311">
        <v>5164.6000000000004</v>
      </c>
      <c r="P1508" s="68">
        <f t="shared" si="303"/>
        <v>94502.800000000017</v>
      </c>
      <c r="Q1508" s="68">
        <f t="shared" si="306"/>
        <v>0</v>
      </c>
      <c r="R1508" s="127">
        <f t="shared" si="307"/>
        <v>661519.60000000009</v>
      </c>
      <c r="S1508" s="26"/>
    </row>
    <row r="1509" spans="1:19">
      <c r="A1509" s="24"/>
      <c r="B1509" s="25" t="s">
        <v>3644</v>
      </c>
      <c r="C1509" s="26" t="s">
        <v>1350</v>
      </c>
      <c r="D1509" s="351"/>
      <c r="E1509" s="24"/>
      <c r="F1509" s="351">
        <v>3</v>
      </c>
      <c r="G1509" s="351" t="s">
        <v>3310</v>
      </c>
      <c r="H1509" s="351"/>
      <c r="I1509" s="351" t="s">
        <v>2596</v>
      </c>
      <c r="J1509" s="560" t="s">
        <v>2328</v>
      </c>
      <c r="K1509" s="311">
        <v>40591.600000000006</v>
      </c>
      <c r="L1509" s="311">
        <v>0</v>
      </c>
      <c r="M1509" s="311">
        <v>50096.666666666672</v>
      </c>
      <c r="N1509" s="311">
        <v>8157.3333333333348</v>
      </c>
      <c r="O1509" s="311">
        <v>5710.1333333333341</v>
      </c>
      <c r="P1509" s="68">
        <f t="shared" si="303"/>
        <v>104555.73333333334</v>
      </c>
      <c r="Q1509" s="68">
        <f t="shared" si="306"/>
        <v>0</v>
      </c>
      <c r="R1509" s="127">
        <f t="shared" si="307"/>
        <v>313667.20000000001</v>
      </c>
      <c r="S1509" s="26"/>
    </row>
    <row r="1510" spans="1:19">
      <c r="A1510" s="24"/>
      <c r="B1510" s="25" t="s">
        <v>3645</v>
      </c>
      <c r="C1510" s="26" t="s">
        <v>1350</v>
      </c>
      <c r="D1510" s="351"/>
      <c r="E1510" s="24"/>
      <c r="F1510" s="351">
        <v>2</v>
      </c>
      <c r="G1510" s="351" t="s">
        <v>3310</v>
      </c>
      <c r="H1510" s="351"/>
      <c r="I1510" s="351" t="s">
        <v>2596</v>
      </c>
      <c r="J1510" s="560" t="s">
        <v>2328</v>
      </c>
      <c r="K1510" s="311">
        <v>61955.600000000006</v>
      </c>
      <c r="L1510" s="311">
        <v>0</v>
      </c>
      <c r="M1510" s="311">
        <v>44823.333333333343</v>
      </c>
      <c r="N1510" s="311">
        <v>9650.6666666666679</v>
      </c>
      <c r="O1510" s="311">
        <v>6755.4666666666681</v>
      </c>
      <c r="P1510" s="68">
        <f t="shared" si="303"/>
        <v>123185.06666666669</v>
      </c>
      <c r="Q1510" s="68">
        <f t="shared" si="306"/>
        <v>0</v>
      </c>
      <c r="R1510" s="127">
        <f t="shared" si="307"/>
        <v>246370.13333333339</v>
      </c>
      <c r="S1510" s="26"/>
    </row>
    <row r="1511" spans="1:19">
      <c r="A1511" s="24"/>
      <c r="B1511" s="25" t="s">
        <v>3646</v>
      </c>
      <c r="C1511" s="26" t="s">
        <v>1350</v>
      </c>
      <c r="D1511" s="351"/>
      <c r="E1511" s="24"/>
      <c r="F1511" s="351">
        <v>19</v>
      </c>
      <c r="G1511" s="351" t="s">
        <v>3310</v>
      </c>
      <c r="H1511" s="351"/>
      <c r="I1511" s="351" t="s">
        <v>2596</v>
      </c>
      <c r="J1511" s="560" t="s">
        <v>2328</v>
      </c>
      <c r="K1511" s="311">
        <v>55546.400000000001</v>
      </c>
      <c r="L1511" s="311">
        <v>0</v>
      </c>
      <c r="M1511" s="311">
        <v>32958.333333333336</v>
      </c>
      <c r="N1511" s="311">
        <v>8012.6666666666679</v>
      </c>
      <c r="O1511" s="311">
        <v>5608.8666666666677</v>
      </c>
      <c r="P1511" s="68">
        <f t="shared" si="303"/>
        <v>102126.26666666668</v>
      </c>
      <c r="Q1511" s="68">
        <f t="shared" si="306"/>
        <v>0</v>
      </c>
      <c r="R1511" s="127">
        <f t="shared" si="307"/>
        <v>1940399.0666666669</v>
      </c>
      <c r="S1511" s="26"/>
    </row>
    <row r="1512" spans="1:19">
      <c r="A1512" s="24"/>
      <c r="B1512" s="25" t="s">
        <v>3647</v>
      </c>
      <c r="C1512" s="26" t="s">
        <v>1350</v>
      </c>
      <c r="D1512" s="351"/>
      <c r="E1512" s="24"/>
      <c r="F1512" s="351">
        <v>2</v>
      </c>
      <c r="G1512" s="351" t="s">
        <v>3310</v>
      </c>
      <c r="H1512" s="351"/>
      <c r="I1512" s="351" t="s">
        <v>2596</v>
      </c>
      <c r="J1512" s="560" t="s">
        <v>2328</v>
      </c>
      <c r="K1512" s="311">
        <v>38455.200000000004</v>
      </c>
      <c r="L1512" s="311">
        <v>0</v>
      </c>
      <c r="M1512" s="311">
        <v>11865.000000000002</v>
      </c>
      <c r="N1512" s="311">
        <v>4578</v>
      </c>
      <c r="O1512" s="311">
        <v>3204.6000000000004</v>
      </c>
      <c r="P1512" s="68">
        <f t="shared" si="303"/>
        <v>58102.8</v>
      </c>
      <c r="Q1512" s="68">
        <f t="shared" si="306"/>
        <v>0</v>
      </c>
      <c r="R1512" s="127">
        <f t="shared" si="307"/>
        <v>116205.6</v>
      </c>
      <c r="S1512" s="26"/>
    </row>
    <row r="1513" spans="1:19">
      <c r="A1513" s="24"/>
      <c r="B1513" s="25" t="s">
        <v>3648</v>
      </c>
      <c r="C1513" s="26" t="s">
        <v>1350</v>
      </c>
      <c r="D1513" s="351"/>
      <c r="E1513" s="24"/>
      <c r="F1513" s="351">
        <v>2</v>
      </c>
      <c r="G1513" s="351" t="s">
        <v>3310</v>
      </c>
      <c r="H1513" s="351"/>
      <c r="I1513" s="351" t="s">
        <v>2596</v>
      </c>
      <c r="J1513" s="560" t="s">
        <v>2328</v>
      </c>
      <c r="K1513" s="311">
        <v>42728</v>
      </c>
      <c r="L1513" s="311">
        <v>0</v>
      </c>
      <c r="M1513" s="311">
        <v>52733.333333333343</v>
      </c>
      <c r="N1513" s="311">
        <v>8586.6666666666679</v>
      </c>
      <c r="O1513" s="311">
        <v>6010.6666666666679</v>
      </c>
      <c r="P1513" s="68">
        <f t="shared" si="303"/>
        <v>110058.66666666669</v>
      </c>
      <c r="Q1513" s="68">
        <f t="shared" si="306"/>
        <v>0</v>
      </c>
      <c r="R1513" s="127">
        <f t="shared" si="307"/>
        <v>220117.33333333337</v>
      </c>
      <c r="S1513" s="26"/>
    </row>
    <row r="1514" spans="1:19">
      <c r="A1514" s="24"/>
      <c r="B1514" s="25" t="s">
        <v>3649</v>
      </c>
      <c r="C1514" s="26" t="s">
        <v>1350</v>
      </c>
      <c r="D1514" s="351"/>
      <c r="E1514" s="24"/>
      <c r="F1514" s="351">
        <v>6</v>
      </c>
      <c r="G1514" s="351" t="s">
        <v>3310</v>
      </c>
      <c r="H1514" s="351"/>
      <c r="I1514" s="351" t="s">
        <v>2596</v>
      </c>
      <c r="J1514" s="560" t="s">
        <v>2328</v>
      </c>
      <c r="K1514" s="311">
        <v>38455.200000000004</v>
      </c>
      <c r="L1514" s="311">
        <v>0</v>
      </c>
      <c r="M1514" s="311">
        <v>27685.000000000004</v>
      </c>
      <c r="N1514" s="311">
        <v>5978</v>
      </c>
      <c r="O1514" s="311">
        <v>4184.6000000000004</v>
      </c>
      <c r="P1514" s="68">
        <f t="shared" si="303"/>
        <v>76302.800000000017</v>
      </c>
      <c r="Q1514" s="68">
        <f t="shared" si="306"/>
        <v>0</v>
      </c>
      <c r="R1514" s="127">
        <f t="shared" si="307"/>
        <v>457816.8000000001</v>
      </c>
      <c r="S1514" s="26"/>
    </row>
    <row r="1515" spans="1:19">
      <c r="A1515" s="24"/>
      <c r="B1515" s="25" t="s">
        <v>3650</v>
      </c>
      <c r="C1515" s="26" t="s">
        <v>1350</v>
      </c>
      <c r="D1515" s="351"/>
      <c r="E1515" s="24"/>
      <c r="F1515" s="351">
        <v>1</v>
      </c>
      <c r="G1515" s="351" t="s">
        <v>3310</v>
      </c>
      <c r="H1515" s="351"/>
      <c r="I1515" s="351" t="s">
        <v>2596</v>
      </c>
      <c r="J1515" s="560" t="s">
        <v>2328</v>
      </c>
      <c r="K1515" s="311">
        <v>77978.600000000006</v>
      </c>
      <c r="L1515" s="311">
        <v>0</v>
      </c>
      <c r="M1515" s="311">
        <v>89034.583333333343</v>
      </c>
      <c r="N1515" s="311">
        <v>15033.16666666667</v>
      </c>
      <c r="O1515" s="311">
        <v>10523.216666666669</v>
      </c>
      <c r="P1515" s="68">
        <f t="shared" si="303"/>
        <v>192569.56666666668</v>
      </c>
      <c r="Q1515" s="68">
        <f t="shared" si="306"/>
        <v>0</v>
      </c>
      <c r="R1515" s="127">
        <f t="shared" si="307"/>
        <v>192569.56666666668</v>
      </c>
      <c r="S1515" s="26"/>
    </row>
    <row r="1516" spans="1:19">
      <c r="A1516" s="24"/>
      <c r="B1516" s="25" t="s">
        <v>3651</v>
      </c>
      <c r="C1516" s="26" t="s">
        <v>1350</v>
      </c>
      <c r="D1516" s="351"/>
      <c r="E1516" s="24"/>
      <c r="F1516" s="351">
        <v>2</v>
      </c>
      <c r="G1516" s="351" t="s">
        <v>3310</v>
      </c>
      <c r="H1516" s="351"/>
      <c r="I1516" s="351" t="s">
        <v>2596</v>
      </c>
      <c r="J1516" s="560" t="s">
        <v>2328</v>
      </c>
      <c r="K1516" s="311">
        <v>38455.200000000004</v>
      </c>
      <c r="L1516" s="311">
        <v>0</v>
      </c>
      <c r="M1516" s="311">
        <v>47460.000000000007</v>
      </c>
      <c r="N1516" s="311">
        <v>7728</v>
      </c>
      <c r="O1516" s="311">
        <v>5409.6</v>
      </c>
      <c r="P1516" s="68">
        <f t="shared" si="303"/>
        <v>99052.800000000017</v>
      </c>
      <c r="Q1516" s="68">
        <f t="shared" si="306"/>
        <v>0</v>
      </c>
      <c r="R1516" s="127">
        <f t="shared" si="307"/>
        <v>198105.60000000003</v>
      </c>
      <c r="S1516" s="26"/>
    </row>
    <row r="1517" spans="1:19" ht="57">
      <c r="A1517" s="73"/>
      <c r="B1517" s="72" t="s">
        <v>1377</v>
      </c>
      <c r="C1517" s="24"/>
      <c r="D1517" s="351"/>
      <c r="E1517" s="24"/>
      <c r="F1517" s="351"/>
      <c r="G1517" s="26"/>
      <c r="H1517" s="26"/>
      <c r="I1517" s="26"/>
      <c r="J1517" s="559"/>
      <c r="K1517" s="66"/>
      <c r="L1517" s="66"/>
      <c r="M1517" s="66"/>
      <c r="N1517" s="66"/>
      <c r="O1517" s="66"/>
      <c r="P1517" s="66"/>
      <c r="Q1517" s="66"/>
      <c r="R1517" s="66"/>
      <c r="S1517" s="26"/>
    </row>
    <row r="1518" spans="1:19" ht="45">
      <c r="A1518" s="24"/>
      <c r="B1518" s="25" t="s">
        <v>3551</v>
      </c>
      <c r="C1518" s="26" t="s">
        <v>1350</v>
      </c>
      <c r="D1518" s="351"/>
      <c r="E1518" s="24"/>
      <c r="F1518" s="351">
        <v>3</v>
      </c>
      <c r="G1518" s="351" t="s">
        <v>3314</v>
      </c>
      <c r="H1518" s="351"/>
      <c r="I1518" s="351" t="s">
        <v>2596</v>
      </c>
      <c r="J1518" s="560" t="s">
        <v>2328</v>
      </c>
      <c r="K1518" s="311">
        <v>2575430.2000000002</v>
      </c>
      <c r="L1518" s="311">
        <v>0</v>
      </c>
      <c r="M1518" s="311">
        <v>651445.00000000012</v>
      </c>
      <c r="N1518" s="311">
        <v>293928</v>
      </c>
      <c r="O1518" s="311">
        <v>205749.6</v>
      </c>
      <c r="P1518" s="68">
        <f t="shared" ref="P1518:P1522" si="308">SUM(K1518:O1518)</f>
        <v>3726552.8000000003</v>
      </c>
      <c r="Q1518" s="68">
        <f>D1518*P1518</f>
        <v>0</v>
      </c>
      <c r="R1518" s="127">
        <f>F1518*P1518</f>
        <v>11179658.4</v>
      </c>
      <c r="S1518" s="26"/>
    </row>
    <row r="1519" spans="1:19" ht="45">
      <c r="A1519" s="24"/>
      <c r="B1519" s="25" t="s">
        <v>3552</v>
      </c>
      <c r="C1519" s="26" t="s">
        <v>1350</v>
      </c>
      <c r="D1519" s="351"/>
      <c r="E1519" s="24"/>
      <c r="F1519" s="351"/>
      <c r="G1519" s="351" t="s">
        <v>3314</v>
      </c>
      <c r="H1519" s="351"/>
      <c r="I1519" s="351" t="s">
        <v>2596</v>
      </c>
      <c r="J1519" s="560" t="s">
        <v>2328</v>
      </c>
      <c r="K1519" s="311">
        <v>2575430.2000000002</v>
      </c>
      <c r="L1519" s="311">
        <v>0</v>
      </c>
      <c r="M1519" s="311">
        <v>603985.00000000012</v>
      </c>
      <c r="N1519" s="311">
        <v>289728</v>
      </c>
      <c r="O1519" s="311">
        <v>202809.60000000001</v>
      </c>
      <c r="P1519" s="68">
        <f t="shared" si="308"/>
        <v>3671952.8000000003</v>
      </c>
      <c r="Q1519" s="68">
        <f>D1519*P1519</f>
        <v>0</v>
      </c>
      <c r="R1519" s="127">
        <f>F1519*P1519</f>
        <v>0</v>
      </c>
      <c r="S1519" s="331"/>
    </row>
    <row r="1520" spans="1:19" ht="45">
      <c r="A1520" s="24"/>
      <c r="B1520" s="25" t="s">
        <v>3553</v>
      </c>
      <c r="C1520" s="26" t="s">
        <v>1350</v>
      </c>
      <c r="D1520" s="351"/>
      <c r="E1520" s="24"/>
      <c r="F1520" s="351">
        <v>8</v>
      </c>
      <c r="G1520" s="351" t="s">
        <v>3328</v>
      </c>
      <c r="H1520" s="351"/>
      <c r="I1520" s="351" t="s">
        <v>2596</v>
      </c>
      <c r="J1520" s="560" t="s">
        <v>2328</v>
      </c>
      <c r="K1520" s="311">
        <v>2398109</v>
      </c>
      <c r="L1520" s="311">
        <v>0</v>
      </c>
      <c r="M1520" s="311">
        <v>554717</v>
      </c>
      <c r="N1520" s="311">
        <v>269100</v>
      </c>
      <c r="O1520" s="311">
        <v>188370.00000000003</v>
      </c>
      <c r="P1520" s="68">
        <f t="shared" si="308"/>
        <v>3410296</v>
      </c>
      <c r="Q1520" s="68">
        <f>D1520*P1520</f>
        <v>0</v>
      </c>
      <c r="R1520" s="127">
        <f>F1520*P1520</f>
        <v>27282368</v>
      </c>
      <c r="S1520" s="26"/>
    </row>
    <row r="1521" spans="1:19" ht="45">
      <c r="A1521" s="24"/>
      <c r="B1521" s="25" t="s">
        <v>3554</v>
      </c>
      <c r="C1521" s="26" t="s">
        <v>1350</v>
      </c>
      <c r="D1521" s="351"/>
      <c r="E1521" s="24"/>
      <c r="F1521" s="351">
        <v>2</v>
      </c>
      <c r="G1521" s="351" t="s">
        <v>3329</v>
      </c>
      <c r="H1521" s="351"/>
      <c r="I1521" s="351" t="s">
        <v>2596</v>
      </c>
      <c r="J1521" s="560" t="s">
        <v>2328</v>
      </c>
      <c r="K1521" s="311">
        <v>2801888.6</v>
      </c>
      <c r="L1521" s="311">
        <v>0</v>
      </c>
      <c r="M1521" s="311">
        <v>700882.50000000012</v>
      </c>
      <c r="N1521" s="311">
        <v>319079</v>
      </c>
      <c r="O1521" s="311">
        <v>223355.30000000002</v>
      </c>
      <c r="P1521" s="68">
        <f t="shared" si="308"/>
        <v>4045205.4</v>
      </c>
      <c r="Q1521" s="68">
        <f>D1521*P1521</f>
        <v>0</v>
      </c>
      <c r="R1521" s="127">
        <f>F1521*P1521</f>
        <v>8090410.7999999998</v>
      </c>
      <c r="S1521" s="26"/>
    </row>
    <row r="1522" spans="1:19" ht="45">
      <c r="A1522" s="24"/>
      <c r="B1522" s="25" t="s">
        <v>3555</v>
      </c>
      <c r="C1522" s="26" t="s">
        <v>1350</v>
      </c>
      <c r="D1522" s="351"/>
      <c r="E1522" s="24"/>
      <c r="F1522" s="351">
        <v>8</v>
      </c>
      <c r="G1522" s="351" t="s">
        <v>3556</v>
      </c>
      <c r="H1522" s="351"/>
      <c r="I1522" s="351" t="s">
        <v>2596</v>
      </c>
      <c r="J1522" s="560" t="s">
        <v>2328</v>
      </c>
      <c r="K1522" s="311">
        <v>5140178.4000000004</v>
      </c>
      <c r="L1522" s="311">
        <v>0</v>
      </c>
      <c r="M1522" s="311">
        <v>1696695.0000000002</v>
      </c>
      <c r="N1522" s="311">
        <v>621726</v>
      </c>
      <c r="O1522" s="311">
        <v>435208.20000000007</v>
      </c>
      <c r="P1522" s="68">
        <f t="shared" si="308"/>
        <v>7893807.6000000006</v>
      </c>
      <c r="Q1522" s="68">
        <f>D1522*P1522</f>
        <v>0</v>
      </c>
      <c r="R1522" s="127">
        <f>F1522*P1522</f>
        <v>63150460.800000004</v>
      </c>
      <c r="S1522" s="26"/>
    </row>
    <row r="1523" spans="1:19">
      <c r="A1523" s="24"/>
      <c r="B1523" s="27" t="s">
        <v>3569</v>
      </c>
      <c r="C1523" s="24"/>
      <c r="D1523" s="351"/>
      <c r="E1523" s="24"/>
      <c r="F1523" s="351"/>
      <c r="G1523" s="26"/>
      <c r="H1523" s="26"/>
      <c r="I1523" s="26"/>
      <c r="J1523" s="559"/>
      <c r="K1523" s="66"/>
      <c r="L1523" s="66"/>
      <c r="M1523" s="66"/>
      <c r="N1523" s="66"/>
      <c r="O1523" s="66"/>
      <c r="P1523" s="66"/>
      <c r="Q1523" s="66"/>
      <c r="R1523" s="66"/>
      <c r="S1523" s="26"/>
    </row>
    <row r="1524" spans="1:19">
      <c r="A1524" s="24"/>
      <c r="B1524" s="25" t="s">
        <v>3570</v>
      </c>
      <c r="C1524" s="26" t="s">
        <v>1350</v>
      </c>
      <c r="D1524" s="351"/>
      <c r="E1524" s="24"/>
      <c r="F1524" s="351">
        <v>1</v>
      </c>
      <c r="G1524" s="351" t="s">
        <v>3310</v>
      </c>
      <c r="H1524" s="351"/>
      <c r="I1524" s="351" t="s">
        <v>2596</v>
      </c>
      <c r="J1524" s="560" t="s">
        <v>2328</v>
      </c>
      <c r="K1524" s="311">
        <v>131388.6</v>
      </c>
      <c r="L1524" s="311">
        <v>0</v>
      </c>
      <c r="M1524" s="311">
        <v>85691.666666666686</v>
      </c>
      <c r="N1524" s="311">
        <v>19637.333333333336</v>
      </c>
      <c r="O1524" s="311">
        <v>13746.133333333335</v>
      </c>
      <c r="P1524" s="68">
        <f t="shared" ref="P1524:P1529" si="309">SUM(K1524:O1524)</f>
        <v>250463.73333333337</v>
      </c>
      <c r="Q1524" s="68">
        <f t="shared" ref="Q1524:Q1529" si="310">D1524*P1524</f>
        <v>0</v>
      </c>
      <c r="R1524" s="127">
        <f t="shared" ref="R1524:R1529" si="311">F1524*P1524</f>
        <v>250463.73333333337</v>
      </c>
      <c r="S1524" s="26"/>
    </row>
    <row r="1525" spans="1:19">
      <c r="A1525" s="24"/>
      <c r="B1525" s="25" t="s">
        <v>3571</v>
      </c>
      <c r="C1525" s="26" t="s">
        <v>1350</v>
      </c>
      <c r="D1525" s="351"/>
      <c r="E1525" s="24"/>
      <c r="F1525" s="351">
        <v>1</v>
      </c>
      <c r="G1525" s="351" t="s">
        <v>3310</v>
      </c>
      <c r="H1525" s="351"/>
      <c r="I1525" s="351" t="s">
        <v>2596</v>
      </c>
      <c r="J1525" s="560" t="s">
        <v>2328</v>
      </c>
      <c r="K1525" s="311">
        <v>170912</v>
      </c>
      <c r="L1525" s="311">
        <v>0</v>
      </c>
      <c r="M1525" s="311">
        <v>110740.00000000001</v>
      </c>
      <c r="N1525" s="311">
        <v>25480</v>
      </c>
      <c r="O1525" s="311">
        <v>17836</v>
      </c>
      <c r="P1525" s="68">
        <f t="shared" si="309"/>
        <v>324968</v>
      </c>
      <c r="Q1525" s="68">
        <f t="shared" si="310"/>
        <v>0</v>
      </c>
      <c r="R1525" s="127">
        <f t="shared" si="311"/>
        <v>324968</v>
      </c>
      <c r="S1525" s="26"/>
    </row>
    <row r="1526" spans="1:19">
      <c r="A1526" s="24"/>
      <c r="B1526" s="25" t="s">
        <v>3572</v>
      </c>
      <c r="C1526" s="26" t="s">
        <v>1350</v>
      </c>
      <c r="D1526" s="351"/>
      <c r="E1526" s="24"/>
      <c r="F1526" s="351">
        <v>2</v>
      </c>
      <c r="G1526" s="351" t="s">
        <v>3311</v>
      </c>
      <c r="H1526" s="351"/>
      <c r="I1526" s="351" t="s">
        <v>2596</v>
      </c>
      <c r="J1526" s="560" t="s">
        <v>2328</v>
      </c>
      <c r="K1526" s="311">
        <v>713557.60000000009</v>
      </c>
      <c r="L1526" s="311">
        <v>0</v>
      </c>
      <c r="M1526" s="311">
        <v>411037.50000000006</v>
      </c>
      <c r="N1526" s="311">
        <v>101839</v>
      </c>
      <c r="O1526" s="311">
        <v>71287.3</v>
      </c>
      <c r="P1526" s="68">
        <f t="shared" si="309"/>
        <v>1297721.4000000001</v>
      </c>
      <c r="Q1526" s="68">
        <f t="shared" si="310"/>
        <v>0</v>
      </c>
      <c r="R1526" s="127">
        <f t="shared" si="311"/>
        <v>2595442.8000000003</v>
      </c>
      <c r="S1526" s="26"/>
    </row>
    <row r="1527" spans="1:19">
      <c r="A1527" s="24"/>
      <c r="B1527" s="25" t="s">
        <v>3573</v>
      </c>
      <c r="C1527" s="26" t="s">
        <v>1350</v>
      </c>
      <c r="D1527" s="351"/>
      <c r="E1527" s="24"/>
      <c r="F1527" s="351">
        <v>1</v>
      </c>
      <c r="G1527" s="351" t="s">
        <v>3310</v>
      </c>
      <c r="H1527" s="351"/>
      <c r="I1527" s="351" t="s">
        <v>2596</v>
      </c>
      <c r="J1527" s="560" t="s">
        <v>2328</v>
      </c>
      <c r="K1527" s="311">
        <v>277732</v>
      </c>
      <c r="L1527" s="311">
        <v>0</v>
      </c>
      <c r="M1527" s="311">
        <v>180611.66666666672</v>
      </c>
      <c r="N1527" s="311">
        <v>41463.333333333343</v>
      </c>
      <c r="O1527" s="311">
        <v>29024.333333333339</v>
      </c>
      <c r="P1527" s="68">
        <f t="shared" si="309"/>
        <v>528831.33333333349</v>
      </c>
      <c r="Q1527" s="68">
        <f t="shared" si="310"/>
        <v>0</v>
      </c>
      <c r="R1527" s="127">
        <f t="shared" si="311"/>
        <v>528831.33333333349</v>
      </c>
      <c r="S1527" s="26"/>
    </row>
    <row r="1528" spans="1:19">
      <c r="A1528" s="24"/>
      <c r="B1528" s="25" t="s">
        <v>3574</v>
      </c>
      <c r="C1528" s="26" t="s">
        <v>1350</v>
      </c>
      <c r="D1528" s="351"/>
      <c r="E1528" s="24"/>
      <c r="F1528" s="351">
        <v>1</v>
      </c>
      <c r="G1528" s="351" t="s">
        <v>3310</v>
      </c>
      <c r="H1528" s="351"/>
      <c r="I1528" s="351" t="s">
        <v>2596</v>
      </c>
      <c r="J1528" s="560" t="s">
        <v>2328</v>
      </c>
      <c r="K1528" s="311">
        <v>336483</v>
      </c>
      <c r="L1528" s="311">
        <v>0</v>
      </c>
      <c r="M1528" s="311">
        <v>218843.33333333337</v>
      </c>
      <c r="N1528" s="311">
        <v>50236.666666666672</v>
      </c>
      <c r="O1528" s="311">
        <v>35165.666666666672</v>
      </c>
      <c r="P1528" s="68">
        <f t="shared" si="309"/>
        <v>640728.66666666663</v>
      </c>
      <c r="Q1528" s="68">
        <f t="shared" si="310"/>
        <v>0</v>
      </c>
      <c r="R1528" s="127">
        <f t="shared" si="311"/>
        <v>640728.66666666663</v>
      </c>
      <c r="S1528" s="26"/>
    </row>
    <row r="1529" spans="1:19">
      <c r="A1529" s="24"/>
      <c r="B1529" s="25" t="s">
        <v>3575</v>
      </c>
      <c r="C1529" s="26" t="s">
        <v>1350</v>
      </c>
      <c r="D1529" s="351"/>
      <c r="E1529" s="24"/>
      <c r="F1529" s="351">
        <v>1</v>
      </c>
      <c r="G1529" s="351" t="s">
        <v>3310</v>
      </c>
      <c r="H1529" s="351"/>
      <c r="I1529" s="351" t="s">
        <v>2596</v>
      </c>
      <c r="J1529" s="560" t="s">
        <v>2328</v>
      </c>
      <c r="K1529" s="311">
        <v>332210.2</v>
      </c>
      <c r="L1529" s="311">
        <v>0</v>
      </c>
      <c r="M1529" s="311">
        <v>216206.66666666669</v>
      </c>
      <c r="N1529" s="311">
        <v>49611.333333333343</v>
      </c>
      <c r="O1529" s="311">
        <v>34727.933333333342</v>
      </c>
      <c r="P1529" s="68">
        <f t="shared" si="309"/>
        <v>632756.13333333342</v>
      </c>
      <c r="Q1529" s="68">
        <f t="shared" si="310"/>
        <v>0</v>
      </c>
      <c r="R1529" s="127">
        <f t="shared" si="311"/>
        <v>632756.13333333342</v>
      </c>
      <c r="S1529" s="26"/>
    </row>
    <row r="1530" spans="1:19">
      <c r="A1530" s="73"/>
      <c r="B1530" s="72" t="s">
        <v>1371</v>
      </c>
      <c r="C1530" s="24"/>
      <c r="D1530" s="351"/>
      <c r="E1530" s="24"/>
      <c r="F1530" s="351"/>
      <c r="G1530" s="26"/>
      <c r="H1530" s="26"/>
      <c r="I1530" s="26"/>
      <c r="J1530" s="559"/>
      <c r="K1530" s="66"/>
      <c r="L1530" s="66"/>
      <c r="M1530" s="66"/>
      <c r="N1530" s="66"/>
      <c r="O1530" s="66"/>
      <c r="P1530" s="66"/>
      <c r="Q1530" s="66"/>
      <c r="R1530" s="66"/>
      <c r="S1530" s="26"/>
    </row>
    <row r="1531" spans="1:19">
      <c r="A1531" s="24"/>
      <c r="B1531" s="25" t="s">
        <v>1385</v>
      </c>
      <c r="C1531" s="26" t="s">
        <v>1350</v>
      </c>
      <c r="D1531" s="351"/>
      <c r="E1531" s="24"/>
      <c r="F1531" s="351">
        <v>1</v>
      </c>
      <c r="G1531" s="351" t="s">
        <v>3162</v>
      </c>
      <c r="H1531" s="351"/>
      <c r="I1531" s="351" t="s">
        <v>2596</v>
      </c>
      <c r="J1531" s="560" t="s">
        <v>2328</v>
      </c>
      <c r="K1531" s="311">
        <v>546918.40000000002</v>
      </c>
      <c r="L1531" s="311">
        <v>0</v>
      </c>
      <c r="M1531" s="311">
        <v>135035</v>
      </c>
      <c r="N1531" s="311">
        <v>62126</v>
      </c>
      <c r="O1531" s="311">
        <v>43488.200000000004</v>
      </c>
      <c r="P1531" s="68">
        <f t="shared" ref="P1531:P1532" si="312">SUM(K1531:O1531)</f>
        <v>787567.6</v>
      </c>
      <c r="Q1531" s="68">
        <f>D1531*P1531</f>
        <v>0</v>
      </c>
      <c r="R1531" s="127">
        <f>F1531*P1531</f>
        <v>787567.6</v>
      </c>
      <c r="S1531" s="26"/>
    </row>
    <row r="1532" spans="1:19">
      <c r="A1532" s="73"/>
      <c r="B1532" s="72" t="s">
        <v>1408</v>
      </c>
      <c r="C1532" s="26" t="s">
        <v>78</v>
      </c>
      <c r="D1532" s="351"/>
      <c r="E1532" s="24"/>
      <c r="F1532" s="351">
        <v>1</v>
      </c>
      <c r="G1532" s="351"/>
      <c r="H1532" s="351"/>
      <c r="I1532" s="351"/>
      <c r="J1532" s="560" t="s">
        <v>2381</v>
      </c>
      <c r="K1532" s="311">
        <v>16105761.000000002</v>
      </c>
      <c r="L1532" s="311">
        <v>0</v>
      </c>
      <c r="M1532" s="311">
        <v>5671550.5249999994</v>
      </c>
      <c r="N1532" s="311">
        <v>1845534.875</v>
      </c>
      <c r="O1532" s="311">
        <v>1291874.4125000001</v>
      </c>
      <c r="P1532" s="68">
        <f t="shared" si="312"/>
        <v>24914720.812500004</v>
      </c>
      <c r="Q1532" s="68">
        <f>D1532*P1532</f>
        <v>0</v>
      </c>
      <c r="R1532" s="127">
        <f>F1532*P1532</f>
        <v>24914720.812500004</v>
      </c>
      <c r="S1532" s="26"/>
    </row>
    <row r="1533" spans="1:19">
      <c r="A1533" s="215">
        <v>5</v>
      </c>
      <c r="B1533" s="216" t="s">
        <v>2233</v>
      </c>
      <c r="C1533" s="24"/>
      <c r="D1533" s="351"/>
      <c r="E1533" s="24"/>
      <c r="F1533" s="351"/>
      <c r="G1533" s="26"/>
      <c r="H1533" s="26"/>
      <c r="I1533" s="26"/>
      <c r="J1533" s="559"/>
      <c r="K1533" s="66"/>
      <c r="L1533" s="66"/>
      <c r="M1533" s="66"/>
      <c r="N1533" s="66"/>
      <c r="O1533" s="66"/>
      <c r="P1533" s="66"/>
      <c r="Q1533" s="66"/>
      <c r="R1533" s="66"/>
      <c r="S1533" s="26"/>
    </row>
    <row r="1534" spans="1:19">
      <c r="A1534" s="24"/>
      <c r="B1534" s="27" t="s">
        <v>3568</v>
      </c>
      <c r="C1534" s="24"/>
      <c r="D1534" s="351"/>
      <c r="E1534" s="24"/>
      <c r="F1534" s="351"/>
      <c r="G1534" s="351"/>
      <c r="H1534" s="351"/>
      <c r="I1534" s="351"/>
      <c r="J1534" s="560"/>
      <c r="K1534" s="66"/>
      <c r="L1534" s="66"/>
      <c r="M1534" s="66"/>
      <c r="N1534" s="66"/>
      <c r="O1534" s="66"/>
      <c r="P1534" s="66"/>
      <c r="Q1534" s="66"/>
      <c r="R1534" s="66"/>
      <c r="S1534" s="26"/>
    </row>
    <row r="1535" spans="1:19" ht="30">
      <c r="A1535" s="24"/>
      <c r="B1535" s="25" t="s">
        <v>3567</v>
      </c>
      <c r="C1535" s="26" t="s">
        <v>1350</v>
      </c>
      <c r="D1535" s="351"/>
      <c r="E1535" s="24"/>
      <c r="F1535" s="351">
        <v>2</v>
      </c>
      <c r="G1535" s="351" t="s">
        <v>3308</v>
      </c>
      <c r="H1535" s="351"/>
      <c r="I1535" s="351" t="s">
        <v>2596</v>
      </c>
      <c r="J1535" s="560" t="s">
        <v>2328</v>
      </c>
      <c r="K1535" s="311">
        <v>2428018.6</v>
      </c>
      <c r="L1535" s="311">
        <v>0</v>
      </c>
      <c r="M1535" s="311">
        <v>472340</v>
      </c>
      <c r="N1535" s="311">
        <v>264554</v>
      </c>
      <c r="O1535" s="311">
        <v>185187.80000000002</v>
      </c>
      <c r="P1535" s="68">
        <f>SUM(K1535:O1535)</f>
        <v>3350100.4</v>
      </c>
      <c r="Q1535" s="68">
        <f>D1535*P1535</f>
        <v>0</v>
      </c>
      <c r="R1535" s="127">
        <f>F1535*P1535</f>
        <v>6700200.7999999998</v>
      </c>
      <c r="S1535" s="26"/>
    </row>
    <row r="1536" spans="1:19">
      <c r="A1536" s="622" t="s">
        <v>3392</v>
      </c>
      <c r="B1536" s="623"/>
      <c r="C1536" s="623"/>
      <c r="D1536" s="624"/>
      <c r="E1536" s="526"/>
      <c r="F1536" s="550"/>
      <c r="G1536" s="37"/>
      <c r="H1536" s="37"/>
      <c r="I1536" s="37"/>
      <c r="J1536" s="37"/>
      <c r="K1536" s="66"/>
      <c r="L1536" s="66"/>
      <c r="M1536" s="66"/>
      <c r="N1536" s="66"/>
      <c r="O1536" s="66"/>
      <c r="P1536" s="66"/>
      <c r="Q1536" s="66"/>
      <c r="R1536" s="66"/>
      <c r="S1536" s="37"/>
    </row>
    <row r="1537" spans="1:19">
      <c r="A1537" s="625">
        <v>3</v>
      </c>
      <c r="B1537" s="626" t="s">
        <v>1745</v>
      </c>
      <c r="C1537" s="626"/>
      <c r="D1537" s="627"/>
      <c r="E1537" s="526"/>
      <c r="F1537" s="550"/>
      <c r="G1537" s="37"/>
      <c r="H1537" s="37"/>
      <c r="I1537" s="37"/>
      <c r="J1537" s="37"/>
      <c r="K1537" s="66"/>
      <c r="L1537" s="66"/>
      <c r="M1537" s="66"/>
      <c r="N1537" s="66"/>
      <c r="O1537" s="66"/>
      <c r="P1537" s="66"/>
      <c r="Q1537" s="66"/>
      <c r="R1537" s="66"/>
      <c r="S1537" s="37"/>
    </row>
    <row r="1538" spans="1:19">
      <c r="A1538" s="617"/>
      <c r="B1538" s="618" t="s">
        <v>594</v>
      </c>
      <c r="C1538" s="619" t="s">
        <v>117</v>
      </c>
      <c r="D1538" s="620"/>
      <c r="E1538" s="621"/>
      <c r="F1538" s="550">
        <f>F938+F940</f>
        <v>4113.1769999999997</v>
      </c>
      <c r="G1538" s="37"/>
      <c r="H1538" s="37" t="s">
        <v>2421</v>
      </c>
      <c r="I1538" s="37" t="s">
        <v>2368</v>
      </c>
      <c r="J1538" s="334" t="s">
        <v>2328</v>
      </c>
      <c r="K1538" s="311">
        <v>3290.5600000000004</v>
      </c>
      <c r="L1538" s="311">
        <v>0</v>
      </c>
      <c r="M1538" s="311">
        <v>6502.1330000000007</v>
      </c>
      <c r="N1538" s="311">
        <v>866.61000000000013</v>
      </c>
      <c r="O1538" s="311">
        <v>606.62700000000007</v>
      </c>
      <c r="P1538" s="68">
        <f>SUM(K1538:O1538)</f>
        <v>11265.930000000002</v>
      </c>
      <c r="Q1538" s="68">
        <f>D1538*P1538</f>
        <v>0</v>
      </c>
      <c r="R1538" s="127">
        <f>F1538*P1538</f>
        <v>46338764.159610003</v>
      </c>
      <c r="S1538" s="37"/>
    </row>
    <row r="1539" spans="1:19">
      <c r="A1539" s="634" t="s">
        <v>3393</v>
      </c>
      <c r="B1539" s="635" t="s">
        <v>1751</v>
      </c>
      <c r="C1539" s="636"/>
      <c r="D1539" s="637"/>
      <c r="E1539" s="526"/>
      <c r="F1539" s="550"/>
      <c r="G1539" s="37"/>
      <c r="H1539" s="37"/>
      <c r="I1539" s="37"/>
      <c r="J1539" s="37"/>
      <c r="K1539" s="66"/>
      <c r="L1539" s="66"/>
      <c r="M1539" s="66"/>
      <c r="N1539" s="66"/>
      <c r="O1539" s="66"/>
      <c r="P1539" s="66"/>
      <c r="Q1539" s="66"/>
      <c r="R1539" s="66"/>
      <c r="S1539" s="37"/>
    </row>
    <row r="1540" spans="1:19">
      <c r="A1540" s="628" t="s">
        <v>483</v>
      </c>
      <c r="B1540" s="629" t="s">
        <v>1773</v>
      </c>
      <c r="C1540" s="629"/>
      <c r="D1540" s="630"/>
      <c r="E1540" s="526"/>
      <c r="F1540" s="550"/>
      <c r="G1540" s="37"/>
      <c r="H1540" s="37"/>
      <c r="I1540" s="37"/>
      <c r="J1540" s="37"/>
      <c r="K1540" s="66"/>
      <c r="L1540" s="66"/>
      <c r="M1540" s="66"/>
      <c r="N1540" s="66"/>
      <c r="O1540" s="66"/>
      <c r="P1540" s="66"/>
      <c r="Q1540" s="66"/>
      <c r="R1540" s="66"/>
      <c r="S1540" s="37"/>
    </row>
    <row r="1541" spans="1:19">
      <c r="A1541" s="628" t="s">
        <v>1804</v>
      </c>
      <c r="B1541" s="629" t="s">
        <v>1805</v>
      </c>
      <c r="C1541" s="629"/>
      <c r="D1541" s="630"/>
      <c r="E1541" s="526"/>
      <c r="F1541" s="550"/>
      <c r="G1541" s="37"/>
      <c r="H1541" s="37"/>
      <c r="I1541" s="37"/>
      <c r="J1541" s="334"/>
      <c r="K1541" s="66"/>
      <c r="L1541" s="66"/>
      <c r="M1541" s="66"/>
      <c r="N1541" s="66"/>
      <c r="O1541" s="66"/>
      <c r="P1541" s="68"/>
      <c r="Q1541" s="68"/>
      <c r="R1541" s="127"/>
      <c r="S1541" s="37"/>
    </row>
    <row r="1542" spans="1:19">
      <c r="A1542" s="617"/>
      <c r="B1542" s="618" t="s">
        <v>594</v>
      </c>
      <c r="C1542" s="619" t="s">
        <v>117</v>
      </c>
      <c r="D1542" s="620"/>
      <c r="E1542" s="621"/>
      <c r="F1542" s="550">
        <f>F993/4</f>
        <v>14986.574000000002</v>
      </c>
      <c r="G1542" s="37"/>
      <c r="H1542" s="37" t="s">
        <v>2421</v>
      </c>
      <c r="I1542" s="37" t="s">
        <v>2368</v>
      </c>
      <c r="J1542" s="334" t="s">
        <v>2328</v>
      </c>
      <c r="K1542" s="311">
        <v>3290.5600000000004</v>
      </c>
      <c r="L1542" s="311">
        <v>0</v>
      </c>
      <c r="M1542" s="311">
        <v>6502.1330000000007</v>
      </c>
      <c r="N1542" s="311">
        <v>866.61000000000013</v>
      </c>
      <c r="O1542" s="311">
        <v>606.62700000000007</v>
      </c>
      <c r="P1542" s="68">
        <f>SUM(K1542:O1542)</f>
        <v>11265.930000000002</v>
      </c>
      <c r="Q1542" s="68">
        <f>D1542*P1542</f>
        <v>0</v>
      </c>
      <c r="R1542" s="127">
        <f>F1542*P1542</f>
        <v>168837693.62382007</v>
      </c>
      <c r="S1542" s="37"/>
    </row>
    <row r="1543" spans="1:19">
      <c r="A1543" s="634" t="s">
        <v>3394</v>
      </c>
      <c r="B1543" s="635" t="s">
        <v>1809</v>
      </c>
      <c r="C1543" s="636"/>
      <c r="D1543" s="637"/>
      <c r="E1543" s="526"/>
      <c r="F1543" s="550"/>
      <c r="G1543" s="37"/>
      <c r="H1543" s="37"/>
      <c r="I1543" s="37"/>
      <c r="J1543" s="37"/>
      <c r="K1543" s="66"/>
      <c r="L1543" s="66"/>
      <c r="M1543" s="66"/>
      <c r="N1543" s="66"/>
      <c r="O1543" s="66"/>
      <c r="P1543" s="66"/>
      <c r="Q1543" s="66"/>
      <c r="R1543" s="66"/>
      <c r="S1543" s="37"/>
    </row>
    <row r="1544" spans="1:19">
      <c r="A1544" s="628" t="s">
        <v>144</v>
      </c>
      <c r="B1544" s="629" t="s">
        <v>1773</v>
      </c>
      <c r="C1544" s="631"/>
      <c r="D1544" s="632"/>
      <c r="E1544" s="526"/>
      <c r="F1544" s="550"/>
      <c r="G1544" s="37"/>
      <c r="H1544" s="37"/>
      <c r="I1544" s="37"/>
      <c r="J1544" s="334"/>
      <c r="K1544" s="66"/>
      <c r="L1544" s="66"/>
      <c r="M1544" s="66"/>
      <c r="N1544" s="66"/>
      <c r="O1544" s="66"/>
      <c r="P1544" s="68"/>
      <c r="Q1544" s="68"/>
      <c r="R1544" s="127"/>
      <c r="S1544" s="37"/>
    </row>
    <row r="1545" spans="1:19">
      <c r="A1545" s="628" t="s">
        <v>2322</v>
      </c>
      <c r="B1545" s="629" t="s">
        <v>1805</v>
      </c>
      <c r="C1545" s="633"/>
      <c r="D1545" s="632"/>
      <c r="E1545" s="526"/>
      <c r="F1545" s="550"/>
      <c r="G1545" s="37"/>
      <c r="H1545" s="37"/>
      <c r="I1545" s="37"/>
      <c r="J1545" s="37"/>
      <c r="K1545" s="66"/>
      <c r="L1545" s="66"/>
      <c r="M1545" s="66"/>
      <c r="N1545" s="66"/>
      <c r="O1545" s="66"/>
      <c r="P1545" s="66"/>
      <c r="Q1545" s="66"/>
      <c r="R1545" s="66"/>
      <c r="S1545" s="37"/>
    </row>
    <row r="1546" spans="1:19">
      <c r="A1546" s="617"/>
      <c r="B1546" s="618" t="s">
        <v>594</v>
      </c>
      <c r="C1546" s="619" t="s">
        <v>117</v>
      </c>
      <c r="D1546" s="620"/>
      <c r="E1546" s="621"/>
      <c r="F1546" s="550">
        <f>F1106</f>
        <v>226.26599999999999</v>
      </c>
      <c r="G1546" s="37"/>
      <c r="H1546" s="37" t="s">
        <v>2421</v>
      </c>
      <c r="I1546" s="37" t="s">
        <v>2368</v>
      </c>
      <c r="J1546" s="334" t="s">
        <v>2328</v>
      </c>
      <c r="K1546" s="311">
        <v>3290.5600000000004</v>
      </c>
      <c r="L1546" s="311">
        <v>0</v>
      </c>
      <c r="M1546" s="311">
        <v>6502.1330000000007</v>
      </c>
      <c r="N1546" s="311">
        <v>866.61000000000013</v>
      </c>
      <c r="O1546" s="311">
        <v>606.62700000000007</v>
      </c>
      <c r="P1546" s="68">
        <f>SUM(K1546:O1546)</f>
        <v>11265.930000000002</v>
      </c>
      <c r="Q1546" s="68">
        <f>D1546*P1546</f>
        <v>0</v>
      </c>
      <c r="R1546" s="127">
        <f>F1546*P1546</f>
        <v>2549096.9173800005</v>
      </c>
      <c r="S1546" s="37"/>
    </row>
    <row r="1547" spans="1:19">
      <c r="A1547" s="638"/>
      <c r="B1547" s="639" t="s">
        <v>2296</v>
      </c>
      <c r="C1547" s="638"/>
      <c r="D1547" s="553"/>
      <c r="E1547" s="638"/>
      <c r="F1547" s="640"/>
      <c r="G1547" s="595"/>
      <c r="H1547" s="595"/>
      <c r="I1547" s="595"/>
      <c r="J1547" s="595"/>
      <c r="K1547" s="552"/>
      <c r="L1547" s="552"/>
      <c r="M1547" s="552"/>
      <c r="N1547" s="552"/>
      <c r="O1547" s="552"/>
      <c r="P1547" s="552"/>
      <c r="Q1547" s="552"/>
      <c r="R1547" s="552"/>
      <c r="S1547" s="595"/>
    </row>
    <row r="1548" spans="1:19" s="79" customFormat="1" ht="14.25">
      <c r="A1548" s="261" t="s">
        <v>2291</v>
      </c>
      <c r="B1548" s="262" t="s">
        <v>2292</v>
      </c>
      <c r="C1548" s="555"/>
      <c r="D1548" s="556"/>
      <c r="E1548" s="555"/>
      <c r="F1548" s="389"/>
      <c r="G1548" s="389"/>
      <c r="H1548" s="389"/>
      <c r="I1548" s="389"/>
      <c r="J1548" s="389"/>
      <c r="K1548" s="390"/>
      <c r="L1548" s="390"/>
      <c r="M1548" s="390"/>
      <c r="N1548" s="390"/>
      <c r="O1548" s="390"/>
      <c r="P1548" s="390"/>
      <c r="Q1548" s="534">
        <f>Q9+Q1110</f>
        <v>39162586780.694069</v>
      </c>
      <c r="R1548" s="534">
        <f>R9+R1110</f>
        <v>42776858525.577415</v>
      </c>
      <c r="S1548" s="389"/>
    </row>
  </sheetData>
  <autoFilter ref="A8:S1548" xr:uid="{C4E98255-3D20-4417-8D90-25CE98BAECF4}"/>
  <mergeCells count="16">
    <mergeCell ref="A5:E5"/>
    <mergeCell ref="F5:S5"/>
    <mergeCell ref="F6:F7"/>
    <mergeCell ref="G6:J6"/>
    <mergeCell ref="K6:P6"/>
    <mergeCell ref="Q6:R6"/>
    <mergeCell ref="S6:S7"/>
    <mergeCell ref="A6:A7"/>
    <mergeCell ref="B6:B7"/>
    <mergeCell ref="C6:C7"/>
    <mergeCell ref="E6:E7"/>
    <mergeCell ref="E906:E907"/>
    <mergeCell ref="E908:E911"/>
    <mergeCell ref="E912:E921"/>
    <mergeCell ref="D6:D7"/>
    <mergeCell ref="E85:E86"/>
  </mergeCells>
  <phoneticPr fontId="22" type="noConversion"/>
  <printOptions horizontalCentered="1"/>
  <pageMargins left="0.39370078740157483" right="0.39370078740157483" top="0.59055118110236227" bottom="0.39370078740157483" header="0.19685039370078741" footer="0.19685039370078741"/>
  <pageSetup scale="36" fitToHeight="100" orientation="landscape" horizontalDpi="1200" verticalDpi="1200" r:id="rId1"/>
  <headerFooter>
    <oddFooter>Page &amp;P&amp;R&amp;A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4399-4269-4AC0-9F85-8DE7FA4778D6}">
  <sheetPr>
    <tabColor rgb="FFCCCCFF"/>
    <pageSetUpPr fitToPage="1"/>
  </sheetPr>
  <dimension ref="A1:S30"/>
  <sheetViews>
    <sheetView zoomScaleNormal="100" zoomScaleSheetLayoutView="55" workbookViewId="0">
      <pane xSplit="6" ySplit="8" topLeftCell="K18" activePane="bottomRight" state="frozen"/>
      <selection pane="topRight" activeCell="G1" sqref="G1"/>
      <selection pane="bottomLeft" activeCell="A9" sqref="A9"/>
      <selection pane="bottomRight" activeCell="S30" sqref="S30"/>
    </sheetView>
  </sheetViews>
  <sheetFormatPr defaultColWidth="10.42578125" defaultRowHeight="15"/>
  <cols>
    <col min="1" max="1" width="5.7109375" style="428" customWidth="1"/>
    <col min="2" max="2" width="60.7109375" style="428" customWidth="1"/>
    <col min="3" max="3" width="10.7109375" style="428" customWidth="1"/>
    <col min="4" max="4" width="10.7109375" style="348" customWidth="1"/>
    <col min="5" max="5" width="20.7109375" style="437" customWidth="1"/>
    <col min="6" max="6" width="10.7109375" style="646" customWidth="1"/>
    <col min="7" max="7" width="40.7109375" style="343" customWidth="1"/>
    <col min="8" max="18" width="15.7109375" style="343" customWidth="1"/>
    <col min="19" max="19" width="20.7109375" style="343" customWidth="1"/>
    <col min="20" max="16384" width="10.42578125" style="428"/>
  </cols>
  <sheetData>
    <row r="1" spans="1:19">
      <c r="A1" s="426" t="s">
        <v>0</v>
      </c>
      <c r="B1" s="427"/>
      <c r="C1" s="427"/>
    </row>
    <row r="2" spans="1:19">
      <c r="A2" s="426" t="s">
        <v>1</v>
      </c>
      <c r="B2" s="427"/>
      <c r="C2" s="427"/>
    </row>
    <row r="3" spans="1:19">
      <c r="A3" s="426" t="s">
        <v>1026</v>
      </c>
      <c r="B3" s="427"/>
      <c r="C3" s="427"/>
    </row>
    <row r="4" spans="1:19">
      <c r="A4" s="429"/>
      <c r="B4" s="427"/>
      <c r="C4" s="427"/>
      <c r="F4" s="647"/>
      <c r="G4" s="325"/>
      <c r="H4" s="325"/>
      <c r="I4" s="325"/>
      <c r="J4" s="325"/>
      <c r="K4" s="325"/>
      <c r="L4" s="325"/>
      <c r="M4" s="325"/>
      <c r="N4" s="325"/>
      <c r="O4" s="325"/>
      <c r="P4" s="325"/>
      <c r="Q4" s="325"/>
      <c r="R4" s="325"/>
      <c r="S4" s="325"/>
    </row>
    <row r="5" spans="1:19">
      <c r="A5" s="728" t="s">
        <v>1864</v>
      </c>
      <c r="B5" s="728"/>
      <c r="C5" s="728"/>
      <c r="D5" s="728"/>
      <c r="E5" s="728"/>
      <c r="F5" s="690" t="s">
        <v>2325</v>
      </c>
      <c r="G5" s="690"/>
      <c r="H5" s="690"/>
      <c r="I5" s="690"/>
      <c r="J5" s="690"/>
      <c r="K5" s="690"/>
      <c r="L5" s="690"/>
      <c r="M5" s="690"/>
      <c r="N5" s="690"/>
      <c r="O5" s="690"/>
      <c r="P5" s="690"/>
      <c r="Q5" s="690"/>
      <c r="R5" s="690"/>
      <c r="S5" s="690"/>
    </row>
    <row r="6" spans="1:19">
      <c r="A6" s="728" t="s">
        <v>3</v>
      </c>
      <c r="B6" s="728" t="s">
        <v>773</v>
      </c>
      <c r="C6" s="728" t="s">
        <v>4</v>
      </c>
      <c r="D6" s="713" t="s">
        <v>1866</v>
      </c>
      <c r="E6" s="730" t="s">
        <v>5</v>
      </c>
      <c r="F6" s="729" t="s">
        <v>1867</v>
      </c>
      <c r="G6" s="677" t="s">
        <v>1868</v>
      </c>
      <c r="H6" s="677"/>
      <c r="I6" s="677"/>
      <c r="J6" s="677"/>
      <c r="K6" s="677" t="s">
        <v>1869</v>
      </c>
      <c r="L6" s="677"/>
      <c r="M6" s="677"/>
      <c r="N6" s="677"/>
      <c r="O6" s="677"/>
      <c r="P6" s="677"/>
      <c r="Q6" s="692" t="s">
        <v>1870</v>
      </c>
      <c r="R6" s="693"/>
      <c r="S6" s="666" t="s">
        <v>5</v>
      </c>
    </row>
    <row r="7" spans="1:19" ht="28.5">
      <c r="A7" s="728"/>
      <c r="B7" s="728"/>
      <c r="C7" s="728"/>
      <c r="D7" s="725"/>
      <c r="E7" s="730"/>
      <c r="F7" s="729"/>
      <c r="G7" s="258" t="s">
        <v>1871</v>
      </c>
      <c r="H7" s="258" t="s">
        <v>1847</v>
      </c>
      <c r="I7" s="258" t="s">
        <v>1848</v>
      </c>
      <c r="J7" s="258" t="s">
        <v>1849</v>
      </c>
      <c r="K7" s="259" t="s">
        <v>1850</v>
      </c>
      <c r="L7" s="259" t="s">
        <v>1859</v>
      </c>
      <c r="M7" s="259" t="s">
        <v>1872</v>
      </c>
      <c r="N7" s="259" t="s">
        <v>1873</v>
      </c>
      <c r="O7" s="259" t="s">
        <v>1851</v>
      </c>
      <c r="P7" s="259" t="s">
        <v>1874</v>
      </c>
      <c r="Q7" s="223" t="s">
        <v>1875</v>
      </c>
      <c r="R7" s="223" t="s">
        <v>1876</v>
      </c>
      <c r="S7" s="666"/>
    </row>
    <row r="8" spans="1:19" ht="28.5">
      <c r="A8" s="290">
        <v>1</v>
      </c>
      <c r="B8" s="290">
        <v>2</v>
      </c>
      <c r="C8" s="290">
        <v>3</v>
      </c>
      <c r="D8" s="436">
        <v>4</v>
      </c>
      <c r="E8" s="430">
        <v>5</v>
      </c>
      <c r="F8" s="648">
        <v>6</v>
      </c>
      <c r="G8" s="228">
        <v>7</v>
      </c>
      <c r="H8" s="228">
        <v>8</v>
      </c>
      <c r="I8" s="228">
        <v>9</v>
      </c>
      <c r="J8" s="228">
        <v>10</v>
      </c>
      <c r="K8" s="228">
        <v>11</v>
      </c>
      <c r="L8" s="228">
        <v>12</v>
      </c>
      <c r="M8" s="228">
        <v>13</v>
      </c>
      <c r="N8" s="228">
        <v>14</v>
      </c>
      <c r="O8" s="228">
        <v>15</v>
      </c>
      <c r="P8" s="228" t="s">
        <v>1877</v>
      </c>
      <c r="Q8" s="228" t="s">
        <v>1878</v>
      </c>
      <c r="R8" s="228" t="s">
        <v>1879</v>
      </c>
      <c r="S8" s="228">
        <v>19</v>
      </c>
    </row>
    <row r="9" spans="1:19" s="71" customFormat="1" ht="14.25">
      <c r="A9" s="239" t="s">
        <v>111</v>
      </c>
      <c r="B9" s="240" t="s">
        <v>112</v>
      </c>
      <c r="C9" s="243"/>
      <c r="D9" s="383"/>
      <c r="E9" s="243"/>
      <c r="F9" s="649"/>
      <c r="G9" s="382"/>
      <c r="H9" s="382"/>
      <c r="I9" s="382"/>
      <c r="J9" s="382"/>
      <c r="K9" s="384"/>
      <c r="L9" s="384"/>
      <c r="M9" s="384"/>
      <c r="N9" s="384"/>
      <c r="O9" s="384"/>
      <c r="P9" s="384"/>
      <c r="Q9" s="384">
        <f>SUBTOTAL(9,Q10:Q24)</f>
        <v>1064639801.7934849</v>
      </c>
      <c r="R9" s="384">
        <f>SUBTOTAL(9,R10:R24)</f>
        <v>1064639801.7934849</v>
      </c>
      <c r="S9" s="382"/>
    </row>
    <row r="10" spans="1:19" ht="28.5">
      <c r="A10" s="431" t="s">
        <v>1027</v>
      </c>
      <c r="B10" s="148" t="s">
        <v>1028</v>
      </c>
      <c r="C10" s="431"/>
      <c r="D10" s="350"/>
      <c r="E10" s="438"/>
      <c r="F10" s="650"/>
      <c r="G10" s="396"/>
      <c r="H10" s="26"/>
      <c r="I10" s="26"/>
      <c r="J10" s="26"/>
      <c r="K10" s="66"/>
      <c r="L10" s="66"/>
      <c r="M10" s="66"/>
      <c r="N10" s="66"/>
      <c r="O10" s="66"/>
      <c r="P10" s="66"/>
      <c r="Q10" s="66"/>
      <c r="R10" s="66"/>
      <c r="S10" s="26"/>
    </row>
    <row r="11" spans="1:19" ht="30">
      <c r="A11" s="432">
        <v>1</v>
      </c>
      <c r="B11" s="149" t="s">
        <v>1029</v>
      </c>
      <c r="C11" s="150" t="s">
        <v>1030</v>
      </c>
      <c r="D11" s="351">
        <v>113.43947552447553</v>
      </c>
      <c r="E11" s="150" t="s">
        <v>1031</v>
      </c>
      <c r="F11" s="651">
        <v>113.43947552447553</v>
      </c>
      <c r="G11" s="363" t="s">
        <v>2597</v>
      </c>
      <c r="H11" s="363" t="s">
        <v>2598</v>
      </c>
      <c r="I11" s="363" t="s">
        <v>2599</v>
      </c>
      <c r="J11" s="363" t="s">
        <v>2328</v>
      </c>
      <c r="K11" s="311">
        <v>558000</v>
      </c>
      <c r="L11" s="311">
        <v>0</v>
      </c>
      <c r="M11" s="311">
        <v>0</v>
      </c>
      <c r="N11" s="311">
        <v>60000</v>
      </c>
      <c r="O11" s="311">
        <v>42000.000000000007</v>
      </c>
      <c r="P11" s="68">
        <f>SUM(K11:O11)</f>
        <v>660000</v>
      </c>
      <c r="Q11" s="68">
        <f>D11*P11</f>
        <v>74870053.84615384</v>
      </c>
      <c r="R11" s="127">
        <f>F11*P11</f>
        <v>74870053.84615384</v>
      </c>
      <c r="S11" s="26" t="s">
        <v>2605</v>
      </c>
    </row>
    <row r="12" spans="1:19" ht="30">
      <c r="A12" s="432">
        <v>2</v>
      </c>
      <c r="B12" s="149" t="s">
        <v>1032</v>
      </c>
      <c r="C12" s="150" t="s">
        <v>1033</v>
      </c>
      <c r="D12" s="351">
        <v>268.56361999999996</v>
      </c>
      <c r="E12" s="438"/>
      <c r="F12" s="651">
        <v>268.56361999999996</v>
      </c>
      <c r="G12" s="351" t="s">
        <v>2600</v>
      </c>
      <c r="H12" s="351" t="s">
        <v>2601</v>
      </c>
      <c r="I12" s="351" t="s">
        <v>2599</v>
      </c>
      <c r="J12" s="351" t="s">
        <v>2328</v>
      </c>
      <c r="K12" s="311">
        <v>349680</v>
      </c>
      <c r="L12" s="311">
        <v>0</v>
      </c>
      <c r="M12" s="311">
        <v>0</v>
      </c>
      <c r="N12" s="311">
        <v>37600</v>
      </c>
      <c r="O12" s="311">
        <v>26320.000000000004</v>
      </c>
      <c r="P12" s="68">
        <f t="shared" ref="P12:P13" si="0">SUM(K12:O12)</f>
        <v>413600</v>
      </c>
      <c r="Q12" s="68">
        <f>D12*P12</f>
        <v>111077913.23199998</v>
      </c>
      <c r="R12" s="127">
        <f>F12*P12</f>
        <v>111077913.23199998</v>
      </c>
      <c r="S12" s="26" t="s">
        <v>2605</v>
      </c>
    </row>
    <row r="13" spans="1:19" ht="75">
      <c r="A13" s="432">
        <v>3</v>
      </c>
      <c r="B13" s="149" t="s">
        <v>1034</v>
      </c>
      <c r="C13" s="150" t="s">
        <v>1035</v>
      </c>
      <c r="D13" s="351">
        <v>55.384200000000028</v>
      </c>
      <c r="E13" s="438"/>
      <c r="F13" s="651">
        <v>55.384200000000028</v>
      </c>
      <c r="G13" s="353" t="s">
        <v>2602</v>
      </c>
      <c r="H13" s="353"/>
      <c r="I13" s="353"/>
      <c r="J13" s="353" t="s">
        <v>2328</v>
      </c>
      <c r="K13" s="311">
        <v>2445900</v>
      </c>
      <c r="L13" s="311">
        <v>0</v>
      </c>
      <c r="M13" s="311">
        <v>0</v>
      </c>
      <c r="N13" s="311">
        <v>263000</v>
      </c>
      <c r="O13" s="311">
        <v>184100.00000000003</v>
      </c>
      <c r="P13" s="68">
        <f t="shared" si="0"/>
        <v>2893000</v>
      </c>
      <c r="Q13" s="68">
        <f>D13*P13</f>
        <v>160226490.60000008</v>
      </c>
      <c r="R13" s="127">
        <f>F13*P13</f>
        <v>160226490.60000008</v>
      </c>
      <c r="S13" s="26" t="s">
        <v>2605</v>
      </c>
    </row>
    <row r="14" spans="1:19" ht="28.5">
      <c r="A14" s="431" t="s">
        <v>114</v>
      </c>
      <c r="B14" s="151" t="s">
        <v>1036</v>
      </c>
      <c r="C14" s="431"/>
      <c r="D14" s="351"/>
      <c r="E14" s="438"/>
      <c r="F14" s="651"/>
      <c r="G14" s="26"/>
      <c r="H14" s="26"/>
      <c r="I14" s="26"/>
      <c r="J14" s="26"/>
      <c r="K14" s="66"/>
      <c r="L14" s="66"/>
      <c r="M14" s="66"/>
      <c r="N14" s="66"/>
      <c r="O14" s="66"/>
      <c r="P14" s="66"/>
      <c r="Q14" s="66"/>
      <c r="R14" s="66"/>
      <c r="S14" s="26"/>
    </row>
    <row r="15" spans="1:19" ht="30">
      <c r="A15" s="432">
        <v>1</v>
      </c>
      <c r="B15" s="149" t="s">
        <v>1029</v>
      </c>
      <c r="C15" s="150" t="s">
        <v>1030</v>
      </c>
      <c r="D15" s="351">
        <v>144.39279896853157</v>
      </c>
      <c r="E15" s="150" t="s">
        <v>1031</v>
      </c>
      <c r="F15" s="651">
        <v>144.39279896853157</v>
      </c>
      <c r="G15" s="363" t="s">
        <v>2597</v>
      </c>
      <c r="H15" s="363" t="s">
        <v>2598</v>
      </c>
      <c r="I15" s="353" t="s">
        <v>2599</v>
      </c>
      <c r="J15" s="353" t="s">
        <v>2328</v>
      </c>
      <c r="K15" s="311">
        <v>558000</v>
      </c>
      <c r="L15" s="311">
        <v>0</v>
      </c>
      <c r="M15" s="311">
        <v>0</v>
      </c>
      <c r="N15" s="311">
        <v>60000</v>
      </c>
      <c r="O15" s="311">
        <v>42000.000000000007</v>
      </c>
      <c r="P15" s="68">
        <f t="shared" ref="P15:P16" si="1">SUM(K15:O15)</f>
        <v>660000</v>
      </c>
      <c r="Q15" s="68">
        <f>D15*P15</f>
        <v>95299247.31923084</v>
      </c>
      <c r="R15" s="127">
        <f>F15*P15</f>
        <v>95299247.31923084</v>
      </c>
      <c r="S15" s="26" t="s">
        <v>2605</v>
      </c>
    </row>
    <row r="16" spans="1:19" ht="30">
      <c r="A16" s="432">
        <v>2</v>
      </c>
      <c r="B16" s="149" t="s">
        <v>1037</v>
      </c>
      <c r="C16" s="150" t="s">
        <v>117</v>
      </c>
      <c r="D16" s="351">
        <v>627.94065400000034</v>
      </c>
      <c r="E16" s="438"/>
      <c r="F16" s="651">
        <v>627.94065400000034</v>
      </c>
      <c r="G16" s="351" t="s">
        <v>2603</v>
      </c>
      <c r="H16" s="351" t="s">
        <v>2604</v>
      </c>
      <c r="I16" s="353" t="s">
        <v>2599</v>
      </c>
      <c r="J16" s="353" t="s">
        <v>2328</v>
      </c>
      <c r="K16" s="311">
        <v>186000</v>
      </c>
      <c r="L16" s="311">
        <v>0</v>
      </c>
      <c r="M16" s="311">
        <v>0</v>
      </c>
      <c r="N16" s="311">
        <v>20000</v>
      </c>
      <c r="O16" s="311">
        <v>14000.000000000002</v>
      </c>
      <c r="P16" s="68">
        <f t="shared" si="1"/>
        <v>220000</v>
      </c>
      <c r="Q16" s="68">
        <f>D16*P16</f>
        <v>138146943.88000008</v>
      </c>
      <c r="R16" s="127">
        <f>F16*P16</f>
        <v>138146943.88000008</v>
      </c>
      <c r="S16" s="26" t="s">
        <v>2605</v>
      </c>
    </row>
    <row r="17" spans="1:19" ht="30">
      <c r="A17" s="432"/>
      <c r="B17" s="149" t="s">
        <v>1038</v>
      </c>
      <c r="C17" s="150" t="s">
        <v>1033</v>
      </c>
      <c r="D17" s="351">
        <v>0</v>
      </c>
      <c r="E17" s="438"/>
      <c r="F17" s="651">
        <v>0</v>
      </c>
      <c r="G17" s="351"/>
      <c r="H17" s="351"/>
      <c r="I17" s="353"/>
      <c r="J17" s="353"/>
      <c r="K17" s="311"/>
      <c r="L17" s="311"/>
      <c r="M17" s="311"/>
      <c r="N17" s="311"/>
      <c r="O17" s="311"/>
      <c r="P17" s="68"/>
      <c r="Q17" s="68"/>
      <c r="R17" s="127"/>
      <c r="S17" s="26"/>
    </row>
    <row r="18" spans="1:19" ht="45">
      <c r="A18" s="432">
        <v>3</v>
      </c>
      <c r="B18" s="149" t="s">
        <v>1039</v>
      </c>
      <c r="C18" s="150" t="s">
        <v>1033</v>
      </c>
      <c r="D18" s="351">
        <v>93.121881000000002</v>
      </c>
      <c r="E18" s="438"/>
      <c r="F18" s="651">
        <v>93.121881000000002</v>
      </c>
      <c r="G18" s="351" t="s">
        <v>2600</v>
      </c>
      <c r="H18" s="351" t="s">
        <v>2601</v>
      </c>
      <c r="I18" s="353" t="s">
        <v>2599</v>
      </c>
      <c r="J18" s="353" t="s">
        <v>2328</v>
      </c>
      <c r="K18" s="311">
        <v>349680</v>
      </c>
      <c r="L18" s="311">
        <v>0</v>
      </c>
      <c r="M18" s="311">
        <v>0</v>
      </c>
      <c r="N18" s="311">
        <v>37600</v>
      </c>
      <c r="O18" s="311">
        <v>26320.000000000004</v>
      </c>
      <c r="P18" s="68">
        <f t="shared" ref="P18:P20" si="2">SUM(K18:O18)</f>
        <v>413600</v>
      </c>
      <c r="Q18" s="68">
        <f>D18*P18</f>
        <v>38515209.981600001</v>
      </c>
      <c r="R18" s="127">
        <f>F18*P18</f>
        <v>38515209.981600001</v>
      </c>
      <c r="S18" s="26" t="s">
        <v>2605</v>
      </c>
    </row>
    <row r="19" spans="1:19" ht="30">
      <c r="A19" s="432">
        <v>4</v>
      </c>
      <c r="B19" s="149" t="s">
        <v>1040</v>
      </c>
      <c r="C19" s="150" t="s">
        <v>699</v>
      </c>
      <c r="D19" s="351">
        <v>547</v>
      </c>
      <c r="E19" s="438"/>
      <c r="F19" s="651">
        <v>547</v>
      </c>
      <c r="G19" s="351" t="s">
        <v>1040</v>
      </c>
      <c r="H19" s="351"/>
      <c r="I19" s="353"/>
      <c r="J19" s="353" t="s">
        <v>2328</v>
      </c>
      <c r="K19" s="311">
        <v>46500</v>
      </c>
      <c r="L19" s="311">
        <v>0</v>
      </c>
      <c r="M19" s="311">
        <v>0</v>
      </c>
      <c r="N19" s="311">
        <v>5000</v>
      </c>
      <c r="O19" s="311">
        <v>3500.0000000000005</v>
      </c>
      <c r="P19" s="68">
        <f t="shared" si="2"/>
        <v>55000</v>
      </c>
      <c r="Q19" s="68">
        <f>D19*P19</f>
        <v>30085000</v>
      </c>
      <c r="R19" s="127">
        <f>F19*P19</f>
        <v>30085000</v>
      </c>
      <c r="S19" s="26" t="s">
        <v>2605</v>
      </c>
    </row>
    <row r="20" spans="1:19" ht="75">
      <c r="A20" s="432">
        <v>5</v>
      </c>
      <c r="B20" s="149" t="s">
        <v>1034</v>
      </c>
      <c r="C20" s="150" t="s">
        <v>1035</v>
      </c>
      <c r="D20" s="351">
        <v>40.730416499999983</v>
      </c>
      <c r="E20" s="438"/>
      <c r="F20" s="651">
        <v>40.730416499999983</v>
      </c>
      <c r="G20" s="353" t="s">
        <v>2602</v>
      </c>
      <c r="H20" s="353"/>
      <c r="I20" s="353"/>
      <c r="J20" s="353" t="s">
        <v>2328</v>
      </c>
      <c r="K20" s="311">
        <v>2445900</v>
      </c>
      <c r="L20" s="311">
        <v>0</v>
      </c>
      <c r="M20" s="311">
        <v>0</v>
      </c>
      <c r="N20" s="311">
        <v>263000</v>
      </c>
      <c r="O20" s="311">
        <v>184100.00000000003</v>
      </c>
      <c r="P20" s="68">
        <f t="shared" si="2"/>
        <v>2893000</v>
      </c>
      <c r="Q20" s="68">
        <f>D20*P20</f>
        <v>117833094.93449995</v>
      </c>
      <c r="R20" s="127">
        <f>F20*P20</f>
        <v>117833094.93449995</v>
      </c>
      <c r="S20" s="26" t="s">
        <v>2605</v>
      </c>
    </row>
    <row r="21" spans="1:19" s="433" customFormat="1" ht="28.5">
      <c r="A21" s="431" t="s">
        <v>144</v>
      </c>
      <c r="B21" s="151" t="s">
        <v>1041</v>
      </c>
      <c r="C21" s="431"/>
      <c r="D21" s="351"/>
      <c r="E21" s="438"/>
      <c r="F21" s="651"/>
      <c r="G21" s="26"/>
      <c r="H21" s="26"/>
      <c r="I21" s="26"/>
      <c r="J21" s="26"/>
      <c r="K21" s="66"/>
      <c r="L21" s="66"/>
      <c r="M21" s="66"/>
      <c r="N21" s="66"/>
      <c r="O21" s="66"/>
      <c r="P21" s="66"/>
      <c r="Q21" s="66"/>
      <c r="R21" s="66"/>
      <c r="S21" s="26"/>
    </row>
    <row r="22" spans="1:19" s="434" customFormat="1" ht="45">
      <c r="A22" s="432">
        <v>1</v>
      </c>
      <c r="B22" s="149" t="s">
        <v>1042</v>
      </c>
      <c r="C22" s="150" t="s">
        <v>1033</v>
      </c>
      <c r="D22" s="351">
        <v>671.68000000000018</v>
      </c>
      <c r="E22" s="439"/>
      <c r="F22" s="651">
        <v>671.68000000000018</v>
      </c>
      <c r="G22" s="363" t="s">
        <v>2600</v>
      </c>
      <c r="H22" s="363" t="s">
        <v>2601</v>
      </c>
      <c r="I22" s="353" t="s">
        <v>2599</v>
      </c>
      <c r="J22" s="353" t="s">
        <v>2328</v>
      </c>
      <c r="K22" s="311">
        <v>349680</v>
      </c>
      <c r="L22" s="311">
        <v>0</v>
      </c>
      <c r="M22" s="311">
        <v>0</v>
      </c>
      <c r="N22" s="311">
        <v>37600</v>
      </c>
      <c r="O22" s="311">
        <v>26320.000000000004</v>
      </c>
      <c r="P22" s="68">
        <f>SUM(K22:O22)</f>
        <v>413600</v>
      </c>
      <c r="Q22" s="68">
        <f>D22*P22</f>
        <v>277806848.00000006</v>
      </c>
      <c r="R22" s="127">
        <f>F22*P22</f>
        <v>277806848.00000006</v>
      </c>
      <c r="S22" s="26" t="s">
        <v>2605</v>
      </c>
    </row>
    <row r="23" spans="1:19" s="434" customFormat="1" ht="30">
      <c r="A23" s="432">
        <v>2</v>
      </c>
      <c r="B23" s="149" t="s">
        <v>1043</v>
      </c>
      <c r="C23" s="150" t="s">
        <v>1033</v>
      </c>
      <c r="D23" s="351">
        <v>0</v>
      </c>
      <c r="E23" s="439"/>
      <c r="F23" s="651">
        <v>0</v>
      </c>
      <c r="G23" s="351"/>
      <c r="H23" s="351"/>
      <c r="I23" s="353"/>
      <c r="J23" s="353"/>
      <c r="K23" s="66"/>
      <c r="L23" s="66"/>
      <c r="M23" s="66"/>
      <c r="N23" s="66"/>
      <c r="O23" s="66"/>
      <c r="P23" s="66"/>
      <c r="Q23" s="66"/>
      <c r="R23" s="66"/>
      <c r="S23" s="26"/>
    </row>
    <row r="24" spans="1:19" s="434" customFormat="1" ht="30">
      <c r="A24" s="441">
        <v>3</v>
      </c>
      <c r="B24" s="442" t="s">
        <v>1044</v>
      </c>
      <c r="C24" s="443" t="s">
        <v>117</v>
      </c>
      <c r="D24" s="353">
        <v>377.7999999999999</v>
      </c>
      <c r="E24" s="441"/>
      <c r="F24" s="652">
        <v>377.7999999999999</v>
      </c>
      <c r="G24" s="353" t="s">
        <v>1044</v>
      </c>
      <c r="H24" s="353"/>
      <c r="I24" s="353" t="s">
        <v>2599</v>
      </c>
      <c r="J24" s="353" t="s">
        <v>2328</v>
      </c>
      <c r="K24" s="311">
        <v>46500</v>
      </c>
      <c r="L24" s="311">
        <v>0</v>
      </c>
      <c r="M24" s="311">
        <v>0</v>
      </c>
      <c r="N24" s="311">
        <v>5000</v>
      </c>
      <c r="O24" s="311">
        <v>3500.0000000000005</v>
      </c>
      <c r="P24" s="68">
        <f>SUM(K24:O24)</f>
        <v>55000</v>
      </c>
      <c r="Q24" s="68">
        <f>D24*P24</f>
        <v>20778999.999999993</v>
      </c>
      <c r="R24" s="127">
        <f>F24*P24</f>
        <v>20778999.999999993</v>
      </c>
      <c r="S24" s="377" t="s">
        <v>2605</v>
      </c>
    </row>
    <row r="25" spans="1:19" s="440" customFormat="1" ht="14.25">
      <c r="A25" s="449" t="s">
        <v>1124</v>
      </c>
      <c r="B25" s="450" t="s">
        <v>1882</v>
      </c>
      <c r="C25" s="284"/>
      <c r="D25" s="288"/>
      <c r="E25" s="288"/>
      <c r="F25" s="653"/>
      <c r="G25" s="288"/>
      <c r="H25" s="288"/>
      <c r="I25" s="288"/>
      <c r="J25" s="288"/>
      <c r="K25" s="279"/>
      <c r="L25" s="279"/>
      <c r="M25" s="279"/>
      <c r="N25" s="279"/>
      <c r="O25" s="279"/>
      <c r="P25" s="279"/>
      <c r="Q25" s="279">
        <f>SUBTOTAL(9,Q26:Q29)</f>
        <v>0</v>
      </c>
      <c r="R25" s="279">
        <f>SUBTOTAL(9,R26:R29)</f>
        <v>0</v>
      </c>
      <c r="S25" s="451"/>
    </row>
    <row r="26" spans="1:19">
      <c r="A26" s="444"/>
      <c r="B26" s="445" t="s">
        <v>2293</v>
      </c>
      <c r="C26" s="446"/>
      <c r="D26" s="447"/>
      <c r="E26" s="446"/>
      <c r="F26" s="654"/>
      <c r="G26" s="448"/>
      <c r="H26" s="448"/>
      <c r="I26" s="448"/>
      <c r="J26" s="448"/>
      <c r="K26" s="311"/>
      <c r="L26" s="311"/>
      <c r="M26" s="311"/>
      <c r="N26" s="311"/>
      <c r="O26" s="311"/>
      <c r="P26" s="311"/>
      <c r="Q26" s="311"/>
      <c r="R26" s="311"/>
      <c r="S26" s="23"/>
    </row>
    <row r="27" spans="1:19">
      <c r="A27" s="103"/>
      <c r="B27" s="107" t="s">
        <v>2294</v>
      </c>
      <c r="C27" s="105"/>
      <c r="D27" s="361"/>
      <c r="E27" s="105"/>
      <c r="F27" s="655"/>
      <c r="G27" s="327"/>
      <c r="H27" s="327"/>
      <c r="I27" s="327"/>
      <c r="J27" s="327"/>
      <c r="K27" s="66"/>
      <c r="L27" s="66"/>
      <c r="M27" s="66"/>
      <c r="N27" s="66"/>
      <c r="O27" s="66"/>
      <c r="P27" s="66"/>
      <c r="Q27" s="66"/>
      <c r="R27" s="66"/>
      <c r="S27" s="26"/>
    </row>
    <row r="28" spans="1:19">
      <c r="A28" s="103"/>
      <c r="B28" s="107" t="s">
        <v>2295</v>
      </c>
      <c r="C28" s="105"/>
      <c r="D28" s="361"/>
      <c r="E28" s="105"/>
      <c r="F28" s="655"/>
      <c r="G28" s="327"/>
      <c r="H28" s="327"/>
      <c r="I28" s="327"/>
      <c r="J28" s="327"/>
      <c r="K28" s="66"/>
      <c r="L28" s="66"/>
      <c r="M28" s="66"/>
      <c r="N28" s="66"/>
      <c r="O28" s="66"/>
      <c r="P28" s="66"/>
      <c r="Q28" s="66"/>
      <c r="R28" s="66"/>
      <c r="S28" s="26"/>
    </row>
    <row r="29" spans="1:19">
      <c r="A29" s="103"/>
      <c r="B29" s="107" t="s">
        <v>2296</v>
      </c>
      <c r="C29" s="105"/>
      <c r="D29" s="361"/>
      <c r="E29" s="105"/>
      <c r="F29" s="655"/>
      <c r="G29" s="327"/>
      <c r="H29" s="327"/>
      <c r="I29" s="327"/>
      <c r="J29" s="327"/>
      <c r="K29" s="66"/>
      <c r="L29" s="66"/>
      <c r="M29" s="66"/>
      <c r="N29" s="66"/>
      <c r="O29" s="66"/>
      <c r="P29" s="66"/>
      <c r="Q29" s="66"/>
      <c r="R29" s="287"/>
      <c r="S29" s="377"/>
    </row>
    <row r="30" spans="1:19" s="440" customFormat="1" ht="14.25">
      <c r="A30" s="261" t="s">
        <v>2291</v>
      </c>
      <c r="B30" s="262" t="s">
        <v>2292</v>
      </c>
      <c r="C30" s="263"/>
      <c r="D30" s="389"/>
      <c r="E30" s="389"/>
      <c r="F30" s="656"/>
      <c r="G30" s="389"/>
      <c r="H30" s="389"/>
      <c r="I30" s="389"/>
      <c r="J30" s="389"/>
      <c r="K30" s="390"/>
      <c r="L30" s="390"/>
      <c r="M30" s="390"/>
      <c r="N30" s="390"/>
      <c r="O30" s="390"/>
      <c r="P30" s="390"/>
      <c r="Q30" s="390">
        <f>Q9+Q25</f>
        <v>1064639801.7934849</v>
      </c>
      <c r="R30" s="390">
        <f>R9+R25</f>
        <v>1064639801.7934849</v>
      </c>
      <c r="S30" s="425"/>
    </row>
  </sheetData>
  <autoFilter ref="A8:S30" xr:uid="{4A144399-4269-4AC0-9F85-8DE7FA4778D6}"/>
  <mergeCells count="12">
    <mergeCell ref="A5:E5"/>
    <mergeCell ref="F5:S5"/>
    <mergeCell ref="F6:F7"/>
    <mergeCell ref="G6:J6"/>
    <mergeCell ref="K6:P6"/>
    <mergeCell ref="Q6:R6"/>
    <mergeCell ref="S6:S7"/>
    <mergeCell ref="A6:A7"/>
    <mergeCell ref="B6:B7"/>
    <mergeCell ref="C6:C7"/>
    <mergeCell ref="D6:D7"/>
    <mergeCell ref="E6:E7"/>
  </mergeCells>
  <printOptions horizontalCentered="1"/>
  <pageMargins left="0.39370078740157483" right="0.39370078740157483" top="0.59055118110236227" bottom="0.39370078740157483" header="0.19685039370078741" footer="0.19685039370078741"/>
  <pageSetup scale="37" fitToHeight="100" orientation="landscape" horizontalDpi="1200" verticalDpi="1200" r:id="rId1"/>
  <headerFooter>
    <oddFooter>Page &amp;P&amp;R&amp;A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2</vt:i4>
      </vt:variant>
    </vt:vector>
  </HeadingPairs>
  <TitlesOfParts>
    <vt:vector size="11" baseType="lpstr">
      <vt:lpstr>ĐIỀU KHOẢN</vt:lpstr>
      <vt:lpstr>Tổng hợp</vt:lpstr>
      <vt:lpstr>1. HT điện</vt:lpstr>
      <vt:lpstr>2. HT điện nhẹ</vt:lpstr>
      <vt:lpstr>3. HT CTN</vt:lpstr>
      <vt:lpstr>4.1 ĐH VRV</vt:lpstr>
      <vt:lpstr>4.2 Quạt</vt:lpstr>
      <vt:lpstr>4.3 DHKK &amp; TG</vt:lpstr>
      <vt:lpstr>5. Ngăn cháy lan</vt:lpstr>
      <vt:lpstr>Chart2</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Phuong Hang</dc:creator>
  <cp:lastModifiedBy>Cao Thi Thanh Mai</cp:lastModifiedBy>
  <cp:lastPrinted>2025-12-08T06:48:08Z</cp:lastPrinted>
  <dcterms:created xsi:type="dcterms:W3CDTF">2025-10-11T02:13:17Z</dcterms:created>
  <dcterms:modified xsi:type="dcterms:W3CDTF">2025-12-11T03:46:03Z</dcterms:modified>
</cp:coreProperties>
</file>